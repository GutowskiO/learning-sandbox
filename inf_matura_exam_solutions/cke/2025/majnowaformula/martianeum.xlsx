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cke\2025\majnowaformula\"/>
    </mc:Choice>
  </mc:AlternateContent>
  <xr:revisionPtr revIDLastSave="0" documentId="13_ncr:1_{D07950D0-0FB9-4A1A-9D2D-A057C1CDFA50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dane" sheetId="2" r:id="rId1"/>
    <sheet name="6.1" sheetId="3" r:id="rId2"/>
    <sheet name="6.2" sheetId="4" r:id="rId3"/>
    <sheet name="6.3" sheetId="5" r:id="rId4"/>
    <sheet name="6.4" sheetId="6" r:id="rId5"/>
    <sheet name="6.5" sheetId="7" r:id="rId6"/>
  </sheets>
  <definedNames>
    <definedName name="_xlnm._FilterDatabase" localSheetId="2" hidden="1">'6.2'!$J$4:$K$35</definedName>
    <definedName name="_xlnm._FilterDatabase" localSheetId="3" hidden="1">'6.3'!$A$1:$F$2073</definedName>
    <definedName name="_xlnm._FilterDatabase" localSheetId="5" hidden="1">'6.5'!$A$1:$G$2073</definedName>
  </definedNames>
  <calcPr calcId="191029"/>
  <pivotCaches>
    <pivotCache cacheId="3" r:id="rId7"/>
    <pivotCache cacheId="8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E2030" i="7"/>
  <c r="E2031" i="7"/>
  <c r="E2032" i="7"/>
  <c r="E2033" i="7"/>
  <c r="E2034" i="7"/>
  <c r="E2035" i="7"/>
  <c r="E2036" i="7"/>
  <c r="E2037" i="7"/>
  <c r="E2038" i="7"/>
  <c r="E2039" i="7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" i="7"/>
  <c r="F2" i="7" s="1"/>
  <c r="G2" i="7" s="1"/>
  <c r="E2" i="3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" i="6"/>
  <c r="F2" i="5"/>
  <c r="F3" i="5" s="1"/>
  <c r="E4" i="5"/>
  <c r="E5" i="5" s="1"/>
  <c r="E6" i="5" s="1"/>
  <c r="E7" i="5" s="1"/>
  <c r="E8" i="5" s="1"/>
  <c r="E3" i="5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5" i="4"/>
  <c r="H4" i="3"/>
  <c r="G4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F3" i="7" l="1"/>
  <c r="G3" i="7" s="1"/>
  <c r="F4" i="7" s="1"/>
  <c r="G4" i="7" s="1"/>
  <c r="F5" i="7" s="1"/>
  <c r="G5" i="7" s="1"/>
  <c r="F6" i="7" s="1"/>
  <c r="G6" i="7" s="1"/>
  <c r="F7" i="7" s="1"/>
  <c r="G7" i="7" s="1"/>
  <c r="F8" i="7" s="1"/>
  <c r="G8" i="7" s="1"/>
  <c r="F9" i="7" s="1"/>
  <c r="G9" i="7" s="1"/>
  <c r="F10" i="7" s="1"/>
  <c r="G10" i="7" s="1"/>
  <c r="F11" i="7" s="1"/>
  <c r="G11" i="7" s="1"/>
  <c r="F12" i="7" s="1"/>
  <c r="G12" i="7" s="1"/>
  <c r="F13" i="7" s="1"/>
  <c r="G13" i="7" s="1"/>
  <c r="F14" i="7" s="1"/>
  <c r="G14" i="7" s="1"/>
  <c r="F15" i="7" s="1"/>
  <c r="G15" i="7" s="1"/>
  <c r="F16" i="7" s="1"/>
  <c r="G16" i="7" s="1"/>
  <c r="F17" i="7" s="1"/>
  <c r="G17" i="7" s="1"/>
  <c r="F18" i="7" s="1"/>
  <c r="G18" i="7" s="1"/>
  <c r="F19" i="7" s="1"/>
  <c r="G19" i="7" s="1"/>
  <c r="F20" i="7" s="1"/>
  <c r="G20" i="7" s="1"/>
  <c r="F21" i="7" s="1"/>
  <c r="G21" i="7" s="1"/>
  <c r="F22" i="7" s="1"/>
  <c r="G22" i="7" s="1"/>
  <c r="F23" i="7" s="1"/>
  <c r="G23" i="7" s="1"/>
  <c r="F24" i="7" s="1"/>
  <c r="G24" i="7" s="1"/>
  <c r="F25" i="7" s="1"/>
  <c r="G25" i="7" s="1"/>
  <c r="F26" i="7" s="1"/>
  <c r="G26" i="7" s="1"/>
  <c r="F27" i="7" s="1"/>
  <c r="G27" i="7" s="1"/>
  <c r="F28" i="7" s="1"/>
  <c r="G28" i="7" s="1"/>
  <c r="F29" i="7" s="1"/>
  <c r="G29" i="7" s="1"/>
  <c r="F30" i="7" s="1"/>
  <c r="G30" i="7" s="1"/>
  <c r="F31" i="7" s="1"/>
  <c r="G31" i="7" s="1"/>
  <c r="F32" i="7" s="1"/>
  <c r="G32" i="7" s="1"/>
  <c r="F33" i="7" s="1"/>
  <c r="G33" i="7" s="1"/>
  <c r="F34" i="7" s="1"/>
  <c r="G34" i="7" s="1"/>
  <c r="F35" i="7" s="1"/>
  <c r="G35" i="7" s="1"/>
  <c r="F36" i="7" s="1"/>
  <c r="G36" i="7" s="1"/>
  <c r="F37" i="7" s="1"/>
  <c r="G37" i="7" s="1"/>
  <c r="F38" i="7" s="1"/>
  <c r="G38" i="7" s="1"/>
  <c r="F39" i="7" s="1"/>
  <c r="G39" i="7" s="1"/>
  <c r="F40" i="7" s="1"/>
  <c r="G40" i="7" s="1"/>
  <c r="F41" i="7" s="1"/>
  <c r="G41" i="7" s="1"/>
  <c r="F42" i="7" s="1"/>
  <c r="G42" i="7" s="1"/>
  <c r="F43" i="7" s="1"/>
  <c r="G43" i="7" s="1"/>
  <c r="F44" i="7" s="1"/>
  <c r="G44" i="7" s="1"/>
  <c r="F45" i="7" s="1"/>
  <c r="G45" i="7" s="1"/>
  <c r="F46" i="7" s="1"/>
  <c r="G46" i="7" s="1"/>
  <c r="F47" i="7" s="1"/>
  <c r="G47" i="7" s="1"/>
  <c r="F48" i="7" s="1"/>
  <c r="G48" i="7" s="1"/>
  <c r="F49" i="7" s="1"/>
  <c r="G49" i="7" s="1"/>
  <c r="F50" i="7" s="1"/>
  <c r="G50" i="7" s="1"/>
  <c r="F51" i="7" s="1"/>
  <c r="G51" i="7" s="1"/>
  <c r="F52" i="7" s="1"/>
  <c r="G52" i="7" s="1"/>
  <c r="F53" i="7" s="1"/>
  <c r="G53" i="7" s="1"/>
  <c r="F54" i="7" s="1"/>
  <c r="G54" i="7" s="1"/>
  <c r="F55" i="7" s="1"/>
  <c r="G55" i="7" s="1"/>
  <c r="F56" i="7" s="1"/>
  <c r="G56" i="7" s="1"/>
  <c r="F57" i="7" s="1"/>
  <c r="G57" i="7" s="1"/>
  <c r="F58" i="7" s="1"/>
  <c r="G58" i="7" s="1"/>
  <c r="F59" i="7" s="1"/>
  <c r="G59" i="7" s="1"/>
  <c r="F60" i="7" s="1"/>
  <c r="G60" i="7" s="1"/>
  <c r="F61" i="7" s="1"/>
  <c r="G61" i="7" s="1"/>
  <c r="F62" i="7" s="1"/>
  <c r="G62" i="7" s="1"/>
  <c r="F63" i="7" s="1"/>
  <c r="G63" i="7" s="1"/>
  <c r="F64" i="7" s="1"/>
  <c r="G64" i="7" s="1"/>
  <c r="F65" i="7" s="1"/>
  <c r="G65" i="7" s="1"/>
  <c r="F66" i="7" s="1"/>
  <c r="G66" i="7" s="1"/>
  <c r="F67" i="7" s="1"/>
  <c r="G67" i="7" s="1"/>
  <c r="F68" i="7" s="1"/>
  <c r="G68" i="7" s="1"/>
  <c r="F69" i="7" s="1"/>
  <c r="G69" i="7" s="1"/>
  <c r="F70" i="7" s="1"/>
  <c r="G70" i="7" s="1"/>
  <c r="F71" i="7" s="1"/>
  <c r="G71" i="7" s="1"/>
  <c r="F72" i="7" s="1"/>
  <c r="G72" i="7" s="1"/>
  <c r="F73" i="7" s="1"/>
  <c r="G73" i="7" s="1"/>
  <c r="F74" i="7" s="1"/>
  <c r="G74" i="7" s="1"/>
  <c r="F75" i="7" s="1"/>
  <c r="G75" i="7" s="1"/>
  <c r="F76" i="7" s="1"/>
  <c r="G76" i="7" s="1"/>
  <c r="F77" i="7" s="1"/>
  <c r="G77" i="7" s="1"/>
  <c r="F78" i="7" s="1"/>
  <c r="G78" i="7" s="1"/>
  <c r="F79" i="7" s="1"/>
  <c r="G79" i="7" s="1"/>
  <c r="F80" i="7" s="1"/>
  <c r="G80" i="7" s="1"/>
  <c r="F81" i="7" s="1"/>
  <c r="G81" i="7" s="1"/>
  <c r="F82" i="7" s="1"/>
  <c r="G82" i="7" s="1"/>
  <c r="F83" i="7" s="1"/>
  <c r="G83" i="7" s="1"/>
  <c r="F84" i="7" s="1"/>
  <c r="G84" i="7" s="1"/>
  <c r="F85" i="7" s="1"/>
  <c r="G85" i="7" s="1"/>
  <c r="F86" i="7" s="1"/>
  <c r="G86" i="7" s="1"/>
  <c r="F87" i="7" s="1"/>
  <c r="G87" i="7" s="1"/>
  <c r="F88" i="7" s="1"/>
  <c r="G88" i="7" s="1"/>
  <c r="F89" i="7" s="1"/>
  <c r="G89" i="7" s="1"/>
  <c r="F90" i="7" s="1"/>
  <c r="G90" i="7" s="1"/>
  <c r="F91" i="7" s="1"/>
  <c r="G91" i="7" s="1"/>
  <c r="F92" i="7" s="1"/>
  <c r="G92" i="7" s="1"/>
  <c r="F93" i="7" s="1"/>
  <c r="G93" i="7" s="1"/>
  <c r="F94" i="7" s="1"/>
  <c r="G94" i="7" s="1"/>
  <c r="F95" i="7" s="1"/>
  <c r="G95" i="7" s="1"/>
  <c r="F96" i="7" s="1"/>
  <c r="G96" i="7" s="1"/>
  <c r="F97" i="7" s="1"/>
  <c r="G97" i="7" s="1"/>
  <c r="F98" i="7" s="1"/>
  <c r="G98" i="7" s="1"/>
  <c r="F99" i="7" s="1"/>
  <c r="G99" i="7" s="1"/>
  <c r="F100" i="7" s="1"/>
  <c r="G100" i="7" s="1"/>
  <c r="F101" i="7" s="1"/>
  <c r="G101" i="7" s="1"/>
  <c r="F102" i="7" s="1"/>
  <c r="G102" i="7" s="1"/>
  <c r="F103" i="7" s="1"/>
  <c r="G103" i="7" s="1"/>
  <c r="F104" i="7" s="1"/>
  <c r="G104" i="7" s="1"/>
  <c r="F105" i="7" s="1"/>
  <c r="G105" i="7" s="1"/>
  <c r="F106" i="7" s="1"/>
  <c r="G106" i="7" s="1"/>
  <c r="F107" i="7" s="1"/>
  <c r="G107" i="7" s="1"/>
  <c r="F108" i="7" s="1"/>
  <c r="G108" i="7" s="1"/>
  <c r="F109" i="7" s="1"/>
  <c r="G109" i="7" s="1"/>
  <c r="F110" i="7" s="1"/>
  <c r="G110" i="7" s="1"/>
  <c r="F111" i="7" s="1"/>
  <c r="G111" i="7" s="1"/>
  <c r="F112" i="7" s="1"/>
  <c r="G112" i="7" s="1"/>
  <c r="F113" i="7" s="1"/>
  <c r="G113" i="7" s="1"/>
  <c r="F114" i="7" s="1"/>
  <c r="G114" i="7" s="1"/>
  <c r="F115" i="7" s="1"/>
  <c r="G115" i="7" s="1"/>
  <c r="F116" i="7" s="1"/>
  <c r="G116" i="7" s="1"/>
  <c r="F117" i="7" s="1"/>
  <c r="G117" i="7" s="1"/>
  <c r="F118" i="7" s="1"/>
  <c r="G118" i="7" s="1"/>
  <c r="F119" i="7" s="1"/>
  <c r="G119" i="7" s="1"/>
  <c r="F120" i="7" s="1"/>
  <c r="G120" i="7" s="1"/>
  <c r="F121" i="7" s="1"/>
  <c r="G121" i="7" s="1"/>
  <c r="F122" i="7" s="1"/>
  <c r="G122" i="7" s="1"/>
  <c r="F123" i="7" s="1"/>
  <c r="G123" i="7" s="1"/>
  <c r="F124" i="7" s="1"/>
  <c r="G124" i="7" s="1"/>
  <c r="F125" i="7" s="1"/>
  <c r="G125" i="7" s="1"/>
  <c r="F126" i="7" s="1"/>
  <c r="G126" i="7" s="1"/>
  <c r="F127" i="7" s="1"/>
  <c r="G127" i="7" s="1"/>
  <c r="F128" i="7" s="1"/>
  <c r="G128" i="7" s="1"/>
  <c r="F129" i="7" s="1"/>
  <c r="G129" i="7" s="1"/>
  <c r="F130" i="7" s="1"/>
  <c r="G130" i="7" s="1"/>
  <c r="F131" i="7" s="1"/>
  <c r="G131" i="7" s="1"/>
  <c r="F132" i="7" s="1"/>
  <c r="G132" i="7" s="1"/>
  <c r="F133" i="7" s="1"/>
  <c r="G133" i="7" s="1"/>
  <c r="F134" i="7" s="1"/>
  <c r="G134" i="7" s="1"/>
  <c r="F135" i="7" s="1"/>
  <c r="G135" i="7" s="1"/>
  <c r="F136" i="7" s="1"/>
  <c r="G136" i="7" s="1"/>
  <c r="F137" i="7" s="1"/>
  <c r="G137" i="7" s="1"/>
  <c r="F138" i="7" s="1"/>
  <c r="G138" i="7" s="1"/>
  <c r="F139" i="7" s="1"/>
  <c r="G139" i="7" s="1"/>
  <c r="F140" i="7" s="1"/>
  <c r="G140" i="7" s="1"/>
  <c r="F141" i="7" s="1"/>
  <c r="G141" i="7" s="1"/>
  <c r="F142" i="7" s="1"/>
  <c r="G142" i="7" s="1"/>
  <c r="F143" i="7" s="1"/>
  <c r="G143" i="7" s="1"/>
  <c r="F144" i="7" s="1"/>
  <c r="G144" i="7" s="1"/>
  <c r="F145" i="7" s="1"/>
  <c r="G145" i="7" s="1"/>
  <c r="F146" i="7" s="1"/>
  <c r="G146" i="7" s="1"/>
  <c r="F147" i="7" s="1"/>
  <c r="G147" i="7" s="1"/>
  <c r="F148" i="7" s="1"/>
  <c r="G148" i="7" s="1"/>
  <c r="F149" i="7" s="1"/>
  <c r="G149" i="7" s="1"/>
  <c r="F150" i="7" s="1"/>
  <c r="G150" i="7" s="1"/>
  <c r="F151" i="7" s="1"/>
  <c r="G151" i="7" s="1"/>
  <c r="F152" i="7" s="1"/>
  <c r="G152" i="7" s="1"/>
  <c r="F153" i="7" s="1"/>
  <c r="G153" i="7" s="1"/>
  <c r="F154" i="7" s="1"/>
  <c r="G154" i="7" s="1"/>
  <c r="F155" i="7" s="1"/>
  <c r="G155" i="7" s="1"/>
  <c r="F156" i="7" s="1"/>
  <c r="G156" i="7" s="1"/>
  <c r="F157" i="7" s="1"/>
  <c r="G157" i="7" s="1"/>
  <c r="F158" i="7" s="1"/>
  <c r="G158" i="7" s="1"/>
  <c r="F159" i="7" s="1"/>
  <c r="G159" i="7" s="1"/>
  <c r="F160" i="7" s="1"/>
  <c r="G160" i="7" s="1"/>
  <c r="F161" i="7" s="1"/>
  <c r="G161" i="7" s="1"/>
  <c r="F162" i="7" s="1"/>
  <c r="G162" i="7" s="1"/>
  <c r="F163" i="7" s="1"/>
  <c r="G163" i="7" s="1"/>
  <c r="F164" i="7" s="1"/>
  <c r="G164" i="7" s="1"/>
  <c r="F165" i="7" s="1"/>
  <c r="G165" i="7" s="1"/>
  <c r="F166" i="7" s="1"/>
  <c r="G166" i="7" s="1"/>
  <c r="F167" i="7" s="1"/>
  <c r="G167" i="7" s="1"/>
  <c r="F168" i="7" s="1"/>
  <c r="G168" i="7" s="1"/>
  <c r="F169" i="7" s="1"/>
  <c r="G169" i="7" s="1"/>
  <c r="F170" i="7" s="1"/>
  <c r="G170" i="7" s="1"/>
  <c r="F171" i="7" s="1"/>
  <c r="G171" i="7" s="1"/>
  <c r="F172" i="7" s="1"/>
  <c r="G172" i="7" s="1"/>
  <c r="F173" i="7" s="1"/>
  <c r="G173" i="7" s="1"/>
  <c r="F174" i="7" s="1"/>
  <c r="G174" i="7" s="1"/>
  <c r="F175" i="7" s="1"/>
  <c r="G175" i="7" s="1"/>
  <c r="F176" i="7" s="1"/>
  <c r="G176" i="7" s="1"/>
  <c r="F177" i="7" s="1"/>
  <c r="G177" i="7" s="1"/>
  <c r="F178" i="7" s="1"/>
  <c r="G178" i="7" s="1"/>
  <c r="F179" i="7" s="1"/>
  <c r="G179" i="7" s="1"/>
  <c r="F180" i="7" s="1"/>
  <c r="G180" i="7" s="1"/>
  <c r="F181" i="7" s="1"/>
  <c r="G181" i="7" s="1"/>
  <c r="F182" i="7" s="1"/>
  <c r="G182" i="7" s="1"/>
  <c r="F183" i="7" s="1"/>
  <c r="G183" i="7" s="1"/>
  <c r="F184" i="7" s="1"/>
  <c r="G184" i="7" s="1"/>
  <c r="F185" i="7" s="1"/>
  <c r="G185" i="7" s="1"/>
  <c r="F186" i="7" s="1"/>
  <c r="G186" i="7" s="1"/>
  <c r="F187" i="7" s="1"/>
  <c r="G187" i="7" s="1"/>
  <c r="F188" i="7" s="1"/>
  <c r="G188" i="7" s="1"/>
  <c r="F189" i="7" s="1"/>
  <c r="G189" i="7" s="1"/>
  <c r="F190" i="7" s="1"/>
  <c r="G190" i="7" s="1"/>
  <c r="F191" i="7" s="1"/>
  <c r="G191" i="7" s="1"/>
  <c r="F192" i="7" s="1"/>
  <c r="G192" i="7" s="1"/>
  <c r="F193" i="7" s="1"/>
  <c r="G193" i="7" s="1"/>
  <c r="F194" i="7" s="1"/>
  <c r="G194" i="7" s="1"/>
  <c r="F195" i="7" s="1"/>
  <c r="G195" i="7" s="1"/>
  <c r="F196" i="7" s="1"/>
  <c r="G196" i="7" s="1"/>
  <c r="F197" i="7" s="1"/>
  <c r="G197" i="7" s="1"/>
  <c r="F198" i="7" s="1"/>
  <c r="G198" i="7" s="1"/>
  <c r="F199" i="7" s="1"/>
  <c r="G199" i="7" s="1"/>
  <c r="F200" i="7" s="1"/>
  <c r="G200" i="7" s="1"/>
  <c r="F201" i="7" s="1"/>
  <c r="G201" i="7" s="1"/>
  <c r="F202" i="7" s="1"/>
  <c r="G202" i="7" s="1"/>
  <c r="F203" i="7" s="1"/>
  <c r="G203" i="7" s="1"/>
  <c r="F204" i="7" s="1"/>
  <c r="G204" i="7" s="1"/>
  <c r="F205" i="7" s="1"/>
  <c r="G205" i="7" s="1"/>
  <c r="F206" i="7" s="1"/>
  <c r="G206" i="7" s="1"/>
  <c r="F207" i="7" s="1"/>
  <c r="G207" i="7" s="1"/>
  <c r="F208" i="7" s="1"/>
  <c r="G208" i="7" s="1"/>
  <c r="F209" i="7" s="1"/>
  <c r="G209" i="7" s="1"/>
  <c r="F210" i="7" s="1"/>
  <c r="G210" i="7" s="1"/>
  <c r="F211" i="7" s="1"/>
  <c r="G211" i="7" s="1"/>
  <c r="F212" i="7" s="1"/>
  <c r="G212" i="7" s="1"/>
  <c r="F213" i="7" s="1"/>
  <c r="G213" i="7" s="1"/>
  <c r="F214" i="7" s="1"/>
  <c r="G214" i="7" s="1"/>
  <c r="F215" i="7" s="1"/>
  <c r="G215" i="7" s="1"/>
  <c r="F216" i="7" s="1"/>
  <c r="G216" i="7" s="1"/>
  <c r="F217" i="7" s="1"/>
  <c r="G217" i="7" s="1"/>
  <c r="F218" i="7" s="1"/>
  <c r="G218" i="7" s="1"/>
  <c r="F219" i="7" s="1"/>
  <c r="G219" i="7" s="1"/>
  <c r="F220" i="7" s="1"/>
  <c r="G220" i="7" s="1"/>
  <c r="F221" i="7" s="1"/>
  <c r="G221" i="7" s="1"/>
  <c r="F222" i="7" s="1"/>
  <c r="G222" i="7" s="1"/>
  <c r="F223" i="7" s="1"/>
  <c r="G223" i="7" s="1"/>
  <c r="F224" i="7" s="1"/>
  <c r="G224" i="7" s="1"/>
  <c r="F225" i="7" s="1"/>
  <c r="G225" i="7" s="1"/>
  <c r="F226" i="7" s="1"/>
  <c r="G226" i="7" s="1"/>
  <c r="F227" i="7" s="1"/>
  <c r="G227" i="7" s="1"/>
  <c r="F228" i="7" s="1"/>
  <c r="G228" i="7" s="1"/>
  <c r="F229" i="7" s="1"/>
  <c r="G229" i="7" s="1"/>
  <c r="F230" i="7" s="1"/>
  <c r="G230" i="7" s="1"/>
  <c r="F231" i="7" s="1"/>
  <c r="G231" i="7" s="1"/>
  <c r="F232" i="7" s="1"/>
  <c r="G232" i="7" s="1"/>
  <c r="F233" i="7" s="1"/>
  <c r="G233" i="7" s="1"/>
  <c r="F234" i="7" s="1"/>
  <c r="G234" i="7" s="1"/>
  <c r="F235" i="7" s="1"/>
  <c r="G235" i="7" s="1"/>
  <c r="F236" i="7" s="1"/>
  <c r="G236" i="7" s="1"/>
  <c r="F237" i="7" s="1"/>
  <c r="G237" i="7" s="1"/>
  <c r="F238" i="7" s="1"/>
  <c r="G238" i="7" s="1"/>
  <c r="F239" i="7" s="1"/>
  <c r="G239" i="7" s="1"/>
  <c r="F240" i="7" s="1"/>
  <c r="G240" i="7" s="1"/>
  <c r="F241" i="7" s="1"/>
  <c r="G241" i="7" s="1"/>
  <c r="F242" i="7" s="1"/>
  <c r="G242" i="7" s="1"/>
  <c r="F243" i="7" s="1"/>
  <c r="G243" i="7" s="1"/>
  <c r="F244" i="7" s="1"/>
  <c r="G244" i="7" s="1"/>
  <c r="F245" i="7" s="1"/>
  <c r="G245" i="7" s="1"/>
  <c r="F246" i="7" s="1"/>
  <c r="G246" i="7" s="1"/>
  <c r="F247" i="7" s="1"/>
  <c r="G247" i="7" s="1"/>
  <c r="F248" i="7" s="1"/>
  <c r="G248" i="7" s="1"/>
  <c r="F249" i="7" s="1"/>
  <c r="G249" i="7" s="1"/>
  <c r="F250" i="7" s="1"/>
  <c r="G250" i="7" s="1"/>
  <c r="F251" i="7" s="1"/>
  <c r="G251" i="7" s="1"/>
  <c r="F252" i="7" s="1"/>
  <c r="G252" i="7" s="1"/>
  <c r="F253" i="7" s="1"/>
  <c r="G253" i="7" s="1"/>
  <c r="F254" i="7" s="1"/>
  <c r="G254" i="7" s="1"/>
  <c r="F255" i="7" s="1"/>
  <c r="G255" i="7" s="1"/>
  <c r="F256" i="7" s="1"/>
  <c r="G256" i="7" s="1"/>
  <c r="F257" i="7" s="1"/>
  <c r="G257" i="7" s="1"/>
  <c r="F258" i="7" s="1"/>
  <c r="G258" i="7" s="1"/>
  <c r="F259" i="7" s="1"/>
  <c r="G259" i="7" s="1"/>
  <c r="F260" i="7" s="1"/>
  <c r="G260" i="7" s="1"/>
  <c r="F261" i="7" s="1"/>
  <c r="G261" i="7" s="1"/>
  <c r="F262" i="7" s="1"/>
  <c r="G262" i="7" s="1"/>
  <c r="F263" i="7" s="1"/>
  <c r="G263" i="7" s="1"/>
  <c r="F264" i="7" s="1"/>
  <c r="G264" i="7" s="1"/>
  <c r="F265" i="7" s="1"/>
  <c r="G265" i="7" s="1"/>
  <c r="F266" i="7" s="1"/>
  <c r="G266" i="7" s="1"/>
  <c r="F267" i="7" s="1"/>
  <c r="G267" i="7" s="1"/>
  <c r="F268" i="7" s="1"/>
  <c r="G268" i="7" s="1"/>
  <c r="F269" i="7" s="1"/>
  <c r="G269" i="7" s="1"/>
  <c r="F270" i="7" s="1"/>
  <c r="G270" i="7" s="1"/>
  <c r="F271" i="7" s="1"/>
  <c r="G271" i="7" s="1"/>
  <c r="F272" i="7" s="1"/>
  <c r="G272" i="7" s="1"/>
  <c r="F273" i="7" s="1"/>
  <c r="G273" i="7" s="1"/>
  <c r="F274" i="7" s="1"/>
  <c r="G274" i="7" s="1"/>
  <c r="F275" i="7" s="1"/>
  <c r="G275" i="7" s="1"/>
  <c r="F276" i="7" s="1"/>
  <c r="G276" i="7" s="1"/>
  <c r="F277" i="7" s="1"/>
  <c r="G277" i="7" s="1"/>
  <c r="F278" i="7" s="1"/>
  <c r="G278" i="7" s="1"/>
  <c r="F279" i="7" s="1"/>
  <c r="G279" i="7" s="1"/>
  <c r="F280" i="7" s="1"/>
  <c r="G280" i="7" s="1"/>
  <c r="F281" i="7" s="1"/>
  <c r="G281" i="7" s="1"/>
  <c r="F282" i="7" s="1"/>
  <c r="G282" i="7" s="1"/>
  <c r="F283" i="7" s="1"/>
  <c r="G283" i="7" s="1"/>
  <c r="F284" i="7" s="1"/>
  <c r="G284" i="7" s="1"/>
  <c r="F285" i="7" s="1"/>
  <c r="G285" i="7" s="1"/>
  <c r="F286" i="7" s="1"/>
  <c r="G286" i="7" s="1"/>
  <c r="F287" i="7" s="1"/>
  <c r="G287" i="7" s="1"/>
  <c r="F288" i="7" s="1"/>
  <c r="G288" i="7" s="1"/>
  <c r="F289" i="7" s="1"/>
  <c r="G289" i="7" s="1"/>
  <c r="F290" i="7" s="1"/>
  <c r="G290" i="7" s="1"/>
  <c r="F291" i="7" s="1"/>
  <c r="G291" i="7" s="1"/>
  <c r="F292" i="7" s="1"/>
  <c r="G292" i="7" s="1"/>
  <c r="F293" i="7" s="1"/>
  <c r="G293" i="7" s="1"/>
  <c r="F294" i="7" s="1"/>
  <c r="G294" i="7" s="1"/>
  <c r="F295" i="7" s="1"/>
  <c r="G295" i="7" s="1"/>
  <c r="F296" i="7" s="1"/>
  <c r="G296" i="7" s="1"/>
  <c r="F297" i="7" s="1"/>
  <c r="G297" i="7" s="1"/>
  <c r="F298" i="7" s="1"/>
  <c r="G298" i="7" s="1"/>
  <c r="F299" i="7" s="1"/>
  <c r="G299" i="7" s="1"/>
  <c r="F300" i="7" s="1"/>
  <c r="G300" i="7" s="1"/>
  <c r="F301" i="7" s="1"/>
  <c r="G301" i="7" s="1"/>
  <c r="F302" i="7" s="1"/>
  <c r="G302" i="7" s="1"/>
  <c r="F303" i="7" s="1"/>
  <c r="G303" i="7" s="1"/>
  <c r="F304" i="7" s="1"/>
  <c r="G304" i="7" s="1"/>
  <c r="F305" i="7" s="1"/>
  <c r="G305" i="7" s="1"/>
  <c r="F306" i="7" s="1"/>
  <c r="G306" i="7" s="1"/>
  <c r="F307" i="7" s="1"/>
  <c r="G307" i="7" s="1"/>
  <c r="F308" i="7" s="1"/>
  <c r="G308" i="7" s="1"/>
  <c r="F309" i="7" s="1"/>
  <c r="G309" i="7" s="1"/>
  <c r="F310" i="7" s="1"/>
  <c r="G310" i="7" s="1"/>
  <c r="F311" i="7" s="1"/>
  <c r="G311" i="7" s="1"/>
  <c r="F312" i="7" s="1"/>
  <c r="G312" i="7" s="1"/>
  <c r="F313" i="7" s="1"/>
  <c r="G313" i="7" s="1"/>
  <c r="F314" i="7" s="1"/>
  <c r="G314" i="7" s="1"/>
  <c r="F315" i="7" s="1"/>
  <c r="G315" i="7" s="1"/>
  <c r="F316" i="7" s="1"/>
  <c r="G316" i="7" s="1"/>
  <c r="F317" i="7" s="1"/>
  <c r="G317" i="7" s="1"/>
  <c r="F318" i="7" s="1"/>
  <c r="G318" i="7" s="1"/>
  <c r="F319" i="7" s="1"/>
  <c r="G319" i="7" s="1"/>
  <c r="F320" i="7" s="1"/>
  <c r="G320" i="7" s="1"/>
  <c r="F321" i="7" s="1"/>
  <c r="G321" i="7" s="1"/>
  <c r="F322" i="7" s="1"/>
  <c r="G322" i="7" s="1"/>
  <c r="F323" i="7" s="1"/>
  <c r="G323" i="7" s="1"/>
  <c r="F324" i="7" s="1"/>
  <c r="G324" i="7" s="1"/>
  <c r="F325" i="7" s="1"/>
  <c r="G325" i="7" s="1"/>
  <c r="F326" i="7" s="1"/>
  <c r="G326" i="7" s="1"/>
  <c r="F327" i="7" s="1"/>
  <c r="G327" i="7" s="1"/>
  <c r="F328" i="7" s="1"/>
  <c r="G328" i="7" s="1"/>
  <c r="F329" i="7" s="1"/>
  <c r="G329" i="7" s="1"/>
  <c r="F330" i="7" s="1"/>
  <c r="G330" i="7" s="1"/>
  <c r="F331" i="7" s="1"/>
  <c r="G331" i="7" s="1"/>
  <c r="F332" i="7" s="1"/>
  <c r="G332" i="7" s="1"/>
  <c r="F333" i="7" s="1"/>
  <c r="G333" i="7" s="1"/>
  <c r="F334" i="7" s="1"/>
  <c r="G334" i="7" s="1"/>
  <c r="F335" i="7" s="1"/>
  <c r="G335" i="7" s="1"/>
  <c r="F336" i="7" s="1"/>
  <c r="G336" i="7" s="1"/>
  <c r="F337" i="7" s="1"/>
  <c r="G337" i="7" s="1"/>
  <c r="F338" i="7" s="1"/>
  <c r="G338" i="7" s="1"/>
  <c r="F339" i="7" s="1"/>
  <c r="G339" i="7" s="1"/>
  <c r="F340" i="7" s="1"/>
  <c r="G340" i="7" s="1"/>
  <c r="F341" i="7" s="1"/>
  <c r="G341" i="7" s="1"/>
  <c r="F342" i="7" s="1"/>
  <c r="G342" i="7" s="1"/>
  <c r="F343" i="7" s="1"/>
  <c r="G343" i="7" s="1"/>
  <c r="F344" i="7" s="1"/>
  <c r="G344" i="7" s="1"/>
  <c r="F345" i="7" s="1"/>
  <c r="G345" i="7" s="1"/>
  <c r="F346" i="7" s="1"/>
  <c r="G346" i="7" s="1"/>
  <c r="F347" i="7" s="1"/>
  <c r="G347" i="7" s="1"/>
  <c r="F348" i="7" s="1"/>
  <c r="G348" i="7" s="1"/>
  <c r="F349" i="7" s="1"/>
  <c r="G349" i="7" s="1"/>
  <c r="F350" i="7" s="1"/>
  <c r="G350" i="7" s="1"/>
  <c r="F351" i="7" s="1"/>
  <c r="G351" i="7" s="1"/>
  <c r="F352" i="7" s="1"/>
  <c r="G352" i="7" s="1"/>
  <c r="F353" i="7" s="1"/>
  <c r="G353" i="7" s="1"/>
  <c r="F354" i="7" s="1"/>
  <c r="G354" i="7" s="1"/>
  <c r="F355" i="7" s="1"/>
  <c r="G355" i="7" s="1"/>
  <c r="F356" i="7" s="1"/>
  <c r="G356" i="7" s="1"/>
  <c r="F357" i="7" s="1"/>
  <c r="G357" i="7" s="1"/>
  <c r="F358" i="7" s="1"/>
  <c r="G358" i="7" s="1"/>
  <c r="F359" i="7" s="1"/>
  <c r="G359" i="7" s="1"/>
  <c r="F360" i="7" s="1"/>
  <c r="G360" i="7" s="1"/>
  <c r="F361" i="7" s="1"/>
  <c r="G361" i="7" s="1"/>
  <c r="F362" i="7" s="1"/>
  <c r="G362" i="7" s="1"/>
  <c r="F363" i="7" s="1"/>
  <c r="G363" i="7" s="1"/>
  <c r="F364" i="7" s="1"/>
  <c r="G364" i="7" s="1"/>
  <c r="F365" i="7" s="1"/>
  <c r="G365" i="7" s="1"/>
  <c r="F366" i="7" s="1"/>
  <c r="G366" i="7" s="1"/>
  <c r="F367" i="7" s="1"/>
  <c r="G367" i="7" s="1"/>
  <c r="F368" i="7" s="1"/>
  <c r="G368" i="7" s="1"/>
  <c r="F369" i="7" s="1"/>
  <c r="G369" i="7" s="1"/>
  <c r="F370" i="7" s="1"/>
  <c r="G370" i="7" s="1"/>
  <c r="F371" i="7" s="1"/>
  <c r="G371" i="7" s="1"/>
  <c r="F372" i="7" s="1"/>
  <c r="G372" i="7" s="1"/>
  <c r="F373" i="7" s="1"/>
  <c r="G373" i="7" s="1"/>
  <c r="F374" i="7" s="1"/>
  <c r="G374" i="7" s="1"/>
  <c r="F375" i="7" s="1"/>
  <c r="G375" i="7" s="1"/>
  <c r="F376" i="7" s="1"/>
  <c r="G376" i="7" s="1"/>
  <c r="F377" i="7" s="1"/>
  <c r="G377" i="7" s="1"/>
  <c r="F378" i="7" s="1"/>
  <c r="G378" i="7" s="1"/>
  <c r="F379" i="7" s="1"/>
  <c r="G379" i="7" s="1"/>
  <c r="F380" i="7" s="1"/>
  <c r="G380" i="7" s="1"/>
  <c r="F381" i="7" s="1"/>
  <c r="G381" i="7" s="1"/>
  <c r="F382" i="7" s="1"/>
  <c r="G382" i="7" s="1"/>
  <c r="F383" i="7" s="1"/>
  <c r="G383" i="7" s="1"/>
  <c r="F384" i="7" s="1"/>
  <c r="G384" i="7" s="1"/>
  <c r="F385" i="7" s="1"/>
  <c r="G385" i="7" s="1"/>
  <c r="F386" i="7" s="1"/>
  <c r="G386" i="7" s="1"/>
  <c r="F387" i="7" s="1"/>
  <c r="G387" i="7" s="1"/>
  <c r="F388" i="7" s="1"/>
  <c r="G388" i="7" s="1"/>
  <c r="F389" i="7" s="1"/>
  <c r="G389" i="7" s="1"/>
  <c r="F390" i="7" s="1"/>
  <c r="G390" i="7" s="1"/>
  <c r="F391" i="7" s="1"/>
  <c r="G391" i="7" s="1"/>
  <c r="F392" i="7" s="1"/>
  <c r="G392" i="7" s="1"/>
  <c r="F393" i="7" s="1"/>
  <c r="G393" i="7" s="1"/>
  <c r="F394" i="7" s="1"/>
  <c r="G394" i="7" s="1"/>
  <c r="F395" i="7" s="1"/>
  <c r="G395" i="7" s="1"/>
  <c r="F396" i="7" s="1"/>
  <c r="G396" i="7" s="1"/>
  <c r="F397" i="7" s="1"/>
  <c r="G397" i="7" s="1"/>
  <c r="F398" i="7" s="1"/>
  <c r="G398" i="7" s="1"/>
  <c r="F399" i="7" s="1"/>
  <c r="G399" i="7" s="1"/>
  <c r="F400" i="7" s="1"/>
  <c r="G400" i="7" s="1"/>
  <c r="F401" i="7" s="1"/>
  <c r="G401" i="7" s="1"/>
  <c r="F402" i="7" s="1"/>
  <c r="G402" i="7" s="1"/>
  <c r="F403" i="7" s="1"/>
  <c r="G403" i="7" s="1"/>
  <c r="F404" i="7" s="1"/>
  <c r="G404" i="7" s="1"/>
  <c r="F405" i="7" s="1"/>
  <c r="G405" i="7" s="1"/>
  <c r="F406" i="7" s="1"/>
  <c r="G406" i="7" s="1"/>
  <c r="F407" i="7" s="1"/>
  <c r="G407" i="7" s="1"/>
  <c r="F408" i="7" s="1"/>
  <c r="G408" i="7" s="1"/>
  <c r="F409" i="7" s="1"/>
  <c r="G409" i="7" s="1"/>
  <c r="F410" i="7" s="1"/>
  <c r="G410" i="7" s="1"/>
  <c r="F411" i="7" s="1"/>
  <c r="G411" i="7" s="1"/>
  <c r="F412" i="7" s="1"/>
  <c r="G412" i="7" s="1"/>
  <c r="F413" i="7" s="1"/>
  <c r="G413" i="7" s="1"/>
  <c r="F414" i="7" s="1"/>
  <c r="G414" i="7" s="1"/>
  <c r="F415" i="7" s="1"/>
  <c r="G415" i="7" s="1"/>
  <c r="F416" i="7" s="1"/>
  <c r="G416" i="7" s="1"/>
  <c r="F417" i="7" s="1"/>
  <c r="G417" i="7" s="1"/>
  <c r="F418" i="7" s="1"/>
  <c r="G418" i="7" s="1"/>
  <c r="F419" i="7" s="1"/>
  <c r="G419" i="7" s="1"/>
  <c r="F420" i="7" s="1"/>
  <c r="G420" i="7" s="1"/>
  <c r="F421" i="7" s="1"/>
  <c r="G421" i="7" s="1"/>
  <c r="F422" i="7" s="1"/>
  <c r="G422" i="7" s="1"/>
  <c r="F423" i="7" s="1"/>
  <c r="G423" i="7" s="1"/>
  <c r="F424" i="7" s="1"/>
  <c r="G424" i="7" s="1"/>
  <c r="F425" i="7" s="1"/>
  <c r="G425" i="7" s="1"/>
  <c r="F426" i="7" s="1"/>
  <c r="G426" i="7" s="1"/>
  <c r="F427" i="7" s="1"/>
  <c r="G427" i="7" s="1"/>
  <c r="F428" i="7" s="1"/>
  <c r="G428" i="7" s="1"/>
  <c r="F429" i="7" s="1"/>
  <c r="G429" i="7" s="1"/>
  <c r="F430" i="7" s="1"/>
  <c r="G430" i="7" s="1"/>
  <c r="F431" i="7" s="1"/>
  <c r="G431" i="7" s="1"/>
  <c r="F432" i="7" s="1"/>
  <c r="G432" i="7" s="1"/>
  <c r="F433" i="7" s="1"/>
  <c r="G433" i="7" s="1"/>
  <c r="F434" i="7" s="1"/>
  <c r="G434" i="7" s="1"/>
  <c r="F435" i="7" s="1"/>
  <c r="G435" i="7" s="1"/>
  <c r="F436" i="7" s="1"/>
  <c r="G436" i="7" s="1"/>
  <c r="F437" i="7" s="1"/>
  <c r="G437" i="7" s="1"/>
  <c r="F438" i="7" s="1"/>
  <c r="G438" i="7" s="1"/>
  <c r="F439" i="7" s="1"/>
  <c r="G439" i="7" s="1"/>
  <c r="F440" i="7" s="1"/>
  <c r="G440" i="7" s="1"/>
  <c r="F441" i="7" s="1"/>
  <c r="G441" i="7" s="1"/>
  <c r="F442" i="7" s="1"/>
  <c r="G442" i="7" s="1"/>
  <c r="F443" i="7" s="1"/>
  <c r="G443" i="7" s="1"/>
  <c r="F444" i="7" s="1"/>
  <c r="G444" i="7" s="1"/>
  <c r="F445" i="7" s="1"/>
  <c r="G445" i="7" s="1"/>
  <c r="F446" i="7" s="1"/>
  <c r="G446" i="7" s="1"/>
  <c r="F447" i="7" s="1"/>
  <c r="G447" i="7" s="1"/>
  <c r="F448" i="7" s="1"/>
  <c r="G448" i="7" s="1"/>
  <c r="F449" i="7" s="1"/>
  <c r="G449" i="7" s="1"/>
  <c r="F450" i="7" s="1"/>
  <c r="G450" i="7" s="1"/>
  <c r="F451" i="7" s="1"/>
  <c r="G451" i="7" s="1"/>
  <c r="F452" i="7" s="1"/>
  <c r="G452" i="7" s="1"/>
  <c r="F453" i="7" s="1"/>
  <c r="G453" i="7" s="1"/>
  <c r="F454" i="7" s="1"/>
  <c r="G454" i="7" s="1"/>
  <c r="F455" i="7" s="1"/>
  <c r="G455" i="7" s="1"/>
  <c r="F456" i="7" s="1"/>
  <c r="G456" i="7" s="1"/>
  <c r="F457" i="7" s="1"/>
  <c r="G457" i="7" s="1"/>
  <c r="F458" i="7" s="1"/>
  <c r="G458" i="7" s="1"/>
  <c r="F459" i="7" s="1"/>
  <c r="G459" i="7" s="1"/>
  <c r="F460" i="7" s="1"/>
  <c r="G460" i="7" s="1"/>
  <c r="F461" i="7" s="1"/>
  <c r="G461" i="7" s="1"/>
  <c r="F462" i="7" s="1"/>
  <c r="G462" i="7" s="1"/>
  <c r="F463" i="7" s="1"/>
  <c r="G463" i="7" s="1"/>
  <c r="F464" i="7" s="1"/>
  <c r="G464" i="7" s="1"/>
  <c r="F465" i="7" s="1"/>
  <c r="G465" i="7" s="1"/>
  <c r="F466" i="7" s="1"/>
  <c r="G466" i="7" s="1"/>
  <c r="F467" i="7" s="1"/>
  <c r="G467" i="7" s="1"/>
  <c r="F468" i="7" s="1"/>
  <c r="G468" i="7" s="1"/>
  <c r="F469" i="7" s="1"/>
  <c r="G469" i="7" s="1"/>
  <c r="F470" i="7" s="1"/>
  <c r="G470" i="7" s="1"/>
  <c r="F471" i="7" s="1"/>
  <c r="G471" i="7" s="1"/>
  <c r="F472" i="7" s="1"/>
  <c r="G472" i="7" s="1"/>
  <c r="F473" i="7" s="1"/>
  <c r="G473" i="7" s="1"/>
  <c r="F474" i="7" s="1"/>
  <c r="G474" i="7" s="1"/>
  <c r="F475" i="7" s="1"/>
  <c r="G475" i="7" s="1"/>
  <c r="F476" i="7" s="1"/>
  <c r="G476" i="7" s="1"/>
  <c r="F477" i="7" s="1"/>
  <c r="G477" i="7" s="1"/>
  <c r="F478" i="7" s="1"/>
  <c r="G478" i="7" s="1"/>
  <c r="F479" i="7" s="1"/>
  <c r="G479" i="7" s="1"/>
  <c r="F480" i="7" s="1"/>
  <c r="G480" i="7" s="1"/>
  <c r="F481" i="7" s="1"/>
  <c r="G481" i="7" s="1"/>
  <c r="F482" i="7" s="1"/>
  <c r="G482" i="7" s="1"/>
  <c r="F483" i="7" s="1"/>
  <c r="G483" i="7" s="1"/>
  <c r="F484" i="7" s="1"/>
  <c r="G484" i="7" s="1"/>
  <c r="F485" i="7" s="1"/>
  <c r="G485" i="7" s="1"/>
  <c r="F486" i="7" s="1"/>
  <c r="G486" i="7" s="1"/>
  <c r="F487" i="7" s="1"/>
  <c r="G487" i="7" s="1"/>
  <c r="F488" i="7" s="1"/>
  <c r="G488" i="7" s="1"/>
  <c r="F489" i="7" s="1"/>
  <c r="G489" i="7" s="1"/>
  <c r="F490" i="7" s="1"/>
  <c r="G490" i="7" s="1"/>
  <c r="F491" i="7" s="1"/>
  <c r="G491" i="7" s="1"/>
  <c r="F492" i="7" s="1"/>
  <c r="G492" i="7" s="1"/>
  <c r="F493" i="7" s="1"/>
  <c r="G493" i="7" s="1"/>
  <c r="F494" i="7" s="1"/>
  <c r="G494" i="7" s="1"/>
  <c r="F495" i="7" s="1"/>
  <c r="G495" i="7" s="1"/>
  <c r="F496" i="7" s="1"/>
  <c r="G496" i="7" s="1"/>
  <c r="F497" i="7" s="1"/>
  <c r="G497" i="7" s="1"/>
  <c r="F498" i="7" s="1"/>
  <c r="G498" i="7" s="1"/>
  <c r="F499" i="7" s="1"/>
  <c r="G499" i="7" s="1"/>
  <c r="F500" i="7" s="1"/>
  <c r="G500" i="7" s="1"/>
  <c r="F501" i="7" s="1"/>
  <c r="G501" i="7" s="1"/>
  <c r="F502" i="7" s="1"/>
  <c r="G502" i="7" s="1"/>
  <c r="F503" i="7" s="1"/>
  <c r="G503" i="7" s="1"/>
  <c r="F504" i="7" s="1"/>
  <c r="G504" i="7" s="1"/>
  <c r="F505" i="7" s="1"/>
  <c r="G505" i="7" s="1"/>
  <c r="F506" i="7" s="1"/>
  <c r="G506" i="7" s="1"/>
  <c r="F507" i="7" s="1"/>
  <c r="G507" i="7" s="1"/>
  <c r="F508" i="7" s="1"/>
  <c r="G508" i="7" s="1"/>
  <c r="F509" i="7" s="1"/>
  <c r="G509" i="7" s="1"/>
  <c r="F510" i="7" s="1"/>
  <c r="G510" i="7" s="1"/>
  <c r="F511" i="7" s="1"/>
  <c r="G511" i="7" s="1"/>
  <c r="F512" i="7" s="1"/>
  <c r="G512" i="7" s="1"/>
  <c r="F513" i="7" s="1"/>
  <c r="G513" i="7" s="1"/>
  <c r="F514" i="7" s="1"/>
  <c r="G514" i="7" s="1"/>
  <c r="F515" i="7" s="1"/>
  <c r="G515" i="7" s="1"/>
  <c r="F516" i="7" s="1"/>
  <c r="G516" i="7" s="1"/>
  <c r="F517" i="7" s="1"/>
  <c r="G517" i="7" s="1"/>
  <c r="F518" i="7" s="1"/>
  <c r="G518" i="7" s="1"/>
  <c r="F519" i="7" s="1"/>
  <c r="G519" i="7" s="1"/>
  <c r="F520" i="7" s="1"/>
  <c r="G520" i="7" s="1"/>
  <c r="F521" i="7" s="1"/>
  <c r="G521" i="7" s="1"/>
  <c r="F522" i="7" s="1"/>
  <c r="G522" i="7" s="1"/>
  <c r="F523" i="7" s="1"/>
  <c r="G523" i="7" s="1"/>
  <c r="F524" i="7" s="1"/>
  <c r="G524" i="7" s="1"/>
  <c r="F525" i="7" s="1"/>
  <c r="G525" i="7" s="1"/>
  <c r="F526" i="7" s="1"/>
  <c r="G526" i="7" s="1"/>
  <c r="F527" i="7" s="1"/>
  <c r="G527" i="7" s="1"/>
  <c r="F528" i="7" s="1"/>
  <c r="G528" i="7" s="1"/>
  <c r="F529" i="7" s="1"/>
  <c r="G529" i="7" s="1"/>
  <c r="F530" i="7" s="1"/>
  <c r="G530" i="7" s="1"/>
  <c r="F531" i="7" s="1"/>
  <c r="G531" i="7" s="1"/>
  <c r="F532" i="7" s="1"/>
  <c r="G532" i="7" s="1"/>
  <c r="F533" i="7" s="1"/>
  <c r="G533" i="7" s="1"/>
  <c r="F534" i="7" s="1"/>
  <c r="G534" i="7" s="1"/>
  <c r="F535" i="7" s="1"/>
  <c r="G535" i="7" s="1"/>
  <c r="F536" i="7" s="1"/>
  <c r="G536" i="7" s="1"/>
  <c r="F537" i="7" s="1"/>
  <c r="G537" i="7" s="1"/>
  <c r="F538" i="7" s="1"/>
  <c r="G538" i="7" s="1"/>
  <c r="F539" i="7" s="1"/>
  <c r="G539" i="7" s="1"/>
  <c r="F540" i="7" s="1"/>
  <c r="G540" i="7" s="1"/>
  <c r="F541" i="7" s="1"/>
  <c r="G541" i="7" s="1"/>
  <c r="F542" i="7" s="1"/>
  <c r="G542" i="7" s="1"/>
  <c r="F543" i="7" s="1"/>
  <c r="G543" i="7" s="1"/>
  <c r="F544" i="7" s="1"/>
  <c r="G544" i="7" s="1"/>
  <c r="F545" i="7" s="1"/>
  <c r="G545" i="7" s="1"/>
  <c r="F546" i="7" s="1"/>
  <c r="G546" i="7" s="1"/>
  <c r="F547" i="7" s="1"/>
  <c r="G547" i="7" s="1"/>
  <c r="F548" i="7" s="1"/>
  <c r="G548" i="7" s="1"/>
  <c r="F549" i="7" s="1"/>
  <c r="G549" i="7" s="1"/>
  <c r="F550" i="7" s="1"/>
  <c r="G550" i="7" s="1"/>
  <c r="F551" i="7" s="1"/>
  <c r="G551" i="7" s="1"/>
  <c r="F552" i="7" s="1"/>
  <c r="G552" i="7" s="1"/>
  <c r="F553" i="7" s="1"/>
  <c r="G553" i="7" s="1"/>
  <c r="F554" i="7" s="1"/>
  <c r="G554" i="7" s="1"/>
  <c r="F555" i="7" s="1"/>
  <c r="G555" i="7" s="1"/>
  <c r="F556" i="7" s="1"/>
  <c r="G556" i="7" s="1"/>
  <c r="F557" i="7" s="1"/>
  <c r="G557" i="7" s="1"/>
  <c r="F558" i="7" s="1"/>
  <c r="G558" i="7" s="1"/>
  <c r="F559" i="7" s="1"/>
  <c r="G559" i="7" s="1"/>
  <c r="F560" i="7" s="1"/>
  <c r="G560" i="7" s="1"/>
  <c r="F561" i="7" s="1"/>
  <c r="G561" i="7" s="1"/>
  <c r="F562" i="7" s="1"/>
  <c r="G562" i="7" s="1"/>
  <c r="F563" i="7" s="1"/>
  <c r="G563" i="7" s="1"/>
  <c r="F564" i="7" s="1"/>
  <c r="G564" i="7" s="1"/>
  <c r="F565" i="7" s="1"/>
  <c r="G565" i="7" s="1"/>
  <c r="F566" i="7" s="1"/>
  <c r="G566" i="7" s="1"/>
  <c r="F567" i="7" s="1"/>
  <c r="G567" i="7" s="1"/>
  <c r="F568" i="7" s="1"/>
  <c r="G568" i="7" s="1"/>
  <c r="F569" i="7" s="1"/>
  <c r="G569" i="7" s="1"/>
  <c r="F570" i="7" s="1"/>
  <c r="G570" i="7" s="1"/>
  <c r="F571" i="7" s="1"/>
  <c r="G571" i="7" s="1"/>
  <c r="F572" i="7" s="1"/>
  <c r="G572" i="7" s="1"/>
  <c r="F573" i="7" s="1"/>
  <c r="G573" i="7" s="1"/>
  <c r="F574" i="7" s="1"/>
  <c r="G574" i="7" s="1"/>
  <c r="F575" i="7" s="1"/>
  <c r="G575" i="7" s="1"/>
  <c r="F576" i="7" s="1"/>
  <c r="G576" i="7" s="1"/>
  <c r="F577" i="7" s="1"/>
  <c r="G577" i="7" s="1"/>
  <c r="F578" i="7" s="1"/>
  <c r="G578" i="7" s="1"/>
  <c r="F579" i="7" s="1"/>
  <c r="G579" i="7" s="1"/>
  <c r="F580" i="7" s="1"/>
  <c r="G580" i="7" s="1"/>
  <c r="F581" i="7" s="1"/>
  <c r="G581" i="7" s="1"/>
  <c r="F582" i="7" s="1"/>
  <c r="G582" i="7" s="1"/>
  <c r="F583" i="7" s="1"/>
  <c r="G583" i="7" s="1"/>
  <c r="F584" i="7" s="1"/>
  <c r="G584" i="7" s="1"/>
  <c r="F585" i="7" s="1"/>
  <c r="G585" i="7" s="1"/>
  <c r="F586" i="7" s="1"/>
  <c r="G586" i="7" s="1"/>
  <c r="F587" i="7" s="1"/>
  <c r="G587" i="7" s="1"/>
  <c r="F588" i="7" s="1"/>
  <c r="G588" i="7" s="1"/>
  <c r="F589" i="7" s="1"/>
  <c r="G589" i="7" s="1"/>
  <c r="F590" i="7" s="1"/>
  <c r="G590" i="7" s="1"/>
  <c r="F591" i="7" s="1"/>
  <c r="G591" i="7" s="1"/>
  <c r="F592" i="7" s="1"/>
  <c r="G592" i="7" s="1"/>
  <c r="F593" i="7" s="1"/>
  <c r="G593" i="7" s="1"/>
  <c r="F594" i="7" s="1"/>
  <c r="G594" i="7" s="1"/>
  <c r="F595" i="7" s="1"/>
  <c r="G595" i="7" s="1"/>
  <c r="F596" i="7" s="1"/>
  <c r="G596" i="7" s="1"/>
  <c r="F597" i="7" s="1"/>
  <c r="G597" i="7" s="1"/>
  <c r="F598" i="7" s="1"/>
  <c r="G598" i="7" s="1"/>
  <c r="F599" i="7" s="1"/>
  <c r="G599" i="7" s="1"/>
  <c r="F600" i="7" s="1"/>
  <c r="G600" i="7" s="1"/>
  <c r="F601" i="7" s="1"/>
  <c r="G601" i="7" s="1"/>
  <c r="F602" i="7" s="1"/>
  <c r="G602" i="7" s="1"/>
  <c r="F603" i="7" s="1"/>
  <c r="G603" i="7" s="1"/>
  <c r="F604" i="7" s="1"/>
  <c r="G604" i="7" s="1"/>
  <c r="F605" i="7" s="1"/>
  <c r="G605" i="7" s="1"/>
  <c r="F606" i="7" s="1"/>
  <c r="G606" i="7" s="1"/>
  <c r="F607" i="7" s="1"/>
  <c r="G607" i="7" s="1"/>
  <c r="F608" i="7" s="1"/>
  <c r="G608" i="7" s="1"/>
  <c r="F609" i="7" s="1"/>
  <c r="G609" i="7" s="1"/>
  <c r="F610" i="7" s="1"/>
  <c r="G610" i="7" s="1"/>
  <c r="F611" i="7" s="1"/>
  <c r="G611" i="7" s="1"/>
  <c r="F612" i="7" s="1"/>
  <c r="G612" i="7" s="1"/>
  <c r="F613" i="7" s="1"/>
  <c r="G613" i="7" s="1"/>
  <c r="F614" i="7" s="1"/>
  <c r="G614" i="7" s="1"/>
  <c r="F615" i="7" s="1"/>
  <c r="G615" i="7" s="1"/>
  <c r="F616" i="7" s="1"/>
  <c r="G616" i="7" s="1"/>
  <c r="F617" i="7" s="1"/>
  <c r="G617" i="7" s="1"/>
  <c r="F618" i="7" s="1"/>
  <c r="G618" i="7" s="1"/>
  <c r="F619" i="7" s="1"/>
  <c r="G619" i="7" s="1"/>
  <c r="F620" i="7" s="1"/>
  <c r="G620" i="7" s="1"/>
  <c r="F621" i="7" s="1"/>
  <c r="G621" i="7" s="1"/>
  <c r="F622" i="7" s="1"/>
  <c r="G622" i="7" s="1"/>
  <c r="F623" i="7" s="1"/>
  <c r="G623" i="7" s="1"/>
  <c r="F624" i="7" s="1"/>
  <c r="G624" i="7" s="1"/>
  <c r="F625" i="7" s="1"/>
  <c r="G625" i="7" s="1"/>
  <c r="F626" i="7" s="1"/>
  <c r="G626" i="7" s="1"/>
  <c r="F627" i="7" s="1"/>
  <c r="G627" i="7" s="1"/>
  <c r="F628" i="7" s="1"/>
  <c r="G628" i="7" s="1"/>
  <c r="F629" i="7" s="1"/>
  <c r="G629" i="7" s="1"/>
  <c r="F630" i="7" s="1"/>
  <c r="G630" i="7" s="1"/>
  <c r="F631" i="7" s="1"/>
  <c r="G631" i="7" s="1"/>
  <c r="F632" i="7" s="1"/>
  <c r="G632" i="7" s="1"/>
  <c r="F633" i="7" s="1"/>
  <c r="G633" i="7" s="1"/>
  <c r="F634" i="7" s="1"/>
  <c r="G634" i="7" s="1"/>
  <c r="F635" i="7" s="1"/>
  <c r="G635" i="7" s="1"/>
  <c r="F636" i="7" s="1"/>
  <c r="G636" i="7" s="1"/>
  <c r="F637" i="7" s="1"/>
  <c r="G637" i="7" s="1"/>
  <c r="F638" i="7" s="1"/>
  <c r="G638" i="7" s="1"/>
  <c r="F639" i="7" s="1"/>
  <c r="G639" i="7" s="1"/>
  <c r="F640" i="7" s="1"/>
  <c r="G640" i="7" s="1"/>
  <c r="F641" i="7" s="1"/>
  <c r="G641" i="7" s="1"/>
  <c r="F642" i="7" s="1"/>
  <c r="G642" i="7" s="1"/>
  <c r="F643" i="7" s="1"/>
  <c r="G643" i="7" s="1"/>
  <c r="F644" i="7" s="1"/>
  <c r="G644" i="7" s="1"/>
  <c r="F645" i="7" s="1"/>
  <c r="G645" i="7" s="1"/>
  <c r="F646" i="7" s="1"/>
  <c r="G646" i="7" s="1"/>
  <c r="F647" i="7" s="1"/>
  <c r="G647" i="7" s="1"/>
  <c r="F648" i="7" s="1"/>
  <c r="G648" i="7" s="1"/>
  <c r="F649" i="7" s="1"/>
  <c r="G649" i="7" s="1"/>
  <c r="F650" i="7" s="1"/>
  <c r="G650" i="7" s="1"/>
  <c r="F651" i="7" s="1"/>
  <c r="G651" i="7" s="1"/>
  <c r="F652" i="7" s="1"/>
  <c r="G652" i="7" s="1"/>
  <c r="F653" i="7" s="1"/>
  <c r="G653" i="7" s="1"/>
  <c r="F654" i="7" s="1"/>
  <c r="G654" i="7" s="1"/>
  <c r="F655" i="7" s="1"/>
  <c r="G655" i="7" s="1"/>
  <c r="F656" i="7" s="1"/>
  <c r="G656" i="7" s="1"/>
  <c r="F657" i="7" s="1"/>
  <c r="G657" i="7" s="1"/>
  <c r="F658" i="7" s="1"/>
  <c r="G658" i="7" s="1"/>
  <c r="F659" i="7" s="1"/>
  <c r="G659" i="7" s="1"/>
  <c r="F660" i="7" s="1"/>
  <c r="G660" i="7" s="1"/>
  <c r="F661" i="7" s="1"/>
  <c r="G661" i="7" s="1"/>
  <c r="F662" i="7" s="1"/>
  <c r="G662" i="7" s="1"/>
  <c r="F663" i="7" s="1"/>
  <c r="G663" i="7" s="1"/>
  <c r="F664" i="7" s="1"/>
  <c r="G664" i="7" s="1"/>
  <c r="F665" i="7" s="1"/>
  <c r="G665" i="7" s="1"/>
  <c r="F666" i="7" s="1"/>
  <c r="G666" i="7" s="1"/>
  <c r="F667" i="7" s="1"/>
  <c r="G667" i="7" s="1"/>
  <c r="F668" i="7" s="1"/>
  <c r="G668" i="7" s="1"/>
  <c r="F669" i="7" s="1"/>
  <c r="G669" i="7" s="1"/>
  <c r="F670" i="7" s="1"/>
  <c r="G670" i="7" s="1"/>
  <c r="F671" i="7" s="1"/>
  <c r="G671" i="7" s="1"/>
  <c r="F672" i="7" s="1"/>
  <c r="G672" i="7" s="1"/>
  <c r="F673" i="7" s="1"/>
  <c r="G673" i="7" s="1"/>
  <c r="F674" i="7" s="1"/>
  <c r="G674" i="7" s="1"/>
  <c r="F675" i="7" s="1"/>
  <c r="G675" i="7" s="1"/>
  <c r="F676" i="7" s="1"/>
  <c r="G676" i="7" s="1"/>
  <c r="F677" i="7" s="1"/>
  <c r="G677" i="7" s="1"/>
  <c r="F678" i="7" s="1"/>
  <c r="G678" i="7" s="1"/>
  <c r="F679" i="7" s="1"/>
  <c r="G679" i="7" s="1"/>
  <c r="F680" i="7" s="1"/>
  <c r="G680" i="7" s="1"/>
  <c r="F681" i="7" s="1"/>
  <c r="G681" i="7" s="1"/>
  <c r="F682" i="7" s="1"/>
  <c r="G682" i="7" s="1"/>
  <c r="F683" i="7" s="1"/>
  <c r="G683" i="7" s="1"/>
  <c r="F684" i="7" s="1"/>
  <c r="G684" i="7" s="1"/>
  <c r="F685" i="7" s="1"/>
  <c r="G685" i="7" s="1"/>
  <c r="F686" i="7" s="1"/>
  <c r="G686" i="7" s="1"/>
  <c r="F687" i="7" s="1"/>
  <c r="G687" i="7" s="1"/>
  <c r="F688" i="7" s="1"/>
  <c r="G688" i="7" s="1"/>
  <c r="F689" i="7" s="1"/>
  <c r="G689" i="7" s="1"/>
  <c r="F690" i="7" s="1"/>
  <c r="G690" i="7" s="1"/>
  <c r="F691" i="7" s="1"/>
  <c r="G691" i="7" s="1"/>
  <c r="F692" i="7" s="1"/>
  <c r="G692" i="7" s="1"/>
  <c r="F693" i="7" s="1"/>
  <c r="G693" i="7" s="1"/>
  <c r="F694" i="7" s="1"/>
  <c r="G694" i="7" s="1"/>
  <c r="F695" i="7" s="1"/>
  <c r="G695" i="7" s="1"/>
  <c r="F696" i="7" s="1"/>
  <c r="G696" i="7" s="1"/>
  <c r="F697" i="7" s="1"/>
  <c r="G697" i="7" s="1"/>
  <c r="F698" i="7" s="1"/>
  <c r="G698" i="7" s="1"/>
  <c r="F699" i="7" s="1"/>
  <c r="G699" i="7" s="1"/>
  <c r="F700" i="7" s="1"/>
  <c r="G700" i="7" s="1"/>
  <c r="F701" i="7" s="1"/>
  <c r="G701" i="7" s="1"/>
  <c r="F702" i="7" s="1"/>
  <c r="G702" i="7" s="1"/>
  <c r="F703" i="7" s="1"/>
  <c r="G703" i="7" s="1"/>
  <c r="F704" i="7" s="1"/>
  <c r="G704" i="7" s="1"/>
  <c r="F705" i="7" s="1"/>
  <c r="G705" i="7" s="1"/>
  <c r="F706" i="7" s="1"/>
  <c r="G706" i="7" s="1"/>
  <c r="F707" i="7" s="1"/>
  <c r="G707" i="7" s="1"/>
  <c r="F708" i="7" s="1"/>
  <c r="G708" i="7" s="1"/>
  <c r="F709" i="7" s="1"/>
  <c r="G709" i="7" s="1"/>
  <c r="F710" i="7" s="1"/>
  <c r="G710" i="7" s="1"/>
  <c r="F711" i="7" s="1"/>
  <c r="G711" i="7" s="1"/>
  <c r="F712" i="7" s="1"/>
  <c r="G712" i="7" s="1"/>
  <c r="F713" i="7" s="1"/>
  <c r="G713" i="7" s="1"/>
  <c r="F714" i="7" s="1"/>
  <c r="G714" i="7" s="1"/>
  <c r="F715" i="7" s="1"/>
  <c r="G715" i="7" s="1"/>
  <c r="F716" i="7" s="1"/>
  <c r="G716" i="7" s="1"/>
  <c r="F717" i="7" s="1"/>
  <c r="G717" i="7" s="1"/>
  <c r="F718" i="7" s="1"/>
  <c r="G718" i="7" s="1"/>
  <c r="F719" i="7" s="1"/>
  <c r="G719" i="7" s="1"/>
  <c r="F720" i="7" s="1"/>
  <c r="G720" i="7" s="1"/>
  <c r="F721" i="7" s="1"/>
  <c r="G721" i="7" s="1"/>
  <c r="F722" i="7" s="1"/>
  <c r="G722" i="7" s="1"/>
  <c r="F723" i="7" s="1"/>
  <c r="G723" i="7" s="1"/>
  <c r="F724" i="7" s="1"/>
  <c r="G724" i="7" s="1"/>
  <c r="F725" i="7" s="1"/>
  <c r="G725" i="7" s="1"/>
  <c r="F726" i="7" s="1"/>
  <c r="G726" i="7" s="1"/>
  <c r="F727" i="7" s="1"/>
  <c r="G727" i="7" s="1"/>
  <c r="F728" i="7" s="1"/>
  <c r="G728" i="7" s="1"/>
  <c r="F729" i="7" s="1"/>
  <c r="G729" i="7" s="1"/>
  <c r="F730" i="7" s="1"/>
  <c r="G730" i="7" s="1"/>
  <c r="F731" i="7" s="1"/>
  <c r="G731" i="7" s="1"/>
  <c r="F732" i="7" s="1"/>
  <c r="G732" i="7" s="1"/>
  <c r="F733" i="7" s="1"/>
  <c r="G733" i="7" s="1"/>
  <c r="F734" i="7" s="1"/>
  <c r="G734" i="7" s="1"/>
  <c r="F735" i="7" s="1"/>
  <c r="G735" i="7" s="1"/>
  <c r="F736" i="7" s="1"/>
  <c r="G736" i="7" s="1"/>
  <c r="F737" i="7" s="1"/>
  <c r="G737" i="7" s="1"/>
  <c r="F738" i="7" s="1"/>
  <c r="G738" i="7" s="1"/>
  <c r="F739" i="7" s="1"/>
  <c r="G739" i="7" s="1"/>
  <c r="F740" i="7" s="1"/>
  <c r="G740" i="7" s="1"/>
  <c r="F741" i="7" s="1"/>
  <c r="G741" i="7" s="1"/>
  <c r="F742" i="7" s="1"/>
  <c r="G742" i="7" s="1"/>
  <c r="F743" i="7" s="1"/>
  <c r="G743" i="7" s="1"/>
  <c r="F744" i="7" s="1"/>
  <c r="G744" i="7" s="1"/>
  <c r="F745" i="7" s="1"/>
  <c r="G745" i="7" s="1"/>
  <c r="F746" i="7" s="1"/>
  <c r="G746" i="7" s="1"/>
  <c r="F747" i="7" s="1"/>
  <c r="G747" i="7" s="1"/>
  <c r="F748" i="7" s="1"/>
  <c r="G748" i="7" s="1"/>
  <c r="F749" i="7" s="1"/>
  <c r="G749" i="7" s="1"/>
  <c r="F750" i="7" s="1"/>
  <c r="G750" i="7" s="1"/>
  <c r="F751" i="7" s="1"/>
  <c r="G751" i="7" s="1"/>
  <c r="F752" i="7" s="1"/>
  <c r="G752" i="7" s="1"/>
  <c r="F753" i="7" s="1"/>
  <c r="G753" i="7" s="1"/>
  <c r="F754" i="7" s="1"/>
  <c r="G754" i="7" s="1"/>
  <c r="F755" i="7" s="1"/>
  <c r="G755" i="7" s="1"/>
  <c r="F756" i="7" s="1"/>
  <c r="G756" i="7" s="1"/>
  <c r="F757" i="7" s="1"/>
  <c r="G757" i="7" s="1"/>
  <c r="F758" i="7" s="1"/>
  <c r="G758" i="7" s="1"/>
  <c r="F759" i="7" s="1"/>
  <c r="G759" i="7" s="1"/>
  <c r="F760" i="7" s="1"/>
  <c r="G760" i="7" s="1"/>
  <c r="F761" i="7" s="1"/>
  <c r="G761" i="7" s="1"/>
  <c r="F762" i="7" s="1"/>
  <c r="G762" i="7" s="1"/>
  <c r="F763" i="7" s="1"/>
  <c r="G763" i="7" s="1"/>
  <c r="F764" i="7" s="1"/>
  <c r="G764" i="7" s="1"/>
  <c r="F765" i="7" s="1"/>
  <c r="G765" i="7" s="1"/>
  <c r="F766" i="7" s="1"/>
  <c r="G766" i="7" s="1"/>
  <c r="F767" i="7" s="1"/>
  <c r="G767" i="7" s="1"/>
  <c r="F768" i="7" s="1"/>
  <c r="G768" i="7" s="1"/>
  <c r="F769" i="7" s="1"/>
  <c r="G769" i="7" s="1"/>
  <c r="F770" i="7" s="1"/>
  <c r="G770" i="7" s="1"/>
  <c r="F771" i="7" s="1"/>
  <c r="G771" i="7" s="1"/>
  <c r="F772" i="7" s="1"/>
  <c r="G772" i="7" s="1"/>
  <c r="F773" i="7" s="1"/>
  <c r="G773" i="7" s="1"/>
  <c r="F774" i="7" s="1"/>
  <c r="G774" i="7" s="1"/>
  <c r="F775" i="7" s="1"/>
  <c r="G775" i="7" s="1"/>
  <c r="F776" i="7" s="1"/>
  <c r="G776" i="7" s="1"/>
  <c r="F777" i="7" s="1"/>
  <c r="G777" i="7" s="1"/>
  <c r="F778" i="7" s="1"/>
  <c r="G778" i="7" s="1"/>
  <c r="F779" i="7" s="1"/>
  <c r="G779" i="7" s="1"/>
  <c r="F780" i="7" s="1"/>
  <c r="G780" i="7" s="1"/>
  <c r="F781" i="7" s="1"/>
  <c r="G781" i="7" s="1"/>
  <c r="F782" i="7" s="1"/>
  <c r="G782" i="7" s="1"/>
  <c r="F783" i="7" s="1"/>
  <c r="G783" i="7" s="1"/>
  <c r="F784" i="7" s="1"/>
  <c r="G784" i="7" s="1"/>
  <c r="F785" i="7" s="1"/>
  <c r="G785" i="7" s="1"/>
  <c r="F786" i="7" s="1"/>
  <c r="G786" i="7" s="1"/>
  <c r="F787" i="7" s="1"/>
  <c r="G787" i="7" s="1"/>
  <c r="F788" i="7" s="1"/>
  <c r="G788" i="7" s="1"/>
  <c r="F789" i="7" s="1"/>
  <c r="G789" i="7" s="1"/>
  <c r="F790" i="7" s="1"/>
  <c r="G790" i="7" s="1"/>
  <c r="F791" i="7" s="1"/>
  <c r="G791" i="7" s="1"/>
  <c r="F792" i="7" s="1"/>
  <c r="G792" i="7" s="1"/>
  <c r="F793" i="7" s="1"/>
  <c r="G793" i="7" s="1"/>
  <c r="F794" i="7" s="1"/>
  <c r="G794" i="7" s="1"/>
  <c r="F795" i="7" s="1"/>
  <c r="G795" i="7" s="1"/>
  <c r="F796" i="7" s="1"/>
  <c r="G796" i="7" s="1"/>
  <c r="F797" i="7" s="1"/>
  <c r="G797" i="7" s="1"/>
  <c r="F798" i="7" s="1"/>
  <c r="G798" i="7" s="1"/>
  <c r="F799" i="7" s="1"/>
  <c r="G799" i="7" s="1"/>
  <c r="F800" i="7" s="1"/>
  <c r="G800" i="7" s="1"/>
  <c r="F801" i="7" s="1"/>
  <c r="G801" i="7" s="1"/>
  <c r="F802" i="7" s="1"/>
  <c r="G802" i="7" s="1"/>
  <c r="F803" i="7" s="1"/>
  <c r="G803" i="7" s="1"/>
  <c r="F804" i="7" s="1"/>
  <c r="G804" i="7" s="1"/>
  <c r="F805" i="7" s="1"/>
  <c r="G805" i="7" s="1"/>
  <c r="F806" i="7" s="1"/>
  <c r="G806" i="7" s="1"/>
  <c r="F807" i="7" s="1"/>
  <c r="G807" i="7" s="1"/>
  <c r="F808" i="7" s="1"/>
  <c r="G808" i="7" s="1"/>
  <c r="F809" i="7" s="1"/>
  <c r="G809" i="7" s="1"/>
  <c r="F810" i="7" s="1"/>
  <c r="G810" i="7" s="1"/>
  <c r="F811" i="7" s="1"/>
  <c r="G811" i="7" s="1"/>
  <c r="F812" i="7" s="1"/>
  <c r="G812" i="7" s="1"/>
  <c r="F813" i="7" s="1"/>
  <c r="G813" i="7" s="1"/>
  <c r="F814" i="7" s="1"/>
  <c r="G814" i="7" s="1"/>
  <c r="F815" i="7" s="1"/>
  <c r="G815" i="7" s="1"/>
  <c r="F816" i="7" s="1"/>
  <c r="G816" i="7" s="1"/>
  <c r="F817" i="7" s="1"/>
  <c r="G817" i="7" s="1"/>
  <c r="F818" i="7" s="1"/>
  <c r="G818" i="7" s="1"/>
  <c r="F819" i="7" s="1"/>
  <c r="G819" i="7" s="1"/>
  <c r="F820" i="7" s="1"/>
  <c r="G820" i="7" s="1"/>
  <c r="F821" i="7" s="1"/>
  <c r="G821" i="7" s="1"/>
  <c r="F822" i="7" s="1"/>
  <c r="G822" i="7" s="1"/>
  <c r="F823" i="7" s="1"/>
  <c r="G823" i="7" s="1"/>
  <c r="F824" i="7" s="1"/>
  <c r="G824" i="7" s="1"/>
  <c r="F825" i="7" s="1"/>
  <c r="G825" i="7" s="1"/>
  <c r="F826" i="7" s="1"/>
  <c r="G826" i="7" s="1"/>
  <c r="F827" i="7" s="1"/>
  <c r="G827" i="7" s="1"/>
  <c r="F828" i="7" s="1"/>
  <c r="G828" i="7" s="1"/>
  <c r="F829" i="7" s="1"/>
  <c r="G829" i="7" s="1"/>
  <c r="F830" i="7" s="1"/>
  <c r="G830" i="7" s="1"/>
  <c r="F831" i="7" s="1"/>
  <c r="G831" i="7" s="1"/>
  <c r="F832" i="7" s="1"/>
  <c r="G832" i="7" s="1"/>
  <c r="F833" i="7" s="1"/>
  <c r="G833" i="7" s="1"/>
  <c r="F834" i="7" s="1"/>
  <c r="G834" i="7" s="1"/>
  <c r="F835" i="7" s="1"/>
  <c r="G835" i="7" s="1"/>
  <c r="F836" i="7" s="1"/>
  <c r="G836" i="7" s="1"/>
  <c r="F837" i="7" s="1"/>
  <c r="G837" i="7" s="1"/>
  <c r="F838" i="7" s="1"/>
  <c r="G838" i="7" s="1"/>
  <c r="F839" i="7" s="1"/>
  <c r="G839" i="7" s="1"/>
  <c r="F840" i="7" s="1"/>
  <c r="G840" i="7" s="1"/>
  <c r="F841" i="7" s="1"/>
  <c r="G841" i="7" s="1"/>
  <c r="F842" i="7" s="1"/>
  <c r="G842" i="7" s="1"/>
  <c r="F843" i="7" s="1"/>
  <c r="G843" i="7" s="1"/>
  <c r="F844" i="7" s="1"/>
  <c r="G844" i="7" s="1"/>
  <c r="F845" i="7" s="1"/>
  <c r="G845" i="7" s="1"/>
  <c r="F846" i="7" s="1"/>
  <c r="G846" i="7" s="1"/>
  <c r="F847" i="7" s="1"/>
  <c r="G847" i="7" s="1"/>
  <c r="F848" i="7" s="1"/>
  <c r="G848" i="7" s="1"/>
  <c r="F849" i="7" s="1"/>
  <c r="G849" i="7" s="1"/>
  <c r="F850" i="7" s="1"/>
  <c r="G850" i="7" s="1"/>
  <c r="F851" i="7" s="1"/>
  <c r="G851" i="7" s="1"/>
  <c r="F852" i="7" s="1"/>
  <c r="G852" i="7" s="1"/>
  <c r="F853" i="7" s="1"/>
  <c r="G853" i="7" s="1"/>
  <c r="F854" i="7" s="1"/>
  <c r="G854" i="7" s="1"/>
  <c r="F855" i="7" s="1"/>
  <c r="G855" i="7" s="1"/>
  <c r="F856" i="7" s="1"/>
  <c r="G856" i="7" s="1"/>
  <c r="F857" i="7" s="1"/>
  <c r="G857" i="7" s="1"/>
  <c r="F858" i="7" s="1"/>
  <c r="G858" i="7" s="1"/>
  <c r="F859" i="7" s="1"/>
  <c r="G859" i="7" s="1"/>
  <c r="F860" i="7" s="1"/>
  <c r="G860" i="7" s="1"/>
  <c r="F861" i="7" s="1"/>
  <c r="G861" i="7" s="1"/>
  <c r="F862" i="7" s="1"/>
  <c r="G862" i="7" s="1"/>
  <c r="F863" i="7" s="1"/>
  <c r="G863" i="7" s="1"/>
  <c r="F864" i="7" s="1"/>
  <c r="G864" i="7" s="1"/>
  <c r="F865" i="7" s="1"/>
  <c r="G865" i="7" s="1"/>
  <c r="F866" i="7" s="1"/>
  <c r="G866" i="7" s="1"/>
  <c r="F867" i="7" s="1"/>
  <c r="G867" i="7" s="1"/>
  <c r="F868" i="7" s="1"/>
  <c r="G868" i="7" s="1"/>
  <c r="F869" i="7" s="1"/>
  <c r="G869" i="7" s="1"/>
  <c r="F870" i="7" s="1"/>
  <c r="G870" i="7" s="1"/>
  <c r="F871" i="7" s="1"/>
  <c r="G871" i="7" s="1"/>
  <c r="F872" i="7" s="1"/>
  <c r="G872" i="7" s="1"/>
  <c r="F873" i="7" s="1"/>
  <c r="G873" i="7" s="1"/>
  <c r="F874" i="7" s="1"/>
  <c r="G874" i="7" s="1"/>
  <c r="F875" i="7" s="1"/>
  <c r="G875" i="7" s="1"/>
  <c r="F876" i="7" s="1"/>
  <c r="G876" i="7" s="1"/>
  <c r="F877" i="7" s="1"/>
  <c r="G877" i="7" s="1"/>
  <c r="F878" i="7" s="1"/>
  <c r="G878" i="7" s="1"/>
  <c r="F879" i="7" s="1"/>
  <c r="G879" i="7" s="1"/>
  <c r="F880" i="7" s="1"/>
  <c r="G880" i="7" s="1"/>
  <c r="F881" i="7" s="1"/>
  <c r="G881" i="7" s="1"/>
  <c r="F882" i="7" s="1"/>
  <c r="G882" i="7" s="1"/>
  <c r="F883" i="7" s="1"/>
  <c r="G883" i="7" s="1"/>
  <c r="F884" i="7" s="1"/>
  <c r="G884" i="7" s="1"/>
  <c r="F885" i="7" s="1"/>
  <c r="G885" i="7" s="1"/>
  <c r="F886" i="7" s="1"/>
  <c r="G886" i="7" s="1"/>
  <c r="F887" i="7" s="1"/>
  <c r="G887" i="7" s="1"/>
  <c r="F888" i="7" s="1"/>
  <c r="G888" i="7" s="1"/>
  <c r="F889" i="7" s="1"/>
  <c r="G889" i="7" s="1"/>
  <c r="F890" i="7" s="1"/>
  <c r="G890" i="7" s="1"/>
  <c r="F891" i="7" s="1"/>
  <c r="G891" i="7" s="1"/>
  <c r="F892" i="7" s="1"/>
  <c r="G892" i="7" s="1"/>
  <c r="F893" i="7" s="1"/>
  <c r="G893" i="7" s="1"/>
  <c r="F894" i="7" s="1"/>
  <c r="G894" i="7" s="1"/>
  <c r="F895" i="7" s="1"/>
  <c r="G895" i="7" s="1"/>
  <c r="F896" i="7" s="1"/>
  <c r="G896" i="7" s="1"/>
  <c r="F897" i="7" s="1"/>
  <c r="G897" i="7" s="1"/>
  <c r="F898" i="7" s="1"/>
  <c r="G898" i="7" s="1"/>
  <c r="F899" i="7" s="1"/>
  <c r="G899" i="7" s="1"/>
  <c r="F900" i="7" s="1"/>
  <c r="G900" i="7" s="1"/>
  <c r="F901" i="7" s="1"/>
  <c r="G901" i="7" s="1"/>
  <c r="F902" i="7" s="1"/>
  <c r="G902" i="7" s="1"/>
  <c r="F903" i="7" s="1"/>
  <c r="G903" i="7" s="1"/>
  <c r="F904" i="7" s="1"/>
  <c r="G904" i="7" s="1"/>
  <c r="F905" i="7" s="1"/>
  <c r="G905" i="7" s="1"/>
  <c r="F906" i="7" s="1"/>
  <c r="G906" i="7" s="1"/>
  <c r="F907" i="7" s="1"/>
  <c r="G907" i="7" s="1"/>
  <c r="F908" i="7" s="1"/>
  <c r="G908" i="7" s="1"/>
  <c r="F909" i="7" s="1"/>
  <c r="G909" i="7" s="1"/>
  <c r="F910" i="7" s="1"/>
  <c r="G910" i="7" s="1"/>
  <c r="F911" i="7" s="1"/>
  <c r="G911" i="7" s="1"/>
  <c r="F912" i="7" s="1"/>
  <c r="G912" i="7" s="1"/>
  <c r="F913" i="7" s="1"/>
  <c r="G913" i="7" s="1"/>
  <c r="F914" i="7" s="1"/>
  <c r="G914" i="7" s="1"/>
  <c r="F915" i="7" s="1"/>
  <c r="G915" i="7" s="1"/>
  <c r="F916" i="7" s="1"/>
  <c r="G916" i="7" s="1"/>
  <c r="F917" i="7" s="1"/>
  <c r="G917" i="7" s="1"/>
  <c r="F918" i="7" s="1"/>
  <c r="G918" i="7" s="1"/>
  <c r="F919" i="7" s="1"/>
  <c r="G919" i="7" s="1"/>
  <c r="F920" i="7" s="1"/>
  <c r="G920" i="7" s="1"/>
  <c r="F921" i="7" s="1"/>
  <c r="G921" i="7" s="1"/>
  <c r="F922" i="7" s="1"/>
  <c r="G922" i="7" s="1"/>
  <c r="F923" i="7" s="1"/>
  <c r="G923" i="7" s="1"/>
  <c r="F924" i="7" s="1"/>
  <c r="G924" i="7" s="1"/>
  <c r="F925" i="7" s="1"/>
  <c r="G925" i="7" s="1"/>
  <c r="F926" i="7" s="1"/>
  <c r="G926" i="7" s="1"/>
  <c r="F927" i="7" s="1"/>
  <c r="G927" i="7" s="1"/>
  <c r="F928" i="7" s="1"/>
  <c r="G928" i="7" s="1"/>
  <c r="F929" i="7" s="1"/>
  <c r="G929" i="7" s="1"/>
  <c r="F930" i="7" s="1"/>
  <c r="G930" i="7" s="1"/>
  <c r="F931" i="7" s="1"/>
  <c r="G931" i="7" s="1"/>
  <c r="F932" i="7" s="1"/>
  <c r="G932" i="7" s="1"/>
  <c r="F933" i="7" s="1"/>
  <c r="G933" i="7" s="1"/>
  <c r="F934" i="7" s="1"/>
  <c r="G934" i="7" s="1"/>
  <c r="F935" i="7" s="1"/>
  <c r="G935" i="7" s="1"/>
  <c r="F936" i="7" s="1"/>
  <c r="G936" i="7" s="1"/>
  <c r="F937" i="7" s="1"/>
  <c r="G937" i="7" s="1"/>
  <c r="F938" i="7" s="1"/>
  <c r="G938" i="7" s="1"/>
  <c r="F939" i="7" s="1"/>
  <c r="G939" i="7" s="1"/>
  <c r="F940" i="7" s="1"/>
  <c r="G940" i="7" s="1"/>
  <c r="F941" i="7" s="1"/>
  <c r="G941" i="7" s="1"/>
  <c r="F942" i="7" s="1"/>
  <c r="G942" i="7" s="1"/>
  <c r="F943" i="7" s="1"/>
  <c r="G943" i="7" s="1"/>
  <c r="F944" i="7" s="1"/>
  <c r="G944" i="7" s="1"/>
  <c r="F945" i="7" s="1"/>
  <c r="G945" i="7" s="1"/>
  <c r="F946" i="7" s="1"/>
  <c r="G946" i="7" s="1"/>
  <c r="F947" i="7" s="1"/>
  <c r="G947" i="7" s="1"/>
  <c r="F948" i="7" s="1"/>
  <c r="G948" i="7" s="1"/>
  <c r="F949" i="7" s="1"/>
  <c r="G949" i="7" s="1"/>
  <c r="F950" i="7" s="1"/>
  <c r="G950" i="7" s="1"/>
  <c r="F951" i="7" s="1"/>
  <c r="G951" i="7" s="1"/>
  <c r="F952" i="7" s="1"/>
  <c r="G952" i="7" s="1"/>
  <c r="F953" i="7" s="1"/>
  <c r="G953" i="7" s="1"/>
  <c r="F954" i="7" s="1"/>
  <c r="G954" i="7" s="1"/>
  <c r="F955" i="7" s="1"/>
  <c r="G955" i="7" s="1"/>
  <c r="F956" i="7" s="1"/>
  <c r="G956" i="7" s="1"/>
  <c r="F957" i="7" s="1"/>
  <c r="G957" i="7" s="1"/>
  <c r="F958" i="7" s="1"/>
  <c r="G958" i="7" s="1"/>
  <c r="F959" i="7" s="1"/>
  <c r="G959" i="7" s="1"/>
  <c r="F960" i="7" s="1"/>
  <c r="G960" i="7" s="1"/>
  <c r="F961" i="7" s="1"/>
  <c r="G961" i="7" s="1"/>
  <c r="F962" i="7" s="1"/>
  <c r="G962" i="7" s="1"/>
  <c r="F963" i="7" s="1"/>
  <c r="G963" i="7" s="1"/>
  <c r="F964" i="7" s="1"/>
  <c r="G964" i="7" s="1"/>
  <c r="F965" i="7" s="1"/>
  <c r="G965" i="7" s="1"/>
  <c r="F966" i="7" s="1"/>
  <c r="G966" i="7" s="1"/>
  <c r="F967" i="7" s="1"/>
  <c r="G967" i="7" s="1"/>
  <c r="F968" i="7" s="1"/>
  <c r="G968" i="7" s="1"/>
  <c r="F969" i="7" s="1"/>
  <c r="G969" i="7" s="1"/>
  <c r="F970" i="7" s="1"/>
  <c r="G970" i="7" s="1"/>
  <c r="F971" i="7" s="1"/>
  <c r="G971" i="7" s="1"/>
  <c r="F972" i="7" s="1"/>
  <c r="G972" i="7" s="1"/>
  <c r="F973" i="7" s="1"/>
  <c r="G973" i="7" s="1"/>
  <c r="F974" i="7" s="1"/>
  <c r="G974" i="7" s="1"/>
  <c r="F975" i="7" s="1"/>
  <c r="G975" i="7" s="1"/>
  <c r="F976" i="7" s="1"/>
  <c r="G976" i="7" s="1"/>
  <c r="F977" i="7" s="1"/>
  <c r="G977" i="7" s="1"/>
  <c r="F978" i="7" s="1"/>
  <c r="G978" i="7" s="1"/>
  <c r="F979" i="7" s="1"/>
  <c r="G979" i="7" s="1"/>
  <c r="F980" i="7" s="1"/>
  <c r="G980" i="7" s="1"/>
  <c r="F981" i="7" s="1"/>
  <c r="G981" i="7" s="1"/>
  <c r="F982" i="7" s="1"/>
  <c r="G982" i="7" s="1"/>
  <c r="F983" i="7" s="1"/>
  <c r="G983" i="7" s="1"/>
  <c r="F984" i="7" s="1"/>
  <c r="G984" i="7" s="1"/>
  <c r="F985" i="7" s="1"/>
  <c r="G985" i="7" s="1"/>
  <c r="F986" i="7" s="1"/>
  <c r="G986" i="7" s="1"/>
  <c r="F987" i="7" s="1"/>
  <c r="G987" i="7" s="1"/>
  <c r="F988" i="7" s="1"/>
  <c r="G988" i="7" s="1"/>
  <c r="F989" i="7" s="1"/>
  <c r="G989" i="7" s="1"/>
  <c r="F990" i="7" s="1"/>
  <c r="G990" i="7" s="1"/>
  <c r="F991" i="7" s="1"/>
  <c r="G991" i="7" s="1"/>
  <c r="F992" i="7" s="1"/>
  <c r="G992" i="7" s="1"/>
  <c r="F993" i="7" s="1"/>
  <c r="G993" i="7" s="1"/>
  <c r="F994" i="7" s="1"/>
  <c r="G994" i="7" s="1"/>
  <c r="F995" i="7" s="1"/>
  <c r="G995" i="7" s="1"/>
  <c r="F996" i="7" s="1"/>
  <c r="G996" i="7" s="1"/>
  <c r="F997" i="7" s="1"/>
  <c r="G997" i="7" s="1"/>
  <c r="F998" i="7" s="1"/>
  <c r="G998" i="7" s="1"/>
  <c r="F999" i="7" s="1"/>
  <c r="G999" i="7" s="1"/>
  <c r="F1000" i="7" s="1"/>
  <c r="G1000" i="7" s="1"/>
  <c r="F1001" i="7" s="1"/>
  <c r="G1001" i="7" s="1"/>
  <c r="F1002" i="7" s="1"/>
  <c r="G1002" i="7" s="1"/>
  <c r="F1003" i="7" s="1"/>
  <c r="G1003" i="7" s="1"/>
  <c r="F1004" i="7" s="1"/>
  <c r="G1004" i="7" s="1"/>
  <c r="F1005" i="7" s="1"/>
  <c r="G1005" i="7" s="1"/>
  <c r="F1006" i="7" s="1"/>
  <c r="G1006" i="7" s="1"/>
  <c r="F1007" i="7" s="1"/>
  <c r="G1007" i="7" s="1"/>
  <c r="F1008" i="7" s="1"/>
  <c r="G1008" i="7" s="1"/>
  <c r="F1009" i="7" s="1"/>
  <c r="G1009" i="7" s="1"/>
  <c r="F1010" i="7" s="1"/>
  <c r="G1010" i="7" s="1"/>
  <c r="F1011" i="7" s="1"/>
  <c r="G1011" i="7" s="1"/>
  <c r="F1012" i="7" s="1"/>
  <c r="G1012" i="7" s="1"/>
  <c r="F1013" i="7" s="1"/>
  <c r="G1013" i="7" s="1"/>
  <c r="F1014" i="7" s="1"/>
  <c r="G1014" i="7" s="1"/>
  <c r="F1015" i="7" s="1"/>
  <c r="G1015" i="7" s="1"/>
  <c r="F1016" i="7" s="1"/>
  <c r="G1016" i="7" s="1"/>
  <c r="F1017" i="7" s="1"/>
  <c r="G1017" i="7" s="1"/>
  <c r="F1018" i="7" s="1"/>
  <c r="G1018" i="7" s="1"/>
  <c r="F1019" i="7" s="1"/>
  <c r="G1019" i="7" s="1"/>
  <c r="F1020" i="7" s="1"/>
  <c r="G1020" i="7" s="1"/>
  <c r="F1021" i="7" s="1"/>
  <c r="G1021" i="7" s="1"/>
  <c r="F1022" i="7" s="1"/>
  <c r="G1022" i="7" s="1"/>
  <c r="F1023" i="7" s="1"/>
  <c r="G1023" i="7" s="1"/>
  <c r="F1024" i="7" s="1"/>
  <c r="G1024" i="7" s="1"/>
  <c r="F1025" i="7" s="1"/>
  <c r="G1025" i="7" s="1"/>
  <c r="F1026" i="7" s="1"/>
  <c r="G1026" i="7" s="1"/>
  <c r="F1027" i="7" s="1"/>
  <c r="G1027" i="7" s="1"/>
  <c r="F1028" i="7" s="1"/>
  <c r="G1028" i="7" s="1"/>
  <c r="F1029" i="7" s="1"/>
  <c r="G1029" i="7" s="1"/>
  <c r="F1030" i="7" s="1"/>
  <c r="G1030" i="7" s="1"/>
  <c r="F1031" i="7" s="1"/>
  <c r="G1031" i="7" s="1"/>
  <c r="F1032" i="7" s="1"/>
  <c r="G1032" i="7" s="1"/>
  <c r="F1033" i="7" s="1"/>
  <c r="G1033" i="7" s="1"/>
  <c r="F1034" i="7" s="1"/>
  <c r="G1034" i="7" s="1"/>
  <c r="F1035" i="7" s="1"/>
  <c r="G1035" i="7" s="1"/>
  <c r="F1036" i="7" s="1"/>
  <c r="G1036" i="7" s="1"/>
  <c r="F1037" i="7" s="1"/>
  <c r="G1037" i="7" s="1"/>
  <c r="F1038" i="7" s="1"/>
  <c r="G1038" i="7" s="1"/>
  <c r="F1039" i="7" s="1"/>
  <c r="G1039" i="7" s="1"/>
  <c r="F1040" i="7" s="1"/>
  <c r="G1040" i="7" s="1"/>
  <c r="F1041" i="7" s="1"/>
  <c r="G1041" i="7" s="1"/>
  <c r="F1042" i="7" s="1"/>
  <c r="G1042" i="7" s="1"/>
  <c r="F1043" i="7" s="1"/>
  <c r="G1043" i="7" s="1"/>
  <c r="F1044" i="7" s="1"/>
  <c r="G1044" i="7" s="1"/>
  <c r="F1045" i="7" s="1"/>
  <c r="G1045" i="7" s="1"/>
  <c r="F1046" i="7" s="1"/>
  <c r="G1046" i="7" s="1"/>
  <c r="F1047" i="7" s="1"/>
  <c r="G1047" i="7" s="1"/>
  <c r="F1048" i="7" s="1"/>
  <c r="G1048" i="7" s="1"/>
  <c r="F1049" i="7" s="1"/>
  <c r="G1049" i="7" s="1"/>
  <c r="F1050" i="7" s="1"/>
  <c r="G1050" i="7" s="1"/>
  <c r="F1051" i="7" s="1"/>
  <c r="G1051" i="7" s="1"/>
  <c r="F1052" i="7" s="1"/>
  <c r="G1052" i="7" s="1"/>
  <c r="F1053" i="7" s="1"/>
  <c r="G1053" i="7" s="1"/>
  <c r="F1054" i="7" s="1"/>
  <c r="G1054" i="7" s="1"/>
  <c r="F1055" i="7" s="1"/>
  <c r="G1055" i="7" s="1"/>
  <c r="F1056" i="7" s="1"/>
  <c r="G1056" i="7" s="1"/>
  <c r="F1057" i="7" s="1"/>
  <c r="G1057" i="7" s="1"/>
  <c r="F1058" i="7" s="1"/>
  <c r="G1058" i="7" s="1"/>
  <c r="F1059" i="7" s="1"/>
  <c r="G1059" i="7" s="1"/>
  <c r="F1060" i="7" s="1"/>
  <c r="G1060" i="7" s="1"/>
  <c r="F1061" i="7" s="1"/>
  <c r="G1061" i="7" s="1"/>
  <c r="F1062" i="7" s="1"/>
  <c r="G1062" i="7" s="1"/>
  <c r="F1063" i="7" s="1"/>
  <c r="G1063" i="7" s="1"/>
  <c r="F1064" i="7" s="1"/>
  <c r="G1064" i="7" s="1"/>
  <c r="F1065" i="7" s="1"/>
  <c r="G1065" i="7" s="1"/>
  <c r="F1066" i="7" s="1"/>
  <c r="G1066" i="7" s="1"/>
  <c r="F1067" i="7" s="1"/>
  <c r="G1067" i="7" s="1"/>
  <c r="F1068" i="7" s="1"/>
  <c r="G1068" i="7" s="1"/>
  <c r="F1069" i="7" s="1"/>
  <c r="G1069" i="7" s="1"/>
  <c r="F1070" i="7" s="1"/>
  <c r="G1070" i="7" s="1"/>
  <c r="F1071" i="7" s="1"/>
  <c r="G1071" i="7" s="1"/>
  <c r="F1072" i="7" s="1"/>
  <c r="G1072" i="7" s="1"/>
  <c r="F1073" i="7" s="1"/>
  <c r="G1073" i="7" s="1"/>
  <c r="F1074" i="7" s="1"/>
  <c r="G1074" i="7" s="1"/>
  <c r="F1075" i="7" s="1"/>
  <c r="G1075" i="7" s="1"/>
  <c r="F1076" i="7" s="1"/>
  <c r="G1076" i="7" s="1"/>
  <c r="F1077" i="7" s="1"/>
  <c r="G1077" i="7" s="1"/>
  <c r="F1078" i="7" s="1"/>
  <c r="G1078" i="7" s="1"/>
  <c r="F1079" i="7" s="1"/>
  <c r="G1079" i="7" s="1"/>
  <c r="F1080" i="7" s="1"/>
  <c r="G1080" i="7" s="1"/>
  <c r="F1081" i="7" s="1"/>
  <c r="G1081" i="7" s="1"/>
  <c r="F1082" i="7" s="1"/>
  <c r="G1082" i="7" s="1"/>
  <c r="F1083" i="7" s="1"/>
  <c r="G1083" i="7" s="1"/>
  <c r="F1084" i="7" s="1"/>
  <c r="G1084" i="7" s="1"/>
  <c r="F1085" i="7" s="1"/>
  <c r="G1085" i="7" s="1"/>
  <c r="F1086" i="7" s="1"/>
  <c r="G1086" i="7" s="1"/>
  <c r="F1087" i="7" s="1"/>
  <c r="G1087" i="7" s="1"/>
  <c r="F1088" i="7" s="1"/>
  <c r="G1088" i="7" s="1"/>
  <c r="F1089" i="7" s="1"/>
  <c r="G1089" i="7" s="1"/>
  <c r="F1090" i="7" s="1"/>
  <c r="G1090" i="7" s="1"/>
  <c r="F1091" i="7" s="1"/>
  <c r="G1091" i="7" s="1"/>
  <c r="F1092" i="7" s="1"/>
  <c r="G1092" i="7" s="1"/>
  <c r="F1093" i="7" s="1"/>
  <c r="G1093" i="7" s="1"/>
  <c r="F1094" i="7" s="1"/>
  <c r="G1094" i="7" s="1"/>
  <c r="F1095" i="7" s="1"/>
  <c r="G1095" i="7" s="1"/>
  <c r="F1096" i="7" s="1"/>
  <c r="G1096" i="7" s="1"/>
  <c r="F1097" i="7" s="1"/>
  <c r="G1097" i="7" s="1"/>
  <c r="F1098" i="7" s="1"/>
  <c r="G1098" i="7" s="1"/>
  <c r="F1099" i="7" s="1"/>
  <c r="G1099" i="7" s="1"/>
  <c r="F1100" i="7" s="1"/>
  <c r="G1100" i="7" s="1"/>
  <c r="F1101" i="7" s="1"/>
  <c r="G1101" i="7" s="1"/>
  <c r="F1102" i="7" s="1"/>
  <c r="G1102" i="7" s="1"/>
  <c r="F1103" i="7" s="1"/>
  <c r="G1103" i="7" s="1"/>
  <c r="F1104" i="7" s="1"/>
  <c r="G1104" i="7" s="1"/>
  <c r="F1105" i="7" s="1"/>
  <c r="G1105" i="7" s="1"/>
  <c r="F1106" i="7" s="1"/>
  <c r="G1106" i="7" s="1"/>
  <c r="F1107" i="7" s="1"/>
  <c r="G1107" i="7" s="1"/>
  <c r="F1108" i="7" s="1"/>
  <c r="G1108" i="7" s="1"/>
  <c r="F1109" i="7" s="1"/>
  <c r="G1109" i="7" s="1"/>
  <c r="F1110" i="7" s="1"/>
  <c r="G1110" i="7" s="1"/>
  <c r="F1111" i="7" s="1"/>
  <c r="G1111" i="7" s="1"/>
  <c r="F1112" i="7" s="1"/>
  <c r="G1112" i="7" s="1"/>
  <c r="F1113" i="7" s="1"/>
  <c r="G1113" i="7" s="1"/>
  <c r="F1114" i="7" s="1"/>
  <c r="G1114" i="7" s="1"/>
  <c r="F1115" i="7" s="1"/>
  <c r="G1115" i="7" s="1"/>
  <c r="F1116" i="7" s="1"/>
  <c r="G1116" i="7" s="1"/>
  <c r="F1117" i="7" s="1"/>
  <c r="G1117" i="7" s="1"/>
  <c r="F1118" i="7" s="1"/>
  <c r="G1118" i="7" s="1"/>
  <c r="F1119" i="7" s="1"/>
  <c r="G1119" i="7" s="1"/>
  <c r="F1120" i="7" s="1"/>
  <c r="G1120" i="7" s="1"/>
  <c r="F1121" i="7" s="1"/>
  <c r="G1121" i="7" s="1"/>
  <c r="F1122" i="7" s="1"/>
  <c r="G1122" i="7" s="1"/>
  <c r="F1123" i="7" s="1"/>
  <c r="G1123" i="7" s="1"/>
  <c r="F1124" i="7" s="1"/>
  <c r="G1124" i="7" s="1"/>
  <c r="F1125" i="7" s="1"/>
  <c r="G1125" i="7" s="1"/>
  <c r="F1126" i="7" s="1"/>
  <c r="G1126" i="7" s="1"/>
  <c r="F1127" i="7" s="1"/>
  <c r="G1127" i="7" s="1"/>
  <c r="F1128" i="7" s="1"/>
  <c r="G1128" i="7" s="1"/>
  <c r="F1129" i="7" s="1"/>
  <c r="G1129" i="7" s="1"/>
  <c r="F1130" i="7" s="1"/>
  <c r="G1130" i="7" s="1"/>
  <c r="F1131" i="7" s="1"/>
  <c r="G1131" i="7" s="1"/>
  <c r="F1132" i="7" s="1"/>
  <c r="G1132" i="7" s="1"/>
  <c r="F1133" i="7" s="1"/>
  <c r="G1133" i="7" s="1"/>
  <c r="F1134" i="7" s="1"/>
  <c r="G1134" i="7" s="1"/>
  <c r="F1135" i="7" s="1"/>
  <c r="G1135" i="7" s="1"/>
  <c r="F1136" i="7" s="1"/>
  <c r="G1136" i="7" s="1"/>
  <c r="F1137" i="7" s="1"/>
  <c r="G1137" i="7" s="1"/>
  <c r="F1138" i="7" s="1"/>
  <c r="G1138" i="7" s="1"/>
  <c r="F1139" i="7" s="1"/>
  <c r="G1139" i="7" s="1"/>
  <c r="F1140" i="7" s="1"/>
  <c r="G1140" i="7" s="1"/>
  <c r="F1141" i="7" s="1"/>
  <c r="G1141" i="7" s="1"/>
  <c r="F1142" i="7" s="1"/>
  <c r="G1142" i="7" s="1"/>
  <c r="F1143" i="7" s="1"/>
  <c r="G1143" i="7" s="1"/>
  <c r="F1144" i="7" s="1"/>
  <c r="G1144" i="7" s="1"/>
  <c r="F1145" i="7" s="1"/>
  <c r="G1145" i="7" s="1"/>
  <c r="F1146" i="7" s="1"/>
  <c r="G1146" i="7" s="1"/>
  <c r="F1147" i="7" s="1"/>
  <c r="G1147" i="7" s="1"/>
  <c r="F1148" i="7" s="1"/>
  <c r="G1148" i="7" s="1"/>
  <c r="F1149" i="7" s="1"/>
  <c r="G1149" i="7" s="1"/>
  <c r="F1150" i="7" s="1"/>
  <c r="G1150" i="7" s="1"/>
  <c r="F1151" i="7" s="1"/>
  <c r="G1151" i="7" s="1"/>
  <c r="F1152" i="7" s="1"/>
  <c r="G1152" i="7" s="1"/>
  <c r="F1153" i="7" s="1"/>
  <c r="G1153" i="7" s="1"/>
  <c r="F1154" i="7" s="1"/>
  <c r="G1154" i="7" s="1"/>
  <c r="F1155" i="7" s="1"/>
  <c r="G1155" i="7" s="1"/>
  <c r="F1156" i="7" s="1"/>
  <c r="G1156" i="7" s="1"/>
  <c r="F1157" i="7" s="1"/>
  <c r="G1157" i="7" s="1"/>
  <c r="F1158" i="7" s="1"/>
  <c r="G1158" i="7" s="1"/>
  <c r="F1159" i="7" s="1"/>
  <c r="G1159" i="7" s="1"/>
  <c r="F1160" i="7" s="1"/>
  <c r="G1160" i="7" s="1"/>
  <c r="F1161" i="7" s="1"/>
  <c r="G1161" i="7" s="1"/>
  <c r="F1162" i="7" s="1"/>
  <c r="G1162" i="7" s="1"/>
  <c r="F1163" i="7" s="1"/>
  <c r="G1163" i="7" s="1"/>
  <c r="F1164" i="7" s="1"/>
  <c r="G1164" i="7" s="1"/>
  <c r="F1165" i="7" s="1"/>
  <c r="G1165" i="7" s="1"/>
  <c r="F1166" i="7" s="1"/>
  <c r="G1166" i="7" s="1"/>
  <c r="F1167" i="7" s="1"/>
  <c r="G1167" i="7" s="1"/>
  <c r="F1168" i="7" s="1"/>
  <c r="G1168" i="7" s="1"/>
  <c r="F1169" i="7" s="1"/>
  <c r="G1169" i="7" s="1"/>
  <c r="F1170" i="7" s="1"/>
  <c r="G1170" i="7" s="1"/>
  <c r="F1171" i="7" s="1"/>
  <c r="G1171" i="7" s="1"/>
  <c r="F1172" i="7" s="1"/>
  <c r="G1172" i="7" s="1"/>
  <c r="F1173" i="7" s="1"/>
  <c r="G1173" i="7" s="1"/>
  <c r="F1174" i="7" s="1"/>
  <c r="G1174" i="7" s="1"/>
  <c r="F1175" i="7" s="1"/>
  <c r="G1175" i="7" s="1"/>
  <c r="F1176" i="7" s="1"/>
  <c r="G1176" i="7" s="1"/>
  <c r="F1177" i="7" s="1"/>
  <c r="G1177" i="7" s="1"/>
  <c r="F1178" i="7" s="1"/>
  <c r="G1178" i="7" s="1"/>
  <c r="F1179" i="7" s="1"/>
  <c r="G1179" i="7" s="1"/>
  <c r="F1180" i="7" s="1"/>
  <c r="G1180" i="7" s="1"/>
  <c r="F1181" i="7" s="1"/>
  <c r="G1181" i="7" s="1"/>
  <c r="F1182" i="7" s="1"/>
  <c r="G1182" i="7" s="1"/>
  <c r="F1183" i="7" s="1"/>
  <c r="G1183" i="7" s="1"/>
  <c r="F1184" i="7" s="1"/>
  <c r="G1184" i="7" s="1"/>
  <c r="F1185" i="7" s="1"/>
  <c r="G1185" i="7" s="1"/>
  <c r="F1186" i="7" s="1"/>
  <c r="G1186" i="7" s="1"/>
  <c r="F1187" i="7" s="1"/>
  <c r="G1187" i="7" s="1"/>
  <c r="F1188" i="7" s="1"/>
  <c r="G1188" i="7" s="1"/>
  <c r="F1189" i="7" s="1"/>
  <c r="G1189" i="7" s="1"/>
  <c r="F1190" i="7" s="1"/>
  <c r="G1190" i="7" s="1"/>
  <c r="F1191" i="7" s="1"/>
  <c r="G1191" i="7" s="1"/>
  <c r="F1192" i="7" s="1"/>
  <c r="G1192" i="7" s="1"/>
  <c r="F1193" i="7" s="1"/>
  <c r="G1193" i="7" s="1"/>
  <c r="F1194" i="7" s="1"/>
  <c r="G1194" i="7" s="1"/>
  <c r="F1195" i="7" s="1"/>
  <c r="G1195" i="7" s="1"/>
  <c r="F1196" i="7" s="1"/>
  <c r="G1196" i="7" s="1"/>
  <c r="F1197" i="7" s="1"/>
  <c r="G1197" i="7" s="1"/>
  <c r="F1198" i="7" s="1"/>
  <c r="G1198" i="7" s="1"/>
  <c r="F1199" i="7" s="1"/>
  <c r="G1199" i="7" s="1"/>
  <c r="F1200" i="7" s="1"/>
  <c r="G1200" i="7" s="1"/>
  <c r="F1201" i="7" s="1"/>
  <c r="G1201" i="7" s="1"/>
  <c r="F1202" i="7" s="1"/>
  <c r="G1202" i="7" s="1"/>
  <c r="F1203" i="7" s="1"/>
  <c r="G1203" i="7" s="1"/>
  <c r="F1204" i="7" s="1"/>
  <c r="G1204" i="7" s="1"/>
  <c r="F1205" i="7" s="1"/>
  <c r="G1205" i="7" s="1"/>
  <c r="F1206" i="7" s="1"/>
  <c r="G1206" i="7" s="1"/>
  <c r="F1207" i="7" s="1"/>
  <c r="G1207" i="7" s="1"/>
  <c r="F1208" i="7" s="1"/>
  <c r="G1208" i="7" s="1"/>
  <c r="F1209" i="7" s="1"/>
  <c r="G1209" i="7" s="1"/>
  <c r="F1210" i="7" s="1"/>
  <c r="G1210" i="7" s="1"/>
  <c r="F1211" i="7" s="1"/>
  <c r="G1211" i="7" s="1"/>
  <c r="F1212" i="7" s="1"/>
  <c r="G1212" i="7" s="1"/>
  <c r="F1213" i="7" s="1"/>
  <c r="G1213" i="7" s="1"/>
  <c r="F1214" i="7" s="1"/>
  <c r="G1214" i="7" s="1"/>
  <c r="F1215" i="7" s="1"/>
  <c r="G1215" i="7" s="1"/>
  <c r="F1216" i="7" s="1"/>
  <c r="G1216" i="7" s="1"/>
  <c r="F1217" i="7" s="1"/>
  <c r="G1217" i="7" s="1"/>
  <c r="F1218" i="7" s="1"/>
  <c r="G1218" i="7" s="1"/>
  <c r="F1219" i="7" s="1"/>
  <c r="G1219" i="7" s="1"/>
  <c r="F1220" i="7" s="1"/>
  <c r="G1220" i="7" s="1"/>
  <c r="F1221" i="7" s="1"/>
  <c r="G1221" i="7" s="1"/>
  <c r="F1222" i="7" s="1"/>
  <c r="G1222" i="7" s="1"/>
  <c r="F1223" i="7" s="1"/>
  <c r="G1223" i="7" s="1"/>
  <c r="F1224" i="7" s="1"/>
  <c r="G1224" i="7" s="1"/>
  <c r="F1225" i="7" s="1"/>
  <c r="G1225" i="7" s="1"/>
  <c r="F1226" i="7" s="1"/>
  <c r="G1226" i="7" s="1"/>
  <c r="F1227" i="7" s="1"/>
  <c r="G1227" i="7" s="1"/>
  <c r="F1228" i="7" s="1"/>
  <c r="G1228" i="7" s="1"/>
  <c r="F1229" i="7" s="1"/>
  <c r="G1229" i="7" s="1"/>
  <c r="F1230" i="7" s="1"/>
  <c r="G1230" i="7" s="1"/>
  <c r="F1231" i="7" s="1"/>
  <c r="G1231" i="7" s="1"/>
  <c r="F1232" i="7" s="1"/>
  <c r="G1232" i="7" s="1"/>
  <c r="F1233" i="7" s="1"/>
  <c r="G1233" i="7" s="1"/>
  <c r="F1234" i="7" s="1"/>
  <c r="G1234" i="7" s="1"/>
  <c r="F1235" i="7" s="1"/>
  <c r="G1235" i="7" s="1"/>
  <c r="F1236" i="7" s="1"/>
  <c r="G1236" i="7" s="1"/>
  <c r="F1237" i="7" s="1"/>
  <c r="G1237" i="7" s="1"/>
  <c r="F1238" i="7" s="1"/>
  <c r="G1238" i="7" s="1"/>
  <c r="F1239" i="7" s="1"/>
  <c r="G1239" i="7" s="1"/>
  <c r="F1240" i="7" s="1"/>
  <c r="G1240" i="7" s="1"/>
  <c r="F1241" i="7" s="1"/>
  <c r="G1241" i="7" s="1"/>
  <c r="F1242" i="7" s="1"/>
  <c r="G1242" i="7" s="1"/>
  <c r="F1243" i="7" s="1"/>
  <c r="G1243" i="7" s="1"/>
  <c r="F1244" i="7" s="1"/>
  <c r="G1244" i="7" s="1"/>
  <c r="F1245" i="7" s="1"/>
  <c r="G1245" i="7" s="1"/>
  <c r="F1246" i="7" s="1"/>
  <c r="G1246" i="7" s="1"/>
  <c r="F1247" i="7" s="1"/>
  <c r="G1247" i="7" s="1"/>
  <c r="F1248" i="7" s="1"/>
  <c r="G1248" i="7" s="1"/>
  <c r="F1249" i="7" s="1"/>
  <c r="G1249" i="7" s="1"/>
  <c r="F1250" i="7" s="1"/>
  <c r="G1250" i="7" s="1"/>
  <c r="F1251" i="7" s="1"/>
  <c r="G1251" i="7" s="1"/>
  <c r="F1252" i="7" s="1"/>
  <c r="G1252" i="7" s="1"/>
  <c r="F1253" i="7" s="1"/>
  <c r="G1253" i="7" s="1"/>
  <c r="F1254" i="7" s="1"/>
  <c r="G1254" i="7" s="1"/>
  <c r="F1255" i="7" s="1"/>
  <c r="G1255" i="7" s="1"/>
  <c r="F1256" i="7" s="1"/>
  <c r="G1256" i="7" s="1"/>
  <c r="F1257" i="7" s="1"/>
  <c r="G1257" i="7" s="1"/>
  <c r="F1258" i="7" s="1"/>
  <c r="G1258" i="7" s="1"/>
  <c r="F1259" i="7" s="1"/>
  <c r="G1259" i="7" s="1"/>
  <c r="F1260" i="7" s="1"/>
  <c r="G1260" i="7" s="1"/>
  <c r="F1261" i="7" s="1"/>
  <c r="G1261" i="7" s="1"/>
  <c r="F1262" i="7" s="1"/>
  <c r="G1262" i="7" s="1"/>
  <c r="F1263" i="7" s="1"/>
  <c r="G1263" i="7" s="1"/>
  <c r="F1264" i="7" s="1"/>
  <c r="G1264" i="7" s="1"/>
  <c r="F1265" i="7" s="1"/>
  <c r="G1265" i="7" s="1"/>
  <c r="F1266" i="7" s="1"/>
  <c r="G1266" i="7" s="1"/>
  <c r="F1267" i="7" s="1"/>
  <c r="G1267" i="7" s="1"/>
  <c r="F1268" i="7" s="1"/>
  <c r="G1268" i="7" s="1"/>
  <c r="F1269" i="7" s="1"/>
  <c r="G1269" i="7" s="1"/>
  <c r="F1270" i="7" s="1"/>
  <c r="G1270" i="7" s="1"/>
  <c r="F1271" i="7" s="1"/>
  <c r="G1271" i="7" s="1"/>
  <c r="F1272" i="7" s="1"/>
  <c r="G1272" i="7" s="1"/>
  <c r="F1273" i="7" s="1"/>
  <c r="G1273" i="7" s="1"/>
  <c r="F1274" i="7" s="1"/>
  <c r="G1274" i="7" s="1"/>
  <c r="F1275" i="7" s="1"/>
  <c r="G1275" i="7" s="1"/>
  <c r="F1276" i="7" s="1"/>
  <c r="G1276" i="7" s="1"/>
  <c r="F1277" i="7" s="1"/>
  <c r="G1277" i="7" s="1"/>
  <c r="F1278" i="7" s="1"/>
  <c r="G1278" i="7" s="1"/>
  <c r="F1279" i="7" s="1"/>
  <c r="G1279" i="7" s="1"/>
  <c r="F1280" i="7" s="1"/>
  <c r="G1280" i="7" s="1"/>
  <c r="F1281" i="7" s="1"/>
  <c r="G1281" i="7" s="1"/>
  <c r="F1282" i="7" s="1"/>
  <c r="G1282" i="7" s="1"/>
  <c r="F1283" i="7" s="1"/>
  <c r="G1283" i="7" s="1"/>
  <c r="F1284" i="7" s="1"/>
  <c r="G1284" i="7" s="1"/>
  <c r="F1285" i="7" s="1"/>
  <c r="G1285" i="7" s="1"/>
  <c r="F1286" i="7" s="1"/>
  <c r="G1286" i="7" s="1"/>
  <c r="F1287" i="7" s="1"/>
  <c r="G1287" i="7" s="1"/>
  <c r="F1288" i="7" s="1"/>
  <c r="G1288" i="7" s="1"/>
  <c r="F1289" i="7" s="1"/>
  <c r="G1289" i="7" s="1"/>
  <c r="F1290" i="7" s="1"/>
  <c r="G1290" i="7" s="1"/>
  <c r="F1291" i="7" s="1"/>
  <c r="G1291" i="7" s="1"/>
  <c r="F1292" i="7" s="1"/>
  <c r="G1292" i="7" s="1"/>
  <c r="F1293" i="7" s="1"/>
  <c r="G1293" i="7" s="1"/>
  <c r="F1294" i="7" s="1"/>
  <c r="G1294" i="7" s="1"/>
  <c r="F1295" i="7" s="1"/>
  <c r="G1295" i="7" s="1"/>
  <c r="F1296" i="7" s="1"/>
  <c r="G1296" i="7" s="1"/>
  <c r="F1297" i="7" s="1"/>
  <c r="G1297" i="7" s="1"/>
  <c r="F1298" i="7" s="1"/>
  <c r="G1298" i="7" s="1"/>
  <c r="F1299" i="7" s="1"/>
  <c r="G1299" i="7" s="1"/>
  <c r="F1300" i="7" s="1"/>
  <c r="G1300" i="7" s="1"/>
  <c r="F1301" i="7" s="1"/>
  <c r="G1301" i="7" s="1"/>
  <c r="F1302" i="7" s="1"/>
  <c r="G1302" i="7" s="1"/>
  <c r="F1303" i="7" s="1"/>
  <c r="G1303" i="7" s="1"/>
  <c r="F1304" i="7" s="1"/>
  <c r="G1304" i="7" s="1"/>
  <c r="F1305" i="7" s="1"/>
  <c r="G1305" i="7" s="1"/>
  <c r="F1306" i="7" s="1"/>
  <c r="G1306" i="7" s="1"/>
  <c r="F1307" i="7" s="1"/>
  <c r="G1307" i="7" s="1"/>
  <c r="F1308" i="7" s="1"/>
  <c r="G1308" i="7" s="1"/>
  <c r="F1309" i="7" s="1"/>
  <c r="G1309" i="7" s="1"/>
  <c r="F1310" i="7" s="1"/>
  <c r="G1310" i="7" s="1"/>
  <c r="F1311" i="7" s="1"/>
  <c r="G1311" i="7" s="1"/>
  <c r="F1312" i="7" s="1"/>
  <c r="G1312" i="7" s="1"/>
  <c r="F1313" i="7" s="1"/>
  <c r="G1313" i="7" s="1"/>
  <c r="F1314" i="7" s="1"/>
  <c r="G1314" i="7" s="1"/>
  <c r="F1315" i="7" s="1"/>
  <c r="G1315" i="7" s="1"/>
  <c r="F1316" i="7" s="1"/>
  <c r="G1316" i="7" s="1"/>
  <c r="F1317" i="7" s="1"/>
  <c r="G1317" i="7" s="1"/>
  <c r="F1318" i="7" s="1"/>
  <c r="G1318" i="7" s="1"/>
  <c r="F1319" i="7" s="1"/>
  <c r="G1319" i="7" s="1"/>
  <c r="F1320" i="7" s="1"/>
  <c r="G1320" i="7" s="1"/>
  <c r="F1321" i="7" s="1"/>
  <c r="G1321" i="7" s="1"/>
  <c r="F1322" i="7" s="1"/>
  <c r="G1322" i="7" s="1"/>
  <c r="F1323" i="7" s="1"/>
  <c r="G1323" i="7" s="1"/>
  <c r="F1324" i="7" s="1"/>
  <c r="G1324" i="7" s="1"/>
  <c r="F1325" i="7" s="1"/>
  <c r="G1325" i="7" s="1"/>
  <c r="F1326" i="7" s="1"/>
  <c r="G1326" i="7" s="1"/>
  <c r="F1327" i="7" s="1"/>
  <c r="G1327" i="7" s="1"/>
  <c r="F1328" i="7" s="1"/>
  <c r="G1328" i="7" s="1"/>
  <c r="F1329" i="7" s="1"/>
  <c r="G1329" i="7" s="1"/>
  <c r="F1330" i="7" s="1"/>
  <c r="G1330" i="7" s="1"/>
  <c r="F1331" i="7" s="1"/>
  <c r="G1331" i="7" s="1"/>
  <c r="F1332" i="7" s="1"/>
  <c r="G1332" i="7" s="1"/>
  <c r="F1333" i="7" s="1"/>
  <c r="G1333" i="7" s="1"/>
  <c r="F1334" i="7" s="1"/>
  <c r="G1334" i="7" s="1"/>
  <c r="F1335" i="7" s="1"/>
  <c r="G1335" i="7" s="1"/>
  <c r="F1336" i="7" s="1"/>
  <c r="G1336" i="7" s="1"/>
  <c r="F1337" i="7" s="1"/>
  <c r="G1337" i="7" s="1"/>
  <c r="F1338" i="7" s="1"/>
  <c r="G1338" i="7" s="1"/>
  <c r="F1339" i="7" s="1"/>
  <c r="G1339" i="7" s="1"/>
  <c r="F1340" i="7" s="1"/>
  <c r="G1340" i="7" s="1"/>
  <c r="F1341" i="7" s="1"/>
  <c r="G1341" i="7" s="1"/>
  <c r="F1342" i="7" s="1"/>
  <c r="G1342" i="7" s="1"/>
  <c r="F1343" i="7" s="1"/>
  <c r="G1343" i="7" s="1"/>
  <c r="F1344" i="7" s="1"/>
  <c r="G1344" i="7" s="1"/>
  <c r="F1345" i="7" s="1"/>
  <c r="G1345" i="7" s="1"/>
  <c r="F1346" i="7" s="1"/>
  <c r="G1346" i="7" s="1"/>
  <c r="F1347" i="7" s="1"/>
  <c r="G1347" i="7" s="1"/>
  <c r="F1348" i="7" s="1"/>
  <c r="G1348" i="7" s="1"/>
  <c r="F1349" i="7" s="1"/>
  <c r="G1349" i="7" s="1"/>
  <c r="F1350" i="7" s="1"/>
  <c r="G1350" i="7" s="1"/>
  <c r="F1351" i="7" s="1"/>
  <c r="G1351" i="7" s="1"/>
  <c r="F1352" i="7" s="1"/>
  <c r="G1352" i="7" s="1"/>
  <c r="F1353" i="7" s="1"/>
  <c r="G1353" i="7" s="1"/>
  <c r="F1354" i="7" s="1"/>
  <c r="G1354" i="7" s="1"/>
  <c r="F1355" i="7" s="1"/>
  <c r="G1355" i="7" s="1"/>
  <c r="F1356" i="7" s="1"/>
  <c r="G1356" i="7" s="1"/>
  <c r="F1357" i="7" s="1"/>
  <c r="G1357" i="7" s="1"/>
  <c r="F1358" i="7" s="1"/>
  <c r="G1358" i="7" s="1"/>
  <c r="F1359" i="7" s="1"/>
  <c r="G1359" i="7" s="1"/>
  <c r="F1360" i="7" s="1"/>
  <c r="G1360" i="7" s="1"/>
  <c r="F1361" i="7" s="1"/>
  <c r="G1361" i="7" s="1"/>
  <c r="F1362" i="7" s="1"/>
  <c r="G1362" i="7" s="1"/>
  <c r="F1363" i="7" s="1"/>
  <c r="G1363" i="7" s="1"/>
  <c r="F1364" i="7" s="1"/>
  <c r="G1364" i="7" s="1"/>
  <c r="F1365" i="7" s="1"/>
  <c r="G1365" i="7" s="1"/>
  <c r="F1366" i="7" s="1"/>
  <c r="G1366" i="7" s="1"/>
  <c r="F1367" i="7" s="1"/>
  <c r="G1367" i="7" s="1"/>
  <c r="F1368" i="7" s="1"/>
  <c r="G1368" i="7" s="1"/>
  <c r="F1369" i="7" s="1"/>
  <c r="G1369" i="7" s="1"/>
  <c r="F1370" i="7" s="1"/>
  <c r="G1370" i="7" s="1"/>
  <c r="F1371" i="7" s="1"/>
  <c r="G1371" i="7" s="1"/>
  <c r="F1372" i="7" s="1"/>
  <c r="G1372" i="7" s="1"/>
  <c r="F1373" i="7" s="1"/>
  <c r="G1373" i="7" s="1"/>
  <c r="F1374" i="7" s="1"/>
  <c r="G1374" i="7" s="1"/>
  <c r="F1375" i="7" s="1"/>
  <c r="G1375" i="7" s="1"/>
  <c r="F1376" i="7" s="1"/>
  <c r="G1376" i="7" s="1"/>
  <c r="F1377" i="7" s="1"/>
  <c r="G1377" i="7" s="1"/>
  <c r="F1378" i="7" s="1"/>
  <c r="G1378" i="7" s="1"/>
  <c r="F1379" i="7" s="1"/>
  <c r="G1379" i="7" s="1"/>
  <c r="F1380" i="7" s="1"/>
  <c r="G1380" i="7" s="1"/>
  <c r="F1381" i="7" s="1"/>
  <c r="G1381" i="7" s="1"/>
  <c r="F1382" i="7" s="1"/>
  <c r="G1382" i="7" s="1"/>
  <c r="F1383" i="7" s="1"/>
  <c r="G1383" i="7" s="1"/>
  <c r="F1384" i="7" s="1"/>
  <c r="G1384" i="7" s="1"/>
  <c r="F1385" i="7" s="1"/>
  <c r="G1385" i="7" s="1"/>
  <c r="F1386" i="7" s="1"/>
  <c r="G1386" i="7" s="1"/>
  <c r="F1387" i="7" s="1"/>
  <c r="G1387" i="7" s="1"/>
  <c r="F1388" i="7" s="1"/>
  <c r="G1388" i="7" s="1"/>
  <c r="F1389" i="7" s="1"/>
  <c r="G1389" i="7" s="1"/>
  <c r="F1390" i="7" s="1"/>
  <c r="G1390" i="7" s="1"/>
  <c r="F1391" i="7" s="1"/>
  <c r="G1391" i="7" s="1"/>
  <c r="F1392" i="7" s="1"/>
  <c r="G1392" i="7" s="1"/>
  <c r="F1393" i="7" s="1"/>
  <c r="G1393" i="7" s="1"/>
  <c r="F1394" i="7" s="1"/>
  <c r="G1394" i="7" s="1"/>
  <c r="F1395" i="7" s="1"/>
  <c r="G1395" i="7" s="1"/>
  <c r="F1396" i="7" s="1"/>
  <c r="G1396" i="7" s="1"/>
  <c r="F1397" i="7" s="1"/>
  <c r="G1397" i="7" s="1"/>
  <c r="F1398" i="7" s="1"/>
  <c r="G1398" i="7" s="1"/>
  <c r="F1399" i="7" s="1"/>
  <c r="G1399" i="7" s="1"/>
  <c r="F1400" i="7" s="1"/>
  <c r="G1400" i="7" s="1"/>
  <c r="F1401" i="7" s="1"/>
  <c r="G1401" i="7" s="1"/>
  <c r="F1402" i="7" s="1"/>
  <c r="G1402" i="7" s="1"/>
  <c r="F1403" i="7" s="1"/>
  <c r="G1403" i="7" s="1"/>
  <c r="F1404" i="7" s="1"/>
  <c r="G1404" i="7" s="1"/>
  <c r="F1405" i="7" s="1"/>
  <c r="G1405" i="7" s="1"/>
  <c r="F1406" i="7" s="1"/>
  <c r="G1406" i="7" s="1"/>
  <c r="F1407" i="7" s="1"/>
  <c r="G1407" i="7" s="1"/>
  <c r="F1408" i="7" s="1"/>
  <c r="G1408" i="7" s="1"/>
  <c r="F1409" i="7" s="1"/>
  <c r="G1409" i="7" s="1"/>
  <c r="F1410" i="7" s="1"/>
  <c r="G1410" i="7" s="1"/>
  <c r="F1411" i="7" s="1"/>
  <c r="G1411" i="7" s="1"/>
  <c r="F1412" i="7" s="1"/>
  <c r="G1412" i="7" s="1"/>
  <c r="F1413" i="7" s="1"/>
  <c r="G1413" i="7" s="1"/>
  <c r="F1414" i="7" s="1"/>
  <c r="G1414" i="7" s="1"/>
  <c r="F1415" i="7" s="1"/>
  <c r="G1415" i="7" s="1"/>
  <c r="F1416" i="7" s="1"/>
  <c r="G1416" i="7" s="1"/>
  <c r="F1417" i="7" s="1"/>
  <c r="G1417" i="7" s="1"/>
  <c r="F1418" i="7" s="1"/>
  <c r="G1418" i="7" s="1"/>
  <c r="F1419" i="7" s="1"/>
  <c r="G1419" i="7" s="1"/>
  <c r="F1420" i="7" s="1"/>
  <c r="G1420" i="7" s="1"/>
  <c r="F1421" i="7" s="1"/>
  <c r="G1421" i="7" s="1"/>
  <c r="F1422" i="7" s="1"/>
  <c r="G1422" i="7" s="1"/>
  <c r="F1423" i="7" s="1"/>
  <c r="G1423" i="7" s="1"/>
  <c r="F1424" i="7" s="1"/>
  <c r="G1424" i="7" s="1"/>
  <c r="F1425" i="7" s="1"/>
  <c r="G1425" i="7" s="1"/>
  <c r="F1426" i="7" s="1"/>
  <c r="G1426" i="7" s="1"/>
  <c r="F1427" i="7" s="1"/>
  <c r="G1427" i="7" s="1"/>
  <c r="F1428" i="7" s="1"/>
  <c r="G1428" i="7" s="1"/>
  <c r="F1429" i="7" s="1"/>
  <c r="G1429" i="7" s="1"/>
  <c r="F1430" i="7" s="1"/>
  <c r="G1430" i="7" s="1"/>
  <c r="F1431" i="7" s="1"/>
  <c r="G1431" i="7" s="1"/>
  <c r="F1432" i="7" s="1"/>
  <c r="G1432" i="7" s="1"/>
  <c r="F1433" i="7" s="1"/>
  <c r="G1433" i="7" s="1"/>
  <c r="F1434" i="7" s="1"/>
  <c r="G1434" i="7" s="1"/>
  <c r="F1435" i="7" s="1"/>
  <c r="G1435" i="7" s="1"/>
  <c r="F1436" i="7" s="1"/>
  <c r="G1436" i="7" s="1"/>
  <c r="F1437" i="7" s="1"/>
  <c r="G1437" i="7" s="1"/>
  <c r="F1438" i="7" s="1"/>
  <c r="G1438" i="7" s="1"/>
  <c r="F1439" i="7" s="1"/>
  <c r="G1439" i="7" s="1"/>
  <c r="F1440" i="7" s="1"/>
  <c r="G1440" i="7" s="1"/>
  <c r="F1441" i="7" s="1"/>
  <c r="G1441" i="7" s="1"/>
  <c r="F1442" i="7" s="1"/>
  <c r="G1442" i="7" s="1"/>
  <c r="F1443" i="7" s="1"/>
  <c r="G1443" i="7" s="1"/>
  <c r="F1444" i="7" s="1"/>
  <c r="G1444" i="7" s="1"/>
  <c r="F1445" i="7" s="1"/>
  <c r="G1445" i="7" s="1"/>
  <c r="F1446" i="7" s="1"/>
  <c r="G1446" i="7" s="1"/>
  <c r="F1447" i="7" s="1"/>
  <c r="G1447" i="7" s="1"/>
  <c r="F1448" i="7" s="1"/>
  <c r="G1448" i="7" s="1"/>
  <c r="F1449" i="7" s="1"/>
  <c r="G1449" i="7" s="1"/>
  <c r="F1450" i="7" s="1"/>
  <c r="G1450" i="7" s="1"/>
  <c r="F1451" i="7" s="1"/>
  <c r="G1451" i="7" s="1"/>
  <c r="F1452" i="7" s="1"/>
  <c r="G1452" i="7" s="1"/>
  <c r="F1453" i="7" s="1"/>
  <c r="G1453" i="7" s="1"/>
  <c r="F1454" i="7" s="1"/>
  <c r="G1454" i="7" s="1"/>
  <c r="F1455" i="7" s="1"/>
  <c r="G1455" i="7" s="1"/>
  <c r="F1456" i="7" s="1"/>
  <c r="G1456" i="7" s="1"/>
  <c r="F1457" i="7" s="1"/>
  <c r="G1457" i="7" s="1"/>
  <c r="F1458" i="7" s="1"/>
  <c r="G1458" i="7" s="1"/>
  <c r="F1459" i="7" s="1"/>
  <c r="G1459" i="7" s="1"/>
  <c r="F1460" i="7" s="1"/>
  <c r="G1460" i="7" s="1"/>
  <c r="F1461" i="7" s="1"/>
  <c r="G1461" i="7" s="1"/>
  <c r="F1462" i="7" s="1"/>
  <c r="G1462" i="7" s="1"/>
  <c r="F1463" i="7" s="1"/>
  <c r="G1463" i="7" s="1"/>
  <c r="F1464" i="7" s="1"/>
  <c r="G1464" i="7" s="1"/>
  <c r="F1465" i="7" s="1"/>
  <c r="G1465" i="7" s="1"/>
  <c r="F1466" i="7" s="1"/>
  <c r="G1466" i="7" s="1"/>
  <c r="F1467" i="7" s="1"/>
  <c r="G1467" i="7" s="1"/>
  <c r="F1468" i="7" s="1"/>
  <c r="G1468" i="7" s="1"/>
  <c r="F1469" i="7" s="1"/>
  <c r="G1469" i="7" s="1"/>
  <c r="F1470" i="7" s="1"/>
  <c r="G1470" i="7" s="1"/>
  <c r="F1471" i="7" s="1"/>
  <c r="G1471" i="7" s="1"/>
  <c r="F1472" i="7" s="1"/>
  <c r="G1472" i="7" s="1"/>
  <c r="F1473" i="7" s="1"/>
  <c r="G1473" i="7" s="1"/>
  <c r="F1474" i="7" s="1"/>
  <c r="G1474" i="7" s="1"/>
  <c r="F1475" i="7" s="1"/>
  <c r="G1475" i="7" s="1"/>
  <c r="F1476" i="7" s="1"/>
  <c r="G1476" i="7" s="1"/>
  <c r="F1477" i="7" s="1"/>
  <c r="G1477" i="7" s="1"/>
  <c r="F1478" i="7" s="1"/>
  <c r="G1478" i="7" s="1"/>
  <c r="F1479" i="7" s="1"/>
  <c r="G1479" i="7" s="1"/>
  <c r="F1480" i="7" s="1"/>
  <c r="G1480" i="7" s="1"/>
  <c r="F1481" i="7" s="1"/>
  <c r="G1481" i="7" s="1"/>
  <c r="F1482" i="7" s="1"/>
  <c r="G1482" i="7" s="1"/>
  <c r="F1483" i="7" s="1"/>
  <c r="G1483" i="7" s="1"/>
  <c r="F1484" i="7" s="1"/>
  <c r="G1484" i="7" s="1"/>
  <c r="F1485" i="7" s="1"/>
  <c r="G1485" i="7" s="1"/>
  <c r="F1486" i="7" s="1"/>
  <c r="G1486" i="7" s="1"/>
  <c r="F1487" i="7" s="1"/>
  <c r="G1487" i="7" s="1"/>
  <c r="F1488" i="7" s="1"/>
  <c r="G1488" i="7" s="1"/>
  <c r="F1489" i="7" s="1"/>
  <c r="G1489" i="7" s="1"/>
  <c r="F1490" i="7" s="1"/>
  <c r="G1490" i="7" s="1"/>
  <c r="F1491" i="7" s="1"/>
  <c r="G1491" i="7" s="1"/>
  <c r="F1492" i="7" s="1"/>
  <c r="G1492" i="7" s="1"/>
  <c r="F1493" i="7" s="1"/>
  <c r="G1493" i="7" s="1"/>
  <c r="F1494" i="7" s="1"/>
  <c r="G1494" i="7" s="1"/>
  <c r="F1495" i="7" s="1"/>
  <c r="G1495" i="7" s="1"/>
  <c r="F1496" i="7" s="1"/>
  <c r="G1496" i="7" s="1"/>
  <c r="F1497" i="7" s="1"/>
  <c r="G1497" i="7" s="1"/>
  <c r="F1498" i="7" s="1"/>
  <c r="G1498" i="7" s="1"/>
  <c r="F1499" i="7" s="1"/>
  <c r="G1499" i="7" s="1"/>
  <c r="F1500" i="7" s="1"/>
  <c r="G1500" i="7" s="1"/>
  <c r="F1501" i="7" s="1"/>
  <c r="G1501" i="7" s="1"/>
  <c r="F1502" i="7" s="1"/>
  <c r="G1502" i="7" s="1"/>
  <c r="F1503" i="7" s="1"/>
  <c r="G1503" i="7" s="1"/>
  <c r="F1504" i="7" s="1"/>
  <c r="G1504" i="7" s="1"/>
  <c r="F1505" i="7" s="1"/>
  <c r="G1505" i="7" s="1"/>
  <c r="F1506" i="7" s="1"/>
  <c r="G1506" i="7" s="1"/>
  <c r="F1507" i="7" s="1"/>
  <c r="G1507" i="7" s="1"/>
  <c r="F1508" i="7" s="1"/>
  <c r="G1508" i="7" s="1"/>
  <c r="F1509" i="7" s="1"/>
  <c r="G1509" i="7" s="1"/>
  <c r="F1510" i="7" s="1"/>
  <c r="G1510" i="7" s="1"/>
  <c r="F1511" i="7" s="1"/>
  <c r="G1511" i="7" s="1"/>
  <c r="F1512" i="7" s="1"/>
  <c r="G1512" i="7" s="1"/>
  <c r="F1513" i="7" s="1"/>
  <c r="G1513" i="7" s="1"/>
  <c r="F1514" i="7" s="1"/>
  <c r="G1514" i="7" s="1"/>
  <c r="F1515" i="7" s="1"/>
  <c r="G1515" i="7" s="1"/>
  <c r="F1516" i="7" s="1"/>
  <c r="G1516" i="7" s="1"/>
  <c r="F1517" i="7" s="1"/>
  <c r="G1517" i="7" s="1"/>
  <c r="F1518" i="7" s="1"/>
  <c r="G1518" i="7" s="1"/>
  <c r="F1519" i="7" s="1"/>
  <c r="G1519" i="7" s="1"/>
  <c r="F1520" i="7" s="1"/>
  <c r="G1520" i="7" s="1"/>
  <c r="F1521" i="7" s="1"/>
  <c r="G1521" i="7" s="1"/>
  <c r="F1522" i="7" s="1"/>
  <c r="G1522" i="7" s="1"/>
  <c r="F1523" i="7" s="1"/>
  <c r="G1523" i="7" s="1"/>
  <c r="F1524" i="7" s="1"/>
  <c r="G1524" i="7" s="1"/>
  <c r="F1525" i="7" s="1"/>
  <c r="G1525" i="7" s="1"/>
  <c r="F1526" i="7" s="1"/>
  <c r="G1526" i="7" s="1"/>
  <c r="F1527" i="7" s="1"/>
  <c r="G1527" i="7" s="1"/>
  <c r="F1528" i="7" s="1"/>
  <c r="G1528" i="7" s="1"/>
  <c r="F1529" i="7" s="1"/>
  <c r="G1529" i="7" s="1"/>
  <c r="F1530" i="7" s="1"/>
  <c r="G1530" i="7" s="1"/>
  <c r="F1531" i="7" s="1"/>
  <c r="G1531" i="7" s="1"/>
  <c r="F1532" i="7" s="1"/>
  <c r="G1532" i="7" s="1"/>
  <c r="F1533" i="7" s="1"/>
  <c r="G1533" i="7" s="1"/>
  <c r="F1534" i="7" s="1"/>
  <c r="G1534" i="7" s="1"/>
  <c r="F1535" i="7" s="1"/>
  <c r="G1535" i="7" s="1"/>
  <c r="F1536" i="7" s="1"/>
  <c r="G1536" i="7" s="1"/>
  <c r="F1537" i="7" s="1"/>
  <c r="G1537" i="7" s="1"/>
  <c r="F1538" i="7" s="1"/>
  <c r="G1538" i="7" s="1"/>
  <c r="F1539" i="7" s="1"/>
  <c r="G1539" i="7" s="1"/>
  <c r="F1540" i="7" s="1"/>
  <c r="G1540" i="7" s="1"/>
  <c r="F1541" i="7" s="1"/>
  <c r="G1541" i="7" s="1"/>
  <c r="F1542" i="7" s="1"/>
  <c r="G1542" i="7" s="1"/>
  <c r="F1543" i="7" s="1"/>
  <c r="G1543" i="7" s="1"/>
  <c r="F1544" i="7" s="1"/>
  <c r="G1544" i="7" s="1"/>
  <c r="F1545" i="7" s="1"/>
  <c r="G1545" i="7" s="1"/>
  <c r="F1546" i="7" s="1"/>
  <c r="G1546" i="7" s="1"/>
  <c r="F1547" i="7" s="1"/>
  <c r="G1547" i="7" s="1"/>
  <c r="F1548" i="7" s="1"/>
  <c r="G1548" i="7" s="1"/>
  <c r="F1549" i="7" s="1"/>
  <c r="G1549" i="7" s="1"/>
  <c r="F1550" i="7" s="1"/>
  <c r="G1550" i="7" s="1"/>
  <c r="F1551" i="7" s="1"/>
  <c r="G1551" i="7" s="1"/>
  <c r="F1552" i="7" s="1"/>
  <c r="G1552" i="7" s="1"/>
  <c r="F1553" i="7" s="1"/>
  <c r="G1553" i="7" s="1"/>
  <c r="F1554" i="7" s="1"/>
  <c r="G1554" i="7" s="1"/>
  <c r="F1555" i="7" s="1"/>
  <c r="G1555" i="7" s="1"/>
  <c r="F1556" i="7" s="1"/>
  <c r="G1556" i="7" s="1"/>
  <c r="F1557" i="7" s="1"/>
  <c r="G1557" i="7" s="1"/>
  <c r="F1558" i="7" s="1"/>
  <c r="G1558" i="7" s="1"/>
  <c r="F1559" i="7" s="1"/>
  <c r="G1559" i="7" s="1"/>
  <c r="F1560" i="7" s="1"/>
  <c r="G1560" i="7" s="1"/>
  <c r="F1561" i="7" s="1"/>
  <c r="G1561" i="7" s="1"/>
  <c r="F1562" i="7" s="1"/>
  <c r="G1562" i="7" s="1"/>
  <c r="F1563" i="7" s="1"/>
  <c r="G1563" i="7" s="1"/>
  <c r="F1564" i="7" s="1"/>
  <c r="G1564" i="7" s="1"/>
  <c r="F1565" i="7" s="1"/>
  <c r="G1565" i="7" s="1"/>
  <c r="F1566" i="7" s="1"/>
  <c r="G1566" i="7" s="1"/>
  <c r="F1567" i="7" s="1"/>
  <c r="G1567" i="7" s="1"/>
  <c r="F1568" i="7" s="1"/>
  <c r="G1568" i="7" s="1"/>
  <c r="F1569" i="7" s="1"/>
  <c r="G1569" i="7" s="1"/>
  <c r="F1570" i="7" s="1"/>
  <c r="G1570" i="7" s="1"/>
  <c r="F1571" i="7" s="1"/>
  <c r="G1571" i="7" s="1"/>
  <c r="F1572" i="7" s="1"/>
  <c r="G1572" i="7" s="1"/>
  <c r="F1573" i="7" s="1"/>
  <c r="G1573" i="7" s="1"/>
  <c r="F1574" i="7" s="1"/>
  <c r="G1574" i="7" s="1"/>
  <c r="F1575" i="7" s="1"/>
  <c r="G1575" i="7" s="1"/>
  <c r="F1576" i="7" s="1"/>
  <c r="G1576" i="7" s="1"/>
  <c r="F1577" i="7" s="1"/>
  <c r="G1577" i="7" s="1"/>
  <c r="F1578" i="7" s="1"/>
  <c r="G1578" i="7" s="1"/>
  <c r="F1579" i="7" s="1"/>
  <c r="G1579" i="7" s="1"/>
  <c r="F1580" i="7" s="1"/>
  <c r="G1580" i="7" s="1"/>
  <c r="F1581" i="7" s="1"/>
  <c r="G1581" i="7" s="1"/>
  <c r="F1582" i="7" s="1"/>
  <c r="G1582" i="7" s="1"/>
  <c r="F1583" i="7" s="1"/>
  <c r="G1583" i="7" s="1"/>
  <c r="F1584" i="7" s="1"/>
  <c r="G1584" i="7" s="1"/>
  <c r="F1585" i="7" s="1"/>
  <c r="G1585" i="7" s="1"/>
  <c r="F1586" i="7" s="1"/>
  <c r="G1586" i="7" s="1"/>
  <c r="F1587" i="7" s="1"/>
  <c r="G1587" i="7" s="1"/>
  <c r="F1588" i="7" s="1"/>
  <c r="G1588" i="7" s="1"/>
  <c r="F1589" i="7" s="1"/>
  <c r="G1589" i="7" s="1"/>
  <c r="F1590" i="7" s="1"/>
  <c r="G1590" i="7" s="1"/>
  <c r="F1591" i="7" s="1"/>
  <c r="G1591" i="7" s="1"/>
  <c r="F1592" i="7" s="1"/>
  <c r="G1592" i="7" s="1"/>
  <c r="F1593" i="7" s="1"/>
  <c r="G1593" i="7" s="1"/>
  <c r="F1594" i="7" s="1"/>
  <c r="G1594" i="7" s="1"/>
  <c r="F1595" i="7" s="1"/>
  <c r="G1595" i="7" s="1"/>
  <c r="F1596" i="7" s="1"/>
  <c r="G1596" i="7" s="1"/>
  <c r="F1597" i="7" s="1"/>
  <c r="G1597" i="7" s="1"/>
  <c r="F1598" i="7" s="1"/>
  <c r="G1598" i="7" s="1"/>
  <c r="F1599" i="7" s="1"/>
  <c r="G1599" i="7" s="1"/>
  <c r="F1600" i="7" s="1"/>
  <c r="G1600" i="7" s="1"/>
  <c r="F1601" i="7" s="1"/>
  <c r="G1601" i="7" s="1"/>
  <c r="F1602" i="7" s="1"/>
  <c r="G1602" i="7" s="1"/>
  <c r="F1603" i="7" s="1"/>
  <c r="G1603" i="7" s="1"/>
  <c r="F1604" i="7" s="1"/>
  <c r="G1604" i="7" s="1"/>
  <c r="F1605" i="7" s="1"/>
  <c r="G1605" i="7" s="1"/>
  <c r="F1606" i="7" s="1"/>
  <c r="G1606" i="7" s="1"/>
  <c r="F1607" i="7" s="1"/>
  <c r="G1607" i="7" s="1"/>
  <c r="F1608" i="7" s="1"/>
  <c r="G1608" i="7" s="1"/>
  <c r="F1609" i="7" s="1"/>
  <c r="G1609" i="7" s="1"/>
  <c r="F1610" i="7" s="1"/>
  <c r="G1610" i="7" s="1"/>
  <c r="F1611" i="7" s="1"/>
  <c r="G1611" i="7" s="1"/>
  <c r="F1612" i="7" s="1"/>
  <c r="G1612" i="7" s="1"/>
  <c r="F1613" i="7" s="1"/>
  <c r="G1613" i="7" s="1"/>
  <c r="F1614" i="7" s="1"/>
  <c r="G1614" i="7" s="1"/>
  <c r="F1615" i="7" s="1"/>
  <c r="G1615" i="7" s="1"/>
  <c r="F1616" i="7" s="1"/>
  <c r="G1616" i="7" s="1"/>
  <c r="F1617" i="7" s="1"/>
  <c r="G1617" i="7" s="1"/>
  <c r="F1618" i="7" s="1"/>
  <c r="G1618" i="7" s="1"/>
  <c r="F1619" i="7" s="1"/>
  <c r="G1619" i="7" s="1"/>
  <c r="F1620" i="7" s="1"/>
  <c r="G1620" i="7" s="1"/>
  <c r="F1621" i="7" s="1"/>
  <c r="G1621" i="7" s="1"/>
  <c r="F1622" i="7" s="1"/>
  <c r="G1622" i="7" s="1"/>
  <c r="F1623" i="7" s="1"/>
  <c r="G1623" i="7" s="1"/>
  <c r="F1624" i="7" s="1"/>
  <c r="G1624" i="7" s="1"/>
  <c r="F1625" i="7" s="1"/>
  <c r="G1625" i="7" s="1"/>
  <c r="F1626" i="7" s="1"/>
  <c r="G1626" i="7" s="1"/>
  <c r="F1627" i="7" s="1"/>
  <c r="G1627" i="7" s="1"/>
  <c r="F1628" i="7" s="1"/>
  <c r="G1628" i="7" s="1"/>
  <c r="F1629" i="7" s="1"/>
  <c r="G1629" i="7" s="1"/>
  <c r="F1630" i="7" s="1"/>
  <c r="G1630" i="7" s="1"/>
  <c r="F1631" i="7" s="1"/>
  <c r="G1631" i="7" s="1"/>
  <c r="F1632" i="7" s="1"/>
  <c r="G1632" i="7" s="1"/>
  <c r="F1633" i="7" s="1"/>
  <c r="G1633" i="7" s="1"/>
  <c r="F1634" i="7" s="1"/>
  <c r="G1634" i="7" s="1"/>
  <c r="F1635" i="7" s="1"/>
  <c r="G1635" i="7" s="1"/>
  <c r="F1636" i="7" s="1"/>
  <c r="G1636" i="7" s="1"/>
  <c r="F1637" i="7" s="1"/>
  <c r="G1637" i="7" s="1"/>
  <c r="F1638" i="7" s="1"/>
  <c r="G1638" i="7" s="1"/>
  <c r="F1639" i="7" s="1"/>
  <c r="G1639" i="7" s="1"/>
  <c r="F1640" i="7" s="1"/>
  <c r="G1640" i="7" s="1"/>
  <c r="F1641" i="7" s="1"/>
  <c r="G1641" i="7" s="1"/>
  <c r="F1642" i="7" s="1"/>
  <c r="G1642" i="7" s="1"/>
  <c r="F1643" i="7" s="1"/>
  <c r="G1643" i="7" s="1"/>
  <c r="F1644" i="7" s="1"/>
  <c r="G1644" i="7" s="1"/>
  <c r="F1645" i="7" s="1"/>
  <c r="G1645" i="7" s="1"/>
  <c r="F1646" i="7" s="1"/>
  <c r="G1646" i="7" s="1"/>
  <c r="F1647" i="7" s="1"/>
  <c r="G1647" i="7" s="1"/>
  <c r="F1648" i="7" s="1"/>
  <c r="G1648" i="7" s="1"/>
  <c r="F1649" i="7" s="1"/>
  <c r="G1649" i="7" s="1"/>
  <c r="F1650" i="7" s="1"/>
  <c r="G1650" i="7" s="1"/>
  <c r="F1651" i="7" s="1"/>
  <c r="G1651" i="7" s="1"/>
  <c r="F1652" i="7" s="1"/>
  <c r="G1652" i="7" s="1"/>
  <c r="F1653" i="7" s="1"/>
  <c r="G1653" i="7" s="1"/>
  <c r="F1654" i="7" s="1"/>
  <c r="G1654" i="7" s="1"/>
  <c r="F1655" i="7" s="1"/>
  <c r="G1655" i="7" s="1"/>
  <c r="F1656" i="7" s="1"/>
  <c r="G1656" i="7" s="1"/>
  <c r="F1657" i="7" s="1"/>
  <c r="G1657" i="7" s="1"/>
  <c r="F1658" i="7" s="1"/>
  <c r="G1658" i="7" s="1"/>
  <c r="F1659" i="7" s="1"/>
  <c r="G1659" i="7" s="1"/>
  <c r="F1660" i="7" s="1"/>
  <c r="G1660" i="7" s="1"/>
  <c r="F1661" i="7" s="1"/>
  <c r="G1661" i="7" s="1"/>
  <c r="F1662" i="7" s="1"/>
  <c r="G1662" i="7" s="1"/>
  <c r="F1663" i="7" s="1"/>
  <c r="G1663" i="7" s="1"/>
  <c r="F1664" i="7" s="1"/>
  <c r="G1664" i="7" s="1"/>
  <c r="F1665" i="7" s="1"/>
  <c r="G1665" i="7" s="1"/>
  <c r="F1666" i="7" s="1"/>
  <c r="G1666" i="7" s="1"/>
  <c r="F1667" i="7" s="1"/>
  <c r="G1667" i="7" s="1"/>
  <c r="F1668" i="7" s="1"/>
  <c r="G1668" i="7" s="1"/>
  <c r="F1669" i="7" s="1"/>
  <c r="G1669" i="7" s="1"/>
  <c r="F1670" i="7" s="1"/>
  <c r="G1670" i="7" s="1"/>
  <c r="F1671" i="7" s="1"/>
  <c r="G1671" i="7" s="1"/>
  <c r="F1672" i="7" s="1"/>
  <c r="G1672" i="7" s="1"/>
  <c r="F1673" i="7" s="1"/>
  <c r="G1673" i="7" s="1"/>
  <c r="F1674" i="7" s="1"/>
  <c r="G1674" i="7" s="1"/>
  <c r="F1675" i="7" s="1"/>
  <c r="G1675" i="7" s="1"/>
  <c r="F1676" i="7" s="1"/>
  <c r="G1676" i="7" s="1"/>
  <c r="F1677" i="7" s="1"/>
  <c r="G1677" i="7" s="1"/>
  <c r="F1678" i="7" s="1"/>
  <c r="G1678" i="7" s="1"/>
  <c r="F1679" i="7" s="1"/>
  <c r="G1679" i="7" s="1"/>
  <c r="F1680" i="7" s="1"/>
  <c r="G1680" i="7" s="1"/>
  <c r="F1681" i="7" s="1"/>
  <c r="G1681" i="7" s="1"/>
  <c r="F1682" i="7" s="1"/>
  <c r="G1682" i="7" s="1"/>
  <c r="F1683" i="7" s="1"/>
  <c r="G1683" i="7" s="1"/>
  <c r="F1684" i="7" s="1"/>
  <c r="G1684" i="7" s="1"/>
  <c r="F1685" i="7" s="1"/>
  <c r="G1685" i="7" s="1"/>
  <c r="F1686" i="7" s="1"/>
  <c r="G1686" i="7" s="1"/>
  <c r="F1687" i="7" s="1"/>
  <c r="G1687" i="7" s="1"/>
  <c r="F1688" i="7" s="1"/>
  <c r="G1688" i="7" s="1"/>
  <c r="F1689" i="7" s="1"/>
  <c r="G1689" i="7" s="1"/>
  <c r="F1690" i="7" s="1"/>
  <c r="G1690" i="7" s="1"/>
  <c r="F1691" i="7" s="1"/>
  <c r="G1691" i="7" s="1"/>
  <c r="F1692" i="7" s="1"/>
  <c r="G1692" i="7" s="1"/>
  <c r="F1693" i="7" s="1"/>
  <c r="G1693" i="7" s="1"/>
  <c r="F1694" i="7" s="1"/>
  <c r="G1694" i="7" s="1"/>
  <c r="F1695" i="7" s="1"/>
  <c r="G1695" i="7" s="1"/>
  <c r="F1696" i="7" s="1"/>
  <c r="G1696" i="7" s="1"/>
  <c r="F1697" i="7" s="1"/>
  <c r="G1697" i="7" s="1"/>
  <c r="F1698" i="7" s="1"/>
  <c r="G1698" i="7" s="1"/>
  <c r="F1699" i="7" s="1"/>
  <c r="G1699" i="7" s="1"/>
  <c r="F1700" i="7" s="1"/>
  <c r="G1700" i="7" s="1"/>
  <c r="F1701" i="7" s="1"/>
  <c r="G1701" i="7" s="1"/>
  <c r="F1702" i="7" s="1"/>
  <c r="G1702" i="7" s="1"/>
  <c r="F1703" i="7" s="1"/>
  <c r="G1703" i="7" s="1"/>
  <c r="F1704" i="7" s="1"/>
  <c r="G1704" i="7" s="1"/>
  <c r="F1705" i="7" s="1"/>
  <c r="G1705" i="7" s="1"/>
  <c r="F1706" i="7" s="1"/>
  <c r="G1706" i="7" s="1"/>
  <c r="F1707" i="7" s="1"/>
  <c r="G1707" i="7" s="1"/>
  <c r="F1708" i="7" s="1"/>
  <c r="G1708" i="7" s="1"/>
  <c r="F1709" i="7" s="1"/>
  <c r="G1709" i="7" s="1"/>
  <c r="F1710" i="7" s="1"/>
  <c r="G1710" i="7" s="1"/>
  <c r="F1711" i="7" s="1"/>
  <c r="G1711" i="7" s="1"/>
  <c r="F1712" i="7" s="1"/>
  <c r="G1712" i="7" s="1"/>
  <c r="F1713" i="7" s="1"/>
  <c r="G1713" i="7" s="1"/>
  <c r="F1714" i="7" s="1"/>
  <c r="G1714" i="7" s="1"/>
  <c r="F1715" i="7" s="1"/>
  <c r="G1715" i="7" s="1"/>
  <c r="F1716" i="7" s="1"/>
  <c r="G1716" i="7" s="1"/>
  <c r="F1717" i="7" s="1"/>
  <c r="G1717" i="7" s="1"/>
  <c r="F1718" i="7" s="1"/>
  <c r="G1718" i="7" s="1"/>
  <c r="F1719" i="7" s="1"/>
  <c r="G1719" i="7" s="1"/>
  <c r="F1720" i="7" s="1"/>
  <c r="G1720" i="7" s="1"/>
  <c r="F1721" i="7" s="1"/>
  <c r="G1721" i="7" s="1"/>
  <c r="F1722" i="7" s="1"/>
  <c r="G1722" i="7" s="1"/>
  <c r="F1723" i="7" s="1"/>
  <c r="G1723" i="7" s="1"/>
  <c r="F1724" i="7" s="1"/>
  <c r="G1724" i="7" s="1"/>
  <c r="F1725" i="7" s="1"/>
  <c r="G1725" i="7" s="1"/>
  <c r="F1726" i="7" s="1"/>
  <c r="G1726" i="7" s="1"/>
  <c r="F1727" i="7" s="1"/>
  <c r="G1727" i="7" s="1"/>
  <c r="F1728" i="7" s="1"/>
  <c r="G1728" i="7" s="1"/>
  <c r="F1729" i="7" s="1"/>
  <c r="G1729" i="7" s="1"/>
  <c r="F1730" i="7" s="1"/>
  <c r="G1730" i="7" s="1"/>
  <c r="F1731" i="7" s="1"/>
  <c r="G1731" i="7" s="1"/>
  <c r="F1732" i="7" s="1"/>
  <c r="G1732" i="7" s="1"/>
  <c r="F1733" i="7" s="1"/>
  <c r="G1733" i="7" s="1"/>
  <c r="F1734" i="7" s="1"/>
  <c r="G1734" i="7" s="1"/>
  <c r="F1735" i="7" s="1"/>
  <c r="G1735" i="7" s="1"/>
  <c r="F1736" i="7" s="1"/>
  <c r="G1736" i="7" s="1"/>
  <c r="F1737" i="7" s="1"/>
  <c r="G1737" i="7" s="1"/>
  <c r="F1738" i="7" s="1"/>
  <c r="G1738" i="7" s="1"/>
  <c r="F1739" i="7" s="1"/>
  <c r="G1739" i="7" s="1"/>
  <c r="F1740" i="7" s="1"/>
  <c r="G1740" i="7" s="1"/>
  <c r="F1741" i="7" s="1"/>
  <c r="G1741" i="7" s="1"/>
  <c r="F1742" i="7" s="1"/>
  <c r="G1742" i="7" s="1"/>
  <c r="F1743" i="7" s="1"/>
  <c r="G1743" i="7" s="1"/>
  <c r="F1744" i="7" s="1"/>
  <c r="G1744" i="7" s="1"/>
  <c r="F1745" i="7" s="1"/>
  <c r="G1745" i="7" s="1"/>
  <c r="F1746" i="7" s="1"/>
  <c r="G1746" i="7" s="1"/>
  <c r="F1747" i="7" s="1"/>
  <c r="G1747" i="7" s="1"/>
  <c r="F1748" i="7" s="1"/>
  <c r="G1748" i="7" s="1"/>
  <c r="F1749" i="7" s="1"/>
  <c r="G1749" i="7" s="1"/>
  <c r="F1750" i="7" s="1"/>
  <c r="G1750" i="7" s="1"/>
  <c r="F1751" i="7" s="1"/>
  <c r="G1751" i="7" s="1"/>
  <c r="F1752" i="7" s="1"/>
  <c r="G1752" i="7" s="1"/>
  <c r="F1753" i="7" s="1"/>
  <c r="G1753" i="7" s="1"/>
  <c r="F1754" i="7" s="1"/>
  <c r="G1754" i="7" s="1"/>
  <c r="F1755" i="7" s="1"/>
  <c r="G1755" i="7" s="1"/>
  <c r="F1756" i="7" s="1"/>
  <c r="G1756" i="7" s="1"/>
  <c r="F1757" i="7" s="1"/>
  <c r="G1757" i="7" s="1"/>
  <c r="F1758" i="7" s="1"/>
  <c r="G1758" i="7" s="1"/>
  <c r="F1759" i="7" s="1"/>
  <c r="G1759" i="7" s="1"/>
  <c r="F1760" i="7" s="1"/>
  <c r="G1760" i="7" s="1"/>
  <c r="F1761" i="7" s="1"/>
  <c r="G1761" i="7" s="1"/>
  <c r="F1762" i="7" s="1"/>
  <c r="G1762" i="7" s="1"/>
  <c r="F1763" i="7" s="1"/>
  <c r="G1763" i="7" s="1"/>
  <c r="F1764" i="7" s="1"/>
  <c r="G1764" i="7" s="1"/>
  <c r="F1765" i="7" s="1"/>
  <c r="G1765" i="7" s="1"/>
  <c r="F1766" i="7" s="1"/>
  <c r="G1766" i="7" s="1"/>
  <c r="F1767" i="7" s="1"/>
  <c r="G1767" i="7" s="1"/>
  <c r="F1768" i="7" s="1"/>
  <c r="G1768" i="7" s="1"/>
  <c r="F1769" i="7" s="1"/>
  <c r="G1769" i="7" s="1"/>
  <c r="F1770" i="7" s="1"/>
  <c r="G1770" i="7" s="1"/>
  <c r="F1771" i="7" s="1"/>
  <c r="G1771" i="7" s="1"/>
  <c r="F1772" i="7" s="1"/>
  <c r="G1772" i="7" s="1"/>
  <c r="F1773" i="7" s="1"/>
  <c r="G1773" i="7" s="1"/>
  <c r="F1774" i="7" s="1"/>
  <c r="G1774" i="7" s="1"/>
  <c r="F1775" i="7" s="1"/>
  <c r="G1775" i="7" s="1"/>
  <c r="F1776" i="7" s="1"/>
  <c r="G1776" i="7" s="1"/>
  <c r="F1777" i="7" s="1"/>
  <c r="G1777" i="7" s="1"/>
  <c r="F1778" i="7" s="1"/>
  <c r="G1778" i="7" s="1"/>
  <c r="F1779" i="7" s="1"/>
  <c r="G1779" i="7" s="1"/>
  <c r="F1780" i="7" s="1"/>
  <c r="G1780" i="7" s="1"/>
  <c r="F1781" i="7" s="1"/>
  <c r="G1781" i="7" s="1"/>
  <c r="F1782" i="7" s="1"/>
  <c r="G1782" i="7" s="1"/>
  <c r="F1783" i="7" s="1"/>
  <c r="G1783" i="7" s="1"/>
  <c r="F1784" i="7" s="1"/>
  <c r="G1784" i="7" s="1"/>
  <c r="F1785" i="7" s="1"/>
  <c r="G1785" i="7" s="1"/>
  <c r="F1786" i="7" s="1"/>
  <c r="G1786" i="7" s="1"/>
  <c r="F1787" i="7" s="1"/>
  <c r="G1787" i="7" s="1"/>
  <c r="F1788" i="7" s="1"/>
  <c r="G1788" i="7" s="1"/>
  <c r="F1789" i="7" s="1"/>
  <c r="G1789" i="7" s="1"/>
  <c r="F1790" i="7" s="1"/>
  <c r="G1790" i="7" s="1"/>
  <c r="F1791" i="7" s="1"/>
  <c r="G1791" i="7" s="1"/>
  <c r="F1792" i="7" s="1"/>
  <c r="G1792" i="7" s="1"/>
  <c r="F1793" i="7" s="1"/>
  <c r="G1793" i="7" s="1"/>
  <c r="F1794" i="7" s="1"/>
  <c r="G1794" i="7" s="1"/>
  <c r="F1795" i="7" s="1"/>
  <c r="G1795" i="7" s="1"/>
  <c r="F1796" i="7" s="1"/>
  <c r="G1796" i="7" s="1"/>
  <c r="F1797" i="7" s="1"/>
  <c r="G1797" i="7" s="1"/>
  <c r="F1798" i="7" s="1"/>
  <c r="G1798" i="7" s="1"/>
  <c r="F1799" i="7" s="1"/>
  <c r="G1799" i="7" s="1"/>
  <c r="F1800" i="7" s="1"/>
  <c r="G1800" i="7" s="1"/>
  <c r="F1801" i="7" s="1"/>
  <c r="G1801" i="7" s="1"/>
  <c r="F1802" i="7" s="1"/>
  <c r="G1802" i="7" s="1"/>
  <c r="F1803" i="7" s="1"/>
  <c r="G1803" i="7" s="1"/>
  <c r="F1804" i="7" s="1"/>
  <c r="G1804" i="7" s="1"/>
  <c r="F1805" i="7" s="1"/>
  <c r="G1805" i="7" s="1"/>
  <c r="F1806" i="7" s="1"/>
  <c r="G1806" i="7" s="1"/>
  <c r="F1807" i="7" s="1"/>
  <c r="G1807" i="7" s="1"/>
  <c r="F1808" i="7" s="1"/>
  <c r="G1808" i="7" s="1"/>
  <c r="F1809" i="7" s="1"/>
  <c r="G1809" i="7" s="1"/>
  <c r="F1810" i="7" s="1"/>
  <c r="G1810" i="7" s="1"/>
  <c r="F1811" i="7" s="1"/>
  <c r="G1811" i="7" s="1"/>
  <c r="F1812" i="7" s="1"/>
  <c r="G1812" i="7" s="1"/>
  <c r="F1813" i="7" s="1"/>
  <c r="G1813" i="7" s="1"/>
  <c r="F1814" i="7" s="1"/>
  <c r="G1814" i="7" s="1"/>
  <c r="F1815" i="7" s="1"/>
  <c r="G1815" i="7" s="1"/>
  <c r="F1816" i="7" s="1"/>
  <c r="G1816" i="7" s="1"/>
  <c r="F1817" i="7" s="1"/>
  <c r="G1817" i="7" s="1"/>
  <c r="F1818" i="7" s="1"/>
  <c r="G1818" i="7" s="1"/>
  <c r="F1819" i="7" s="1"/>
  <c r="G1819" i="7" s="1"/>
  <c r="F1820" i="7" s="1"/>
  <c r="G1820" i="7" s="1"/>
  <c r="F1821" i="7" s="1"/>
  <c r="G1821" i="7" s="1"/>
  <c r="F1822" i="7" s="1"/>
  <c r="G1822" i="7" s="1"/>
  <c r="F1823" i="7" s="1"/>
  <c r="G1823" i="7" s="1"/>
  <c r="F1824" i="7" s="1"/>
  <c r="G1824" i="7" s="1"/>
  <c r="F1825" i="7" s="1"/>
  <c r="G1825" i="7" s="1"/>
  <c r="F1826" i="7" s="1"/>
  <c r="G1826" i="7" s="1"/>
  <c r="F1827" i="7" s="1"/>
  <c r="G1827" i="7" s="1"/>
  <c r="F1828" i="7" s="1"/>
  <c r="G1828" i="7" s="1"/>
  <c r="F1829" i="7" s="1"/>
  <c r="G1829" i="7" s="1"/>
  <c r="F1830" i="7" s="1"/>
  <c r="G1830" i="7" s="1"/>
  <c r="F1831" i="7" s="1"/>
  <c r="G1831" i="7" s="1"/>
  <c r="F1832" i="7" s="1"/>
  <c r="G1832" i="7" s="1"/>
  <c r="F1833" i="7" s="1"/>
  <c r="G1833" i="7" s="1"/>
  <c r="F1834" i="7" s="1"/>
  <c r="G1834" i="7" s="1"/>
  <c r="F1835" i="7" s="1"/>
  <c r="G1835" i="7" s="1"/>
  <c r="F1836" i="7" s="1"/>
  <c r="G1836" i="7" s="1"/>
  <c r="F1837" i="7" s="1"/>
  <c r="G1837" i="7" s="1"/>
  <c r="F1838" i="7" s="1"/>
  <c r="G1838" i="7" s="1"/>
  <c r="F1839" i="7" s="1"/>
  <c r="G1839" i="7" s="1"/>
  <c r="F1840" i="7" s="1"/>
  <c r="G1840" i="7" s="1"/>
  <c r="F1841" i="7" s="1"/>
  <c r="G1841" i="7" s="1"/>
  <c r="F1842" i="7" s="1"/>
  <c r="G1842" i="7" s="1"/>
  <c r="F1843" i="7" s="1"/>
  <c r="G1843" i="7" s="1"/>
  <c r="F1844" i="7" s="1"/>
  <c r="G1844" i="7" s="1"/>
  <c r="F1845" i="7" s="1"/>
  <c r="G1845" i="7" s="1"/>
  <c r="F1846" i="7" s="1"/>
  <c r="G1846" i="7" s="1"/>
  <c r="F1847" i="7" s="1"/>
  <c r="G1847" i="7" s="1"/>
  <c r="F1848" i="7" s="1"/>
  <c r="G1848" i="7" s="1"/>
  <c r="F1849" i="7" s="1"/>
  <c r="G1849" i="7" s="1"/>
  <c r="F1850" i="7" s="1"/>
  <c r="G1850" i="7" s="1"/>
  <c r="F1851" i="7" s="1"/>
  <c r="G1851" i="7" s="1"/>
  <c r="F1852" i="7" s="1"/>
  <c r="G1852" i="7" s="1"/>
  <c r="F1853" i="7" s="1"/>
  <c r="G1853" i="7" s="1"/>
  <c r="F1854" i="7" s="1"/>
  <c r="G1854" i="7" s="1"/>
  <c r="F1855" i="7" s="1"/>
  <c r="G1855" i="7" s="1"/>
  <c r="F1856" i="7" s="1"/>
  <c r="G1856" i="7" s="1"/>
  <c r="F1857" i="7" s="1"/>
  <c r="G1857" i="7" s="1"/>
  <c r="F1858" i="7" s="1"/>
  <c r="G1858" i="7" s="1"/>
  <c r="F1859" i="7" s="1"/>
  <c r="G1859" i="7" s="1"/>
  <c r="F1860" i="7" s="1"/>
  <c r="G1860" i="7" s="1"/>
  <c r="F1861" i="7" s="1"/>
  <c r="G1861" i="7" s="1"/>
  <c r="F1862" i="7" s="1"/>
  <c r="G1862" i="7" s="1"/>
  <c r="F1863" i="7" s="1"/>
  <c r="G1863" i="7" s="1"/>
  <c r="F1864" i="7" s="1"/>
  <c r="G1864" i="7" s="1"/>
  <c r="F1865" i="7" s="1"/>
  <c r="G1865" i="7" s="1"/>
  <c r="F1866" i="7" s="1"/>
  <c r="G1866" i="7" s="1"/>
  <c r="F1867" i="7" s="1"/>
  <c r="G1867" i="7" s="1"/>
  <c r="F1868" i="7" s="1"/>
  <c r="G1868" i="7" s="1"/>
  <c r="F1869" i="7" s="1"/>
  <c r="G1869" i="7" s="1"/>
  <c r="F1870" i="7" s="1"/>
  <c r="G1870" i="7" s="1"/>
  <c r="F1871" i="7" s="1"/>
  <c r="G1871" i="7" s="1"/>
  <c r="F1872" i="7" s="1"/>
  <c r="G1872" i="7" s="1"/>
  <c r="F1873" i="7" s="1"/>
  <c r="G1873" i="7" s="1"/>
  <c r="F1874" i="7" s="1"/>
  <c r="G1874" i="7" s="1"/>
  <c r="F1875" i="7" s="1"/>
  <c r="G1875" i="7" s="1"/>
  <c r="F1876" i="7" s="1"/>
  <c r="G1876" i="7" s="1"/>
  <c r="F1877" i="7" s="1"/>
  <c r="G1877" i="7" s="1"/>
  <c r="F1878" i="7" s="1"/>
  <c r="G1878" i="7" s="1"/>
  <c r="F1879" i="7" s="1"/>
  <c r="G1879" i="7" s="1"/>
  <c r="F1880" i="7" s="1"/>
  <c r="G1880" i="7" s="1"/>
  <c r="F1881" i="7" s="1"/>
  <c r="G1881" i="7" s="1"/>
  <c r="F1882" i="7" s="1"/>
  <c r="G1882" i="7" s="1"/>
  <c r="F1883" i="7" s="1"/>
  <c r="G1883" i="7" s="1"/>
  <c r="F1884" i="7" s="1"/>
  <c r="G1884" i="7" s="1"/>
  <c r="F1885" i="7" s="1"/>
  <c r="G1885" i="7" s="1"/>
  <c r="F1886" i="7" s="1"/>
  <c r="G1886" i="7" s="1"/>
  <c r="F1887" i="7" s="1"/>
  <c r="G1887" i="7" s="1"/>
  <c r="F1888" i="7" s="1"/>
  <c r="G1888" i="7" s="1"/>
  <c r="F1889" i="7" s="1"/>
  <c r="G1889" i="7" s="1"/>
  <c r="F1890" i="7" s="1"/>
  <c r="G1890" i="7" s="1"/>
  <c r="F1891" i="7" s="1"/>
  <c r="G1891" i="7" s="1"/>
  <c r="F1892" i="7" s="1"/>
  <c r="G1892" i="7" s="1"/>
  <c r="F1893" i="7" s="1"/>
  <c r="G1893" i="7" s="1"/>
  <c r="F1894" i="7" s="1"/>
  <c r="G1894" i="7" s="1"/>
  <c r="F1895" i="7" s="1"/>
  <c r="G1895" i="7" s="1"/>
  <c r="F1896" i="7" s="1"/>
  <c r="G1896" i="7" s="1"/>
  <c r="F1897" i="7" s="1"/>
  <c r="G1897" i="7" s="1"/>
  <c r="F1898" i="7" s="1"/>
  <c r="G1898" i="7" s="1"/>
  <c r="F1899" i="7" s="1"/>
  <c r="G1899" i="7" s="1"/>
  <c r="F1900" i="7" s="1"/>
  <c r="G1900" i="7" s="1"/>
  <c r="F1901" i="7" s="1"/>
  <c r="G1901" i="7" s="1"/>
  <c r="F1902" i="7" s="1"/>
  <c r="G1902" i="7" s="1"/>
  <c r="F1903" i="7" s="1"/>
  <c r="G1903" i="7" s="1"/>
  <c r="F1904" i="7" s="1"/>
  <c r="G1904" i="7" s="1"/>
  <c r="F1905" i="7" s="1"/>
  <c r="G1905" i="7" s="1"/>
  <c r="F1906" i="7" s="1"/>
  <c r="G1906" i="7" s="1"/>
  <c r="F1907" i="7" s="1"/>
  <c r="G1907" i="7" s="1"/>
  <c r="F1908" i="7" s="1"/>
  <c r="G1908" i="7" s="1"/>
  <c r="F1909" i="7" s="1"/>
  <c r="G1909" i="7" s="1"/>
  <c r="F1910" i="7" s="1"/>
  <c r="G1910" i="7" s="1"/>
  <c r="F1911" i="7" s="1"/>
  <c r="G1911" i="7" s="1"/>
  <c r="F1912" i="7" s="1"/>
  <c r="G1912" i="7" s="1"/>
  <c r="F1913" i="7" s="1"/>
  <c r="G1913" i="7" s="1"/>
  <c r="F1914" i="7" s="1"/>
  <c r="G1914" i="7" s="1"/>
  <c r="F1915" i="7" s="1"/>
  <c r="G1915" i="7" s="1"/>
  <c r="F1916" i="7" s="1"/>
  <c r="G1916" i="7" s="1"/>
  <c r="F1917" i="7" s="1"/>
  <c r="G1917" i="7" s="1"/>
  <c r="F1918" i="7" s="1"/>
  <c r="G1918" i="7" s="1"/>
  <c r="F1919" i="7" s="1"/>
  <c r="G1919" i="7" s="1"/>
  <c r="F1920" i="7" s="1"/>
  <c r="G1920" i="7" s="1"/>
  <c r="F1921" i="7" s="1"/>
  <c r="G1921" i="7" s="1"/>
  <c r="F1922" i="7" s="1"/>
  <c r="G1922" i="7" s="1"/>
  <c r="F1923" i="7" s="1"/>
  <c r="G1923" i="7" s="1"/>
  <c r="F1924" i="7" s="1"/>
  <c r="G1924" i="7" s="1"/>
  <c r="F1925" i="7" s="1"/>
  <c r="G1925" i="7" s="1"/>
  <c r="F1926" i="7" s="1"/>
  <c r="G1926" i="7" s="1"/>
  <c r="F1927" i="7" s="1"/>
  <c r="G1927" i="7" s="1"/>
  <c r="F1928" i="7" s="1"/>
  <c r="G1928" i="7" s="1"/>
  <c r="F1929" i="7" s="1"/>
  <c r="G1929" i="7" s="1"/>
  <c r="F1930" i="7" s="1"/>
  <c r="G1930" i="7" s="1"/>
  <c r="F1931" i="7" s="1"/>
  <c r="G1931" i="7" s="1"/>
  <c r="F1932" i="7" s="1"/>
  <c r="G1932" i="7" s="1"/>
  <c r="F1933" i="7" s="1"/>
  <c r="G1933" i="7" s="1"/>
  <c r="F1934" i="7" s="1"/>
  <c r="G1934" i="7" s="1"/>
  <c r="F1935" i="7" s="1"/>
  <c r="G1935" i="7" s="1"/>
  <c r="F1936" i="7" s="1"/>
  <c r="G1936" i="7" s="1"/>
  <c r="F1937" i="7" s="1"/>
  <c r="G1937" i="7" s="1"/>
  <c r="F1938" i="7" s="1"/>
  <c r="G1938" i="7" s="1"/>
  <c r="F1939" i="7" s="1"/>
  <c r="G1939" i="7" s="1"/>
  <c r="F1940" i="7" s="1"/>
  <c r="G1940" i="7" s="1"/>
  <c r="F1941" i="7" s="1"/>
  <c r="G1941" i="7" s="1"/>
  <c r="F1942" i="7" s="1"/>
  <c r="G1942" i="7" s="1"/>
  <c r="F1943" i="7" s="1"/>
  <c r="G1943" i="7" s="1"/>
  <c r="F1944" i="7" s="1"/>
  <c r="G1944" i="7" s="1"/>
  <c r="F1945" i="7" s="1"/>
  <c r="G1945" i="7" s="1"/>
  <c r="F1946" i="7" s="1"/>
  <c r="G1946" i="7" s="1"/>
  <c r="F1947" i="7" s="1"/>
  <c r="G1947" i="7" s="1"/>
  <c r="F1948" i="7" s="1"/>
  <c r="G1948" i="7" s="1"/>
  <c r="F1949" i="7" s="1"/>
  <c r="G1949" i="7" s="1"/>
  <c r="F1950" i="7" s="1"/>
  <c r="G1950" i="7" s="1"/>
  <c r="F1951" i="7" s="1"/>
  <c r="G1951" i="7" s="1"/>
  <c r="F1952" i="7" s="1"/>
  <c r="G1952" i="7" s="1"/>
  <c r="F1953" i="7" s="1"/>
  <c r="G1953" i="7" s="1"/>
  <c r="F1954" i="7" s="1"/>
  <c r="G1954" i="7" s="1"/>
  <c r="F1955" i="7" s="1"/>
  <c r="G1955" i="7" s="1"/>
  <c r="F1956" i="7" s="1"/>
  <c r="G1956" i="7" s="1"/>
  <c r="F1957" i="7" s="1"/>
  <c r="G1957" i="7" s="1"/>
  <c r="F1958" i="7" s="1"/>
  <c r="G1958" i="7" s="1"/>
  <c r="F1959" i="7" s="1"/>
  <c r="G1959" i="7" s="1"/>
  <c r="F1960" i="7" s="1"/>
  <c r="G1960" i="7" s="1"/>
  <c r="F1961" i="7" s="1"/>
  <c r="G1961" i="7" s="1"/>
  <c r="F1962" i="7" s="1"/>
  <c r="G1962" i="7" s="1"/>
  <c r="F1963" i="7" s="1"/>
  <c r="G1963" i="7" s="1"/>
  <c r="F1964" i="7" s="1"/>
  <c r="G1964" i="7" s="1"/>
  <c r="F1965" i="7" s="1"/>
  <c r="G1965" i="7" s="1"/>
  <c r="F1966" i="7" s="1"/>
  <c r="G1966" i="7" s="1"/>
  <c r="F1967" i="7" s="1"/>
  <c r="G1967" i="7" s="1"/>
  <c r="F1968" i="7" s="1"/>
  <c r="G1968" i="7" s="1"/>
  <c r="F1969" i="7" s="1"/>
  <c r="G1969" i="7" s="1"/>
  <c r="F1970" i="7" s="1"/>
  <c r="G1970" i="7" s="1"/>
  <c r="F1971" i="7" s="1"/>
  <c r="G1971" i="7" s="1"/>
  <c r="F1972" i="7" s="1"/>
  <c r="G1972" i="7" s="1"/>
  <c r="F1973" i="7" s="1"/>
  <c r="G1973" i="7" s="1"/>
  <c r="F1974" i="7" s="1"/>
  <c r="G1974" i="7" s="1"/>
  <c r="F1975" i="7" s="1"/>
  <c r="G1975" i="7" s="1"/>
  <c r="F1976" i="7" s="1"/>
  <c r="G1976" i="7" s="1"/>
  <c r="F1977" i="7" s="1"/>
  <c r="G1977" i="7" s="1"/>
  <c r="F1978" i="7" s="1"/>
  <c r="G1978" i="7" s="1"/>
  <c r="F1979" i="7" s="1"/>
  <c r="G1979" i="7" s="1"/>
  <c r="F1980" i="7" s="1"/>
  <c r="G1980" i="7" s="1"/>
  <c r="F1981" i="7" s="1"/>
  <c r="G1981" i="7" s="1"/>
  <c r="F1982" i="7" s="1"/>
  <c r="G1982" i="7" s="1"/>
  <c r="F1983" i="7" s="1"/>
  <c r="G1983" i="7" s="1"/>
  <c r="F1984" i="7" s="1"/>
  <c r="G1984" i="7" s="1"/>
  <c r="F1985" i="7" s="1"/>
  <c r="G1985" i="7" s="1"/>
  <c r="F1986" i="7" s="1"/>
  <c r="G1986" i="7" s="1"/>
  <c r="F1987" i="7" s="1"/>
  <c r="G1987" i="7" s="1"/>
  <c r="F1988" i="7" s="1"/>
  <c r="G1988" i="7" s="1"/>
  <c r="F1989" i="7" s="1"/>
  <c r="G1989" i="7" s="1"/>
  <c r="F1990" i="7" s="1"/>
  <c r="G1990" i="7" s="1"/>
  <c r="F1991" i="7" s="1"/>
  <c r="G1991" i="7" s="1"/>
  <c r="F1992" i="7" s="1"/>
  <c r="G1992" i="7" s="1"/>
  <c r="F1993" i="7" s="1"/>
  <c r="G1993" i="7" s="1"/>
  <c r="F1994" i="7" s="1"/>
  <c r="G1994" i="7" s="1"/>
  <c r="F1995" i="7" s="1"/>
  <c r="G1995" i="7" s="1"/>
  <c r="F1996" i="7" s="1"/>
  <c r="G1996" i="7" s="1"/>
  <c r="F1997" i="7" s="1"/>
  <c r="G1997" i="7" s="1"/>
  <c r="F1998" i="7" s="1"/>
  <c r="G1998" i="7" s="1"/>
  <c r="F1999" i="7" s="1"/>
  <c r="G1999" i="7" s="1"/>
  <c r="F2000" i="7" s="1"/>
  <c r="G2000" i="7" s="1"/>
  <c r="F2001" i="7" s="1"/>
  <c r="G2001" i="7" s="1"/>
  <c r="F2002" i="7" s="1"/>
  <c r="G2002" i="7" s="1"/>
  <c r="F2003" i="7" s="1"/>
  <c r="G2003" i="7" s="1"/>
  <c r="F2004" i="7" s="1"/>
  <c r="G2004" i="7" s="1"/>
  <c r="F2005" i="7" s="1"/>
  <c r="G2005" i="7" s="1"/>
  <c r="F2006" i="7" s="1"/>
  <c r="G2006" i="7" s="1"/>
  <c r="F2007" i="7" s="1"/>
  <c r="G2007" i="7" s="1"/>
  <c r="F2008" i="7" s="1"/>
  <c r="G2008" i="7" s="1"/>
  <c r="F2009" i="7" s="1"/>
  <c r="G2009" i="7" s="1"/>
  <c r="F2010" i="7" s="1"/>
  <c r="G2010" i="7" s="1"/>
  <c r="F2011" i="7" s="1"/>
  <c r="G2011" i="7" s="1"/>
  <c r="F2012" i="7" s="1"/>
  <c r="G2012" i="7" s="1"/>
  <c r="F2013" i="7" s="1"/>
  <c r="G2013" i="7" s="1"/>
  <c r="F2014" i="7" s="1"/>
  <c r="G2014" i="7" s="1"/>
  <c r="F2015" i="7" s="1"/>
  <c r="G2015" i="7" s="1"/>
  <c r="F2016" i="7" s="1"/>
  <c r="G2016" i="7" s="1"/>
  <c r="F2017" i="7" s="1"/>
  <c r="G2017" i="7" s="1"/>
  <c r="F2018" i="7" s="1"/>
  <c r="G2018" i="7" s="1"/>
  <c r="F2019" i="7" s="1"/>
  <c r="G2019" i="7" s="1"/>
  <c r="F2020" i="7" s="1"/>
  <c r="G2020" i="7" s="1"/>
  <c r="F2021" i="7" s="1"/>
  <c r="G2021" i="7" s="1"/>
  <c r="F2022" i="7" s="1"/>
  <c r="G2022" i="7" s="1"/>
  <c r="F2023" i="7" s="1"/>
  <c r="G2023" i="7" s="1"/>
  <c r="F2024" i="7" s="1"/>
  <c r="G2024" i="7" s="1"/>
  <c r="F2025" i="7" s="1"/>
  <c r="G2025" i="7" s="1"/>
  <c r="F2026" i="7" s="1"/>
  <c r="G2026" i="7" s="1"/>
  <c r="F2027" i="7" s="1"/>
  <c r="G2027" i="7" s="1"/>
  <c r="F2028" i="7" s="1"/>
  <c r="G2028" i="7" s="1"/>
  <c r="F2029" i="7" s="1"/>
  <c r="G2029" i="7" s="1"/>
  <c r="F2030" i="7" s="1"/>
  <c r="G2030" i="7" s="1"/>
  <c r="F2031" i="7" s="1"/>
  <c r="G2031" i="7" s="1"/>
  <c r="F2032" i="7" s="1"/>
  <c r="G2032" i="7" s="1"/>
  <c r="F2033" i="7" s="1"/>
  <c r="G2033" i="7" s="1"/>
  <c r="F2034" i="7" s="1"/>
  <c r="G2034" i="7" s="1"/>
  <c r="F2035" i="7" s="1"/>
  <c r="G2035" i="7" s="1"/>
  <c r="F2036" i="7" s="1"/>
  <c r="G2036" i="7" s="1"/>
  <c r="F2037" i="7" s="1"/>
  <c r="G2037" i="7" s="1"/>
  <c r="F2038" i="7" s="1"/>
  <c r="G2038" i="7" s="1"/>
  <c r="F2039" i="7" s="1"/>
  <c r="G2039" i="7" s="1"/>
  <c r="F2040" i="7" s="1"/>
  <c r="G2040" i="7" s="1"/>
  <c r="F2041" i="7" s="1"/>
  <c r="G2041" i="7" s="1"/>
  <c r="F2042" i="7" s="1"/>
  <c r="G2042" i="7" s="1"/>
  <c r="F2043" i="7" s="1"/>
  <c r="G2043" i="7" s="1"/>
  <c r="F2044" i="7" s="1"/>
  <c r="G2044" i="7" s="1"/>
  <c r="F2045" i="7" s="1"/>
  <c r="G2045" i="7" s="1"/>
  <c r="F2046" i="7" s="1"/>
  <c r="G2046" i="7" s="1"/>
  <c r="F2047" i="7" s="1"/>
  <c r="G2047" i="7" s="1"/>
  <c r="F2048" i="7" s="1"/>
  <c r="G2048" i="7" s="1"/>
  <c r="F2049" i="7" s="1"/>
  <c r="G2049" i="7" s="1"/>
  <c r="F2050" i="7" s="1"/>
  <c r="G2050" i="7" s="1"/>
  <c r="F2051" i="7" s="1"/>
  <c r="G2051" i="7" s="1"/>
  <c r="F2052" i="7" s="1"/>
  <c r="G2052" i="7" s="1"/>
  <c r="F2053" i="7" s="1"/>
  <c r="G2053" i="7" s="1"/>
  <c r="F2054" i="7" s="1"/>
  <c r="G2054" i="7" s="1"/>
  <c r="F2055" i="7" s="1"/>
  <c r="G2055" i="7" s="1"/>
  <c r="F2056" i="7" s="1"/>
  <c r="G2056" i="7" s="1"/>
  <c r="F2057" i="7" s="1"/>
  <c r="G2057" i="7" s="1"/>
  <c r="F2058" i="7" s="1"/>
  <c r="G2058" i="7" s="1"/>
  <c r="F2059" i="7" s="1"/>
  <c r="G2059" i="7" s="1"/>
  <c r="F2060" i="7" s="1"/>
  <c r="G2060" i="7" s="1"/>
  <c r="F2061" i="7" s="1"/>
  <c r="G2061" i="7" s="1"/>
  <c r="F2062" i="7" s="1"/>
  <c r="G2062" i="7" s="1"/>
  <c r="F2063" i="7" s="1"/>
  <c r="G2063" i="7" s="1"/>
  <c r="F2064" i="7" s="1"/>
  <c r="G2064" i="7" s="1"/>
  <c r="F2065" i="7" s="1"/>
  <c r="G2065" i="7" s="1"/>
  <c r="F2066" i="7" s="1"/>
  <c r="G2066" i="7" s="1"/>
  <c r="F2067" i="7" s="1"/>
  <c r="G2067" i="7" s="1"/>
  <c r="F2068" i="7" s="1"/>
  <c r="G2068" i="7" s="1"/>
  <c r="F2069" i="7" s="1"/>
  <c r="G2069" i="7" s="1"/>
  <c r="F2070" i="7" s="1"/>
  <c r="G2070" i="7" s="1"/>
  <c r="F2071" i="7" s="1"/>
  <c r="G2071" i="7" s="1"/>
  <c r="F2072" i="7" s="1"/>
  <c r="G2072" i="7" s="1"/>
  <c r="F2073" i="7" s="1"/>
  <c r="G2073" i="7" s="1"/>
  <c r="F9" i="5"/>
  <c r="E9" i="5"/>
  <c r="E10" i="5" s="1"/>
  <c r="E11" i="5" s="1"/>
  <c r="E12" i="5" s="1"/>
  <c r="E13" i="5" s="1"/>
  <c r="E14" i="5" s="1"/>
  <c r="E15" i="5" s="1"/>
  <c r="F4" i="5"/>
  <c r="F5" i="5" s="1"/>
  <c r="F6" i="5" s="1"/>
  <c r="F7" i="5" s="1"/>
  <c r="F8" i="5" s="1"/>
  <c r="J3" i="7" l="1"/>
  <c r="E16" i="5"/>
  <c r="E17" i="5" s="1"/>
  <c r="E18" i="5" s="1"/>
  <c r="E19" i="5" s="1"/>
  <c r="E20" i="5" s="1"/>
  <c r="E21" i="5" s="1"/>
  <c r="E22" i="5" s="1"/>
  <c r="F16" i="5"/>
  <c r="F10" i="5"/>
  <c r="F11" i="5" s="1"/>
  <c r="F12" i="5" s="1"/>
  <c r="F13" i="5" s="1"/>
  <c r="F14" i="5" s="1"/>
  <c r="F15" i="5" s="1"/>
  <c r="F17" i="5" l="1"/>
  <c r="F18" i="5" s="1"/>
  <c r="F19" i="5" s="1"/>
  <c r="F20" i="5" s="1"/>
  <c r="F21" i="5" s="1"/>
  <c r="F22" i="5" s="1"/>
  <c r="E23" i="5"/>
  <c r="F23" i="5"/>
  <c r="E24" i="5" l="1"/>
  <c r="E25" i="5" s="1"/>
  <c r="E26" i="5" s="1"/>
  <c r="E27" i="5" s="1"/>
  <c r="E28" i="5" s="1"/>
  <c r="E29" i="5" s="1"/>
  <c r="F24" i="5"/>
  <c r="F25" i="5" s="1"/>
  <c r="F26" i="5" s="1"/>
  <c r="F27" i="5" s="1"/>
  <c r="F28" i="5" s="1"/>
  <c r="F29" i="5" s="1"/>
  <c r="E30" i="5" l="1"/>
  <c r="F30" i="5"/>
  <c r="E31" i="5" l="1"/>
  <c r="E32" i="5" s="1"/>
  <c r="E33" i="5" s="1"/>
  <c r="E34" i="5" s="1"/>
  <c r="E35" i="5" s="1"/>
  <c r="E36" i="5" s="1"/>
  <c r="F31" i="5"/>
  <c r="F32" i="5" s="1"/>
  <c r="F33" i="5" s="1"/>
  <c r="F34" i="5" s="1"/>
  <c r="F35" i="5" s="1"/>
  <c r="F36" i="5" s="1"/>
  <c r="E37" i="5" l="1"/>
  <c r="F37" i="5"/>
  <c r="E38" i="5" l="1"/>
  <c r="F38" i="5"/>
  <c r="E39" i="5" l="1"/>
  <c r="E40" i="5" s="1"/>
  <c r="E41" i="5" s="1"/>
  <c r="E42" i="5" s="1"/>
  <c r="E43" i="5" s="1"/>
  <c r="F39" i="5"/>
  <c r="F40" i="5" s="1"/>
  <c r="F41" i="5" s="1"/>
  <c r="F42" i="5" s="1"/>
  <c r="F43" i="5" s="1"/>
  <c r="E44" i="5" l="1"/>
  <c r="E45" i="5" s="1"/>
  <c r="E46" i="5" s="1"/>
  <c r="F44" i="5"/>
  <c r="F45" i="5" s="1"/>
  <c r="F46" i="5" s="1"/>
  <c r="E47" i="5" l="1"/>
  <c r="E48" i="5" s="1"/>
  <c r="E49" i="5" s="1"/>
  <c r="E50" i="5" s="1"/>
  <c r="F47" i="5"/>
  <c r="F48" i="5" s="1"/>
  <c r="F49" i="5" s="1"/>
  <c r="F50" i="5" s="1"/>
  <c r="E51" i="5" l="1"/>
  <c r="F51" i="5"/>
  <c r="E52" i="5" l="1"/>
  <c r="E53" i="5" s="1"/>
  <c r="E54" i="5" s="1"/>
  <c r="E55" i="5" s="1"/>
  <c r="E56" i="5" s="1"/>
  <c r="E57" i="5" s="1"/>
  <c r="F52" i="5"/>
  <c r="F53" i="5" s="1"/>
  <c r="F54" i="5" s="1"/>
  <c r="F55" i="5" s="1"/>
  <c r="F56" i="5" s="1"/>
  <c r="F57" i="5" s="1"/>
  <c r="E58" i="5" l="1"/>
  <c r="E59" i="5" s="1"/>
  <c r="E60" i="5" s="1"/>
  <c r="E61" i="5" s="1"/>
  <c r="E62" i="5" s="1"/>
  <c r="F58" i="5"/>
  <c r="F59" i="5" s="1"/>
  <c r="F60" i="5" s="1"/>
  <c r="F61" i="5" s="1"/>
  <c r="F62" i="5" s="1"/>
  <c r="E63" i="5" l="1"/>
  <c r="E64" i="5" s="1"/>
  <c r="F63" i="5"/>
  <c r="F64" i="5" s="1"/>
  <c r="E65" i="5" l="1"/>
  <c r="F65" i="5"/>
  <c r="E66" i="5" l="1"/>
  <c r="E67" i="5" s="1"/>
  <c r="E68" i="5" s="1"/>
  <c r="E69" i="5" s="1"/>
  <c r="E70" i="5" s="1"/>
  <c r="F66" i="5"/>
  <c r="F67" i="5" s="1"/>
  <c r="F68" i="5" l="1"/>
  <c r="F69" i="5" s="1"/>
  <c r="F70" i="5" s="1"/>
  <c r="E71" i="5"/>
  <c r="F71" i="5"/>
  <c r="E72" i="5" l="1"/>
  <c r="E73" i="5" s="1"/>
  <c r="E74" i="5" s="1"/>
  <c r="E75" i="5" s="1"/>
  <c r="E76" i="5" s="1"/>
  <c r="E77" i="5" s="1"/>
  <c r="E78" i="5" s="1"/>
  <c r="F72" i="5"/>
  <c r="F73" i="5" s="1"/>
  <c r="F74" i="5" s="1"/>
  <c r="F75" i="5" s="1"/>
  <c r="F76" i="5" s="1"/>
  <c r="F77" i="5" s="1"/>
  <c r="F78" i="5" s="1"/>
  <c r="E79" i="5" l="1"/>
  <c r="E80" i="5" s="1"/>
  <c r="E81" i="5" s="1"/>
  <c r="E82" i="5" s="1"/>
  <c r="E83" i="5" s="1"/>
  <c r="E84" i="5" s="1"/>
  <c r="E85" i="5" s="1"/>
  <c r="F79" i="5"/>
  <c r="F80" i="5" s="1"/>
  <c r="F81" i="5" s="1"/>
  <c r="F82" i="5" s="1"/>
  <c r="F83" i="5" s="1"/>
  <c r="F84" i="5" s="1"/>
  <c r="F85" i="5" s="1"/>
  <c r="E86" i="5" l="1"/>
  <c r="F86" i="5"/>
  <c r="E87" i="5" l="1"/>
  <c r="E88" i="5" s="1"/>
  <c r="E89" i="5" s="1"/>
  <c r="E90" i="5" s="1"/>
  <c r="E91" i="5" s="1"/>
  <c r="E92" i="5" s="1"/>
  <c r="F87" i="5"/>
  <c r="F88" i="5" s="1"/>
  <c r="F89" i="5" s="1"/>
  <c r="F90" i="5" s="1"/>
  <c r="F91" i="5" s="1"/>
  <c r="F92" i="5" s="1"/>
  <c r="E93" i="5" l="1"/>
  <c r="F93" i="5"/>
  <c r="E94" i="5" l="1"/>
  <c r="F94" i="5"/>
  <c r="E95" i="5" l="1"/>
  <c r="F95" i="5"/>
  <c r="E96" i="5" l="1"/>
  <c r="E97" i="5" s="1"/>
  <c r="E98" i="5" s="1"/>
  <c r="E99" i="5" s="1"/>
  <c r="F96" i="5"/>
  <c r="F97" i="5" s="1"/>
  <c r="F98" i="5" s="1"/>
  <c r="F99" i="5" s="1"/>
  <c r="E100" i="5" l="1"/>
  <c r="E101" i="5" s="1"/>
  <c r="E102" i="5" s="1"/>
  <c r="F100" i="5"/>
  <c r="F101" i="5" s="1"/>
  <c r="F102" i="5" s="1"/>
  <c r="E103" i="5" l="1"/>
  <c r="E104" i="5" s="1"/>
  <c r="E105" i="5" s="1"/>
  <c r="E106" i="5" s="1"/>
  <c r="F103" i="5"/>
  <c r="F104" i="5" s="1"/>
  <c r="F105" i="5" s="1"/>
  <c r="F106" i="5" s="1"/>
  <c r="E107" i="5" l="1"/>
  <c r="F107" i="5"/>
  <c r="E108" i="5" l="1"/>
  <c r="E109" i="5" s="1"/>
  <c r="E110" i="5" s="1"/>
  <c r="F108" i="5"/>
  <c r="F109" i="5" s="1"/>
  <c r="F110" i="5" s="1"/>
  <c r="E111" i="5" l="1"/>
  <c r="F111" i="5"/>
  <c r="E112" i="5" l="1"/>
  <c r="E113" i="5" s="1"/>
  <c r="F112" i="5"/>
  <c r="F113" i="5" s="1"/>
  <c r="E114" i="5" l="1"/>
  <c r="E115" i="5" s="1"/>
  <c r="E116" i="5" s="1"/>
  <c r="E117" i="5" s="1"/>
  <c r="E118" i="5" s="1"/>
  <c r="E119" i="5" s="1"/>
  <c r="F114" i="5"/>
  <c r="F115" i="5" s="1"/>
  <c r="F116" i="5" s="1"/>
  <c r="F117" i="5" s="1"/>
  <c r="F118" i="5" s="1"/>
  <c r="F119" i="5" s="1"/>
  <c r="E120" i="5" l="1"/>
  <c r="F120" i="5"/>
  <c r="E121" i="5" l="1"/>
  <c r="F121" i="5"/>
  <c r="E122" i="5" l="1"/>
  <c r="E123" i="5" s="1"/>
  <c r="E124" i="5" s="1"/>
  <c r="E125" i="5" s="1"/>
  <c r="E126" i="5" s="1"/>
  <c r="E127" i="5" s="1"/>
  <c r="F122" i="5"/>
  <c r="F123" i="5" s="1"/>
  <c r="F124" i="5" s="1"/>
  <c r="F125" i="5" s="1"/>
  <c r="F126" i="5" s="1"/>
  <c r="F127" i="5" s="1"/>
  <c r="E128" i="5" l="1"/>
  <c r="E129" i="5" s="1"/>
  <c r="E130" i="5" s="1"/>
  <c r="E131" i="5" s="1"/>
  <c r="E132" i="5" s="1"/>
  <c r="E133" i="5" s="1"/>
  <c r="E134" i="5" s="1"/>
  <c r="F128" i="5"/>
  <c r="F129" i="5" s="1"/>
  <c r="F130" i="5" s="1"/>
  <c r="F131" i="5" s="1"/>
  <c r="F132" i="5" s="1"/>
  <c r="F133" i="5" s="1"/>
  <c r="F134" i="5" s="1"/>
  <c r="E135" i="5" l="1"/>
  <c r="F135" i="5"/>
  <c r="E136" i="5" l="1"/>
  <c r="E137" i="5" s="1"/>
  <c r="E138" i="5" s="1"/>
  <c r="E139" i="5" s="1"/>
  <c r="E140" i="5" s="1"/>
  <c r="E141" i="5" s="1"/>
  <c r="F136" i="5"/>
  <c r="F137" i="5" s="1"/>
  <c r="F138" i="5" s="1"/>
  <c r="F139" i="5" s="1"/>
  <c r="F140" i="5" s="1"/>
  <c r="F141" i="5" s="1"/>
  <c r="E142" i="5" l="1"/>
  <c r="F142" i="5"/>
  <c r="E143" i="5" l="1"/>
  <c r="E144" i="5" s="1"/>
  <c r="E145" i="5" s="1"/>
  <c r="E146" i="5" s="1"/>
  <c r="E147" i="5" s="1"/>
  <c r="E148" i="5" s="1"/>
  <c r="F143" i="5"/>
  <c r="F144" i="5" s="1"/>
  <c r="F145" i="5" s="1"/>
  <c r="F146" i="5" s="1"/>
  <c r="F147" i="5" s="1"/>
  <c r="F148" i="5" s="1"/>
  <c r="E149" i="5" l="1"/>
  <c r="F149" i="5"/>
  <c r="E150" i="5" l="1"/>
  <c r="F150" i="5"/>
  <c r="E151" i="5" l="1"/>
  <c r="E152" i="5" s="1"/>
  <c r="E153" i="5" s="1"/>
  <c r="E154" i="5" s="1"/>
  <c r="E155" i="5" s="1"/>
  <c r="F151" i="5"/>
  <c r="F152" i="5" s="1"/>
  <c r="F153" i="5" s="1"/>
  <c r="F154" i="5" s="1"/>
  <c r="F155" i="5" s="1"/>
  <c r="E156" i="5" l="1"/>
  <c r="E157" i="5" s="1"/>
  <c r="E158" i="5" s="1"/>
  <c r="E159" i="5" s="1"/>
  <c r="F156" i="5"/>
  <c r="E160" i="5" l="1"/>
  <c r="E161" i="5" s="1"/>
  <c r="E162" i="5" s="1"/>
  <c r="F157" i="5"/>
  <c r="F158" i="5" s="1"/>
  <c r="F159" i="5" s="1"/>
  <c r="F160" i="5" s="1"/>
  <c r="F161" i="5" s="1"/>
  <c r="F162" i="5" s="1"/>
  <c r="E163" i="5" l="1"/>
  <c r="F163" i="5"/>
  <c r="E164" i="5" l="1"/>
  <c r="E165" i="5" s="1"/>
  <c r="E166" i="5" s="1"/>
  <c r="E167" i="5" s="1"/>
  <c r="E168" i="5" s="1"/>
  <c r="E169" i="5" s="1"/>
  <c r="F164" i="5"/>
  <c r="F165" i="5" s="1"/>
  <c r="F166" i="5" s="1"/>
  <c r="F167" i="5" s="1"/>
  <c r="F168" i="5" s="1"/>
  <c r="F169" i="5" s="1"/>
  <c r="E170" i="5" l="1"/>
  <c r="E171" i="5" s="1"/>
  <c r="E172" i="5" s="1"/>
  <c r="E173" i="5" s="1"/>
  <c r="E174" i="5" s="1"/>
  <c r="F170" i="5"/>
  <c r="F171" i="5" s="1"/>
  <c r="F172" i="5" s="1"/>
  <c r="F173" i="5" s="1"/>
  <c r="F174" i="5" s="1"/>
  <c r="E175" i="5" l="1"/>
  <c r="E176" i="5" s="1"/>
  <c r="F175" i="5"/>
  <c r="F176" i="5" s="1"/>
  <c r="E177" i="5" l="1"/>
  <c r="F177" i="5"/>
  <c r="E178" i="5" l="1"/>
  <c r="E179" i="5" s="1"/>
  <c r="E180" i="5" s="1"/>
  <c r="E181" i="5" s="1"/>
  <c r="E182" i="5" s="1"/>
  <c r="E183" i="5" s="1"/>
  <c r="F178" i="5"/>
  <c r="F179" i="5" s="1"/>
  <c r="F180" i="5" s="1"/>
  <c r="F181" i="5" s="1"/>
  <c r="F182" i="5" s="1"/>
  <c r="F183" i="5" s="1"/>
  <c r="E184" i="5" l="1"/>
  <c r="E185" i="5" s="1"/>
  <c r="E186" i="5" s="1"/>
  <c r="E187" i="5" s="1"/>
  <c r="E188" i="5" s="1"/>
  <c r="E189" i="5" s="1"/>
  <c r="E190" i="5" s="1"/>
  <c r="F184" i="5"/>
  <c r="F185" i="5" s="1"/>
  <c r="F186" i="5" s="1"/>
  <c r="F187" i="5" s="1"/>
  <c r="F188" i="5" s="1"/>
  <c r="F189" i="5" s="1"/>
  <c r="F190" i="5" s="1"/>
  <c r="E191" i="5" l="1"/>
  <c r="E192" i="5" s="1"/>
  <c r="E193" i="5" s="1"/>
  <c r="E194" i="5" s="1"/>
  <c r="E195" i="5" s="1"/>
  <c r="E196" i="5" s="1"/>
  <c r="E197" i="5" s="1"/>
  <c r="F191" i="5"/>
  <c r="F192" i="5" s="1"/>
  <c r="F193" i="5" s="1"/>
  <c r="F194" i="5" s="1"/>
  <c r="F195" i="5" s="1"/>
  <c r="F196" i="5" s="1"/>
  <c r="F197" i="5" s="1"/>
  <c r="E198" i="5" l="1"/>
  <c r="F198" i="5"/>
  <c r="E199" i="5" l="1"/>
  <c r="F199" i="5"/>
  <c r="E200" i="5" l="1"/>
  <c r="E201" i="5" s="1"/>
  <c r="E202" i="5" s="1"/>
  <c r="E203" i="5" s="1"/>
  <c r="E204" i="5" s="1"/>
  <c r="F200" i="5"/>
  <c r="F201" i="5" s="1"/>
  <c r="F202" i="5" s="1"/>
  <c r="F203" i="5" s="1"/>
  <c r="F204" i="5" s="1"/>
  <c r="E205" i="5" l="1"/>
  <c r="F205" i="5"/>
  <c r="E206" i="5" l="1"/>
  <c r="F206" i="5"/>
  <c r="E207" i="5" l="1"/>
  <c r="F207" i="5"/>
  <c r="E208" i="5" l="1"/>
  <c r="E209" i="5" s="1"/>
  <c r="E210" i="5" s="1"/>
  <c r="E211" i="5" s="1"/>
  <c r="F208" i="5"/>
  <c r="F209" i="5" s="1"/>
  <c r="F210" i="5" s="1"/>
  <c r="F211" i="5" s="1"/>
  <c r="E212" i="5" l="1"/>
  <c r="E213" i="5" s="1"/>
  <c r="E214" i="5" s="1"/>
  <c r="F212" i="5"/>
  <c r="F213" i="5" s="1"/>
  <c r="F214" i="5" s="1"/>
  <c r="E215" i="5" l="1"/>
  <c r="E216" i="5" s="1"/>
  <c r="E217" i="5" s="1"/>
  <c r="E218" i="5" s="1"/>
  <c r="F215" i="5"/>
  <c r="F216" i="5" s="1"/>
  <c r="F217" i="5" s="1"/>
  <c r="F218" i="5" s="1"/>
  <c r="E219" i="5" l="1"/>
  <c r="F219" i="5"/>
  <c r="E220" i="5" l="1"/>
  <c r="E221" i="5" s="1"/>
  <c r="E222" i="5" s="1"/>
  <c r="E223" i="5" s="1"/>
  <c r="E224" i="5" s="1"/>
  <c r="E225" i="5" s="1"/>
  <c r="F220" i="5"/>
  <c r="E226" i="5" l="1"/>
  <c r="E227" i="5" s="1"/>
  <c r="E228" i="5" s="1"/>
  <c r="E229" i="5" s="1"/>
  <c r="E230" i="5" s="1"/>
  <c r="E231" i="5" s="1"/>
  <c r="E232" i="5" s="1"/>
  <c r="F226" i="5"/>
  <c r="F221" i="5"/>
  <c r="F222" i="5" s="1"/>
  <c r="F223" i="5" s="1"/>
  <c r="F224" i="5" s="1"/>
  <c r="F225" i="5" s="1"/>
  <c r="E233" i="5" l="1"/>
  <c r="F233" i="5"/>
  <c r="F227" i="5"/>
  <c r="F228" i="5" s="1"/>
  <c r="F229" i="5" s="1"/>
  <c r="F230" i="5" s="1"/>
  <c r="F231" i="5" s="1"/>
  <c r="F232" i="5" s="1"/>
  <c r="E234" i="5" l="1"/>
  <c r="E235" i="5" s="1"/>
  <c r="E236" i="5" s="1"/>
  <c r="E237" i="5" s="1"/>
  <c r="E238" i="5" s="1"/>
  <c r="E239" i="5" s="1"/>
  <c r="F234" i="5"/>
  <c r="F235" i="5" s="1"/>
  <c r="F236" i="5" s="1"/>
  <c r="F237" i="5" s="1"/>
  <c r="F238" i="5" s="1"/>
  <c r="F239" i="5" s="1"/>
  <c r="E240" i="5" l="1"/>
  <c r="E241" i="5" s="1"/>
  <c r="E242" i="5" s="1"/>
  <c r="E243" i="5" s="1"/>
  <c r="E244" i="5" s="1"/>
  <c r="E245" i="5" s="1"/>
  <c r="E246" i="5" s="1"/>
  <c r="F240" i="5"/>
  <c r="F241" i="5" s="1"/>
  <c r="F242" i="5" s="1"/>
  <c r="F243" i="5" s="1"/>
  <c r="F244" i="5" s="1"/>
  <c r="F245" i="5" s="1"/>
  <c r="F246" i="5" s="1"/>
  <c r="E247" i="5" l="1"/>
  <c r="F247" i="5"/>
  <c r="E248" i="5" l="1"/>
  <c r="E249" i="5" s="1"/>
  <c r="E250" i="5" s="1"/>
  <c r="E251" i="5" s="1"/>
  <c r="E252" i="5" s="1"/>
  <c r="E253" i="5" s="1"/>
  <c r="F248" i="5"/>
  <c r="F249" i="5" s="1"/>
  <c r="F250" i="5" s="1"/>
  <c r="F251" i="5" s="1"/>
  <c r="F252" i="5" s="1"/>
  <c r="F253" i="5" s="1"/>
  <c r="E254" i="5" l="1"/>
  <c r="F254" i="5"/>
  <c r="E255" i="5" l="1"/>
  <c r="E256" i="5" s="1"/>
  <c r="E257" i="5" s="1"/>
  <c r="E258" i="5" s="1"/>
  <c r="E259" i="5" s="1"/>
  <c r="E260" i="5" s="1"/>
  <c r="F255" i="5"/>
  <c r="F256" i="5" s="1"/>
  <c r="F257" i="5" s="1"/>
  <c r="F258" i="5" s="1"/>
  <c r="F259" i="5" s="1"/>
  <c r="F260" i="5" s="1"/>
  <c r="E261" i="5" l="1"/>
  <c r="F261" i="5"/>
  <c r="E262" i="5" l="1"/>
  <c r="F262" i="5"/>
  <c r="E263" i="5" l="1"/>
  <c r="E264" i="5" s="1"/>
  <c r="E265" i="5" s="1"/>
  <c r="E266" i="5" s="1"/>
  <c r="E267" i="5" s="1"/>
  <c r="F263" i="5"/>
  <c r="F264" i="5" s="1"/>
  <c r="F265" i="5" s="1"/>
  <c r="F266" i="5" s="1"/>
  <c r="F267" i="5" s="1"/>
  <c r="E268" i="5" l="1"/>
  <c r="E269" i="5" s="1"/>
  <c r="E270" i="5" s="1"/>
  <c r="E271" i="5" s="1"/>
  <c r="E272" i="5" s="1"/>
  <c r="E273" i="5" s="1"/>
  <c r="E274" i="5" s="1"/>
  <c r="F268" i="5"/>
  <c r="F269" i="5" s="1"/>
  <c r="F270" i="5" s="1"/>
  <c r="F271" i="5" s="1"/>
  <c r="F272" i="5" s="1"/>
  <c r="F273" i="5" s="1"/>
  <c r="F274" i="5" s="1"/>
  <c r="E275" i="5" l="1"/>
  <c r="F275" i="5"/>
  <c r="E276" i="5" l="1"/>
  <c r="E277" i="5" s="1"/>
  <c r="E278" i="5" s="1"/>
  <c r="E279" i="5" s="1"/>
  <c r="E280" i="5" s="1"/>
  <c r="E281" i="5" s="1"/>
  <c r="F276" i="5"/>
  <c r="F277" i="5" s="1"/>
  <c r="F278" i="5" s="1"/>
  <c r="F279" i="5" s="1"/>
  <c r="F280" i="5" s="1"/>
  <c r="F281" i="5" s="1"/>
  <c r="E282" i="5" l="1"/>
  <c r="E283" i="5" s="1"/>
  <c r="E284" i="5" s="1"/>
  <c r="E285" i="5" s="1"/>
  <c r="E286" i="5" s="1"/>
  <c r="F282" i="5"/>
  <c r="F283" i="5" s="1"/>
  <c r="F284" i="5" s="1"/>
  <c r="F285" i="5" s="1"/>
  <c r="F286" i="5" s="1"/>
  <c r="E287" i="5" l="1"/>
  <c r="E288" i="5" s="1"/>
  <c r="F287" i="5"/>
  <c r="F288" i="5" s="1"/>
  <c r="E289" i="5" l="1"/>
  <c r="F289" i="5"/>
  <c r="E290" i="5" l="1"/>
  <c r="E291" i="5" s="1"/>
  <c r="E292" i="5" s="1"/>
  <c r="E293" i="5" s="1"/>
  <c r="E294" i="5" s="1"/>
  <c r="F290" i="5"/>
  <c r="F291" i="5" s="1"/>
  <c r="F292" i="5" s="1"/>
  <c r="F293" i="5" s="1"/>
  <c r="F294" i="5" s="1"/>
  <c r="E295" i="5" l="1"/>
  <c r="F295" i="5"/>
  <c r="E296" i="5" l="1"/>
  <c r="E297" i="5" s="1"/>
  <c r="E298" i="5" s="1"/>
  <c r="E299" i="5" s="1"/>
  <c r="E300" i="5" s="1"/>
  <c r="E301" i="5" s="1"/>
  <c r="E302" i="5" s="1"/>
  <c r="F296" i="5"/>
  <c r="F297" i="5" s="1"/>
  <c r="F298" i="5" s="1"/>
  <c r="F299" i="5" s="1"/>
  <c r="F300" i="5" s="1"/>
  <c r="F301" i="5" s="1"/>
  <c r="F302" i="5" s="1"/>
  <c r="E303" i="5" l="1"/>
  <c r="E304" i="5" s="1"/>
  <c r="E305" i="5" s="1"/>
  <c r="E306" i="5" s="1"/>
  <c r="E307" i="5" s="1"/>
  <c r="E308" i="5" s="1"/>
  <c r="E309" i="5" s="1"/>
  <c r="F303" i="5"/>
  <c r="F304" i="5" s="1"/>
  <c r="F305" i="5" s="1"/>
  <c r="F306" i="5" s="1"/>
  <c r="F307" i="5" s="1"/>
  <c r="F308" i="5" s="1"/>
  <c r="F309" i="5" s="1"/>
  <c r="E310" i="5" l="1"/>
  <c r="F310" i="5"/>
  <c r="E311" i="5" l="1"/>
  <c r="F311" i="5"/>
  <c r="E312" i="5" l="1"/>
  <c r="E313" i="5" s="1"/>
  <c r="E314" i="5" s="1"/>
  <c r="E315" i="5" s="1"/>
  <c r="E316" i="5" s="1"/>
  <c r="F312" i="5"/>
  <c r="F313" i="5" s="1"/>
  <c r="F314" i="5" s="1"/>
  <c r="F315" i="5" s="1"/>
  <c r="F316" i="5" s="1"/>
  <c r="E317" i="5" l="1"/>
  <c r="F317" i="5"/>
  <c r="E318" i="5" l="1"/>
  <c r="F318" i="5"/>
  <c r="E319" i="5" l="1"/>
  <c r="F319" i="5"/>
  <c r="E320" i="5" l="1"/>
  <c r="E321" i="5" s="1"/>
  <c r="E322" i="5" s="1"/>
  <c r="E323" i="5" s="1"/>
  <c r="F320" i="5"/>
  <c r="F321" i="5" s="1"/>
  <c r="F322" i="5" s="1"/>
  <c r="F323" i="5" s="1"/>
  <c r="E324" i="5" l="1"/>
  <c r="E325" i="5" s="1"/>
  <c r="E326" i="5" s="1"/>
  <c r="F324" i="5"/>
  <c r="F325" i="5" s="1"/>
  <c r="F326" i="5" s="1"/>
  <c r="E327" i="5" l="1"/>
  <c r="E328" i="5" s="1"/>
  <c r="E329" i="5" s="1"/>
  <c r="E330" i="5" s="1"/>
  <c r="F327" i="5"/>
  <c r="F328" i="5" s="1"/>
  <c r="F329" i="5" s="1"/>
  <c r="F330" i="5" s="1"/>
  <c r="E331" i="5" l="1"/>
  <c r="F331" i="5"/>
  <c r="E332" i="5" l="1"/>
  <c r="E333" i="5" s="1"/>
  <c r="E334" i="5" s="1"/>
  <c r="F332" i="5"/>
  <c r="F333" i="5" s="1"/>
  <c r="F334" i="5" s="1"/>
  <c r="E335" i="5" l="1"/>
  <c r="F335" i="5"/>
  <c r="E336" i="5" l="1"/>
  <c r="E337" i="5" s="1"/>
  <c r="F336" i="5"/>
  <c r="F337" i="5" s="1"/>
  <c r="E338" i="5" l="1"/>
  <c r="E339" i="5" s="1"/>
  <c r="E340" i="5" s="1"/>
  <c r="E341" i="5" s="1"/>
  <c r="E342" i="5" s="1"/>
  <c r="E343" i="5" s="1"/>
  <c r="E344" i="5" s="1"/>
  <c r="F338" i="5"/>
  <c r="F339" i="5" s="1"/>
  <c r="F340" i="5" s="1"/>
  <c r="F341" i="5" s="1"/>
  <c r="F342" i="5" s="1"/>
  <c r="F343" i="5" s="1"/>
  <c r="F344" i="5" s="1"/>
  <c r="E345" i="5" l="1"/>
  <c r="F345" i="5"/>
  <c r="E346" i="5" l="1"/>
  <c r="E347" i="5" s="1"/>
  <c r="E348" i="5" s="1"/>
  <c r="E349" i="5" s="1"/>
  <c r="E350" i="5" s="1"/>
  <c r="E351" i="5" s="1"/>
  <c r="F346" i="5"/>
  <c r="F347" i="5" s="1"/>
  <c r="F348" i="5" s="1"/>
  <c r="F349" i="5" s="1"/>
  <c r="F350" i="5" s="1"/>
  <c r="F351" i="5" s="1"/>
  <c r="E352" i="5" l="1"/>
  <c r="E353" i="5" s="1"/>
  <c r="E354" i="5" s="1"/>
  <c r="E355" i="5" s="1"/>
  <c r="E356" i="5" s="1"/>
  <c r="E357" i="5" s="1"/>
  <c r="E358" i="5" s="1"/>
  <c r="F352" i="5"/>
  <c r="F353" i="5" l="1"/>
  <c r="F354" i="5" s="1"/>
  <c r="F355" i="5" s="1"/>
  <c r="F356" i="5" s="1"/>
  <c r="F357" i="5" s="1"/>
  <c r="F358" i="5" s="1"/>
  <c r="E359" i="5"/>
  <c r="F359" i="5"/>
  <c r="E360" i="5" l="1"/>
  <c r="E361" i="5" s="1"/>
  <c r="E362" i="5" s="1"/>
  <c r="E363" i="5" s="1"/>
  <c r="E364" i="5" s="1"/>
  <c r="E365" i="5" s="1"/>
  <c r="F360" i="5"/>
  <c r="F361" i="5" s="1"/>
  <c r="F362" i="5" s="1"/>
  <c r="F363" i="5" s="1"/>
  <c r="F364" i="5" s="1"/>
  <c r="F365" i="5" s="1"/>
  <c r="E366" i="5" l="1"/>
  <c r="F366" i="5"/>
  <c r="E367" i="5" l="1"/>
  <c r="F367" i="5"/>
  <c r="E368" i="5" l="1"/>
  <c r="E369" i="5" s="1"/>
  <c r="E370" i="5" s="1"/>
  <c r="E371" i="5" s="1"/>
  <c r="E372" i="5" s="1"/>
  <c r="F368" i="5"/>
  <c r="E373" i="5" l="1"/>
  <c r="F373" i="5"/>
  <c r="F369" i="5"/>
  <c r="F370" i="5" s="1"/>
  <c r="F371" i="5" s="1"/>
  <c r="F372" i="5" s="1"/>
  <c r="E374" i="5" l="1"/>
  <c r="F374" i="5"/>
  <c r="E375" i="5" l="1"/>
  <c r="E376" i="5" s="1"/>
  <c r="E377" i="5" s="1"/>
  <c r="E378" i="5" s="1"/>
  <c r="E379" i="5" s="1"/>
  <c r="F375" i="5"/>
  <c r="F376" i="5" s="1"/>
  <c r="F377" i="5" s="1"/>
  <c r="F378" i="5" s="1"/>
  <c r="F379" i="5" s="1"/>
  <c r="E380" i="5" l="1"/>
  <c r="E381" i="5" s="1"/>
  <c r="E382" i="5" s="1"/>
  <c r="F380" i="5"/>
  <c r="F381" i="5" s="1"/>
  <c r="F382" i="5" s="1"/>
  <c r="E383" i="5" l="1"/>
  <c r="E384" i="5" s="1"/>
  <c r="E385" i="5" s="1"/>
  <c r="E386" i="5" s="1"/>
  <c r="F383" i="5"/>
  <c r="F384" i="5" s="1"/>
  <c r="F385" i="5" s="1"/>
  <c r="F386" i="5" s="1"/>
  <c r="E387" i="5" l="1"/>
  <c r="F387" i="5"/>
  <c r="E388" i="5" l="1"/>
  <c r="E389" i="5" s="1"/>
  <c r="E390" i="5" s="1"/>
  <c r="E391" i="5" s="1"/>
  <c r="E392" i="5" s="1"/>
  <c r="E393" i="5" s="1"/>
  <c r="F388" i="5"/>
  <c r="F389" i="5" s="1"/>
  <c r="F390" i="5" s="1"/>
  <c r="F391" i="5" s="1"/>
  <c r="F392" i="5" s="1"/>
  <c r="F393" i="5" s="1"/>
  <c r="E394" i="5" l="1"/>
  <c r="E395" i="5" s="1"/>
  <c r="E396" i="5" s="1"/>
  <c r="E397" i="5" s="1"/>
  <c r="E398" i="5" s="1"/>
  <c r="F394" i="5"/>
  <c r="F395" i="5" s="1"/>
  <c r="F396" i="5" s="1"/>
  <c r="F397" i="5" s="1"/>
  <c r="F398" i="5" s="1"/>
  <c r="E399" i="5" l="1"/>
  <c r="E400" i="5" s="1"/>
  <c r="F399" i="5"/>
  <c r="F400" i="5" s="1"/>
  <c r="E401" i="5" l="1"/>
  <c r="F401" i="5"/>
  <c r="E402" i="5" l="1"/>
  <c r="E403" i="5" s="1"/>
  <c r="E404" i="5" s="1"/>
  <c r="E405" i="5" s="1"/>
  <c r="E406" i="5" s="1"/>
  <c r="F402" i="5"/>
  <c r="E407" i="5" l="1"/>
  <c r="F403" i="5"/>
  <c r="F404" i="5" s="1"/>
  <c r="F405" i="5" s="1"/>
  <c r="F406" i="5" s="1"/>
  <c r="F407" i="5" s="1"/>
  <c r="E408" i="5" l="1"/>
  <c r="E409" i="5" s="1"/>
  <c r="F408" i="5"/>
  <c r="F409" i="5" s="1"/>
  <c r="E410" i="5" l="1"/>
  <c r="E411" i="5" s="1"/>
  <c r="E412" i="5" s="1"/>
  <c r="E413" i="5" s="1"/>
  <c r="E414" i="5" s="1"/>
  <c r="F410" i="5"/>
  <c r="E415" i="5" l="1"/>
  <c r="F415" i="5"/>
  <c r="F411" i="5"/>
  <c r="F412" i="5" s="1"/>
  <c r="F413" i="5" s="1"/>
  <c r="F414" i="5" s="1"/>
  <c r="E416" i="5" l="1"/>
  <c r="E417" i="5" s="1"/>
  <c r="E418" i="5" s="1"/>
  <c r="E419" i="5" s="1"/>
  <c r="E420" i="5" s="1"/>
  <c r="E421" i="5" s="1"/>
  <c r="F416" i="5"/>
  <c r="E422" i="5" l="1"/>
  <c r="F422" i="5"/>
  <c r="F417" i="5"/>
  <c r="F418" i="5" s="1"/>
  <c r="F419" i="5" s="1"/>
  <c r="F420" i="5" s="1"/>
  <c r="F421" i="5" s="1"/>
  <c r="E423" i="5" l="1"/>
  <c r="E424" i="5" s="1"/>
  <c r="E425" i="5" s="1"/>
  <c r="E426" i="5" s="1"/>
  <c r="E427" i="5" s="1"/>
  <c r="E428" i="5" s="1"/>
  <c r="F423" i="5"/>
  <c r="E429" i="5" l="1"/>
  <c r="F429" i="5"/>
  <c r="F424" i="5"/>
  <c r="F425" i="5" s="1"/>
  <c r="F426" i="5" s="1"/>
  <c r="F427" i="5" s="1"/>
  <c r="F428" i="5" s="1"/>
  <c r="E430" i="5" l="1"/>
  <c r="F430" i="5"/>
  <c r="E431" i="5" l="1"/>
  <c r="E432" i="5" s="1"/>
  <c r="E433" i="5" s="1"/>
  <c r="F431" i="5"/>
  <c r="F432" i="5" s="1"/>
  <c r="F433" i="5" s="1"/>
  <c r="E434" i="5" l="1"/>
  <c r="E435" i="5" s="1"/>
  <c r="F434" i="5"/>
  <c r="F435" i="5" s="1"/>
  <c r="E436" i="5" l="1"/>
  <c r="E437" i="5" s="1"/>
  <c r="E438" i="5" s="1"/>
  <c r="E439" i="5" s="1"/>
  <c r="E440" i="5" s="1"/>
  <c r="E441" i="5" s="1"/>
  <c r="E442" i="5" s="1"/>
  <c r="F436" i="5"/>
  <c r="E443" i="5" l="1"/>
  <c r="F443" i="5"/>
  <c r="F437" i="5"/>
  <c r="F438" i="5" s="1"/>
  <c r="F439" i="5" s="1"/>
  <c r="F440" i="5" s="1"/>
  <c r="F441" i="5" s="1"/>
  <c r="F442" i="5" s="1"/>
  <c r="E444" i="5" l="1"/>
  <c r="E445" i="5" s="1"/>
  <c r="E446" i="5" s="1"/>
  <c r="E447" i="5" s="1"/>
  <c r="F444" i="5"/>
  <c r="F445" i="5" s="1"/>
  <c r="F446" i="5" s="1"/>
  <c r="F447" i="5" s="1"/>
  <c r="E448" i="5" l="1"/>
  <c r="E449" i="5" s="1"/>
  <c r="F448" i="5"/>
  <c r="F449" i="5" s="1"/>
  <c r="E450" i="5" l="1"/>
  <c r="E451" i="5" s="1"/>
  <c r="E452" i="5" s="1"/>
  <c r="E453" i="5" s="1"/>
  <c r="E454" i="5" s="1"/>
  <c r="F450" i="5"/>
  <c r="F451" i="5" s="1"/>
  <c r="F452" i="5" s="1"/>
  <c r="F453" i="5" s="1"/>
  <c r="F454" i="5" s="1"/>
  <c r="E455" i="5" l="1"/>
  <c r="E456" i="5" s="1"/>
  <c r="F455" i="5"/>
  <c r="F456" i="5" s="1"/>
  <c r="E457" i="5" l="1"/>
  <c r="F457" i="5"/>
  <c r="E458" i="5" l="1"/>
  <c r="E459" i="5" s="1"/>
  <c r="E460" i="5" s="1"/>
  <c r="E461" i="5" s="1"/>
  <c r="E462" i="5" s="1"/>
  <c r="F458" i="5"/>
  <c r="F459" i="5" s="1"/>
  <c r="F460" i="5" s="1"/>
  <c r="F461" i="5" s="1"/>
  <c r="F462" i="5" s="1"/>
  <c r="E463" i="5" l="1"/>
  <c r="F463" i="5"/>
  <c r="E464" i="5" l="1"/>
  <c r="E465" i="5" s="1"/>
  <c r="F464" i="5"/>
  <c r="E466" i="5" l="1"/>
  <c r="E467" i="5" s="1"/>
  <c r="E468" i="5" s="1"/>
  <c r="E469" i="5" s="1"/>
  <c r="E470" i="5" s="1"/>
  <c r="F465" i="5"/>
  <c r="F466" i="5" s="1"/>
  <c r="F467" i="5" s="1"/>
  <c r="F468" i="5" s="1"/>
  <c r="F469" i="5" s="1"/>
  <c r="F470" i="5" s="1"/>
  <c r="E471" i="5" l="1"/>
  <c r="E472" i="5" s="1"/>
  <c r="E473" i="5" s="1"/>
  <c r="E474" i="5" s="1"/>
  <c r="E475" i="5" s="1"/>
  <c r="E476" i="5" s="1"/>
  <c r="E477" i="5" s="1"/>
  <c r="F471" i="5"/>
  <c r="F472" i="5" s="1"/>
  <c r="F473" i="5" s="1"/>
  <c r="F474" i="5" s="1"/>
  <c r="F475" i="5" s="1"/>
  <c r="F476" i="5" s="1"/>
  <c r="F477" i="5" s="1"/>
  <c r="E478" i="5" l="1"/>
  <c r="F478" i="5"/>
  <c r="E479" i="5" l="1"/>
  <c r="F479" i="5"/>
  <c r="E480" i="5" l="1"/>
  <c r="E481" i="5" s="1"/>
  <c r="E482" i="5" s="1"/>
  <c r="E483" i="5" s="1"/>
  <c r="E484" i="5" s="1"/>
  <c r="F480" i="5"/>
  <c r="E485" i="5" l="1"/>
  <c r="F485" i="5"/>
  <c r="F481" i="5"/>
  <c r="F482" i="5" s="1"/>
  <c r="F483" i="5" s="1"/>
  <c r="F484" i="5" s="1"/>
  <c r="E486" i="5" l="1"/>
  <c r="F486" i="5"/>
  <c r="E487" i="5" l="1"/>
  <c r="E488" i="5" s="1"/>
  <c r="E489" i="5" s="1"/>
  <c r="E490" i="5" s="1"/>
  <c r="E491" i="5" s="1"/>
  <c r="F487" i="5"/>
  <c r="F488" i="5" s="1"/>
  <c r="F489" i="5" s="1"/>
  <c r="F490" i="5" s="1"/>
  <c r="F491" i="5" s="1"/>
  <c r="E492" i="5" l="1"/>
  <c r="E493" i="5" s="1"/>
  <c r="E494" i="5" s="1"/>
  <c r="F492" i="5"/>
  <c r="E495" i="5" l="1"/>
  <c r="E496" i="5" s="1"/>
  <c r="E497" i="5" s="1"/>
  <c r="F495" i="5"/>
  <c r="F496" i="5" s="1"/>
  <c r="F497" i="5" s="1"/>
  <c r="F493" i="5"/>
  <c r="F494" i="5" s="1"/>
  <c r="E498" i="5" l="1"/>
  <c r="F498" i="5"/>
  <c r="E499" i="5" l="1"/>
  <c r="F499" i="5"/>
  <c r="E500" i="5" l="1"/>
  <c r="E501" i="5" s="1"/>
  <c r="E502" i="5" s="1"/>
  <c r="E503" i="5" s="1"/>
  <c r="E504" i="5" s="1"/>
  <c r="E505" i="5" s="1"/>
  <c r="F500" i="5"/>
  <c r="F501" i="5" s="1"/>
  <c r="F502" i="5" s="1"/>
  <c r="F503" i="5" s="1"/>
  <c r="F504" i="5" s="1"/>
  <c r="F505" i="5" s="1"/>
  <c r="E506" i="5" l="1"/>
  <c r="E507" i="5" s="1"/>
  <c r="E508" i="5" s="1"/>
  <c r="E509" i="5" s="1"/>
  <c r="E510" i="5" s="1"/>
  <c r="F506" i="5"/>
  <c r="E511" i="5" l="1"/>
  <c r="E512" i="5" s="1"/>
  <c r="F507" i="5"/>
  <c r="F508" i="5" s="1"/>
  <c r="F509" i="5" s="1"/>
  <c r="F510" i="5" s="1"/>
  <c r="F511" i="5" s="1"/>
  <c r="F512" i="5" s="1"/>
  <c r="E513" i="5" l="1"/>
  <c r="F513" i="5"/>
  <c r="E514" i="5" l="1"/>
  <c r="E515" i="5" s="1"/>
  <c r="E516" i="5" s="1"/>
  <c r="E517" i="5" s="1"/>
  <c r="E518" i="5" s="1"/>
  <c r="E519" i="5" s="1"/>
  <c r="F514" i="5"/>
  <c r="F515" i="5" s="1"/>
  <c r="F516" i="5" s="1"/>
  <c r="F517" i="5" s="1"/>
  <c r="F518" i="5" s="1"/>
  <c r="F519" i="5" s="1"/>
  <c r="E520" i="5" l="1"/>
  <c r="E521" i="5" s="1"/>
  <c r="F520" i="5"/>
  <c r="F521" i="5" s="1"/>
  <c r="E522" i="5" l="1"/>
  <c r="E523" i="5" s="1"/>
  <c r="F522" i="5"/>
  <c r="E524" i="5" l="1"/>
  <c r="E525" i="5" s="1"/>
  <c r="E526" i="5" s="1"/>
  <c r="F523" i="5"/>
  <c r="F524" i="5" s="1"/>
  <c r="F525" i="5" s="1"/>
  <c r="F526" i="5" s="1"/>
  <c r="E527" i="5" l="1"/>
  <c r="E528" i="5" s="1"/>
  <c r="E529" i="5" s="1"/>
  <c r="E530" i="5" s="1"/>
  <c r="E531" i="5" s="1"/>
  <c r="E532" i="5" s="1"/>
  <c r="E533" i="5" s="1"/>
  <c r="F527" i="5"/>
  <c r="F528" i="5" s="1"/>
  <c r="F529" i="5" s="1"/>
  <c r="F530" i="5" s="1"/>
  <c r="F531" i="5" s="1"/>
  <c r="F532" i="5" s="1"/>
  <c r="F533" i="5" s="1"/>
  <c r="E534" i="5" l="1"/>
  <c r="F534" i="5"/>
  <c r="E535" i="5" l="1"/>
  <c r="F535" i="5"/>
  <c r="E536" i="5" l="1"/>
  <c r="E537" i="5" s="1"/>
  <c r="F536" i="5"/>
  <c r="F537" i="5" s="1"/>
  <c r="E538" i="5" l="1"/>
  <c r="E539" i="5" s="1"/>
  <c r="F538" i="5"/>
  <c r="F539" i="5" s="1"/>
  <c r="E540" i="5" l="1"/>
  <c r="F540" i="5"/>
  <c r="E541" i="5" l="1"/>
  <c r="F541" i="5"/>
  <c r="E542" i="5" l="1"/>
  <c r="F542" i="5"/>
  <c r="E543" i="5" l="1"/>
  <c r="F543" i="5"/>
  <c r="E544" i="5" l="1"/>
  <c r="E545" i="5" s="1"/>
  <c r="E546" i="5" s="1"/>
  <c r="E547" i="5" s="1"/>
  <c r="F544" i="5"/>
  <c r="F545" i="5" s="1"/>
  <c r="F546" i="5" s="1"/>
  <c r="F547" i="5" s="1"/>
  <c r="E548" i="5" l="1"/>
  <c r="E549" i="5" s="1"/>
  <c r="E550" i="5" s="1"/>
  <c r="F548" i="5"/>
  <c r="F549" i="5" s="1"/>
  <c r="F550" i="5" s="1"/>
  <c r="E551" i="5" l="1"/>
  <c r="F551" i="5"/>
  <c r="E552" i="5" l="1"/>
  <c r="E553" i="5" s="1"/>
  <c r="E554" i="5" s="1"/>
  <c r="F552" i="5"/>
  <c r="F553" i="5" s="1"/>
  <c r="F554" i="5" s="1"/>
  <c r="E555" i="5" l="1"/>
  <c r="F555" i="5"/>
  <c r="E556" i="5" l="1"/>
  <c r="E557" i="5" s="1"/>
  <c r="E558" i="5" s="1"/>
  <c r="E559" i="5" s="1"/>
  <c r="E560" i="5" s="1"/>
  <c r="E561" i="5" s="1"/>
  <c r="F556" i="5"/>
  <c r="F557" i="5" s="1"/>
  <c r="F558" i="5" s="1"/>
  <c r="F559" i="5" s="1"/>
  <c r="F560" i="5" s="1"/>
  <c r="F561" i="5" s="1"/>
  <c r="E562" i="5" l="1"/>
  <c r="E563" i="5" s="1"/>
  <c r="E564" i="5" s="1"/>
  <c r="E565" i="5" s="1"/>
  <c r="E566" i="5" s="1"/>
  <c r="E567" i="5" s="1"/>
  <c r="E568" i="5" s="1"/>
  <c r="F562" i="5"/>
  <c r="F563" i="5" s="1"/>
  <c r="F564" i="5" s="1"/>
  <c r="F565" i="5" s="1"/>
  <c r="F566" i="5" s="1"/>
  <c r="F567" i="5" s="1"/>
  <c r="F568" i="5" s="1"/>
  <c r="E569" i="5" l="1"/>
  <c r="F569" i="5"/>
  <c r="E570" i="5" l="1"/>
  <c r="E571" i="5" s="1"/>
  <c r="F570" i="5"/>
  <c r="E572" i="5" l="1"/>
  <c r="E573" i="5" s="1"/>
  <c r="E574" i="5" s="1"/>
  <c r="E575" i="5" s="1"/>
  <c r="F571" i="5"/>
  <c r="F572" i="5" s="1"/>
  <c r="F573" i="5" s="1"/>
  <c r="F574" i="5" s="1"/>
  <c r="F575" i="5" s="1"/>
  <c r="E576" i="5" l="1"/>
  <c r="E577" i="5" s="1"/>
  <c r="E578" i="5" s="1"/>
  <c r="E579" i="5" s="1"/>
  <c r="E580" i="5" s="1"/>
  <c r="E581" i="5" s="1"/>
  <c r="E582" i="5" s="1"/>
  <c r="F576" i="5"/>
  <c r="E583" i="5" l="1"/>
  <c r="F583" i="5"/>
  <c r="F577" i="5"/>
  <c r="F578" i="5" s="1"/>
  <c r="F579" i="5" s="1"/>
  <c r="F580" i="5" s="1"/>
  <c r="F581" i="5" s="1"/>
  <c r="F582" i="5" s="1"/>
  <c r="E584" i="5" l="1"/>
  <c r="E585" i="5" s="1"/>
  <c r="E586" i="5" s="1"/>
  <c r="E587" i="5" s="1"/>
  <c r="E588" i="5" s="1"/>
  <c r="E589" i="5" s="1"/>
  <c r="F584" i="5"/>
  <c r="E590" i="5" l="1"/>
  <c r="F590" i="5"/>
  <c r="F585" i="5"/>
  <c r="F586" i="5" s="1"/>
  <c r="F587" i="5" s="1"/>
  <c r="F588" i="5" s="1"/>
  <c r="F589" i="5" s="1"/>
  <c r="E591" i="5" l="1"/>
  <c r="E592" i="5" s="1"/>
  <c r="E593" i="5" s="1"/>
  <c r="E594" i="5" s="1"/>
  <c r="E595" i="5" s="1"/>
  <c r="E596" i="5" s="1"/>
  <c r="F591" i="5"/>
  <c r="E597" i="5" l="1"/>
  <c r="F597" i="5"/>
  <c r="F592" i="5"/>
  <c r="F593" i="5" s="1"/>
  <c r="F594" i="5" s="1"/>
  <c r="F595" i="5" s="1"/>
  <c r="F596" i="5" s="1"/>
  <c r="E598" i="5" l="1"/>
  <c r="F598" i="5"/>
  <c r="E599" i="5" l="1"/>
  <c r="E600" i="5" s="1"/>
  <c r="E601" i="5" s="1"/>
  <c r="E602" i="5" s="1"/>
  <c r="E603" i="5" s="1"/>
  <c r="F599" i="5"/>
  <c r="E604" i="5" l="1"/>
  <c r="E605" i="5" s="1"/>
  <c r="E606" i="5" s="1"/>
  <c r="F604" i="5"/>
  <c r="F600" i="5"/>
  <c r="F601" i="5" s="1"/>
  <c r="F602" i="5" s="1"/>
  <c r="F603" i="5" s="1"/>
  <c r="E607" i="5" l="1"/>
  <c r="E608" i="5" s="1"/>
  <c r="E609" i="5" s="1"/>
  <c r="E610" i="5" s="1"/>
  <c r="F605" i="5"/>
  <c r="F606" i="5" s="1"/>
  <c r="F607" i="5" s="1"/>
  <c r="F608" i="5" s="1"/>
  <c r="F609" i="5" s="1"/>
  <c r="F610" i="5" s="1"/>
  <c r="E611" i="5" l="1"/>
  <c r="F611" i="5"/>
  <c r="E612" i="5" l="1"/>
  <c r="E613" i="5" s="1"/>
  <c r="E614" i="5" s="1"/>
  <c r="E615" i="5" s="1"/>
  <c r="E616" i="5" s="1"/>
  <c r="E617" i="5" s="1"/>
  <c r="F612" i="5"/>
  <c r="E618" i="5" l="1"/>
  <c r="E619" i="5" s="1"/>
  <c r="F618" i="5"/>
  <c r="F619" i="5" s="1"/>
  <c r="F613" i="5"/>
  <c r="F614" i="5" s="1"/>
  <c r="F615" i="5" s="1"/>
  <c r="F616" i="5" s="1"/>
  <c r="F617" i="5" s="1"/>
  <c r="E620" i="5" l="1"/>
  <c r="E621" i="5" s="1"/>
  <c r="E622" i="5" s="1"/>
  <c r="E623" i="5" s="1"/>
  <c r="F620" i="5"/>
  <c r="F621" i="5" s="1"/>
  <c r="F622" i="5" s="1"/>
  <c r="F623" i="5" s="1"/>
  <c r="E624" i="5" l="1"/>
  <c r="F624" i="5"/>
  <c r="E625" i="5" l="1"/>
  <c r="F625" i="5"/>
  <c r="E626" i="5" l="1"/>
  <c r="E627" i="5" s="1"/>
  <c r="E628" i="5" s="1"/>
  <c r="E629" i="5" s="1"/>
  <c r="E630" i="5" s="1"/>
  <c r="E631" i="5" s="1"/>
  <c r="F626" i="5"/>
  <c r="F627" i="5" s="1"/>
  <c r="F628" i="5" s="1"/>
  <c r="F629" i="5" s="1"/>
  <c r="F630" i="5" s="1"/>
  <c r="F631" i="5" s="1"/>
  <c r="E632" i="5" l="1"/>
  <c r="E633" i="5" s="1"/>
  <c r="F632" i="5"/>
  <c r="F633" i="5" s="1"/>
  <c r="E634" i="5" l="1"/>
  <c r="E635" i="5" s="1"/>
  <c r="E636" i="5" s="1"/>
  <c r="E637" i="5" s="1"/>
  <c r="E638" i="5" s="1"/>
  <c r="F634" i="5"/>
  <c r="F635" i="5" s="1"/>
  <c r="F636" i="5" s="1"/>
  <c r="F637" i="5" s="1"/>
  <c r="F638" i="5" s="1"/>
  <c r="E639" i="5" l="1"/>
  <c r="F639" i="5"/>
  <c r="E640" i="5" l="1"/>
  <c r="E641" i="5" s="1"/>
  <c r="F640" i="5"/>
  <c r="F641" i="5" s="1"/>
  <c r="E642" i="5" l="1"/>
  <c r="E643" i="5" s="1"/>
  <c r="E644" i="5" s="1"/>
  <c r="E645" i="5" s="1"/>
  <c r="F642" i="5"/>
  <c r="F643" i="5" s="1"/>
  <c r="F644" i="5" s="1"/>
  <c r="F645" i="5" s="1"/>
  <c r="E646" i="5" l="1"/>
  <c r="F646" i="5"/>
  <c r="E647" i="5" l="1"/>
  <c r="F647" i="5"/>
  <c r="E648" i="5" l="1"/>
  <c r="E649" i="5" s="1"/>
  <c r="E650" i="5" s="1"/>
  <c r="E651" i="5" s="1"/>
  <c r="E652" i="5" s="1"/>
  <c r="F648" i="5"/>
  <c r="F649" i="5" s="1"/>
  <c r="F650" i="5" s="1"/>
  <c r="F651" i="5" s="1"/>
  <c r="F652" i="5" s="1"/>
  <c r="E653" i="5" l="1"/>
  <c r="F653" i="5"/>
  <c r="E654" i="5" l="1"/>
  <c r="F654" i="5"/>
  <c r="E655" i="5" l="1"/>
  <c r="F655" i="5"/>
  <c r="E656" i="5" l="1"/>
  <c r="E657" i="5" s="1"/>
  <c r="F656" i="5"/>
  <c r="F657" i="5" s="1"/>
  <c r="E658" i="5" l="1"/>
  <c r="E659" i="5" s="1"/>
  <c r="F658" i="5"/>
  <c r="F659" i="5" s="1"/>
  <c r="E660" i="5" l="1"/>
  <c r="E661" i="5" s="1"/>
  <c r="E662" i="5" s="1"/>
  <c r="E663" i="5" s="1"/>
  <c r="E664" i="5" s="1"/>
  <c r="E665" i="5" s="1"/>
  <c r="E666" i="5" s="1"/>
  <c r="F660" i="5"/>
  <c r="F661" i="5" s="1"/>
  <c r="F662" i="5" s="1"/>
  <c r="F663" i="5" s="1"/>
  <c r="F664" i="5" s="1"/>
  <c r="F665" i="5" s="1"/>
  <c r="F666" i="5" s="1"/>
  <c r="E667" i="5" l="1"/>
  <c r="F667" i="5"/>
  <c r="E668" i="5" l="1"/>
  <c r="E669" i="5" s="1"/>
  <c r="E670" i="5" s="1"/>
  <c r="F668" i="5"/>
  <c r="F669" i="5" s="1"/>
  <c r="F670" i="5" s="1"/>
  <c r="E671" i="5" l="1"/>
  <c r="F671" i="5"/>
  <c r="E672" i="5" l="1"/>
  <c r="E673" i="5" s="1"/>
  <c r="F672" i="5"/>
  <c r="F673" i="5" s="1"/>
  <c r="E674" i="5" l="1"/>
  <c r="E675" i="5" s="1"/>
  <c r="E676" i="5" s="1"/>
  <c r="E677" i="5" s="1"/>
  <c r="E678" i="5" s="1"/>
  <c r="E679" i="5" s="1"/>
  <c r="E680" i="5" s="1"/>
  <c r="F674" i="5"/>
  <c r="F675" i="5" s="1"/>
  <c r="F676" i="5" s="1"/>
  <c r="F677" i="5" s="1"/>
  <c r="F678" i="5" s="1"/>
  <c r="F679" i="5" s="1"/>
  <c r="F680" i="5" s="1"/>
  <c r="E681" i="5" l="1"/>
  <c r="F681" i="5"/>
  <c r="E682" i="5" l="1"/>
  <c r="E683" i="5" s="1"/>
  <c r="F682" i="5"/>
  <c r="F683" i="5" s="1"/>
  <c r="E684" i="5" l="1"/>
  <c r="E685" i="5" s="1"/>
  <c r="E686" i="5" s="1"/>
  <c r="F684" i="5"/>
  <c r="F685" i="5" s="1"/>
  <c r="F686" i="5" s="1"/>
  <c r="E687" i="5" l="1"/>
  <c r="F687" i="5"/>
  <c r="E688" i="5" l="1"/>
  <c r="E689" i="5" s="1"/>
  <c r="E690" i="5" s="1"/>
  <c r="E691" i="5" s="1"/>
  <c r="F688" i="5"/>
  <c r="F689" i="5" s="1"/>
  <c r="F690" i="5" s="1"/>
  <c r="F691" i="5" s="1"/>
  <c r="E692" i="5" l="1"/>
  <c r="E693" i="5" s="1"/>
  <c r="E694" i="5" s="1"/>
  <c r="F692" i="5"/>
  <c r="F693" i="5" s="1"/>
  <c r="F694" i="5" s="1"/>
  <c r="E695" i="5" l="1"/>
  <c r="E696" i="5" s="1"/>
  <c r="E697" i="5" s="1"/>
  <c r="E698" i="5" s="1"/>
  <c r="E699" i="5" s="1"/>
  <c r="E700" i="5" s="1"/>
  <c r="E701" i="5" s="1"/>
  <c r="F695" i="5"/>
  <c r="F696" i="5" s="1"/>
  <c r="F697" i="5" s="1"/>
  <c r="F698" i="5" s="1"/>
  <c r="F699" i="5" s="1"/>
  <c r="F700" i="5" s="1"/>
  <c r="F701" i="5" s="1"/>
  <c r="E702" i="5" l="1"/>
  <c r="F702" i="5"/>
  <c r="E703" i="5" l="1"/>
  <c r="E704" i="5" s="1"/>
  <c r="E705" i="5" s="1"/>
  <c r="E706" i="5" s="1"/>
  <c r="E707" i="5" s="1"/>
  <c r="F703" i="5"/>
  <c r="F704" i="5" s="1"/>
  <c r="F705" i="5" s="1"/>
  <c r="F706" i="5" s="1"/>
  <c r="F707" i="5" s="1"/>
  <c r="E708" i="5" l="1"/>
  <c r="F708" i="5"/>
  <c r="E709" i="5" l="1"/>
  <c r="F709" i="5"/>
  <c r="E710" i="5" l="1"/>
  <c r="F710" i="5"/>
  <c r="E711" i="5" l="1"/>
  <c r="F711" i="5"/>
  <c r="E712" i="5" l="1"/>
  <c r="E713" i="5" s="1"/>
  <c r="F712" i="5"/>
  <c r="F713" i="5" s="1"/>
  <c r="E714" i="5" l="1"/>
  <c r="E715" i="5" s="1"/>
  <c r="F714" i="5"/>
  <c r="F715" i="5" s="1"/>
  <c r="E716" i="5" l="1"/>
  <c r="E717" i="5" s="1"/>
  <c r="E718" i="5" s="1"/>
  <c r="F716" i="5"/>
  <c r="F717" i="5" s="1"/>
  <c r="F718" i="5" s="1"/>
  <c r="E719" i="5" l="1"/>
  <c r="F719" i="5"/>
  <c r="E720" i="5" l="1"/>
  <c r="E721" i="5" s="1"/>
  <c r="F720" i="5"/>
  <c r="F721" i="5" s="1"/>
  <c r="E722" i="5" l="1"/>
  <c r="F722" i="5"/>
  <c r="E723" i="5" l="1"/>
  <c r="F723" i="5"/>
  <c r="E724" i="5" l="1"/>
  <c r="E725" i="5" s="1"/>
  <c r="E726" i="5" s="1"/>
  <c r="E727" i="5" s="1"/>
  <c r="E728" i="5" s="1"/>
  <c r="E729" i="5" s="1"/>
  <c r="F724" i="5"/>
  <c r="F725" i="5" s="1"/>
  <c r="F726" i="5" s="1"/>
  <c r="F727" i="5" s="1"/>
  <c r="F728" i="5" s="1"/>
  <c r="F729" i="5" s="1"/>
  <c r="E730" i="5" l="1"/>
  <c r="E731" i="5" s="1"/>
  <c r="F730" i="5"/>
  <c r="E732" i="5" l="1"/>
  <c r="E733" i="5" s="1"/>
  <c r="F731" i="5"/>
  <c r="F732" i="5" s="1"/>
  <c r="F733" i="5" s="1"/>
  <c r="E734" i="5" l="1"/>
  <c r="E735" i="5" s="1"/>
  <c r="E736" i="5" s="1"/>
  <c r="F734" i="5"/>
  <c r="F735" i="5" s="1"/>
  <c r="F736" i="5" s="1"/>
  <c r="E737" i="5" l="1"/>
  <c r="F737" i="5"/>
  <c r="E738" i="5" l="1"/>
  <c r="E739" i="5" s="1"/>
  <c r="F738" i="5"/>
  <c r="F739" i="5" s="1"/>
  <c r="E740" i="5" l="1"/>
  <c r="E741" i="5" s="1"/>
  <c r="E742" i="5" s="1"/>
  <c r="E743" i="5" s="1"/>
  <c r="F740" i="5"/>
  <c r="F741" i="5" s="1"/>
  <c r="F742" i="5" s="1"/>
  <c r="F743" i="5" s="1"/>
  <c r="E744" i="5" l="1"/>
  <c r="E745" i="5" s="1"/>
  <c r="E746" i="5" s="1"/>
  <c r="E747" i="5" s="1"/>
  <c r="E748" i="5" s="1"/>
  <c r="E749" i="5" s="1"/>
  <c r="E750" i="5" s="1"/>
  <c r="F744" i="5"/>
  <c r="F745" i="5" s="1"/>
  <c r="F746" i="5" s="1"/>
  <c r="F747" i="5" s="1"/>
  <c r="F748" i="5" s="1"/>
  <c r="F749" i="5" s="1"/>
  <c r="F750" i="5" s="1"/>
  <c r="E751" i="5" l="1"/>
  <c r="F751" i="5"/>
  <c r="E752" i="5" l="1"/>
  <c r="E753" i="5" s="1"/>
  <c r="E754" i="5" s="1"/>
  <c r="E755" i="5" s="1"/>
  <c r="F752" i="5"/>
  <c r="F753" i="5" s="1"/>
  <c r="F754" i="5" s="1"/>
  <c r="F755" i="5" s="1"/>
  <c r="E756" i="5" l="1"/>
  <c r="E757" i="5" s="1"/>
  <c r="F756" i="5"/>
  <c r="F757" i="5" s="1"/>
  <c r="E758" i="5" l="1"/>
  <c r="E759" i="5" s="1"/>
  <c r="E760" i="5" s="1"/>
  <c r="E761" i="5" s="1"/>
  <c r="E762" i="5" s="1"/>
  <c r="E763" i="5" s="1"/>
  <c r="E764" i="5" s="1"/>
  <c r="F758" i="5"/>
  <c r="F759" i="5" s="1"/>
  <c r="F760" i="5" s="1"/>
  <c r="F761" i="5" s="1"/>
  <c r="F762" i="5" s="1"/>
  <c r="F763" i="5" s="1"/>
  <c r="F764" i="5" s="1"/>
  <c r="E765" i="5" l="1"/>
  <c r="F765" i="5"/>
  <c r="E766" i="5" l="1"/>
  <c r="F766" i="5"/>
  <c r="E767" i="5" l="1"/>
  <c r="F767" i="5"/>
  <c r="E768" i="5" l="1"/>
  <c r="E769" i="5" s="1"/>
  <c r="E770" i="5" s="1"/>
  <c r="E771" i="5" s="1"/>
  <c r="F768" i="5"/>
  <c r="F769" i="5" s="1"/>
  <c r="F770" i="5" s="1"/>
  <c r="F771" i="5" s="1"/>
  <c r="E772" i="5" l="1"/>
  <c r="E773" i="5" s="1"/>
  <c r="F772" i="5"/>
  <c r="F773" i="5" s="1"/>
  <c r="E774" i="5" l="1"/>
  <c r="F774" i="5"/>
  <c r="E775" i="5" l="1"/>
  <c r="F775" i="5"/>
  <c r="E776" i="5" l="1"/>
  <c r="E777" i="5" s="1"/>
  <c r="E778" i="5" s="1"/>
  <c r="F776" i="5"/>
  <c r="F777" i="5" s="1"/>
  <c r="F778" i="5" s="1"/>
  <c r="E779" i="5" l="1"/>
  <c r="F779" i="5"/>
  <c r="E780" i="5" l="1"/>
  <c r="E781" i="5" s="1"/>
  <c r="F780" i="5"/>
  <c r="F781" i="5" s="1"/>
  <c r="E782" i="5" l="1"/>
  <c r="E783" i="5" s="1"/>
  <c r="E784" i="5" s="1"/>
  <c r="E785" i="5" s="1"/>
  <c r="F782" i="5"/>
  <c r="F783" i="5" s="1"/>
  <c r="F784" i="5" s="1"/>
  <c r="F785" i="5" s="1"/>
  <c r="E786" i="5" l="1"/>
  <c r="F786" i="5"/>
  <c r="E787" i="5" l="1"/>
  <c r="E788" i="5" s="1"/>
  <c r="E789" i="5" s="1"/>
  <c r="F787" i="5"/>
  <c r="F788" i="5" s="1"/>
  <c r="F789" i="5" s="1"/>
  <c r="E790" i="5" l="1"/>
  <c r="E791" i="5" s="1"/>
  <c r="E792" i="5" s="1"/>
  <c r="F790" i="5"/>
  <c r="F791" i="5" s="1"/>
  <c r="F792" i="5" s="1"/>
  <c r="E793" i="5" l="1"/>
  <c r="F793" i="5"/>
  <c r="E794" i="5" l="1"/>
  <c r="F794" i="5"/>
  <c r="E795" i="5" l="1"/>
  <c r="F795" i="5"/>
  <c r="E796" i="5" l="1"/>
  <c r="E797" i="5" s="1"/>
  <c r="F796" i="5"/>
  <c r="F797" i="5" s="1"/>
  <c r="E798" i="5" l="1"/>
  <c r="F798" i="5"/>
  <c r="E799" i="5" l="1"/>
  <c r="F799" i="5"/>
  <c r="E800" i="5" l="1"/>
  <c r="E801" i="5" s="1"/>
  <c r="E802" i="5" s="1"/>
  <c r="E803" i="5" s="1"/>
  <c r="E804" i="5" s="1"/>
  <c r="E805" i="5" s="1"/>
  <c r="E806" i="5" s="1"/>
  <c r="F800" i="5"/>
  <c r="F801" i="5" s="1"/>
  <c r="F802" i="5" s="1"/>
  <c r="F803" i="5" s="1"/>
  <c r="F804" i="5" s="1"/>
  <c r="F805" i="5" s="1"/>
  <c r="F806" i="5" s="1"/>
  <c r="E807" i="5" l="1"/>
  <c r="E808" i="5" s="1"/>
  <c r="E809" i="5" s="1"/>
  <c r="E810" i="5" s="1"/>
  <c r="E811" i="5" s="1"/>
  <c r="E812" i="5" s="1"/>
  <c r="E813" i="5" s="1"/>
  <c r="F807" i="5"/>
  <c r="F808" i="5" s="1"/>
  <c r="F809" i="5" s="1"/>
  <c r="F810" i="5" s="1"/>
  <c r="F811" i="5" s="1"/>
  <c r="F812" i="5" s="1"/>
  <c r="F813" i="5" s="1"/>
  <c r="E814" i="5" l="1"/>
  <c r="F814" i="5"/>
  <c r="E815" i="5" l="1"/>
  <c r="F815" i="5"/>
  <c r="E816" i="5" l="1"/>
  <c r="E817" i="5" s="1"/>
  <c r="E818" i="5" s="1"/>
  <c r="E819" i="5" s="1"/>
  <c r="E820" i="5" s="1"/>
  <c r="F816" i="5"/>
  <c r="F817" i="5" s="1"/>
  <c r="F818" i="5" s="1"/>
  <c r="F819" i="5" s="1"/>
  <c r="F820" i="5" s="1"/>
  <c r="E821" i="5" l="1"/>
  <c r="E822" i="5" s="1"/>
  <c r="E823" i="5" s="1"/>
  <c r="E824" i="5" s="1"/>
  <c r="E825" i="5" s="1"/>
  <c r="E826" i="5" s="1"/>
  <c r="E827" i="5" s="1"/>
  <c r="F821" i="5"/>
  <c r="F822" i="5" s="1"/>
  <c r="F823" i="5" s="1"/>
  <c r="F824" i="5" s="1"/>
  <c r="F825" i="5" s="1"/>
  <c r="F826" i="5" s="1"/>
  <c r="F827" i="5" s="1"/>
  <c r="E828" i="5" l="1"/>
  <c r="F828" i="5"/>
  <c r="E829" i="5" l="1"/>
  <c r="E830" i="5" s="1"/>
  <c r="F829" i="5"/>
  <c r="F830" i="5" s="1"/>
  <c r="E831" i="5" l="1"/>
  <c r="E832" i="5" s="1"/>
  <c r="E833" i="5" s="1"/>
  <c r="E834" i="5" s="1"/>
  <c r="F831" i="5"/>
  <c r="F832" i="5" s="1"/>
  <c r="F833" i="5" s="1"/>
  <c r="F834" i="5" s="1"/>
  <c r="E835" i="5" l="1"/>
  <c r="F835" i="5"/>
  <c r="E836" i="5" l="1"/>
  <c r="F836" i="5"/>
  <c r="E837" i="5" l="1"/>
  <c r="E838" i="5" s="1"/>
  <c r="F837" i="5"/>
  <c r="F838" i="5" s="1"/>
  <c r="E839" i="5" l="1"/>
  <c r="E840" i="5" s="1"/>
  <c r="F839" i="5"/>
  <c r="F840" i="5" s="1"/>
  <c r="E841" i="5" l="1"/>
  <c r="F841" i="5"/>
  <c r="E842" i="5" l="1"/>
  <c r="F842" i="5"/>
  <c r="E843" i="5" l="1"/>
  <c r="F843" i="5"/>
  <c r="E844" i="5" l="1"/>
  <c r="F844" i="5"/>
  <c r="E845" i="5" l="1"/>
  <c r="E846" i="5" s="1"/>
  <c r="E847" i="5" s="1"/>
  <c r="E848" i="5" s="1"/>
  <c r="F845" i="5"/>
  <c r="F846" i="5" s="1"/>
  <c r="F847" i="5" s="1"/>
  <c r="F848" i="5" s="1"/>
  <c r="E849" i="5" l="1"/>
  <c r="E850" i="5" s="1"/>
  <c r="E851" i="5" s="1"/>
  <c r="E852" i="5" s="1"/>
  <c r="E853" i="5" s="1"/>
  <c r="E854" i="5" s="1"/>
  <c r="F849" i="5"/>
  <c r="F850" i="5" s="1"/>
  <c r="F851" i="5" s="1"/>
  <c r="F852" i="5" s="1"/>
  <c r="F853" i="5" s="1"/>
  <c r="F854" i="5" s="1"/>
  <c r="E855" i="5" l="1"/>
  <c r="F855" i="5"/>
  <c r="E856" i="5" l="1"/>
  <c r="F856" i="5"/>
  <c r="E857" i="5" l="1"/>
  <c r="E858" i="5" s="1"/>
  <c r="E859" i="5" s="1"/>
  <c r="E860" i="5" s="1"/>
  <c r="E861" i="5" s="1"/>
  <c r="E862" i="5" s="1"/>
  <c r="F857" i="5"/>
  <c r="F858" i="5" s="1"/>
  <c r="F859" i="5" s="1"/>
  <c r="F860" i="5" s="1"/>
  <c r="F861" i="5" s="1"/>
  <c r="F862" i="5" s="1"/>
  <c r="E863" i="5" l="1"/>
  <c r="E864" i="5" s="1"/>
  <c r="E865" i="5" s="1"/>
  <c r="E866" i="5" s="1"/>
  <c r="E867" i="5" s="1"/>
  <c r="E868" i="5" s="1"/>
  <c r="E869" i="5" s="1"/>
  <c r="F863" i="5"/>
  <c r="F864" i="5" s="1"/>
  <c r="F865" i="5" s="1"/>
  <c r="F866" i="5" s="1"/>
  <c r="F867" i="5" s="1"/>
  <c r="F868" i="5" s="1"/>
  <c r="F869" i="5" s="1"/>
  <c r="E870" i="5" l="1"/>
  <c r="F870" i="5"/>
  <c r="E871" i="5" l="1"/>
  <c r="F871" i="5"/>
  <c r="E872" i="5" l="1"/>
  <c r="E873" i="5" s="1"/>
  <c r="E874" i="5" s="1"/>
  <c r="E875" i="5" s="1"/>
  <c r="E876" i="5" s="1"/>
  <c r="F872" i="5"/>
  <c r="F873" i="5" s="1"/>
  <c r="F874" i="5" s="1"/>
  <c r="F875" i="5" s="1"/>
  <c r="F876" i="5" s="1"/>
  <c r="E877" i="5" l="1"/>
  <c r="E878" i="5" s="1"/>
  <c r="E879" i="5" s="1"/>
  <c r="E880" i="5" s="1"/>
  <c r="E881" i="5" s="1"/>
  <c r="E882" i="5" s="1"/>
  <c r="E883" i="5" s="1"/>
  <c r="F877" i="5"/>
  <c r="F878" i="5" s="1"/>
  <c r="F879" i="5" s="1"/>
  <c r="F880" i="5" s="1"/>
  <c r="F881" i="5" s="1"/>
  <c r="F882" i="5" s="1"/>
  <c r="F883" i="5" s="1"/>
  <c r="E884" i="5" l="1"/>
  <c r="F884" i="5"/>
  <c r="E885" i="5" l="1"/>
  <c r="E886" i="5" s="1"/>
  <c r="F885" i="5"/>
  <c r="F886" i="5" s="1"/>
  <c r="E887" i="5" l="1"/>
  <c r="E888" i="5" s="1"/>
  <c r="E889" i="5" s="1"/>
  <c r="E890" i="5" s="1"/>
  <c r="F887" i="5"/>
  <c r="F888" i="5" s="1"/>
  <c r="F889" i="5" s="1"/>
  <c r="F890" i="5" s="1"/>
  <c r="E891" i="5" l="1"/>
  <c r="F891" i="5"/>
  <c r="E892" i="5" l="1"/>
  <c r="F892" i="5"/>
  <c r="E893" i="5" l="1"/>
  <c r="E894" i="5" s="1"/>
  <c r="F893" i="5"/>
  <c r="F894" i="5" s="1"/>
  <c r="E895" i="5" l="1"/>
  <c r="E896" i="5" s="1"/>
  <c r="F895" i="5"/>
  <c r="F896" i="5" s="1"/>
  <c r="E897" i="5" l="1"/>
  <c r="F897" i="5"/>
  <c r="E898" i="5" l="1"/>
  <c r="F898" i="5"/>
  <c r="E899" i="5" l="1"/>
  <c r="F899" i="5"/>
  <c r="E900" i="5" l="1"/>
  <c r="F900" i="5"/>
  <c r="E901" i="5" l="1"/>
  <c r="E902" i="5" s="1"/>
  <c r="E903" i="5" s="1"/>
  <c r="E904" i="5" s="1"/>
  <c r="F901" i="5"/>
  <c r="F902" i="5" s="1"/>
  <c r="F903" i="5" s="1"/>
  <c r="F904" i="5" s="1"/>
  <c r="E905" i="5" l="1"/>
  <c r="E906" i="5" s="1"/>
  <c r="E907" i="5" s="1"/>
  <c r="E908" i="5" s="1"/>
  <c r="E909" i="5" s="1"/>
  <c r="E910" i="5" s="1"/>
  <c r="F905" i="5"/>
  <c r="F906" i="5" s="1"/>
  <c r="F907" i="5" s="1"/>
  <c r="F908" i="5" s="1"/>
  <c r="F909" i="5" s="1"/>
  <c r="F910" i="5" s="1"/>
  <c r="E911" i="5" l="1"/>
  <c r="F911" i="5"/>
  <c r="E912" i="5" l="1"/>
  <c r="F912" i="5"/>
  <c r="E913" i="5" l="1"/>
  <c r="E914" i="5" s="1"/>
  <c r="E915" i="5" s="1"/>
  <c r="E916" i="5" s="1"/>
  <c r="E917" i="5" s="1"/>
  <c r="E918" i="5" s="1"/>
  <c r="F913" i="5"/>
  <c r="F914" i="5" s="1"/>
  <c r="F915" i="5" s="1"/>
  <c r="F916" i="5" s="1"/>
  <c r="F917" i="5" s="1"/>
  <c r="F918" i="5" s="1"/>
  <c r="E919" i="5" l="1"/>
  <c r="E920" i="5" s="1"/>
  <c r="E921" i="5" s="1"/>
  <c r="E922" i="5" s="1"/>
  <c r="E923" i="5" s="1"/>
  <c r="E924" i="5" s="1"/>
  <c r="E925" i="5" s="1"/>
  <c r="F919" i="5"/>
  <c r="F920" i="5" s="1"/>
  <c r="F921" i="5" s="1"/>
  <c r="F922" i="5" s="1"/>
  <c r="F923" i="5" s="1"/>
  <c r="F924" i="5" s="1"/>
  <c r="F925" i="5" s="1"/>
  <c r="E926" i="5" l="1"/>
  <c r="F926" i="5"/>
  <c r="E927" i="5" l="1"/>
  <c r="F927" i="5"/>
  <c r="E928" i="5" l="1"/>
  <c r="E929" i="5" s="1"/>
  <c r="E930" i="5" s="1"/>
  <c r="E931" i="5" s="1"/>
  <c r="E932" i="5" s="1"/>
  <c r="F928" i="5"/>
  <c r="F929" i="5" s="1"/>
  <c r="F930" i="5" s="1"/>
  <c r="F931" i="5" s="1"/>
  <c r="F932" i="5" s="1"/>
  <c r="E933" i="5" l="1"/>
  <c r="E934" i="5" s="1"/>
  <c r="E935" i="5" s="1"/>
  <c r="E936" i="5" s="1"/>
  <c r="E937" i="5" s="1"/>
  <c r="E938" i="5" s="1"/>
  <c r="E939" i="5" s="1"/>
  <c r="F933" i="5"/>
  <c r="F934" i="5" s="1"/>
  <c r="F935" i="5" s="1"/>
  <c r="F936" i="5" s="1"/>
  <c r="F937" i="5" s="1"/>
  <c r="F938" i="5" s="1"/>
  <c r="F939" i="5" s="1"/>
  <c r="E940" i="5" l="1"/>
  <c r="F940" i="5"/>
  <c r="E941" i="5" l="1"/>
  <c r="E942" i="5" s="1"/>
  <c r="F941" i="5"/>
  <c r="F942" i="5" s="1"/>
  <c r="E943" i="5" l="1"/>
  <c r="E944" i="5" s="1"/>
  <c r="E945" i="5" s="1"/>
  <c r="E946" i="5" s="1"/>
  <c r="F943" i="5"/>
  <c r="F944" i="5" s="1"/>
  <c r="F945" i="5" s="1"/>
  <c r="F946" i="5" s="1"/>
  <c r="E947" i="5" l="1"/>
  <c r="F947" i="5"/>
  <c r="E948" i="5" l="1"/>
  <c r="F948" i="5"/>
  <c r="E949" i="5" l="1"/>
  <c r="E950" i="5" s="1"/>
  <c r="F949" i="5"/>
  <c r="F950" i="5" s="1"/>
  <c r="E951" i="5" l="1"/>
  <c r="E952" i="5" s="1"/>
  <c r="F951" i="5"/>
  <c r="F952" i="5" s="1"/>
  <c r="E953" i="5" l="1"/>
  <c r="F953" i="5"/>
  <c r="E954" i="5" l="1"/>
  <c r="F954" i="5"/>
  <c r="E955" i="5" l="1"/>
  <c r="F955" i="5"/>
  <c r="E956" i="5" l="1"/>
  <c r="F956" i="5"/>
  <c r="E957" i="5" l="1"/>
  <c r="E958" i="5" s="1"/>
  <c r="E959" i="5" s="1"/>
  <c r="E960" i="5" s="1"/>
  <c r="F957" i="5"/>
  <c r="F958" i="5" s="1"/>
  <c r="F959" i="5" s="1"/>
  <c r="F960" i="5" s="1"/>
  <c r="E961" i="5" l="1"/>
  <c r="E962" i="5" s="1"/>
  <c r="E963" i="5" s="1"/>
  <c r="E964" i="5" s="1"/>
  <c r="E965" i="5" s="1"/>
  <c r="E966" i="5" s="1"/>
  <c r="F961" i="5"/>
  <c r="E967" i="5" l="1"/>
  <c r="F962" i="5"/>
  <c r="F963" i="5" s="1"/>
  <c r="F964" i="5" s="1"/>
  <c r="F965" i="5" s="1"/>
  <c r="F966" i="5" s="1"/>
  <c r="F967" i="5" s="1"/>
  <c r="E968" i="5" l="1"/>
  <c r="F968" i="5"/>
  <c r="E969" i="5" l="1"/>
  <c r="E970" i="5" s="1"/>
  <c r="E971" i="5" s="1"/>
  <c r="E972" i="5" s="1"/>
  <c r="E973" i="5" s="1"/>
  <c r="E974" i="5" s="1"/>
  <c r="F969" i="5"/>
  <c r="F970" i="5" s="1"/>
  <c r="F971" i="5" s="1"/>
  <c r="F972" i="5" s="1"/>
  <c r="F973" i="5" s="1"/>
  <c r="F974" i="5" s="1"/>
  <c r="E975" i="5" l="1"/>
  <c r="E976" i="5" s="1"/>
  <c r="E977" i="5" s="1"/>
  <c r="E978" i="5" s="1"/>
  <c r="E979" i="5" s="1"/>
  <c r="E980" i="5" s="1"/>
  <c r="E981" i="5" s="1"/>
  <c r="F975" i="5"/>
  <c r="F976" i="5" s="1"/>
  <c r="F977" i="5" s="1"/>
  <c r="F978" i="5" s="1"/>
  <c r="F979" i="5" s="1"/>
  <c r="F980" i="5" s="1"/>
  <c r="F981" i="5" s="1"/>
  <c r="E982" i="5" l="1"/>
  <c r="F982" i="5"/>
  <c r="E983" i="5" l="1"/>
  <c r="F983" i="5"/>
  <c r="E984" i="5" l="1"/>
  <c r="E985" i="5" s="1"/>
  <c r="E986" i="5" s="1"/>
  <c r="E987" i="5" s="1"/>
  <c r="E988" i="5" s="1"/>
  <c r="F984" i="5"/>
  <c r="E989" i="5" l="1"/>
  <c r="E990" i="5" s="1"/>
  <c r="E991" i="5" s="1"/>
  <c r="E992" i="5" s="1"/>
  <c r="E993" i="5" s="1"/>
  <c r="E994" i="5" s="1"/>
  <c r="E995" i="5" s="1"/>
  <c r="F989" i="5"/>
  <c r="F990" i="5" s="1"/>
  <c r="F991" i="5" s="1"/>
  <c r="F992" i="5" s="1"/>
  <c r="F993" i="5" s="1"/>
  <c r="F994" i="5" s="1"/>
  <c r="F995" i="5" s="1"/>
  <c r="F985" i="5"/>
  <c r="F986" i="5" s="1"/>
  <c r="F987" i="5" s="1"/>
  <c r="F988" i="5" s="1"/>
  <c r="E996" i="5" l="1"/>
  <c r="F996" i="5"/>
  <c r="E997" i="5" l="1"/>
  <c r="E998" i="5" s="1"/>
  <c r="F997" i="5"/>
  <c r="E999" i="5" l="1"/>
  <c r="E1000" i="5" s="1"/>
  <c r="E1001" i="5" s="1"/>
  <c r="E1002" i="5" s="1"/>
  <c r="F998" i="5"/>
  <c r="F999" i="5" s="1"/>
  <c r="F1000" i="5" s="1"/>
  <c r="F1001" i="5" s="1"/>
  <c r="F1002" i="5" s="1"/>
  <c r="E1003" i="5" l="1"/>
  <c r="F1003" i="5"/>
  <c r="E1004" i="5" l="1"/>
  <c r="F1004" i="5"/>
  <c r="E1005" i="5" l="1"/>
  <c r="E1006" i="5" s="1"/>
  <c r="F1005" i="5"/>
  <c r="F1006" i="5" s="1"/>
  <c r="E1007" i="5" l="1"/>
  <c r="E1008" i="5" s="1"/>
  <c r="E1009" i="5" s="1"/>
  <c r="F1007" i="5"/>
  <c r="F1008" i="5" s="1"/>
  <c r="F1009" i="5" s="1"/>
  <c r="E1010" i="5" l="1"/>
  <c r="F1010" i="5"/>
  <c r="E1011" i="5" l="1"/>
  <c r="F1011" i="5"/>
  <c r="E1012" i="5" l="1"/>
  <c r="F1012" i="5"/>
  <c r="E1013" i="5" l="1"/>
  <c r="E1014" i="5" s="1"/>
  <c r="F1013" i="5"/>
  <c r="F1014" i="5" s="1"/>
  <c r="E1015" i="5" l="1"/>
  <c r="F1015" i="5"/>
  <c r="E1016" i="5" l="1"/>
  <c r="F1016" i="5"/>
  <c r="E1017" i="5" l="1"/>
  <c r="E1018" i="5" s="1"/>
  <c r="E1019" i="5" s="1"/>
  <c r="E1020" i="5" s="1"/>
  <c r="F1017" i="5"/>
  <c r="E1021" i="5" l="1"/>
  <c r="E1022" i="5" s="1"/>
  <c r="E1023" i="5" s="1"/>
  <c r="F1018" i="5"/>
  <c r="F1019" i="5" s="1"/>
  <c r="F1020" i="5" s="1"/>
  <c r="F1021" i="5" s="1"/>
  <c r="F1022" i="5" s="1"/>
  <c r="F1023" i="5" s="1"/>
  <c r="E1024" i="5" l="1"/>
  <c r="E1025" i="5" s="1"/>
  <c r="E1026" i="5" s="1"/>
  <c r="E1027" i="5" s="1"/>
  <c r="E1028" i="5" s="1"/>
  <c r="E1029" i="5" s="1"/>
  <c r="E1030" i="5" s="1"/>
  <c r="F1024" i="5"/>
  <c r="E1031" i="5" l="1"/>
  <c r="F1031" i="5"/>
  <c r="F1025" i="5"/>
  <c r="F1026" i="5" s="1"/>
  <c r="F1027" i="5" s="1"/>
  <c r="F1028" i="5" s="1"/>
  <c r="F1029" i="5" s="1"/>
  <c r="F1030" i="5" s="1"/>
  <c r="E1032" i="5" l="1"/>
  <c r="E1033" i="5" s="1"/>
  <c r="E1034" i="5" s="1"/>
  <c r="E1035" i="5" s="1"/>
  <c r="E1036" i="5" s="1"/>
  <c r="E1037" i="5" s="1"/>
  <c r="F1032" i="5"/>
  <c r="F1033" i="5" s="1"/>
  <c r="F1034" i="5" s="1"/>
  <c r="F1035" i="5" s="1"/>
  <c r="F1036" i="5" s="1"/>
  <c r="F1037" i="5" s="1"/>
  <c r="E1038" i="5" l="1"/>
  <c r="F1038" i="5"/>
  <c r="E1039" i="5" l="1"/>
  <c r="E1040" i="5" s="1"/>
  <c r="E1041" i="5" s="1"/>
  <c r="E1042" i="5" s="1"/>
  <c r="E1043" i="5" s="1"/>
  <c r="E1044" i="5" s="1"/>
  <c r="F1039" i="5"/>
  <c r="F1040" i="5" s="1"/>
  <c r="F1041" i="5" s="1"/>
  <c r="F1042" i="5" s="1"/>
  <c r="F1043" i="5" s="1"/>
  <c r="F1044" i="5" s="1"/>
  <c r="E1045" i="5" l="1"/>
  <c r="E1046" i="5" s="1"/>
  <c r="F1045" i="5"/>
  <c r="F1046" i="5" s="1"/>
  <c r="E1047" i="5" l="1"/>
  <c r="F1047" i="5"/>
  <c r="E1048" i="5" l="1"/>
  <c r="E1049" i="5" s="1"/>
  <c r="E1050" i="5" s="1"/>
  <c r="E1051" i="5" s="1"/>
  <c r="F1048" i="5"/>
  <c r="F1049" i="5" s="1"/>
  <c r="F1050" i="5" s="1"/>
  <c r="F1051" i="5" s="1"/>
  <c r="E1052" i="5" l="1"/>
  <c r="F1052" i="5"/>
  <c r="E1053" i="5" l="1"/>
  <c r="E1054" i="5" s="1"/>
  <c r="E1055" i="5" s="1"/>
  <c r="E1056" i="5" s="1"/>
  <c r="E1057" i="5" s="1"/>
  <c r="E1058" i="5" s="1"/>
  <c r="F1053" i="5"/>
  <c r="F1054" i="5" s="1"/>
  <c r="F1055" i="5" s="1"/>
  <c r="F1056" i="5" s="1"/>
  <c r="F1057" i="5" s="1"/>
  <c r="F1058" i="5" s="1"/>
  <c r="E1059" i="5" l="1"/>
  <c r="F1059" i="5"/>
  <c r="E1060" i="5" l="1"/>
  <c r="F1060" i="5"/>
  <c r="E1061" i="5" l="1"/>
  <c r="E1062" i="5" s="1"/>
  <c r="E1063" i="5" s="1"/>
  <c r="E1064" i="5" s="1"/>
  <c r="E1065" i="5" s="1"/>
  <c r="F1061" i="5"/>
  <c r="F1062" i="5" s="1"/>
  <c r="F1063" i="5" s="1"/>
  <c r="F1064" i="5" s="1"/>
  <c r="F1065" i="5" s="1"/>
  <c r="E1066" i="5" l="1"/>
  <c r="F1066" i="5"/>
  <c r="E1067" i="5" l="1"/>
  <c r="F1067" i="5"/>
  <c r="E1068" i="5" l="1"/>
  <c r="F1068" i="5"/>
  <c r="E1069" i="5" l="1"/>
  <c r="E1070" i="5" s="1"/>
  <c r="F1069" i="5"/>
  <c r="F1070" i="5" s="1"/>
  <c r="E1071" i="5" l="1"/>
  <c r="E1072" i="5" s="1"/>
  <c r="F1071" i="5"/>
  <c r="F1072" i="5" s="1"/>
  <c r="E1073" i="5" l="1"/>
  <c r="E1074" i="5" s="1"/>
  <c r="E1075" i="5" s="1"/>
  <c r="E1076" i="5" s="1"/>
  <c r="E1077" i="5" s="1"/>
  <c r="E1078" i="5" s="1"/>
  <c r="E1079" i="5" s="1"/>
  <c r="F1073" i="5"/>
  <c r="F1074" i="5" s="1"/>
  <c r="F1075" i="5" s="1"/>
  <c r="F1076" i="5" s="1"/>
  <c r="F1077" i="5" s="1"/>
  <c r="F1078" i="5" s="1"/>
  <c r="F1079" i="5" s="1"/>
  <c r="E1080" i="5" l="1"/>
  <c r="F1080" i="5"/>
  <c r="E1081" i="5" l="1"/>
  <c r="E1082" i="5" s="1"/>
  <c r="E1083" i="5" s="1"/>
  <c r="E1084" i="5" s="1"/>
  <c r="F1081" i="5"/>
  <c r="F1082" i="5" s="1"/>
  <c r="F1083" i="5" s="1"/>
  <c r="F1084" i="5" s="1"/>
  <c r="E1085" i="5" l="1"/>
  <c r="E1086" i="5" s="1"/>
  <c r="F1085" i="5"/>
  <c r="F1086" i="5" s="1"/>
  <c r="E1087" i="5" l="1"/>
  <c r="E1088" i="5" s="1"/>
  <c r="E1089" i="5" s="1"/>
  <c r="E1090" i="5" s="1"/>
  <c r="E1091" i="5" s="1"/>
  <c r="E1092" i="5" s="1"/>
  <c r="E1093" i="5" s="1"/>
  <c r="F1087" i="5"/>
  <c r="F1088" i="5" s="1"/>
  <c r="F1089" i="5" s="1"/>
  <c r="F1090" i="5" s="1"/>
  <c r="F1091" i="5" s="1"/>
  <c r="F1092" i="5" s="1"/>
  <c r="F1093" i="5" s="1"/>
  <c r="E1094" i="5" l="1"/>
  <c r="F1094" i="5"/>
  <c r="E1095" i="5" l="1"/>
  <c r="F1095" i="5"/>
  <c r="E1096" i="5" l="1"/>
  <c r="F1096" i="5"/>
  <c r="E1097" i="5" l="1"/>
  <c r="E1098" i="5" s="1"/>
  <c r="E1099" i="5" s="1"/>
  <c r="E1100" i="5" s="1"/>
  <c r="F1097" i="5"/>
  <c r="F1098" i="5" s="1"/>
  <c r="F1099" i="5" s="1"/>
  <c r="F1100" i="5" s="1"/>
  <c r="E1101" i="5" l="1"/>
  <c r="E1102" i="5" s="1"/>
  <c r="E1103" i="5" s="1"/>
  <c r="E1104" i="5" s="1"/>
  <c r="E1105" i="5" s="1"/>
  <c r="E1106" i="5" s="1"/>
  <c r="E1107" i="5" s="1"/>
  <c r="F1101" i="5"/>
  <c r="F1102" i="5" s="1"/>
  <c r="F1103" i="5" s="1"/>
  <c r="F1104" i="5" s="1"/>
  <c r="F1105" i="5" s="1"/>
  <c r="F1106" i="5" s="1"/>
  <c r="F1107" i="5" s="1"/>
  <c r="E1108" i="5" l="1"/>
  <c r="F1108" i="5"/>
  <c r="E1109" i="5" l="1"/>
  <c r="E1110" i="5" s="1"/>
  <c r="F1109" i="5"/>
  <c r="E1111" i="5" l="1"/>
  <c r="E1112" i="5" s="1"/>
  <c r="E1113" i="5" s="1"/>
  <c r="E1114" i="5" s="1"/>
  <c r="F1110" i="5"/>
  <c r="F1111" i="5" s="1"/>
  <c r="F1112" i="5" s="1"/>
  <c r="F1113" i="5" s="1"/>
  <c r="F1114" i="5" s="1"/>
  <c r="E1115" i="5" l="1"/>
  <c r="F1115" i="5"/>
  <c r="E1116" i="5" l="1"/>
  <c r="F1116" i="5"/>
  <c r="E1117" i="5" l="1"/>
  <c r="E1118" i="5" s="1"/>
  <c r="F1117" i="5"/>
  <c r="F1118" i="5" s="1"/>
  <c r="E1119" i="5" l="1"/>
  <c r="F1119" i="5"/>
  <c r="E1120" i="5" l="1"/>
  <c r="F1120" i="5"/>
  <c r="E1121" i="5" l="1"/>
  <c r="F1121" i="5"/>
  <c r="E1122" i="5" l="1"/>
  <c r="F1122" i="5"/>
  <c r="E1123" i="5" l="1"/>
  <c r="F1123" i="5"/>
  <c r="E1124" i="5" l="1"/>
  <c r="F1124" i="5"/>
  <c r="E1125" i="5" l="1"/>
  <c r="E1126" i="5" s="1"/>
  <c r="E1127" i="5" s="1"/>
  <c r="E1128" i="5" s="1"/>
  <c r="F1125" i="5"/>
  <c r="F1126" i="5" s="1"/>
  <c r="F1127" i="5" s="1"/>
  <c r="F1128" i="5" s="1"/>
  <c r="E1129" i="5" l="1"/>
  <c r="E1130" i="5" s="1"/>
  <c r="E1131" i="5" s="1"/>
  <c r="E1132" i="5" s="1"/>
  <c r="F1129" i="5"/>
  <c r="F1130" i="5" s="1"/>
  <c r="F1131" i="5" s="1"/>
  <c r="F1132" i="5" s="1"/>
  <c r="E1133" i="5" l="1"/>
  <c r="E1134" i="5" s="1"/>
  <c r="F1133" i="5"/>
  <c r="F1134" i="5" s="1"/>
  <c r="E1135" i="5" l="1"/>
  <c r="F1135" i="5"/>
  <c r="E1136" i="5" l="1"/>
  <c r="E1137" i="5" s="1"/>
  <c r="E1138" i="5" s="1"/>
  <c r="E1139" i="5" s="1"/>
  <c r="E1140" i="5" s="1"/>
  <c r="E1141" i="5" s="1"/>
  <c r="E1142" i="5" s="1"/>
  <c r="F1136" i="5"/>
  <c r="F1137" i="5" s="1"/>
  <c r="F1138" i="5" s="1"/>
  <c r="F1139" i="5" s="1"/>
  <c r="F1140" i="5" s="1"/>
  <c r="F1141" i="5" s="1"/>
  <c r="F1142" i="5" s="1"/>
  <c r="E1143" i="5" l="1"/>
  <c r="F1143" i="5"/>
  <c r="E1144" i="5" l="1"/>
  <c r="F1144" i="5"/>
  <c r="E1145" i="5" l="1"/>
  <c r="E1146" i="5" s="1"/>
  <c r="E1147" i="5" s="1"/>
  <c r="E1148" i="5" s="1"/>
  <c r="F1145" i="5"/>
  <c r="F1146" i="5" s="1"/>
  <c r="F1147" i="5" s="1"/>
  <c r="F1148" i="5" s="1"/>
  <c r="E1149" i="5" l="1"/>
  <c r="F1149" i="5"/>
  <c r="E1150" i="5" l="1"/>
  <c r="F1150" i="5"/>
  <c r="E1151" i="5" l="1"/>
  <c r="E1152" i="5" s="1"/>
  <c r="E1153" i="5" s="1"/>
  <c r="E1154" i="5" s="1"/>
  <c r="E1155" i="5" s="1"/>
  <c r="E1156" i="5" s="1"/>
  <c r="F1151" i="5"/>
  <c r="F1152" i="5" s="1"/>
  <c r="F1153" i="5" s="1"/>
  <c r="F1154" i="5" s="1"/>
  <c r="F1155" i="5" s="1"/>
  <c r="F1156" i="5" s="1"/>
  <c r="E1157" i="5" l="1"/>
  <c r="E1158" i="5" s="1"/>
  <c r="F1157" i="5"/>
  <c r="F1158" i="5" s="1"/>
  <c r="E1159" i="5" l="1"/>
  <c r="F1159" i="5"/>
  <c r="E1160" i="5" l="1"/>
  <c r="E1161" i="5" s="1"/>
  <c r="E1162" i="5" s="1"/>
  <c r="E1163" i="5" s="1"/>
  <c r="F1160" i="5"/>
  <c r="F1161" i="5" s="1"/>
  <c r="F1162" i="5" s="1"/>
  <c r="F1163" i="5" s="1"/>
  <c r="E1164" i="5" l="1"/>
  <c r="F1164" i="5"/>
  <c r="E1165" i="5" l="1"/>
  <c r="E1166" i="5" s="1"/>
  <c r="E1167" i="5" s="1"/>
  <c r="E1168" i="5" s="1"/>
  <c r="E1169" i="5" s="1"/>
  <c r="E1170" i="5" s="1"/>
  <c r="F1165" i="5"/>
  <c r="F1166" i="5" s="1"/>
  <c r="F1167" i="5" s="1"/>
  <c r="F1168" i="5" s="1"/>
  <c r="F1169" i="5" s="1"/>
  <c r="F1170" i="5" s="1"/>
  <c r="E1171" i="5" l="1"/>
  <c r="F1171" i="5"/>
  <c r="E1172" i="5" l="1"/>
  <c r="F1172" i="5"/>
  <c r="E1173" i="5" l="1"/>
  <c r="E1174" i="5" s="1"/>
  <c r="F1173" i="5"/>
  <c r="F1174" i="5" s="1"/>
  <c r="E1175" i="5" l="1"/>
  <c r="E1176" i="5" s="1"/>
  <c r="E1177" i="5" s="1"/>
  <c r="F1175" i="5"/>
  <c r="F1176" i="5" s="1"/>
  <c r="F1177" i="5" s="1"/>
  <c r="E1178" i="5" l="1"/>
  <c r="F1178" i="5"/>
  <c r="E1179" i="5" l="1"/>
  <c r="E1180" i="5" s="1"/>
  <c r="F1179" i="5"/>
  <c r="F1180" i="5" s="1"/>
  <c r="E1181" i="5" l="1"/>
  <c r="E1182" i="5" s="1"/>
  <c r="F1181" i="5"/>
  <c r="F1182" i="5" s="1"/>
  <c r="E1183" i="5" l="1"/>
  <c r="F1183" i="5"/>
  <c r="E1184" i="5" l="1"/>
  <c r="F1184" i="5"/>
  <c r="E1185" i="5" l="1"/>
  <c r="E1186" i="5" s="1"/>
  <c r="E1187" i="5" s="1"/>
  <c r="E1188" i="5" s="1"/>
  <c r="F1185" i="5"/>
  <c r="F1186" i="5" s="1"/>
  <c r="F1187" i="5" s="1"/>
  <c r="F1188" i="5" s="1"/>
  <c r="E1189" i="5" l="1"/>
  <c r="E1190" i="5" s="1"/>
  <c r="E1191" i="5" s="1"/>
  <c r="F1189" i="5"/>
  <c r="F1190" i="5" s="1"/>
  <c r="F1191" i="5" s="1"/>
  <c r="E1192" i="5" l="1"/>
  <c r="E1193" i="5" s="1"/>
  <c r="E1194" i="5" s="1"/>
  <c r="E1195" i="5" s="1"/>
  <c r="E1196" i="5" s="1"/>
  <c r="E1197" i="5" s="1"/>
  <c r="E1198" i="5" s="1"/>
  <c r="F1192" i="5"/>
  <c r="F1193" i="5" s="1"/>
  <c r="F1194" i="5" s="1"/>
  <c r="F1195" i="5" s="1"/>
  <c r="F1196" i="5" s="1"/>
  <c r="F1197" i="5" s="1"/>
  <c r="F1198" i="5" s="1"/>
  <c r="E1199" i="5" l="1"/>
  <c r="F1199" i="5"/>
  <c r="E1200" i="5" l="1"/>
  <c r="F1200" i="5"/>
  <c r="E1201" i="5" l="1"/>
  <c r="E1202" i="5" s="1"/>
  <c r="E1203" i="5" s="1"/>
  <c r="E1204" i="5" s="1"/>
  <c r="E1205" i="5" s="1"/>
  <c r="F1201" i="5"/>
  <c r="F1202" i="5" s="1"/>
  <c r="F1203" i="5" s="1"/>
  <c r="F1204" i="5" s="1"/>
  <c r="F1205" i="5" s="1"/>
  <c r="E1206" i="5" l="1"/>
  <c r="F1206" i="5"/>
  <c r="E1207" i="5" l="1"/>
  <c r="E1208" i="5" s="1"/>
  <c r="E1209" i="5" s="1"/>
  <c r="E1210" i="5" s="1"/>
  <c r="E1211" i="5" s="1"/>
  <c r="E1212" i="5" s="1"/>
  <c r="F1207" i="5"/>
  <c r="F1208" i="5" s="1"/>
  <c r="F1209" i="5" s="1"/>
  <c r="F1210" i="5" s="1"/>
  <c r="F1211" i="5" s="1"/>
  <c r="F1212" i="5" s="1"/>
  <c r="E1213" i="5" l="1"/>
  <c r="E1214" i="5" s="1"/>
  <c r="E1215" i="5" s="1"/>
  <c r="E1216" i="5" s="1"/>
  <c r="E1217" i="5" s="1"/>
  <c r="E1218" i="5" s="1"/>
  <c r="E1219" i="5" s="1"/>
  <c r="F1213" i="5"/>
  <c r="F1214" i="5" s="1"/>
  <c r="F1215" i="5" s="1"/>
  <c r="F1216" i="5" s="1"/>
  <c r="F1217" i="5" s="1"/>
  <c r="F1218" i="5" s="1"/>
  <c r="F1219" i="5" s="1"/>
  <c r="E1220" i="5" l="1"/>
  <c r="F1220" i="5"/>
  <c r="E1221" i="5" l="1"/>
  <c r="E1222" i="5" s="1"/>
  <c r="E1223" i="5" s="1"/>
  <c r="E1224" i="5" s="1"/>
  <c r="F1221" i="5"/>
  <c r="F1222" i="5" s="1"/>
  <c r="F1223" i="5" s="1"/>
  <c r="F1224" i="5" s="1"/>
  <c r="E1225" i="5" l="1"/>
  <c r="E1226" i="5" s="1"/>
  <c r="F1225" i="5"/>
  <c r="F1226" i="5" s="1"/>
  <c r="E1227" i="5" l="1"/>
  <c r="F1227" i="5"/>
  <c r="E1228" i="5" l="1"/>
  <c r="F1228" i="5"/>
  <c r="E1229" i="5" l="1"/>
  <c r="E1230" i="5" s="1"/>
  <c r="E1231" i="5" s="1"/>
  <c r="E1232" i="5" s="1"/>
  <c r="E1233" i="5" s="1"/>
  <c r="F1229" i="5"/>
  <c r="F1230" i="5" s="1"/>
  <c r="F1231" i="5" s="1"/>
  <c r="F1232" i="5" s="1"/>
  <c r="F1233" i="5" s="1"/>
  <c r="E1234" i="5" l="1"/>
  <c r="F1234" i="5"/>
  <c r="E1235" i="5" l="1"/>
  <c r="F1235" i="5"/>
  <c r="E1236" i="5" l="1"/>
  <c r="F1236" i="5"/>
  <c r="E1237" i="5" l="1"/>
  <c r="E1238" i="5" s="1"/>
  <c r="F1237" i="5"/>
  <c r="F1238" i="5" s="1"/>
  <c r="E1239" i="5" l="1"/>
  <c r="E1240" i="5" s="1"/>
  <c r="F1239" i="5"/>
  <c r="F1240" i="5" s="1"/>
  <c r="E1241" i="5" l="1"/>
  <c r="E1242" i="5" s="1"/>
  <c r="E1243" i="5" s="1"/>
  <c r="E1244" i="5" s="1"/>
  <c r="E1245" i="5" s="1"/>
  <c r="E1246" i="5" s="1"/>
  <c r="E1247" i="5" s="1"/>
  <c r="F1241" i="5"/>
  <c r="F1242" i="5" s="1"/>
  <c r="F1243" i="5" s="1"/>
  <c r="F1244" i="5" s="1"/>
  <c r="F1245" i="5" s="1"/>
  <c r="F1246" i="5" s="1"/>
  <c r="F1247" i="5" s="1"/>
  <c r="E1248" i="5" l="1"/>
  <c r="E1249" i="5" s="1"/>
  <c r="E1250" i="5" s="1"/>
  <c r="E1251" i="5" s="1"/>
  <c r="E1252" i="5" s="1"/>
  <c r="E1253" i="5" s="1"/>
  <c r="E1254" i="5" s="1"/>
  <c r="F1248" i="5"/>
  <c r="F1249" i="5" s="1"/>
  <c r="F1250" i="5" s="1"/>
  <c r="F1251" i="5" s="1"/>
  <c r="F1252" i="5" s="1"/>
  <c r="F1253" i="5" s="1"/>
  <c r="F1254" i="5" s="1"/>
  <c r="E1255" i="5" l="1"/>
  <c r="E1256" i="5" s="1"/>
  <c r="E1257" i="5" s="1"/>
  <c r="E1258" i="5" s="1"/>
  <c r="E1259" i="5" s="1"/>
  <c r="E1260" i="5" s="1"/>
  <c r="E1261" i="5" s="1"/>
  <c r="F1255" i="5"/>
  <c r="F1256" i="5" s="1"/>
  <c r="F1257" i="5" s="1"/>
  <c r="F1258" i="5" s="1"/>
  <c r="F1259" i="5" s="1"/>
  <c r="F1260" i="5" s="1"/>
  <c r="F1261" i="5" s="1"/>
  <c r="E1262" i="5" l="1"/>
  <c r="F1262" i="5"/>
  <c r="E1263" i="5" l="1"/>
  <c r="F1263" i="5"/>
  <c r="E1264" i="5" l="1"/>
  <c r="F1264" i="5"/>
  <c r="E1265" i="5" l="1"/>
  <c r="E1266" i="5" s="1"/>
  <c r="F1265" i="5"/>
  <c r="F1266" i="5" s="1"/>
  <c r="E1267" i="5" l="1"/>
  <c r="E1268" i="5" s="1"/>
  <c r="F1267" i="5"/>
  <c r="F1268" i="5" s="1"/>
  <c r="E1269" i="5" l="1"/>
  <c r="E1270" i="5" s="1"/>
  <c r="E1271" i="5" s="1"/>
  <c r="E1272" i="5" s="1"/>
  <c r="E1273" i="5" s="1"/>
  <c r="E1274" i="5" s="1"/>
  <c r="E1275" i="5" s="1"/>
  <c r="F1269" i="5"/>
  <c r="F1270" i="5" s="1"/>
  <c r="F1271" i="5" s="1"/>
  <c r="F1272" i="5" s="1"/>
  <c r="F1273" i="5" s="1"/>
  <c r="F1274" i="5" s="1"/>
  <c r="F1275" i="5" s="1"/>
  <c r="E1276" i="5" l="1"/>
  <c r="E1277" i="5" s="1"/>
  <c r="E1278" i="5" s="1"/>
  <c r="E1279" i="5" s="1"/>
  <c r="E1280" i="5" s="1"/>
  <c r="F1276" i="5"/>
  <c r="F1277" i="5" s="1"/>
  <c r="F1278" i="5" s="1"/>
  <c r="F1279" i="5" s="1"/>
  <c r="F1280" i="5" s="1"/>
  <c r="E1281" i="5" l="1"/>
  <c r="E1282" i="5" s="1"/>
  <c r="F1281" i="5"/>
  <c r="F1282" i="5" s="1"/>
  <c r="E1283" i="5" l="1"/>
  <c r="F1283" i="5"/>
  <c r="E1284" i="5" l="1"/>
  <c r="E1285" i="5" s="1"/>
  <c r="E1286" i="5" s="1"/>
  <c r="E1287" i="5" s="1"/>
  <c r="E1288" i="5" s="1"/>
  <c r="E1289" i="5" s="1"/>
  <c r="F1284" i="5"/>
  <c r="F1285" i="5" s="1"/>
  <c r="F1286" i="5" s="1"/>
  <c r="F1287" i="5" s="1"/>
  <c r="F1288" i="5" s="1"/>
  <c r="F1289" i="5" s="1"/>
  <c r="E1290" i="5" l="1"/>
  <c r="F1290" i="5"/>
  <c r="E1291" i="5" l="1"/>
  <c r="F1291" i="5"/>
  <c r="E1292" i="5" l="1"/>
  <c r="E1293" i="5" s="1"/>
  <c r="E1294" i="5" s="1"/>
  <c r="E1295" i="5" s="1"/>
  <c r="E1296" i="5" s="1"/>
  <c r="F1292" i="5"/>
  <c r="F1293" i="5" s="1"/>
  <c r="F1294" i="5" s="1"/>
  <c r="F1295" i="5" s="1"/>
  <c r="F1296" i="5" s="1"/>
  <c r="E1297" i="5" l="1"/>
  <c r="E1298" i="5" s="1"/>
  <c r="F1297" i="5"/>
  <c r="F1298" i="5" s="1"/>
  <c r="E1299" i="5" l="1"/>
  <c r="F1299" i="5"/>
  <c r="E1300" i="5" l="1"/>
  <c r="E1301" i="5" s="1"/>
  <c r="E1302" i="5" s="1"/>
  <c r="E1303" i="5" s="1"/>
  <c r="F1300" i="5"/>
  <c r="F1301" i="5" s="1"/>
  <c r="F1302" i="5" s="1"/>
  <c r="F1303" i="5" s="1"/>
  <c r="E1304" i="5" l="1"/>
  <c r="E1305" i="5" s="1"/>
  <c r="E1306" i="5" s="1"/>
  <c r="E1307" i="5" s="1"/>
  <c r="F1304" i="5"/>
  <c r="F1305" i="5" s="1"/>
  <c r="F1306" i="5" s="1"/>
  <c r="F1307" i="5" s="1"/>
  <c r="E1308" i="5" l="1"/>
  <c r="E1309" i="5" s="1"/>
  <c r="E1310" i="5" s="1"/>
  <c r="F1308" i="5"/>
  <c r="F1309" i="5" s="1"/>
  <c r="F1310" i="5" s="1"/>
  <c r="E1311" i="5" l="1"/>
  <c r="E1312" i="5" s="1"/>
  <c r="E1313" i="5" s="1"/>
  <c r="E1314" i="5" s="1"/>
  <c r="E1315" i="5" s="1"/>
  <c r="E1316" i="5" s="1"/>
  <c r="F1311" i="5"/>
  <c r="E1317" i="5" l="1"/>
  <c r="F1312" i="5"/>
  <c r="F1313" i="5" s="1"/>
  <c r="F1314" i="5" s="1"/>
  <c r="F1315" i="5" s="1"/>
  <c r="F1316" i="5" s="1"/>
  <c r="F1317" i="5" s="1"/>
  <c r="E1318" i="5" l="1"/>
  <c r="E1319" i="5" s="1"/>
  <c r="E1320" i="5" s="1"/>
  <c r="E1321" i="5" s="1"/>
  <c r="E1322" i="5" s="1"/>
  <c r="E1323" i="5" s="1"/>
  <c r="E1324" i="5" s="1"/>
  <c r="F1318" i="5"/>
  <c r="F1319" i="5" s="1"/>
  <c r="F1320" i="5" s="1"/>
  <c r="F1321" i="5" s="1"/>
  <c r="F1322" i="5" s="1"/>
  <c r="F1323" i="5" s="1"/>
  <c r="F1324" i="5" s="1"/>
  <c r="E1325" i="5" l="1"/>
  <c r="F1325" i="5"/>
  <c r="E1326" i="5" l="1"/>
  <c r="F1326" i="5"/>
  <c r="E1327" i="5" l="1"/>
  <c r="F1327" i="5"/>
  <c r="E1328" i="5" l="1"/>
  <c r="F1328" i="5"/>
  <c r="E1329" i="5" l="1"/>
  <c r="E1330" i="5" s="1"/>
  <c r="E1331" i="5" s="1"/>
  <c r="F1329" i="5"/>
  <c r="E1332" i="5" l="1"/>
  <c r="F1332" i="5"/>
  <c r="F1330" i="5"/>
  <c r="F1331" i="5" s="1"/>
  <c r="E1333" i="5" l="1"/>
  <c r="F1333" i="5"/>
  <c r="E1334" i="5" l="1"/>
  <c r="F1334" i="5"/>
  <c r="E1335" i="5" l="1"/>
  <c r="E1336" i="5" s="1"/>
  <c r="E1337" i="5" s="1"/>
  <c r="E1338" i="5" s="1"/>
  <c r="F1335" i="5"/>
  <c r="F1336" i="5" s="1"/>
  <c r="F1337" i="5" s="1"/>
  <c r="F1338" i="5" s="1"/>
  <c r="E1339" i="5" l="1"/>
  <c r="E1340" i="5" s="1"/>
  <c r="E1341" i="5" s="1"/>
  <c r="F1339" i="5"/>
  <c r="F1340" i="5" s="1"/>
  <c r="F1341" i="5" s="1"/>
  <c r="E1342" i="5" l="1"/>
  <c r="E1343" i="5" s="1"/>
  <c r="E1344" i="5" s="1"/>
  <c r="E1345" i="5" s="1"/>
  <c r="F1342" i="5"/>
  <c r="F1343" i="5" s="1"/>
  <c r="F1344" i="5" s="1"/>
  <c r="F1345" i="5" s="1"/>
  <c r="E1346" i="5" l="1"/>
  <c r="E1347" i="5" s="1"/>
  <c r="E1348" i="5" s="1"/>
  <c r="E1349" i="5" s="1"/>
  <c r="E1350" i="5" s="1"/>
  <c r="E1351" i="5" s="1"/>
  <c r="E1352" i="5" s="1"/>
  <c r="F1346" i="5"/>
  <c r="F1347" i="5" s="1"/>
  <c r="F1348" i="5" s="1"/>
  <c r="F1349" i="5" s="1"/>
  <c r="F1350" i="5" s="1"/>
  <c r="F1351" i="5" s="1"/>
  <c r="F1352" i="5" s="1"/>
  <c r="E1353" i="5" l="1"/>
  <c r="E1354" i="5" s="1"/>
  <c r="E1355" i="5" s="1"/>
  <c r="E1356" i="5" s="1"/>
  <c r="E1357" i="5" s="1"/>
  <c r="E1358" i="5" s="1"/>
  <c r="E1359" i="5" s="1"/>
  <c r="F1353" i="5"/>
  <c r="F1354" i="5" s="1"/>
  <c r="F1355" i="5" s="1"/>
  <c r="F1356" i="5" s="1"/>
  <c r="F1357" i="5" s="1"/>
  <c r="F1358" i="5" s="1"/>
  <c r="F1359" i="5" s="1"/>
  <c r="E1360" i="5" l="1"/>
  <c r="F1360" i="5"/>
  <c r="E1361" i="5" l="1"/>
  <c r="E1362" i="5" s="1"/>
  <c r="E1363" i="5" s="1"/>
  <c r="E1364" i="5" s="1"/>
  <c r="E1365" i="5" s="1"/>
  <c r="E1366" i="5" s="1"/>
  <c r="F1361" i="5"/>
  <c r="F1362" i="5" s="1"/>
  <c r="F1363" i="5" s="1"/>
  <c r="F1364" i="5" s="1"/>
  <c r="F1365" i="5" s="1"/>
  <c r="F1366" i="5" s="1"/>
  <c r="E1367" i="5" l="1"/>
  <c r="F1367" i="5"/>
  <c r="E1368" i="5" l="1"/>
  <c r="F1368" i="5"/>
  <c r="E1369" i="5" l="1"/>
  <c r="E1370" i="5" s="1"/>
  <c r="E1371" i="5" s="1"/>
  <c r="E1372" i="5" s="1"/>
  <c r="E1373" i="5" s="1"/>
  <c r="F1369" i="5"/>
  <c r="E1374" i="5" l="1"/>
  <c r="E1375" i="5" s="1"/>
  <c r="E1376" i="5" s="1"/>
  <c r="E1377" i="5" s="1"/>
  <c r="E1378" i="5" s="1"/>
  <c r="E1379" i="5" s="1"/>
  <c r="E1380" i="5" s="1"/>
  <c r="F1374" i="5"/>
  <c r="F1375" i="5" s="1"/>
  <c r="F1376" i="5" s="1"/>
  <c r="F1377" i="5" s="1"/>
  <c r="F1378" i="5" s="1"/>
  <c r="F1379" i="5" s="1"/>
  <c r="F1380" i="5" s="1"/>
  <c r="F1370" i="5"/>
  <c r="F1371" i="5" s="1"/>
  <c r="F1372" i="5" s="1"/>
  <c r="F1373" i="5" s="1"/>
  <c r="E1381" i="5" l="1"/>
  <c r="F1381" i="5"/>
  <c r="E1382" i="5" l="1"/>
  <c r="F1382" i="5"/>
  <c r="E1383" i="5" l="1"/>
  <c r="F1383" i="5"/>
  <c r="E1384" i="5" l="1"/>
  <c r="E1385" i="5" s="1"/>
  <c r="E1386" i="5" s="1"/>
  <c r="E1387" i="5" s="1"/>
  <c r="F1384" i="5"/>
  <c r="F1385" i="5" s="1"/>
  <c r="F1386" i="5" s="1"/>
  <c r="F1387" i="5" s="1"/>
  <c r="E1388" i="5" l="1"/>
  <c r="F1388" i="5"/>
  <c r="E1389" i="5" l="1"/>
  <c r="F1389" i="5"/>
  <c r="E1390" i="5" l="1"/>
  <c r="E1391" i="5" s="1"/>
  <c r="E1392" i="5" s="1"/>
  <c r="E1393" i="5" s="1"/>
  <c r="E1394" i="5" s="1"/>
  <c r="F1390" i="5"/>
  <c r="F1391" i="5" s="1"/>
  <c r="F1392" i="5" s="1"/>
  <c r="F1393" i="5" s="1"/>
  <c r="F1394" i="5" s="1"/>
  <c r="E1395" i="5" l="1"/>
  <c r="E1396" i="5" s="1"/>
  <c r="E1397" i="5" s="1"/>
  <c r="E1398" i="5" s="1"/>
  <c r="E1399" i="5" s="1"/>
  <c r="E1400" i="5" s="1"/>
  <c r="E1401" i="5" s="1"/>
  <c r="F1395" i="5"/>
  <c r="F1396" i="5" s="1"/>
  <c r="F1397" i="5" s="1"/>
  <c r="F1398" i="5" s="1"/>
  <c r="F1399" i="5" s="1"/>
  <c r="F1400" i="5" s="1"/>
  <c r="F1401" i="5" s="1"/>
  <c r="E1402" i="5" l="1"/>
  <c r="F1402" i="5"/>
  <c r="E1403" i="5" l="1"/>
  <c r="E1404" i="5" s="1"/>
  <c r="E1405" i="5" s="1"/>
  <c r="F1403" i="5"/>
  <c r="F1404" i="5" l="1"/>
  <c r="F1405" i="5" s="1"/>
  <c r="E1406" i="5"/>
  <c r="F1406" i="5"/>
  <c r="E1407" i="5" l="1"/>
  <c r="E1408" i="5" s="1"/>
  <c r="F1407" i="5"/>
  <c r="F1408" i="5" s="1"/>
  <c r="E1409" i="5" l="1"/>
  <c r="E1410" i="5" s="1"/>
  <c r="E1411" i="5" s="1"/>
  <c r="E1412" i="5" s="1"/>
  <c r="E1413" i="5" s="1"/>
  <c r="F1409" i="5"/>
  <c r="F1410" i="5" s="1"/>
  <c r="F1411" i="5" s="1"/>
  <c r="F1412" i="5" s="1"/>
  <c r="F1413" i="5" s="1"/>
  <c r="E1414" i="5" l="1"/>
  <c r="F1414" i="5"/>
  <c r="E1415" i="5" l="1"/>
  <c r="F1415" i="5"/>
  <c r="E1416" i="5" l="1"/>
  <c r="F1416" i="5"/>
  <c r="E1417" i="5" l="1"/>
  <c r="E1418" i="5" s="1"/>
  <c r="E1419" i="5" s="1"/>
  <c r="E1420" i="5" s="1"/>
  <c r="E1421" i="5" s="1"/>
  <c r="F1417" i="5"/>
  <c r="F1418" i="5" s="1"/>
  <c r="F1419" i="5" s="1"/>
  <c r="F1420" i="5" s="1"/>
  <c r="F1421" i="5" s="1"/>
  <c r="E1422" i="5" l="1"/>
  <c r="F1422" i="5"/>
  <c r="E1423" i="5" l="1"/>
  <c r="E1424" i="5" s="1"/>
  <c r="E1425" i="5" s="1"/>
  <c r="E1426" i="5" s="1"/>
  <c r="E1427" i="5" s="1"/>
  <c r="E1428" i="5" s="1"/>
  <c r="E1429" i="5" s="1"/>
  <c r="F1423" i="5"/>
  <c r="E1430" i="5" l="1"/>
  <c r="F1430" i="5"/>
  <c r="F1424" i="5"/>
  <c r="F1425" i="5" s="1"/>
  <c r="F1426" i="5" s="1"/>
  <c r="F1427" i="5" s="1"/>
  <c r="F1428" i="5" s="1"/>
  <c r="F1429" i="5" s="1"/>
  <c r="E1431" i="5" l="1"/>
  <c r="E1432" i="5" s="1"/>
  <c r="E1433" i="5" s="1"/>
  <c r="E1434" i="5" s="1"/>
  <c r="E1435" i="5" s="1"/>
  <c r="E1436" i="5" s="1"/>
  <c r="F1431" i="5"/>
  <c r="F1432" i="5" s="1"/>
  <c r="F1433" i="5" s="1"/>
  <c r="F1434" i="5" s="1"/>
  <c r="F1435" i="5" s="1"/>
  <c r="F1436" i="5" s="1"/>
  <c r="E1437" i="5" l="1"/>
  <c r="F1437" i="5"/>
  <c r="E1438" i="5" l="1"/>
  <c r="E1439" i="5" s="1"/>
  <c r="E1440" i="5" s="1"/>
  <c r="E1441" i="5" s="1"/>
  <c r="E1442" i="5" s="1"/>
  <c r="E1443" i="5" s="1"/>
  <c r="F1438" i="5"/>
  <c r="F1439" i="5" s="1"/>
  <c r="F1440" i="5" s="1"/>
  <c r="F1441" i="5" s="1"/>
  <c r="F1442" i="5" s="1"/>
  <c r="F1443" i="5" s="1"/>
  <c r="E1444" i="5" l="1"/>
  <c r="F1444" i="5"/>
  <c r="E1445" i="5" l="1"/>
  <c r="F1445" i="5"/>
  <c r="E1446" i="5" l="1"/>
  <c r="F1446" i="5"/>
  <c r="E1447" i="5" l="1"/>
  <c r="F1447" i="5"/>
  <c r="E1448" i="5" l="1"/>
  <c r="E1449" i="5" s="1"/>
  <c r="E1450" i="5" s="1"/>
  <c r="F1448" i="5"/>
  <c r="F1449" i="5" s="1"/>
  <c r="F1450" i="5" s="1"/>
  <c r="E1451" i="5" l="1"/>
  <c r="E1452" i="5" s="1"/>
  <c r="E1453" i="5" s="1"/>
  <c r="F1451" i="5"/>
  <c r="F1452" i="5" s="1"/>
  <c r="F1453" i="5" s="1"/>
  <c r="E1454" i="5" l="1"/>
  <c r="F1454" i="5"/>
  <c r="E1455" i="5" l="1"/>
  <c r="E1456" i="5" s="1"/>
  <c r="E1457" i="5" s="1"/>
  <c r="F1455" i="5"/>
  <c r="F1456" i="5" s="1"/>
  <c r="F1457" i="5" s="1"/>
  <c r="E1458" i="5" l="1"/>
  <c r="F1458" i="5"/>
  <c r="E1459" i="5" l="1"/>
  <c r="E1460" i="5" s="1"/>
  <c r="E1461" i="5" s="1"/>
  <c r="E1462" i="5" s="1"/>
  <c r="E1463" i="5" s="1"/>
  <c r="E1464" i="5" s="1"/>
  <c r="F1459" i="5"/>
  <c r="F1460" i="5" s="1"/>
  <c r="F1461" i="5" s="1"/>
  <c r="F1462" i="5" s="1"/>
  <c r="F1463" i="5" s="1"/>
  <c r="F1464" i="5" s="1"/>
  <c r="E1465" i="5" l="1"/>
  <c r="E1466" i="5" s="1"/>
  <c r="E1467" i="5" s="1"/>
  <c r="E1468" i="5" s="1"/>
  <c r="E1469" i="5" s="1"/>
  <c r="E1470" i="5" s="1"/>
  <c r="E1471" i="5" s="1"/>
  <c r="F1465" i="5"/>
  <c r="F1466" i="5" s="1"/>
  <c r="F1467" i="5" s="1"/>
  <c r="F1468" i="5" s="1"/>
  <c r="F1469" i="5" s="1"/>
  <c r="F1470" i="5" s="1"/>
  <c r="F1471" i="5" s="1"/>
  <c r="E1472" i="5" l="1"/>
  <c r="F1472" i="5"/>
  <c r="E1473" i="5" l="1"/>
  <c r="E1474" i="5" s="1"/>
  <c r="E1475" i="5" s="1"/>
  <c r="E1476" i="5" s="1"/>
  <c r="E1477" i="5" s="1"/>
  <c r="E1478" i="5" s="1"/>
  <c r="F1473" i="5"/>
  <c r="F1474" i="5" s="1"/>
  <c r="F1475" i="5" s="1"/>
  <c r="F1476" i="5" s="1"/>
  <c r="F1477" i="5" s="1"/>
  <c r="F1478" i="5" s="1"/>
  <c r="E1479" i="5" l="1"/>
  <c r="F1479" i="5"/>
  <c r="E1480" i="5" l="1"/>
  <c r="F1480" i="5"/>
  <c r="E1481" i="5" l="1"/>
  <c r="E1482" i="5" s="1"/>
  <c r="E1483" i="5" s="1"/>
  <c r="E1484" i="5" s="1"/>
  <c r="E1485" i="5" s="1"/>
  <c r="F1481" i="5"/>
  <c r="F1482" i="5" s="1"/>
  <c r="F1483" i="5" s="1"/>
  <c r="F1484" i="5" s="1"/>
  <c r="F1485" i="5" s="1"/>
  <c r="E1486" i="5" l="1"/>
  <c r="F1486" i="5"/>
  <c r="E1487" i="5" l="1"/>
  <c r="F1487" i="5"/>
  <c r="E1488" i="5" l="1"/>
  <c r="F1488" i="5"/>
  <c r="E1489" i="5" l="1"/>
  <c r="E1490" i="5" s="1"/>
  <c r="E1491" i="5" s="1"/>
  <c r="E1492" i="5" s="1"/>
  <c r="F1489" i="5"/>
  <c r="F1490" i="5" s="1"/>
  <c r="F1491" i="5" s="1"/>
  <c r="F1492" i="5" s="1"/>
  <c r="E1493" i="5" l="1"/>
  <c r="F1493" i="5"/>
  <c r="E1494" i="5" l="1"/>
  <c r="F1494" i="5"/>
  <c r="E1495" i="5" l="1"/>
  <c r="F1495" i="5"/>
  <c r="E1496" i="5" l="1"/>
  <c r="E1497" i="5" s="1"/>
  <c r="E1498" i="5" s="1"/>
  <c r="E1499" i="5" s="1"/>
  <c r="F1496" i="5"/>
  <c r="F1497" i="5" s="1"/>
  <c r="F1498" i="5" s="1"/>
  <c r="F1499" i="5" s="1"/>
  <c r="E1500" i="5" l="1"/>
  <c r="F1500" i="5"/>
  <c r="E1501" i="5" l="1"/>
  <c r="F1501" i="5"/>
  <c r="E1502" i="5" l="1"/>
  <c r="E1503" i="5" s="1"/>
  <c r="E1504" i="5" s="1"/>
  <c r="E1505" i="5" s="1"/>
  <c r="E1506" i="5" s="1"/>
  <c r="F1502" i="5"/>
  <c r="F1503" i="5" s="1"/>
  <c r="F1504" i="5" s="1"/>
  <c r="F1505" i="5" s="1"/>
  <c r="F1506" i="5" s="1"/>
  <c r="E1507" i="5" l="1"/>
  <c r="E1508" i="5" s="1"/>
  <c r="E1509" i="5" s="1"/>
  <c r="E1510" i="5" s="1"/>
  <c r="E1511" i="5" s="1"/>
  <c r="E1512" i="5" s="1"/>
  <c r="F1507" i="5"/>
  <c r="F1508" i="5" s="1"/>
  <c r="F1509" i="5" s="1"/>
  <c r="F1510" i="5" s="1"/>
  <c r="F1511" i="5" s="1"/>
  <c r="F1512" i="5" s="1"/>
  <c r="E1513" i="5" l="1"/>
  <c r="F1513" i="5"/>
  <c r="E1514" i="5" l="1"/>
  <c r="F1514" i="5"/>
  <c r="E1515" i="5" l="1"/>
  <c r="E1516" i="5" s="1"/>
  <c r="F1515" i="5"/>
  <c r="F1516" i="5" s="1"/>
  <c r="E1517" i="5" l="1"/>
  <c r="F1517" i="5"/>
  <c r="E1518" i="5" l="1"/>
  <c r="E1519" i="5" s="1"/>
  <c r="E1520" i="5" s="1"/>
  <c r="F1518" i="5"/>
  <c r="F1519" i="5" s="1"/>
  <c r="F1520" i="5" s="1"/>
  <c r="E1521" i="5" l="1"/>
  <c r="E1522" i="5" s="1"/>
  <c r="F1521" i="5"/>
  <c r="F1522" i="5" s="1"/>
  <c r="E1523" i="5" l="1"/>
  <c r="E1524" i="5" s="1"/>
  <c r="E1525" i="5" s="1"/>
  <c r="E1526" i="5" s="1"/>
  <c r="E1527" i="5" s="1"/>
  <c r="F1523" i="5"/>
  <c r="F1524" i="5" s="1"/>
  <c r="F1525" i="5" s="1"/>
  <c r="F1526" i="5" s="1"/>
  <c r="F1527" i="5" s="1"/>
  <c r="E1528" i="5" l="1"/>
  <c r="E1529" i="5" s="1"/>
  <c r="E1530" i="5" s="1"/>
  <c r="E1531" i="5" s="1"/>
  <c r="E1532" i="5" s="1"/>
  <c r="E1533" i="5" s="1"/>
  <c r="F1528" i="5"/>
  <c r="F1529" i="5" s="1"/>
  <c r="F1530" i="5" s="1"/>
  <c r="F1531" i="5" s="1"/>
  <c r="F1532" i="5" s="1"/>
  <c r="F1533" i="5" s="1"/>
  <c r="E1534" i="5" l="1"/>
  <c r="F1534" i="5"/>
  <c r="E1535" i="5" l="1"/>
  <c r="E1536" i="5" s="1"/>
  <c r="E1537" i="5" s="1"/>
  <c r="E1538" i="5" s="1"/>
  <c r="E1539" i="5" s="1"/>
  <c r="E1540" i="5" s="1"/>
  <c r="E1541" i="5" s="1"/>
  <c r="F1535" i="5"/>
  <c r="F1536" i="5" s="1"/>
  <c r="F1537" i="5" s="1"/>
  <c r="F1538" i="5" s="1"/>
  <c r="F1539" i="5" s="1"/>
  <c r="F1540" i="5" s="1"/>
  <c r="F1541" i="5" s="1"/>
  <c r="E1542" i="5" l="1"/>
  <c r="F1542" i="5"/>
  <c r="E1543" i="5" l="1"/>
  <c r="E1544" i="5" s="1"/>
  <c r="E1545" i="5" s="1"/>
  <c r="E1546" i="5" s="1"/>
  <c r="E1547" i="5" s="1"/>
  <c r="E1548" i="5" s="1"/>
  <c r="F1543" i="5"/>
  <c r="F1544" i="5" s="1"/>
  <c r="F1545" i="5" s="1"/>
  <c r="F1546" i="5" s="1"/>
  <c r="F1547" i="5" s="1"/>
  <c r="F1548" i="5" s="1"/>
  <c r="E1549" i="5" l="1"/>
  <c r="F1549" i="5"/>
  <c r="E1550" i="5" l="1"/>
  <c r="F1550" i="5"/>
  <c r="E1551" i="5" l="1"/>
  <c r="F1551" i="5"/>
  <c r="E1552" i="5" l="1"/>
  <c r="E1553" i="5" s="1"/>
  <c r="E1554" i="5" s="1"/>
  <c r="E1555" i="5" s="1"/>
  <c r="F1552" i="5"/>
  <c r="F1553" i="5" s="1"/>
  <c r="F1554" i="5" s="1"/>
  <c r="F1555" i="5" s="1"/>
  <c r="E1556" i="5" l="1"/>
  <c r="F1556" i="5"/>
  <c r="E1557" i="5" l="1"/>
  <c r="F1557" i="5"/>
  <c r="E1558" i="5" l="1"/>
  <c r="F1558" i="5"/>
  <c r="E1559" i="5" l="1"/>
  <c r="F1559" i="5"/>
  <c r="E1560" i="5" l="1"/>
  <c r="E1561" i="5" s="1"/>
  <c r="E1562" i="5" s="1"/>
  <c r="F1560" i="5"/>
  <c r="F1561" i="5" s="1"/>
  <c r="F1562" i="5" s="1"/>
  <c r="E1563" i="5" l="1"/>
  <c r="E1564" i="5" s="1"/>
  <c r="F1563" i="5"/>
  <c r="F1564" i="5" s="1"/>
  <c r="E1565" i="5" l="1"/>
  <c r="E1566" i="5" s="1"/>
  <c r="E1567" i="5" s="1"/>
  <c r="E1568" i="5" s="1"/>
  <c r="E1569" i="5" s="1"/>
  <c r="F1565" i="5"/>
  <c r="F1566" i="5" s="1"/>
  <c r="F1567" i="5" s="1"/>
  <c r="F1568" i="5" s="1"/>
  <c r="F1569" i="5" s="1"/>
  <c r="E1570" i="5" l="1"/>
  <c r="E1571" i="5" s="1"/>
  <c r="E1572" i="5" s="1"/>
  <c r="E1573" i="5" s="1"/>
  <c r="E1574" i="5" s="1"/>
  <c r="E1575" i="5" s="1"/>
  <c r="E1576" i="5" s="1"/>
  <c r="F1570" i="5"/>
  <c r="F1571" i="5" s="1"/>
  <c r="F1572" i="5" s="1"/>
  <c r="F1573" i="5" s="1"/>
  <c r="F1574" i="5" s="1"/>
  <c r="F1575" i="5" s="1"/>
  <c r="F1576" i="5" s="1"/>
  <c r="E1577" i="5" l="1"/>
  <c r="F1577" i="5"/>
  <c r="E1578" i="5" l="1"/>
  <c r="E1579" i="5" s="1"/>
  <c r="E1580" i="5" s="1"/>
  <c r="E1581" i="5" s="1"/>
  <c r="E1582" i="5" s="1"/>
  <c r="E1583" i="5" s="1"/>
  <c r="F1578" i="5"/>
  <c r="F1579" i="5" s="1"/>
  <c r="F1580" i="5" s="1"/>
  <c r="F1581" i="5" s="1"/>
  <c r="F1582" i="5" s="1"/>
  <c r="F1583" i="5" s="1"/>
  <c r="E1584" i="5" l="1"/>
  <c r="F1584" i="5"/>
  <c r="E1585" i="5" l="1"/>
  <c r="F1585" i="5"/>
  <c r="E1586" i="5" l="1"/>
  <c r="F1586" i="5"/>
  <c r="E1587" i="5" l="1"/>
  <c r="E1588" i="5" s="1"/>
  <c r="E1589" i="5" s="1"/>
  <c r="E1590" i="5" s="1"/>
  <c r="F1587" i="5"/>
  <c r="F1588" i="5" s="1"/>
  <c r="F1589" i="5" s="1"/>
  <c r="F1590" i="5" s="1"/>
  <c r="E1591" i="5" l="1"/>
  <c r="F1591" i="5"/>
  <c r="E1592" i="5" l="1"/>
  <c r="E1593" i="5" s="1"/>
  <c r="E1594" i="5" s="1"/>
  <c r="E1595" i="5" s="1"/>
  <c r="E1596" i="5" s="1"/>
  <c r="E1597" i="5" s="1"/>
  <c r="F1592" i="5"/>
  <c r="F1593" i="5" s="1"/>
  <c r="F1594" i="5" s="1"/>
  <c r="F1595" i="5" s="1"/>
  <c r="F1596" i="5" s="1"/>
  <c r="F1597" i="5" s="1"/>
  <c r="E1598" i="5" l="1"/>
  <c r="E1599" i="5" s="1"/>
  <c r="E1600" i="5" s="1"/>
  <c r="E1601" i="5" s="1"/>
  <c r="E1602" i="5" s="1"/>
  <c r="E1603" i="5" s="1"/>
  <c r="E1604" i="5" s="1"/>
  <c r="F1598" i="5"/>
  <c r="F1599" i="5" s="1"/>
  <c r="F1600" i="5" s="1"/>
  <c r="F1601" i="5" s="1"/>
  <c r="F1602" i="5" s="1"/>
  <c r="F1603" i="5" s="1"/>
  <c r="F1604" i="5" s="1"/>
  <c r="E1605" i="5" l="1"/>
  <c r="F1605" i="5"/>
  <c r="E1606" i="5" l="1"/>
  <c r="E1607" i="5" s="1"/>
  <c r="E1608" i="5" s="1"/>
  <c r="E1609" i="5" s="1"/>
  <c r="E1610" i="5" s="1"/>
  <c r="E1611" i="5" s="1"/>
  <c r="F1606" i="5"/>
  <c r="F1607" i="5" s="1"/>
  <c r="F1608" i="5" s="1"/>
  <c r="F1609" i="5" s="1"/>
  <c r="F1610" i="5" s="1"/>
  <c r="F1611" i="5" s="1"/>
  <c r="E1612" i="5" l="1"/>
  <c r="F1612" i="5"/>
  <c r="E1613" i="5" l="1"/>
  <c r="E1614" i="5" s="1"/>
  <c r="E1615" i="5" s="1"/>
  <c r="E1616" i="5" s="1"/>
  <c r="E1617" i="5" s="1"/>
  <c r="E1618" i="5" s="1"/>
  <c r="F1613" i="5"/>
  <c r="F1614" i="5" s="1"/>
  <c r="F1615" i="5" s="1"/>
  <c r="F1616" i="5" s="1"/>
  <c r="F1617" i="5" s="1"/>
  <c r="F1618" i="5" s="1"/>
  <c r="E1619" i="5" l="1"/>
  <c r="E1620" i="5" s="1"/>
  <c r="F1619" i="5"/>
  <c r="F1620" i="5" s="1"/>
  <c r="E1621" i="5" l="1"/>
  <c r="F1621" i="5"/>
  <c r="E1622" i="5" l="1"/>
  <c r="F1622" i="5"/>
  <c r="E1623" i="5" l="1"/>
  <c r="E1624" i="5" s="1"/>
  <c r="E1625" i="5" s="1"/>
  <c r="F1623" i="5"/>
  <c r="F1624" i="5" s="1"/>
  <c r="F1625" i="5" s="1"/>
  <c r="E1626" i="5" l="1"/>
  <c r="F1626" i="5"/>
  <c r="E1627" i="5" l="1"/>
  <c r="E1628" i="5" s="1"/>
  <c r="E1629" i="5" s="1"/>
  <c r="E1630" i="5" s="1"/>
  <c r="E1631" i="5" s="1"/>
  <c r="F1627" i="5"/>
  <c r="F1628" i="5" s="1"/>
  <c r="F1629" i="5" s="1"/>
  <c r="F1630" i="5" s="1"/>
  <c r="F1631" i="5" s="1"/>
  <c r="E1632" i="5" l="1"/>
  <c r="F1632" i="5"/>
  <c r="E1633" i="5" l="1"/>
  <c r="E1634" i="5" s="1"/>
  <c r="E1635" i="5" s="1"/>
  <c r="E1636" i="5" s="1"/>
  <c r="E1637" i="5" s="1"/>
  <c r="E1638" i="5" s="1"/>
  <c r="E1639" i="5" s="1"/>
  <c r="F1633" i="5"/>
  <c r="F1634" i="5" s="1"/>
  <c r="F1635" i="5" s="1"/>
  <c r="F1636" i="5" s="1"/>
  <c r="F1637" i="5" s="1"/>
  <c r="F1638" i="5" s="1"/>
  <c r="F1639" i="5" s="1"/>
  <c r="E1640" i="5" l="1"/>
  <c r="E1641" i="5" s="1"/>
  <c r="E1642" i="5" s="1"/>
  <c r="E1643" i="5" s="1"/>
  <c r="E1644" i="5" s="1"/>
  <c r="E1645" i="5" s="1"/>
  <c r="E1646" i="5" s="1"/>
  <c r="F1640" i="5"/>
  <c r="F1641" i="5" s="1"/>
  <c r="F1642" i="5" s="1"/>
  <c r="F1643" i="5" s="1"/>
  <c r="F1644" i="5" s="1"/>
  <c r="F1645" i="5" s="1"/>
  <c r="F1646" i="5" s="1"/>
  <c r="E1647" i="5" l="1"/>
  <c r="F1647" i="5"/>
  <c r="E1648" i="5" l="1"/>
  <c r="F1648" i="5"/>
  <c r="E1649" i="5" l="1"/>
  <c r="E1650" i="5" s="1"/>
  <c r="E1651" i="5" s="1"/>
  <c r="E1652" i="5" s="1"/>
  <c r="E1653" i="5" s="1"/>
  <c r="F1649" i="5"/>
  <c r="F1650" i="5" s="1"/>
  <c r="F1651" i="5" s="1"/>
  <c r="F1652" i="5" s="1"/>
  <c r="F1653" i="5" s="1"/>
  <c r="E1654" i="5" l="1"/>
  <c r="F1654" i="5"/>
  <c r="E1655" i="5" l="1"/>
  <c r="E1656" i="5" s="1"/>
  <c r="E1657" i="5" s="1"/>
  <c r="F1655" i="5"/>
  <c r="F1656" i="5" s="1"/>
  <c r="F1657" i="5" s="1"/>
  <c r="E1658" i="5" l="1"/>
  <c r="E1659" i="5" s="1"/>
  <c r="E1660" i="5" s="1"/>
  <c r="F1658" i="5"/>
  <c r="F1659" i="5" s="1"/>
  <c r="F1660" i="5" s="1"/>
  <c r="E1661" i="5" l="1"/>
  <c r="E1662" i="5" s="1"/>
  <c r="E1663" i="5" s="1"/>
  <c r="E1664" i="5" s="1"/>
  <c r="E1665" i="5" s="1"/>
  <c r="E1666" i="5" s="1"/>
  <c r="F1661" i="5"/>
  <c r="F1662" i="5" s="1"/>
  <c r="F1663" i="5" s="1"/>
  <c r="F1664" i="5" s="1"/>
  <c r="F1665" i="5" s="1"/>
  <c r="F1666" i="5" s="1"/>
  <c r="E1667" i="5" l="1"/>
  <c r="F1667" i="5"/>
  <c r="E1668" i="5" l="1"/>
  <c r="F1668" i="5"/>
  <c r="E1669" i="5" l="1"/>
  <c r="E1670" i="5" s="1"/>
  <c r="E1671" i="5" s="1"/>
  <c r="E1672" i="5" s="1"/>
  <c r="E1673" i="5" s="1"/>
  <c r="E1674" i="5" s="1"/>
  <c r="F1669" i="5"/>
  <c r="F1670" i="5" s="1"/>
  <c r="F1671" i="5" s="1"/>
  <c r="F1672" i="5" s="1"/>
  <c r="F1673" i="5" s="1"/>
  <c r="F1674" i="5" s="1"/>
  <c r="E1675" i="5" l="1"/>
  <c r="E1676" i="5" s="1"/>
  <c r="E1677" i="5" s="1"/>
  <c r="E1678" i="5" s="1"/>
  <c r="E1679" i="5" s="1"/>
  <c r="E1680" i="5" s="1"/>
  <c r="E1681" i="5" s="1"/>
  <c r="F1675" i="5"/>
  <c r="F1676" i="5" s="1"/>
  <c r="F1677" i="5" s="1"/>
  <c r="F1678" i="5" s="1"/>
  <c r="F1679" i="5" s="1"/>
  <c r="E1682" i="5" l="1"/>
  <c r="F1682" i="5"/>
  <c r="F1680" i="5"/>
  <c r="F1681" i="5" s="1"/>
  <c r="E1683" i="5" l="1"/>
  <c r="E1684" i="5" s="1"/>
  <c r="F1683" i="5"/>
  <c r="F1684" i="5" s="1"/>
  <c r="E1685" i="5" l="1"/>
  <c r="F1685" i="5"/>
  <c r="E1686" i="5" l="1"/>
  <c r="E1687" i="5" s="1"/>
  <c r="E1688" i="5" s="1"/>
  <c r="F1686" i="5"/>
  <c r="F1687" i="5" s="1"/>
  <c r="F1688" i="5" s="1"/>
  <c r="E1689" i="5" l="1"/>
  <c r="F1689" i="5"/>
  <c r="E1690" i="5" l="1"/>
  <c r="E1691" i="5" s="1"/>
  <c r="E1692" i="5" s="1"/>
  <c r="E1693" i="5" s="1"/>
  <c r="F1690" i="5"/>
  <c r="F1691" i="5" s="1"/>
  <c r="F1692" i="5" s="1"/>
  <c r="F1693" i="5" s="1"/>
  <c r="E1694" i="5" l="1"/>
  <c r="E1695" i="5" s="1"/>
  <c r="F1694" i="5"/>
  <c r="F1695" i="5" s="1"/>
  <c r="E1696" i="5" l="1"/>
  <c r="E1697" i="5" s="1"/>
  <c r="E1698" i="5" s="1"/>
  <c r="E1699" i="5" s="1"/>
  <c r="E1700" i="5" s="1"/>
  <c r="E1701" i="5" s="1"/>
  <c r="E1702" i="5" s="1"/>
  <c r="F1696" i="5"/>
  <c r="F1697" i="5" s="1"/>
  <c r="F1698" i="5" s="1"/>
  <c r="F1699" i="5" s="1"/>
  <c r="F1700" i="5" s="1"/>
  <c r="F1701" i="5" s="1"/>
  <c r="F1702" i="5" s="1"/>
  <c r="E1703" i="5" l="1"/>
  <c r="F1703" i="5"/>
  <c r="E1704" i="5" l="1"/>
  <c r="E1705" i="5" s="1"/>
  <c r="E1706" i="5" s="1"/>
  <c r="E1707" i="5" s="1"/>
  <c r="E1708" i="5" s="1"/>
  <c r="E1709" i="5" s="1"/>
  <c r="F1704" i="5"/>
  <c r="F1705" i="5" s="1"/>
  <c r="F1706" i="5" s="1"/>
  <c r="F1707" i="5" s="1"/>
  <c r="F1708" i="5" s="1"/>
  <c r="F1709" i="5" s="1"/>
  <c r="E1710" i="5" l="1"/>
  <c r="F1710" i="5"/>
  <c r="E1711" i="5" l="1"/>
  <c r="F1711" i="5"/>
  <c r="E1712" i="5" l="1"/>
  <c r="F1712" i="5"/>
  <c r="E1713" i="5" l="1"/>
  <c r="E1714" i="5" s="1"/>
  <c r="E1715" i="5" s="1"/>
  <c r="E1716" i="5" s="1"/>
  <c r="F1713" i="5"/>
  <c r="F1714" i="5" s="1"/>
  <c r="F1715" i="5" s="1"/>
  <c r="F1716" i="5" s="1"/>
  <c r="E1717" i="5" l="1"/>
  <c r="F1717" i="5"/>
  <c r="E1718" i="5" l="1"/>
  <c r="E1719" i="5" s="1"/>
  <c r="E1720" i="5" s="1"/>
  <c r="E1721" i="5" s="1"/>
  <c r="E1722" i="5" s="1"/>
  <c r="E1723" i="5" s="1"/>
  <c r="F1718" i="5"/>
  <c r="E1724" i="5" l="1"/>
  <c r="F1724" i="5"/>
  <c r="F1719" i="5"/>
  <c r="F1720" i="5" s="1"/>
  <c r="F1721" i="5" s="1"/>
  <c r="F1722" i="5" s="1"/>
  <c r="F1723" i="5" s="1"/>
  <c r="E1725" i="5" l="1"/>
  <c r="F1725" i="5"/>
  <c r="E1726" i="5" l="1"/>
  <c r="E1727" i="5" s="1"/>
  <c r="E1728" i="5" s="1"/>
  <c r="F1726" i="5"/>
  <c r="F1727" i="5" s="1"/>
  <c r="F1728" i="5" s="1"/>
  <c r="E1729" i="5" l="1"/>
  <c r="E1730" i="5" s="1"/>
  <c r="F1729" i="5"/>
  <c r="F1730" i="5" s="1"/>
  <c r="E1731" i="5" l="1"/>
  <c r="E1732" i="5" s="1"/>
  <c r="E1733" i="5" s="1"/>
  <c r="E1734" i="5" s="1"/>
  <c r="E1735" i="5" s="1"/>
  <c r="E1736" i="5" s="1"/>
  <c r="E1737" i="5" s="1"/>
  <c r="F1731" i="5"/>
  <c r="F1732" i="5" s="1"/>
  <c r="F1733" i="5" s="1"/>
  <c r="F1734" i="5" s="1"/>
  <c r="F1735" i="5" s="1"/>
  <c r="F1736" i="5" s="1"/>
  <c r="F1737" i="5" s="1"/>
  <c r="E1738" i="5" l="1"/>
  <c r="F1738" i="5"/>
  <c r="E1739" i="5" l="1"/>
  <c r="E1740" i="5" s="1"/>
  <c r="E1741" i="5" s="1"/>
  <c r="E1742" i="5" s="1"/>
  <c r="E1743" i="5" s="1"/>
  <c r="E1744" i="5" s="1"/>
  <c r="F1739" i="5"/>
  <c r="F1740" i="5" s="1"/>
  <c r="F1741" i="5" s="1"/>
  <c r="F1742" i="5" s="1"/>
  <c r="F1743" i="5" s="1"/>
  <c r="F1744" i="5" s="1"/>
  <c r="E1745" i="5" l="1"/>
  <c r="F1745" i="5"/>
  <c r="E1746" i="5" l="1"/>
  <c r="F1746" i="5"/>
  <c r="E1747" i="5" l="1"/>
  <c r="F1747" i="5"/>
  <c r="E1748" i="5" l="1"/>
  <c r="E1749" i="5" s="1"/>
  <c r="E1750" i="5" s="1"/>
  <c r="E1751" i="5" s="1"/>
  <c r="F1748" i="5"/>
  <c r="F1749" i="5" s="1"/>
  <c r="F1750" i="5" s="1"/>
  <c r="F1751" i="5" s="1"/>
  <c r="E1752" i="5" l="1"/>
  <c r="E1753" i="5" s="1"/>
  <c r="E1754" i="5" s="1"/>
  <c r="F1752" i="5"/>
  <c r="F1753" i="5" s="1"/>
  <c r="F1754" i="5" s="1"/>
  <c r="E1755" i="5" l="1"/>
  <c r="E1756" i="5" s="1"/>
  <c r="E1757" i="5" s="1"/>
  <c r="E1758" i="5" s="1"/>
  <c r="F1755" i="5"/>
  <c r="F1756" i="5" s="1"/>
  <c r="F1757" i="5" s="1"/>
  <c r="F1758" i="5" s="1"/>
  <c r="E1759" i="5" l="1"/>
  <c r="F1759" i="5"/>
  <c r="E1760" i="5" l="1"/>
  <c r="E1761" i="5" s="1"/>
  <c r="E1762" i="5" s="1"/>
  <c r="F1760" i="5"/>
  <c r="E1763" i="5" l="1"/>
  <c r="E1764" i="5" s="1"/>
  <c r="E1765" i="5" s="1"/>
  <c r="F1761" i="5"/>
  <c r="F1762" i="5" s="1"/>
  <c r="F1763" i="5" s="1"/>
  <c r="F1764" i="5" s="1"/>
  <c r="F1765" i="5" s="1"/>
  <c r="E1766" i="5" l="1"/>
  <c r="F1766" i="5"/>
  <c r="E1767" i="5" l="1"/>
  <c r="F1767" i="5"/>
  <c r="E1768" i="5" l="1"/>
  <c r="E1769" i="5" s="1"/>
  <c r="E1770" i="5" s="1"/>
  <c r="E1771" i="5" s="1"/>
  <c r="E1772" i="5" s="1"/>
  <c r="F1768" i="5"/>
  <c r="F1769" i="5" s="1"/>
  <c r="F1770" i="5" s="1"/>
  <c r="F1771" i="5" s="1"/>
  <c r="F1772" i="5" s="1"/>
  <c r="E1773" i="5" l="1"/>
  <c r="E1774" i="5" s="1"/>
  <c r="E1775" i="5" s="1"/>
  <c r="E1776" i="5" s="1"/>
  <c r="E1777" i="5" s="1"/>
  <c r="E1778" i="5" s="1"/>
  <c r="F1773" i="5"/>
  <c r="F1774" i="5" s="1"/>
  <c r="F1775" i="5" s="1"/>
  <c r="F1776" i="5" s="1"/>
  <c r="F1777" i="5" s="1"/>
  <c r="F1778" i="5" s="1"/>
  <c r="E1779" i="5" l="1"/>
  <c r="F1779" i="5"/>
  <c r="E1780" i="5" l="1"/>
  <c r="E1781" i="5" s="1"/>
  <c r="E1782" i="5" s="1"/>
  <c r="E1783" i="5" s="1"/>
  <c r="E1784" i="5" s="1"/>
  <c r="E1785" i="5" s="1"/>
  <c r="E1786" i="5" s="1"/>
  <c r="F1780" i="5"/>
  <c r="F1781" i="5" s="1"/>
  <c r="F1782" i="5" s="1"/>
  <c r="F1783" i="5" s="1"/>
  <c r="F1784" i="5" s="1"/>
  <c r="F1785" i="5" s="1"/>
  <c r="F1786" i="5" s="1"/>
  <c r="E1787" i="5" l="1"/>
  <c r="E1788" i="5" s="1"/>
  <c r="E1789" i="5" s="1"/>
  <c r="E1790" i="5" s="1"/>
  <c r="E1791" i="5" s="1"/>
  <c r="E1792" i="5" s="1"/>
  <c r="E1793" i="5" s="1"/>
  <c r="F1787" i="5"/>
  <c r="F1788" i="5" s="1"/>
  <c r="F1789" i="5" s="1"/>
  <c r="F1790" i="5" s="1"/>
  <c r="F1791" i="5" s="1"/>
  <c r="F1792" i="5" s="1"/>
  <c r="F1793" i="5" s="1"/>
  <c r="E1794" i="5" l="1"/>
  <c r="F1794" i="5"/>
  <c r="E1795" i="5" l="1"/>
  <c r="F1795" i="5"/>
  <c r="E1796" i="5" l="1"/>
  <c r="E1797" i="5" s="1"/>
  <c r="E1798" i="5" s="1"/>
  <c r="E1799" i="5" s="1"/>
  <c r="E1800" i="5" s="1"/>
  <c r="F1796" i="5"/>
  <c r="F1797" i="5" s="1"/>
  <c r="F1798" i="5" s="1"/>
  <c r="F1799" i="5" s="1"/>
  <c r="F1800" i="5" s="1"/>
  <c r="E1801" i="5" l="1"/>
  <c r="F1801" i="5"/>
  <c r="E1802" i="5" l="1"/>
  <c r="F1802" i="5"/>
  <c r="E1803" i="5" l="1"/>
  <c r="F1803" i="5"/>
  <c r="E1804" i="5" l="1"/>
  <c r="E1805" i="5" s="1"/>
  <c r="E1806" i="5" s="1"/>
  <c r="E1807" i="5" s="1"/>
  <c r="F1804" i="5"/>
  <c r="F1805" i="5" s="1"/>
  <c r="F1806" i="5" s="1"/>
  <c r="F1807" i="5" s="1"/>
  <c r="E1808" i="5" l="1"/>
  <c r="E1809" i="5" s="1"/>
  <c r="E1810" i="5" s="1"/>
  <c r="F1808" i="5"/>
  <c r="F1809" i="5" s="1"/>
  <c r="F1810" i="5" s="1"/>
  <c r="E1811" i="5" l="1"/>
  <c r="E1812" i="5" s="1"/>
  <c r="E1813" i="5" s="1"/>
  <c r="E1814" i="5" s="1"/>
  <c r="F1811" i="5"/>
  <c r="F1812" i="5" s="1"/>
  <c r="F1813" i="5" s="1"/>
  <c r="F1814" i="5" s="1"/>
  <c r="E1815" i="5" l="1"/>
  <c r="F1815" i="5"/>
  <c r="E1816" i="5" l="1"/>
  <c r="E1817" i="5" s="1"/>
  <c r="E1818" i="5" s="1"/>
  <c r="F1816" i="5"/>
  <c r="F1817" i="5" s="1"/>
  <c r="F1818" i="5" s="1"/>
  <c r="E1819" i="5" l="1"/>
  <c r="E1820" i="5" s="1"/>
  <c r="E1821" i="5" s="1"/>
  <c r="F1819" i="5"/>
  <c r="E1822" i="5" l="1"/>
  <c r="F1822" i="5"/>
  <c r="F1820" i="5"/>
  <c r="F1821" i="5" s="1"/>
  <c r="E1823" i="5" l="1"/>
  <c r="F1823" i="5"/>
  <c r="E1824" i="5" l="1"/>
  <c r="E1825" i="5" s="1"/>
  <c r="E1826" i="5" s="1"/>
  <c r="E1827" i="5" s="1"/>
  <c r="E1828" i="5" s="1"/>
  <c r="F1824" i="5"/>
  <c r="F1825" i="5" s="1"/>
  <c r="F1826" i="5" s="1"/>
  <c r="F1827" i="5" s="1"/>
  <c r="F1828" i="5" s="1"/>
  <c r="E1829" i="5" l="1"/>
  <c r="E1830" i="5" s="1"/>
  <c r="E1831" i="5" s="1"/>
  <c r="E1832" i="5" s="1"/>
  <c r="E1833" i="5" s="1"/>
  <c r="E1834" i="5" s="1"/>
  <c r="F1829" i="5"/>
  <c r="F1830" i="5" s="1"/>
  <c r="F1831" i="5" s="1"/>
  <c r="F1832" i="5" s="1"/>
  <c r="F1833" i="5" s="1"/>
  <c r="F1834" i="5" s="1"/>
  <c r="E1835" i="5" l="1"/>
  <c r="F1835" i="5"/>
  <c r="E1836" i="5" l="1"/>
  <c r="E1837" i="5" s="1"/>
  <c r="E1838" i="5" s="1"/>
  <c r="E1839" i="5" s="1"/>
  <c r="E1840" i="5" s="1"/>
  <c r="E1841" i="5" s="1"/>
  <c r="E1842" i="5" s="1"/>
  <c r="F1836" i="5"/>
  <c r="F1837" i="5" s="1"/>
  <c r="F1838" i="5" s="1"/>
  <c r="F1839" i="5" s="1"/>
  <c r="F1840" i="5" s="1"/>
  <c r="F1841" i="5" s="1"/>
  <c r="F1842" i="5" s="1"/>
  <c r="E1843" i="5" l="1"/>
  <c r="E1844" i="5" s="1"/>
  <c r="E1845" i="5" s="1"/>
  <c r="E1846" i="5" s="1"/>
  <c r="E1847" i="5" s="1"/>
  <c r="E1848" i="5" s="1"/>
  <c r="E1849" i="5" s="1"/>
  <c r="F1843" i="5"/>
  <c r="F1844" i="5" s="1"/>
  <c r="F1845" i="5" s="1"/>
  <c r="F1846" i="5" s="1"/>
  <c r="F1847" i="5" s="1"/>
  <c r="F1848" i="5" s="1"/>
  <c r="F1849" i="5" s="1"/>
  <c r="E1850" i="5" l="1"/>
  <c r="F1850" i="5"/>
  <c r="E1851" i="5" l="1"/>
  <c r="F1851" i="5"/>
  <c r="E1852" i="5" l="1"/>
  <c r="E1853" i="5" s="1"/>
  <c r="E1854" i="5" s="1"/>
  <c r="E1855" i="5" s="1"/>
  <c r="E1856" i="5" s="1"/>
  <c r="F1852" i="5"/>
  <c r="F1853" i="5" s="1"/>
  <c r="F1854" i="5" s="1"/>
  <c r="F1855" i="5" s="1"/>
  <c r="F1856" i="5" s="1"/>
  <c r="E1857" i="5" l="1"/>
  <c r="F1857" i="5"/>
  <c r="E1858" i="5" l="1"/>
  <c r="F1858" i="5"/>
  <c r="E1859" i="5" l="1"/>
  <c r="F1859" i="5"/>
  <c r="E1860" i="5" l="1"/>
  <c r="E1861" i="5" s="1"/>
  <c r="E1862" i="5" s="1"/>
  <c r="E1863" i="5" s="1"/>
  <c r="F1860" i="5"/>
  <c r="F1861" i="5" s="1"/>
  <c r="F1862" i="5" s="1"/>
  <c r="F1863" i="5" s="1"/>
  <c r="E1864" i="5" l="1"/>
  <c r="E1865" i="5" s="1"/>
  <c r="E1866" i="5" s="1"/>
  <c r="F1864" i="5"/>
  <c r="F1865" i="5" s="1"/>
  <c r="F1866" i="5" s="1"/>
  <c r="E1867" i="5" l="1"/>
  <c r="E1868" i="5" s="1"/>
  <c r="E1869" i="5" s="1"/>
  <c r="E1870" i="5" s="1"/>
  <c r="F1867" i="5"/>
  <c r="F1868" i="5" s="1"/>
  <c r="F1869" i="5" s="1"/>
  <c r="F1870" i="5" s="1"/>
  <c r="E1871" i="5" l="1"/>
  <c r="F1871" i="5"/>
  <c r="E1872" i="5" l="1"/>
  <c r="E1873" i="5" s="1"/>
  <c r="E1874" i="5" s="1"/>
  <c r="F1872" i="5"/>
  <c r="F1873" i="5" s="1"/>
  <c r="F1874" i="5" s="1"/>
  <c r="E1875" i="5" l="1"/>
  <c r="E1876" i="5" s="1"/>
  <c r="E1877" i="5" s="1"/>
  <c r="F1875" i="5"/>
  <c r="F1876" i="5" s="1"/>
  <c r="F1877" i="5" s="1"/>
  <c r="E1878" i="5" l="1"/>
  <c r="F1878" i="5"/>
  <c r="E1879" i="5" l="1"/>
  <c r="F1879" i="5"/>
  <c r="E1880" i="5" l="1"/>
  <c r="E1881" i="5" s="1"/>
  <c r="E1882" i="5" s="1"/>
  <c r="E1883" i="5" s="1"/>
  <c r="E1884" i="5" s="1"/>
  <c r="F1880" i="5"/>
  <c r="F1881" i="5" s="1"/>
  <c r="F1882" i="5" s="1"/>
  <c r="F1883" i="5" s="1"/>
  <c r="F1884" i="5" s="1"/>
  <c r="E1885" i="5" l="1"/>
  <c r="E1886" i="5" s="1"/>
  <c r="E1887" i="5" s="1"/>
  <c r="E1888" i="5" s="1"/>
  <c r="E1889" i="5" s="1"/>
  <c r="E1890" i="5" s="1"/>
  <c r="F1885" i="5"/>
  <c r="F1886" i="5" s="1"/>
  <c r="F1887" i="5" s="1"/>
  <c r="F1888" i="5" s="1"/>
  <c r="F1889" i="5" s="1"/>
  <c r="F1890" i="5" s="1"/>
  <c r="E1891" i="5" l="1"/>
  <c r="F1891" i="5"/>
  <c r="E1892" i="5" l="1"/>
  <c r="E1893" i="5" s="1"/>
  <c r="E1894" i="5" s="1"/>
  <c r="E1895" i="5" s="1"/>
  <c r="E1896" i="5" s="1"/>
  <c r="E1897" i="5" s="1"/>
  <c r="E1898" i="5" s="1"/>
  <c r="F1892" i="5"/>
  <c r="F1893" i="5" s="1"/>
  <c r="F1894" i="5" s="1"/>
  <c r="F1895" i="5" s="1"/>
  <c r="F1896" i="5" s="1"/>
  <c r="F1897" i="5" s="1"/>
  <c r="F1898" i="5" s="1"/>
  <c r="E1899" i="5" l="1"/>
  <c r="E1900" i="5" s="1"/>
  <c r="E1901" i="5" s="1"/>
  <c r="E1902" i="5" s="1"/>
  <c r="E1903" i="5" s="1"/>
  <c r="E1904" i="5" s="1"/>
  <c r="E1905" i="5" s="1"/>
  <c r="F1899" i="5"/>
  <c r="F1900" i="5" s="1"/>
  <c r="F1901" i="5" s="1"/>
  <c r="F1902" i="5" s="1"/>
  <c r="F1903" i="5" s="1"/>
  <c r="F1904" i="5" s="1"/>
  <c r="F1905" i="5" s="1"/>
  <c r="E1906" i="5" l="1"/>
  <c r="F1906" i="5"/>
  <c r="E1907" i="5" l="1"/>
  <c r="F1907" i="5"/>
  <c r="E1908" i="5" l="1"/>
  <c r="E1909" i="5" s="1"/>
  <c r="E1910" i="5" s="1"/>
  <c r="E1911" i="5" s="1"/>
  <c r="E1912" i="5" s="1"/>
  <c r="F1908" i="5"/>
  <c r="F1909" i="5" s="1"/>
  <c r="F1910" i="5" s="1"/>
  <c r="F1911" i="5" s="1"/>
  <c r="F1912" i="5" s="1"/>
  <c r="E1913" i="5" l="1"/>
  <c r="F1913" i="5"/>
  <c r="E1914" i="5" l="1"/>
  <c r="F1914" i="5"/>
  <c r="E1915" i="5" l="1"/>
  <c r="F1915" i="5"/>
  <c r="E1916" i="5" l="1"/>
  <c r="E1917" i="5" s="1"/>
  <c r="E1918" i="5" s="1"/>
  <c r="E1919" i="5" s="1"/>
  <c r="F1916" i="5"/>
  <c r="F1917" i="5" s="1"/>
  <c r="F1918" i="5" s="1"/>
  <c r="F1919" i="5" s="1"/>
  <c r="E1920" i="5" l="1"/>
  <c r="E1921" i="5" s="1"/>
  <c r="E1922" i="5" s="1"/>
  <c r="F1920" i="5"/>
  <c r="F1921" i="5" s="1"/>
  <c r="F1922" i="5" s="1"/>
  <c r="E1923" i="5" l="1"/>
  <c r="E1924" i="5" s="1"/>
  <c r="E1925" i="5" s="1"/>
  <c r="E1926" i="5" s="1"/>
  <c r="F1923" i="5"/>
  <c r="F1924" i="5" s="1"/>
  <c r="F1925" i="5" s="1"/>
  <c r="F1926" i="5" s="1"/>
  <c r="E1927" i="5" l="1"/>
  <c r="F1927" i="5"/>
  <c r="E1928" i="5" l="1"/>
  <c r="E1929" i="5" s="1"/>
  <c r="E1930" i="5" s="1"/>
  <c r="F1928" i="5"/>
  <c r="F1929" i="5" s="1"/>
  <c r="F1930" i="5" s="1"/>
  <c r="E1931" i="5" l="1"/>
  <c r="E1932" i="5" s="1"/>
  <c r="E1933" i="5" s="1"/>
  <c r="F1931" i="5"/>
  <c r="F1932" i="5" s="1"/>
  <c r="F1933" i="5" s="1"/>
  <c r="E1934" i="5" l="1"/>
  <c r="F1934" i="5"/>
  <c r="E1935" i="5" l="1"/>
  <c r="F1935" i="5"/>
  <c r="E1936" i="5" l="1"/>
  <c r="E1937" i="5" s="1"/>
  <c r="E1938" i="5" s="1"/>
  <c r="E1939" i="5" s="1"/>
  <c r="E1940" i="5" s="1"/>
  <c r="F1936" i="5"/>
  <c r="F1937" i="5" s="1"/>
  <c r="F1938" i="5" s="1"/>
  <c r="F1939" i="5" s="1"/>
  <c r="F1940" i="5" s="1"/>
  <c r="E1941" i="5" l="1"/>
  <c r="E1942" i="5" s="1"/>
  <c r="E1943" i="5" s="1"/>
  <c r="E1944" i="5" s="1"/>
  <c r="E1945" i="5" s="1"/>
  <c r="E1946" i="5" s="1"/>
  <c r="F1941" i="5"/>
  <c r="F1942" i="5" s="1"/>
  <c r="F1943" i="5" s="1"/>
  <c r="F1944" i="5" s="1"/>
  <c r="F1945" i="5" s="1"/>
  <c r="F1946" i="5" s="1"/>
  <c r="E1947" i="5" l="1"/>
  <c r="F1947" i="5"/>
  <c r="E1948" i="5" l="1"/>
  <c r="E1949" i="5" s="1"/>
  <c r="E1950" i="5" s="1"/>
  <c r="E1951" i="5" s="1"/>
  <c r="E1952" i="5" s="1"/>
  <c r="E1953" i="5" s="1"/>
  <c r="E1954" i="5" s="1"/>
  <c r="F1948" i="5"/>
  <c r="F1949" i="5" s="1"/>
  <c r="F1950" i="5" s="1"/>
  <c r="F1951" i="5" s="1"/>
  <c r="F1952" i="5" s="1"/>
  <c r="F1953" i="5" s="1"/>
  <c r="F1954" i="5" s="1"/>
  <c r="E1955" i="5" l="1"/>
  <c r="E1956" i="5" s="1"/>
  <c r="E1957" i="5" s="1"/>
  <c r="E1958" i="5" s="1"/>
  <c r="E1959" i="5" s="1"/>
  <c r="E1960" i="5" s="1"/>
  <c r="E1961" i="5" s="1"/>
  <c r="F1955" i="5"/>
  <c r="F1956" i="5" s="1"/>
  <c r="F1957" i="5" s="1"/>
  <c r="F1958" i="5" s="1"/>
  <c r="F1959" i="5" s="1"/>
  <c r="F1960" i="5" s="1"/>
  <c r="F1961" i="5" s="1"/>
  <c r="E1962" i="5" l="1"/>
  <c r="F1962" i="5"/>
  <c r="E1963" i="5" l="1"/>
  <c r="F1963" i="5"/>
  <c r="E1964" i="5" l="1"/>
  <c r="E1965" i="5" s="1"/>
  <c r="E1966" i="5" s="1"/>
  <c r="E1967" i="5" s="1"/>
  <c r="E1968" i="5" s="1"/>
  <c r="F1964" i="5"/>
  <c r="F1965" i="5" s="1"/>
  <c r="F1966" i="5" s="1"/>
  <c r="F1967" i="5" s="1"/>
  <c r="F1968" i="5" s="1"/>
  <c r="E1969" i="5" l="1"/>
  <c r="F1969" i="5"/>
  <c r="E1970" i="5" l="1"/>
  <c r="F1970" i="5"/>
  <c r="E1971" i="5" l="1"/>
  <c r="F1971" i="5"/>
  <c r="E1972" i="5" l="1"/>
  <c r="E1973" i="5" s="1"/>
  <c r="E1974" i="5" s="1"/>
  <c r="E1975" i="5" s="1"/>
  <c r="F1972" i="5"/>
  <c r="F1973" i="5" s="1"/>
  <c r="F1974" i="5" s="1"/>
  <c r="F1975" i="5" s="1"/>
  <c r="E1976" i="5" l="1"/>
  <c r="E1977" i="5" s="1"/>
  <c r="E1978" i="5" s="1"/>
  <c r="F1976" i="5"/>
  <c r="F1977" i="5" s="1"/>
  <c r="F1978" i="5" s="1"/>
  <c r="E1979" i="5" l="1"/>
  <c r="E1980" i="5" s="1"/>
  <c r="E1981" i="5" s="1"/>
  <c r="E1982" i="5" s="1"/>
  <c r="F1979" i="5"/>
  <c r="F1980" i="5" s="1"/>
  <c r="F1981" i="5" s="1"/>
  <c r="F1982" i="5" s="1"/>
  <c r="E1983" i="5" l="1"/>
  <c r="F1983" i="5"/>
  <c r="E1984" i="5" l="1"/>
  <c r="E1985" i="5" s="1"/>
  <c r="E1986" i="5" s="1"/>
  <c r="F1984" i="5"/>
  <c r="F1985" i="5" s="1"/>
  <c r="F1986" i="5" s="1"/>
  <c r="E1987" i="5" l="1"/>
  <c r="E1988" i="5" s="1"/>
  <c r="E1989" i="5" s="1"/>
  <c r="F1987" i="5"/>
  <c r="F1988" i="5" s="1"/>
  <c r="F1989" i="5" s="1"/>
  <c r="E1990" i="5" l="1"/>
  <c r="F1990" i="5"/>
  <c r="E1991" i="5" l="1"/>
  <c r="F1991" i="5"/>
  <c r="E1992" i="5" l="1"/>
  <c r="E1993" i="5" s="1"/>
  <c r="E1994" i="5" s="1"/>
  <c r="E1995" i="5" s="1"/>
  <c r="E1996" i="5" s="1"/>
  <c r="F1992" i="5"/>
  <c r="F1993" i="5" s="1"/>
  <c r="F1994" i="5" s="1"/>
  <c r="F1995" i="5" s="1"/>
  <c r="F1996" i="5" s="1"/>
  <c r="E1997" i="5" l="1"/>
  <c r="E1998" i="5" s="1"/>
  <c r="E1999" i="5" s="1"/>
  <c r="E2000" i="5" s="1"/>
  <c r="E2001" i="5" s="1"/>
  <c r="E2002" i="5" s="1"/>
  <c r="F1997" i="5"/>
  <c r="F1998" i="5" s="1"/>
  <c r="F1999" i="5" s="1"/>
  <c r="F2000" i="5" s="1"/>
  <c r="F2001" i="5" s="1"/>
  <c r="F2002" i="5" s="1"/>
  <c r="E2003" i="5" l="1"/>
  <c r="F2003" i="5"/>
  <c r="E2004" i="5" l="1"/>
  <c r="E2005" i="5" s="1"/>
  <c r="E2006" i="5" s="1"/>
  <c r="E2007" i="5" s="1"/>
  <c r="E2008" i="5" s="1"/>
  <c r="E2009" i="5" s="1"/>
  <c r="E2010" i="5" s="1"/>
  <c r="F2004" i="5"/>
  <c r="F2005" i="5" s="1"/>
  <c r="F2006" i="5" s="1"/>
  <c r="F2007" i="5" s="1"/>
  <c r="F2008" i="5" s="1"/>
  <c r="F2009" i="5" s="1"/>
  <c r="F2010" i="5" s="1"/>
  <c r="E2011" i="5" l="1"/>
  <c r="E2012" i="5" s="1"/>
  <c r="E2013" i="5" s="1"/>
  <c r="E2014" i="5" s="1"/>
  <c r="E2015" i="5" s="1"/>
  <c r="E2016" i="5" s="1"/>
  <c r="E2017" i="5" s="1"/>
  <c r="F2011" i="5"/>
  <c r="F2012" i="5" s="1"/>
  <c r="F2013" i="5" s="1"/>
  <c r="F2014" i="5" s="1"/>
  <c r="F2015" i="5" s="1"/>
  <c r="F2016" i="5" s="1"/>
  <c r="F2017" i="5" s="1"/>
  <c r="E2018" i="5" l="1"/>
  <c r="F2018" i="5"/>
  <c r="E2019" i="5" l="1"/>
  <c r="F2019" i="5"/>
  <c r="E2020" i="5" l="1"/>
  <c r="E2021" i="5" s="1"/>
  <c r="E2022" i="5" s="1"/>
  <c r="E2023" i="5" s="1"/>
  <c r="E2024" i="5" s="1"/>
  <c r="F2020" i="5"/>
  <c r="E2025" i="5" l="1"/>
  <c r="F2025" i="5"/>
  <c r="F2021" i="5"/>
  <c r="F2022" i="5" s="1"/>
  <c r="F2023" i="5" s="1"/>
  <c r="F2024" i="5" s="1"/>
  <c r="E2026" i="5" l="1"/>
  <c r="F2026" i="5"/>
  <c r="E2027" i="5" l="1"/>
  <c r="F2027" i="5"/>
  <c r="E2028" i="5" l="1"/>
  <c r="E2029" i="5" s="1"/>
  <c r="E2030" i="5" s="1"/>
  <c r="E2031" i="5" s="1"/>
  <c r="F2028" i="5"/>
  <c r="F2029" i="5" s="1"/>
  <c r="F2030" i="5" s="1"/>
  <c r="F2031" i="5" s="1"/>
  <c r="E2032" i="5" l="1"/>
  <c r="E2033" i="5" s="1"/>
  <c r="E2034" i="5" s="1"/>
  <c r="F2032" i="5"/>
  <c r="F2033" i="5" s="1"/>
  <c r="F2034" i="5" s="1"/>
  <c r="E2035" i="5" l="1"/>
  <c r="E2036" i="5" s="1"/>
  <c r="E2037" i="5" s="1"/>
  <c r="E2038" i="5" s="1"/>
  <c r="F2035" i="5"/>
  <c r="F2036" i="5" s="1"/>
  <c r="F2037" i="5" s="1"/>
  <c r="F2038" i="5" s="1"/>
  <c r="E2039" i="5" l="1"/>
  <c r="F2039" i="5"/>
  <c r="E2040" i="5" l="1"/>
  <c r="E2041" i="5" s="1"/>
  <c r="E2042" i="5" s="1"/>
  <c r="F2040" i="5"/>
  <c r="F2041" i="5" s="1"/>
  <c r="F2042" i="5" s="1"/>
  <c r="E2043" i="5" l="1"/>
  <c r="E2044" i="5" s="1"/>
  <c r="E2045" i="5" s="1"/>
  <c r="F2043" i="5"/>
  <c r="F2044" i="5" s="1"/>
  <c r="F2045" i="5" s="1"/>
  <c r="E2046" i="5" l="1"/>
  <c r="F2046" i="5"/>
  <c r="E2047" i="5" l="1"/>
  <c r="F2047" i="5"/>
  <c r="E2048" i="5" l="1"/>
  <c r="E2049" i="5" s="1"/>
  <c r="E2050" i="5" s="1"/>
  <c r="E2051" i="5" s="1"/>
  <c r="E2052" i="5" s="1"/>
  <c r="F2048" i="5"/>
  <c r="F2049" i="5" l="1"/>
  <c r="F2050" i="5" s="1"/>
  <c r="F2051" i="5" s="1"/>
  <c r="F2052" i="5" s="1"/>
  <c r="E2053" i="5"/>
  <c r="E2054" i="5" s="1"/>
  <c r="E2055" i="5" s="1"/>
  <c r="E2056" i="5" s="1"/>
  <c r="E2057" i="5" s="1"/>
  <c r="E2058" i="5" s="1"/>
  <c r="F2053" i="5"/>
  <c r="E2059" i="5" l="1"/>
  <c r="F2054" i="5"/>
  <c r="F2055" i="5" s="1"/>
  <c r="F2056" i="5" s="1"/>
  <c r="F2057" i="5" s="1"/>
  <c r="F2058" i="5" s="1"/>
  <c r="F2059" i="5" s="1"/>
  <c r="E2060" i="5" l="1"/>
  <c r="E2061" i="5" s="1"/>
  <c r="E2062" i="5" s="1"/>
  <c r="E2063" i="5" s="1"/>
  <c r="E2064" i="5" s="1"/>
  <c r="E2065" i="5" s="1"/>
  <c r="E2066" i="5" s="1"/>
  <c r="F2060" i="5"/>
  <c r="E2067" i="5" l="1"/>
  <c r="E2068" i="5" s="1"/>
  <c r="E2069" i="5" s="1"/>
  <c r="E2070" i="5" s="1"/>
  <c r="E2071" i="5" s="1"/>
  <c r="E2072" i="5" s="1"/>
  <c r="E2073" i="5" s="1"/>
  <c r="F2067" i="5"/>
  <c r="F2068" i="5" s="1"/>
  <c r="F2069" i="5" s="1"/>
  <c r="F2070" i="5" s="1"/>
  <c r="F2071" i="5" s="1"/>
  <c r="F2072" i="5" s="1"/>
  <c r="F2073" i="5" s="1"/>
  <c r="F2061" i="5"/>
  <c r="F2062" i="5" s="1"/>
  <c r="F2063" i="5" s="1"/>
  <c r="F2064" i="5" s="1"/>
  <c r="F2065" i="5" s="1"/>
  <c r="F2066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DC8A5E-88EC-47DE-98D2-F0BF0BEA667C}" keepAlive="1" name="Zapytanie — martianeum" description="Połączenie z zapytaniem „martianeum” w skoroszycie." type="5" refreshedVersion="0" background="1">
    <dbPr connection="Provider=Microsoft.Mashup.OleDb.1;Data Source=$Workbook$;Location=martianeum;Extended Properties=&quot;&quot;" command="SELECT * FROM [martianeum]"/>
  </connection>
</connections>
</file>

<file path=xl/sharedStrings.xml><?xml version="1.0" encoding="utf-8"?>
<sst xmlns="http://schemas.openxmlformats.org/spreadsheetml/2006/main" count="12599" uniqueCount="50">
  <si>
    <t>data</t>
  </si>
  <si>
    <t>nazwa_obszaru</t>
  </si>
  <si>
    <t>masa [kg]</t>
  </si>
  <si>
    <t>zawartosc [%]</t>
  </si>
  <si>
    <t>Cebrenia</t>
  </si>
  <si>
    <t>Amenthes</t>
  </si>
  <si>
    <t>Noachis</t>
  </si>
  <si>
    <t>Coprates</t>
  </si>
  <si>
    <t>Ismenius Lacus</t>
  </si>
  <si>
    <t>Mare Boreum</t>
  </si>
  <si>
    <t>Iapygia</t>
  </si>
  <si>
    <t>Amazonis</t>
  </si>
  <si>
    <t>Sinus Sabaeus</t>
  </si>
  <si>
    <t>Eridania</t>
  </si>
  <si>
    <t>Arabia</t>
  </si>
  <si>
    <t>Phoenicis Lacus</t>
  </si>
  <si>
    <t>Oxia Palus</t>
  </si>
  <si>
    <t>Lunae Palus</t>
  </si>
  <si>
    <t>Memnonia</t>
  </si>
  <si>
    <t>Tharsis</t>
  </si>
  <si>
    <t>Elysium</t>
  </si>
  <si>
    <t>Margaritifer Sinus</t>
  </si>
  <si>
    <t>Mare Acidalium</t>
  </si>
  <si>
    <t>Aeolis</t>
  </si>
  <si>
    <t>Argyre</t>
  </si>
  <si>
    <t>Syrtis Major</t>
  </si>
  <si>
    <t>Arcadia</t>
  </si>
  <si>
    <t>Casius</t>
  </si>
  <si>
    <t>Thaumasia</t>
  </si>
  <si>
    <t>Mare Australe</t>
  </si>
  <si>
    <t>Diacria</t>
  </si>
  <si>
    <t>Hellas</t>
  </si>
  <si>
    <t>Mare Tyrrhenum</t>
  </si>
  <si>
    <t>Phaethontis</t>
  </si>
  <si>
    <t>wydobyte m</t>
  </si>
  <si>
    <t>ladunki</t>
  </si>
  <si>
    <t>liczba</t>
  </si>
  <si>
    <t>Etykiety wierszy</t>
  </si>
  <si>
    <t>Suma końcowa</t>
  </si>
  <si>
    <t>Suma z masa [kg]</t>
  </si>
  <si>
    <t>Suma z liczba</t>
  </si>
  <si>
    <t>srednia</t>
  </si>
  <si>
    <t>obszar</t>
  </si>
  <si>
    <t>dzien okresu</t>
  </si>
  <si>
    <t>laczna masa</t>
  </si>
  <si>
    <t>rok</t>
  </si>
  <si>
    <t>Etykiety kolumn</t>
  </si>
  <si>
    <t>obszar/lata</t>
  </si>
  <si>
    <t>magazyn stacji</t>
  </si>
  <si>
    <t>czy odsylamy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</si>
</sst>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14" fontId="0" fillId="0" borderId="4" xfId="0" applyNumberFormat="1" applyFont="1" applyBorder="1"/>
    <xf numFmtId="0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14" fontId="0" fillId="0" borderId="1" xfId="0" applyNumberFormat="1" applyFont="1" applyBorder="1"/>
    <xf numFmtId="0" fontId="0" fillId="0" borderId="2" xfId="0" applyNumberFormat="1" applyFont="1" applyBorder="1"/>
    <xf numFmtId="0" fontId="1" fillId="2" borderId="0" xfId="0" applyFont="1" applyFill="1" applyBorder="1"/>
    <xf numFmtId="0" fontId="0" fillId="3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Przewóz</a:t>
            </a:r>
            <a:r>
              <a:rPr lang="pl-PL" baseline="0"/>
              <a:t> ładunku przez drona z poszczególnych obszarów w poszczególnych latach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'6.4'!$R$5</c:f>
              <c:strCache>
                <c:ptCount val="1"/>
                <c:pt idx="0">
                  <c:v>2033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'6.4'!$Q$6:$Q$35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'6.4'!$R$6:$R$35</c:f>
              <c:numCache>
                <c:formatCode>General</c:formatCode>
                <c:ptCount val="30"/>
                <c:pt idx="0">
                  <c:v>5</c:v>
                </c:pt>
                <c:pt idx="1">
                  <c:v>23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21</c:v>
                </c:pt>
                <c:pt idx="9">
                  <c:v>2</c:v>
                </c:pt>
                <c:pt idx="10">
                  <c:v>6</c:v>
                </c:pt>
                <c:pt idx="11">
                  <c:v>8</c:v>
                </c:pt>
                <c:pt idx="12">
                  <c:v>1</c:v>
                </c:pt>
                <c:pt idx="13">
                  <c:v>47</c:v>
                </c:pt>
                <c:pt idx="14">
                  <c:v>6</c:v>
                </c:pt>
                <c:pt idx="15">
                  <c:v>11</c:v>
                </c:pt>
                <c:pt idx="16">
                  <c:v>8</c:v>
                </c:pt>
                <c:pt idx="17">
                  <c:v>2</c:v>
                </c:pt>
                <c:pt idx="18">
                  <c:v>14</c:v>
                </c:pt>
                <c:pt idx="19">
                  <c:v>2</c:v>
                </c:pt>
                <c:pt idx="20">
                  <c:v>4</c:v>
                </c:pt>
                <c:pt idx="21">
                  <c:v>11</c:v>
                </c:pt>
                <c:pt idx="22">
                  <c:v>13</c:v>
                </c:pt>
                <c:pt idx="23">
                  <c:v>3</c:v>
                </c:pt>
                <c:pt idx="24">
                  <c:v>1</c:v>
                </c:pt>
                <c:pt idx="25">
                  <c:v>25</c:v>
                </c:pt>
                <c:pt idx="26">
                  <c:v>14</c:v>
                </c:pt>
                <c:pt idx="27">
                  <c:v>6</c:v>
                </c:pt>
                <c:pt idx="28">
                  <c:v>29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E-44E7-B44F-E0BA0D664EA4}"/>
            </c:ext>
          </c:extLst>
        </c:ser>
        <c:ser>
          <c:idx val="1"/>
          <c:order val="1"/>
          <c:tx>
            <c:strRef>
              <c:f>'6.4'!$S$5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'6.4'!$Q$6:$Q$35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'6.4'!$S$6:$S$35</c:f>
              <c:numCache>
                <c:formatCode>General</c:formatCode>
                <c:ptCount val="30"/>
                <c:pt idx="0">
                  <c:v>7</c:v>
                </c:pt>
                <c:pt idx="1">
                  <c:v>20</c:v>
                </c:pt>
                <c:pt idx="2">
                  <c:v>5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27</c:v>
                </c:pt>
                <c:pt idx="9">
                  <c:v>3</c:v>
                </c:pt>
                <c:pt idx="10">
                  <c:v>9</c:v>
                </c:pt>
                <c:pt idx="11">
                  <c:v>19</c:v>
                </c:pt>
                <c:pt idx="12">
                  <c:v>4</c:v>
                </c:pt>
                <c:pt idx="13">
                  <c:v>51</c:v>
                </c:pt>
                <c:pt idx="14">
                  <c:v>4</c:v>
                </c:pt>
                <c:pt idx="15">
                  <c:v>11</c:v>
                </c:pt>
                <c:pt idx="16">
                  <c:v>14</c:v>
                </c:pt>
                <c:pt idx="17">
                  <c:v>3</c:v>
                </c:pt>
                <c:pt idx="18">
                  <c:v>19</c:v>
                </c:pt>
                <c:pt idx="19">
                  <c:v>5</c:v>
                </c:pt>
                <c:pt idx="20">
                  <c:v>5</c:v>
                </c:pt>
                <c:pt idx="21">
                  <c:v>24</c:v>
                </c:pt>
                <c:pt idx="22">
                  <c:v>11</c:v>
                </c:pt>
                <c:pt idx="23">
                  <c:v>3</c:v>
                </c:pt>
                <c:pt idx="24">
                  <c:v>7</c:v>
                </c:pt>
                <c:pt idx="25">
                  <c:v>22</c:v>
                </c:pt>
                <c:pt idx="26">
                  <c:v>12</c:v>
                </c:pt>
                <c:pt idx="27">
                  <c:v>2</c:v>
                </c:pt>
                <c:pt idx="28">
                  <c:v>40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CE-44E7-B44F-E0BA0D664EA4}"/>
            </c:ext>
          </c:extLst>
        </c:ser>
        <c:ser>
          <c:idx val="2"/>
          <c:order val="2"/>
          <c:tx>
            <c:strRef>
              <c:f>'6.4'!$T$5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'6.4'!$Q$6:$Q$35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'6.4'!$T$6:$T$35</c:f>
              <c:numCache>
                <c:formatCode>General</c:formatCode>
                <c:ptCount val="30"/>
                <c:pt idx="0">
                  <c:v>11</c:v>
                </c:pt>
                <c:pt idx="1">
                  <c:v>21</c:v>
                </c:pt>
                <c:pt idx="2">
                  <c:v>9</c:v>
                </c:pt>
                <c:pt idx="3">
                  <c:v>15</c:v>
                </c:pt>
                <c:pt idx="4">
                  <c:v>11</c:v>
                </c:pt>
                <c:pt idx="5">
                  <c:v>3</c:v>
                </c:pt>
                <c:pt idx="6">
                  <c:v>7</c:v>
                </c:pt>
                <c:pt idx="7">
                  <c:v>1</c:v>
                </c:pt>
                <c:pt idx="8">
                  <c:v>18</c:v>
                </c:pt>
                <c:pt idx="9">
                  <c:v>2</c:v>
                </c:pt>
                <c:pt idx="10">
                  <c:v>5</c:v>
                </c:pt>
                <c:pt idx="11">
                  <c:v>23</c:v>
                </c:pt>
                <c:pt idx="12">
                  <c:v>2</c:v>
                </c:pt>
                <c:pt idx="13">
                  <c:v>67</c:v>
                </c:pt>
                <c:pt idx="14">
                  <c:v>5</c:v>
                </c:pt>
                <c:pt idx="15">
                  <c:v>9</c:v>
                </c:pt>
                <c:pt idx="16">
                  <c:v>10</c:v>
                </c:pt>
                <c:pt idx="17">
                  <c:v>2</c:v>
                </c:pt>
                <c:pt idx="18">
                  <c:v>8</c:v>
                </c:pt>
                <c:pt idx="19">
                  <c:v>3</c:v>
                </c:pt>
                <c:pt idx="20">
                  <c:v>5</c:v>
                </c:pt>
                <c:pt idx="21">
                  <c:v>23</c:v>
                </c:pt>
                <c:pt idx="22">
                  <c:v>11</c:v>
                </c:pt>
                <c:pt idx="23">
                  <c:v>1</c:v>
                </c:pt>
                <c:pt idx="24">
                  <c:v>2</c:v>
                </c:pt>
                <c:pt idx="25">
                  <c:v>25</c:v>
                </c:pt>
                <c:pt idx="26">
                  <c:v>19</c:v>
                </c:pt>
                <c:pt idx="27">
                  <c:v>5</c:v>
                </c:pt>
                <c:pt idx="28">
                  <c:v>38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CE-44E7-B44F-E0BA0D664EA4}"/>
            </c:ext>
          </c:extLst>
        </c:ser>
        <c:ser>
          <c:idx val="3"/>
          <c:order val="3"/>
          <c:tx>
            <c:strRef>
              <c:f>'6.4'!$U$5</c:f>
              <c:strCache>
                <c:ptCount val="1"/>
                <c:pt idx="0">
                  <c:v>2036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'6.4'!$Q$6:$Q$35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'6.4'!$U$6:$U$35</c:f>
              <c:numCache>
                <c:formatCode>General</c:formatCode>
                <c:ptCount val="30"/>
                <c:pt idx="0">
                  <c:v>2</c:v>
                </c:pt>
                <c:pt idx="1">
                  <c:v>29</c:v>
                </c:pt>
                <c:pt idx="2">
                  <c:v>12</c:v>
                </c:pt>
                <c:pt idx="3">
                  <c:v>8</c:v>
                </c:pt>
                <c:pt idx="4">
                  <c:v>14</c:v>
                </c:pt>
                <c:pt idx="5">
                  <c:v>3</c:v>
                </c:pt>
                <c:pt idx="6">
                  <c:v>13</c:v>
                </c:pt>
                <c:pt idx="7">
                  <c:v>1</c:v>
                </c:pt>
                <c:pt idx="8">
                  <c:v>33</c:v>
                </c:pt>
                <c:pt idx="9">
                  <c:v>3</c:v>
                </c:pt>
                <c:pt idx="10">
                  <c:v>4</c:v>
                </c:pt>
                <c:pt idx="11">
                  <c:v>20</c:v>
                </c:pt>
                <c:pt idx="12">
                  <c:v>1</c:v>
                </c:pt>
                <c:pt idx="13">
                  <c:v>53</c:v>
                </c:pt>
                <c:pt idx="14">
                  <c:v>3</c:v>
                </c:pt>
                <c:pt idx="15">
                  <c:v>10</c:v>
                </c:pt>
                <c:pt idx="16">
                  <c:v>8</c:v>
                </c:pt>
                <c:pt idx="17">
                  <c:v>3</c:v>
                </c:pt>
                <c:pt idx="18">
                  <c:v>13</c:v>
                </c:pt>
                <c:pt idx="19">
                  <c:v>2</c:v>
                </c:pt>
                <c:pt idx="20">
                  <c:v>2</c:v>
                </c:pt>
                <c:pt idx="21">
                  <c:v>19</c:v>
                </c:pt>
                <c:pt idx="22">
                  <c:v>25</c:v>
                </c:pt>
                <c:pt idx="23">
                  <c:v>0</c:v>
                </c:pt>
                <c:pt idx="24">
                  <c:v>4</c:v>
                </c:pt>
                <c:pt idx="25">
                  <c:v>22</c:v>
                </c:pt>
                <c:pt idx="26">
                  <c:v>13</c:v>
                </c:pt>
                <c:pt idx="27">
                  <c:v>4</c:v>
                </c:pt>
                <c:pt idx="28">
                  <c:v>41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CE-44E7-B44F-E0BA0D664EA4}"/>
            </c:ext>
          </c:extLst>
        </c:ser>
        <c:ser>
          <c:idx val="4"/>
          <c:order val="4"/>
          <c:tx>
            <c:strRef>
              <c:f>'6.4'!$V$5</c:f>
              <c:strCache>
                <c:ptCount val="1"/>
                <c:pt idx="0">
                  <c:v>2037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'6.4'!$Q$6:$Q$35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'6.4'!$V$6:$V$35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5</c:v>
                </c:pt>
                <c:pt idx="5">
                  <c:v>10</c:v>
                </c:pt>
                <c:pt idx="6">
                  <c:v>7</c:v>
                </c:pt>
                <c:pt idx="7">
                  <c:v>1</c:v>
                </c:pt>
                <c:pt idx="8">
                  <c:v>30</c:v>
                </c:pt>
                <c:pt idx="9">
                  <c:v>3</c:v>
                </c:pt>
                <c:pt idx="10">
                  <c:v>8</c:v>
                </c:pt>
                <c:pt idx="11">
                  <c:v>22</c:v>
                </c:pt>
                <c:pt idx="12">
                  <c:v>3</c:v>
                </c:pt>
                <c:pt idx="13">
                  <c:v>51</c:v>
                </c:pt>
                <c:pt idx="14">
                  <c:v>9</c:v>
                </c:pt>
                <c:pt idx="15">
                  <c:v>10</c:v>
                </c:pt>
                <c:pt idx="16">
                  <c:v>14</c:v>
                </c:pt>
                <c:pt idx="17">
                  <c:v>2</c:v>
                </c:pt>
                <c:pt idx="18">
                  <c:v>14</c:v>
                </c:pt>
                <c:pt idx="19">
                  <c:v>0</c:v>
                </c:pt>
                <c:pt idx="20">
                  <c:v>2</c:v>
                </c:pt>
                <c:pt idx="21">
                  <c:v>14</c:v>
                </c:pt>
                <c:pt idx="22">
                  <c:v>17</c:v>
                </c:pt>
                <c:pt idx="23">
                  <c:v>4</c:v>
                </c:pt>
                <c:pt idx="24">
                  <c:v>5</c:v>
                </c:pt>
                <c:pt idx="25">
                  <c:v>15</c:v>
                </c:pt>
                <c:pt idx="26">
                  <c:v>12</c:v>
                </c:pt>
                <c:pt idx="27">
                  <c:v>6</c:v>
                </c:pt>
                <c:pt idx="28">
                  <c:v>46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CE-44E7-B44F-E0BA0D664EA4}"/>
            </c:ext>
          </c:extLst>
        </c:ser>
        <c:ser>
          <c:idx val="5"/>
          <c:order val="5"/>
          <c:tx>
            <c:strRef>
              <c:f>'6.4'!$W$5</c:f>
              <c:strCache>
                <c:ptCount val="1"/>
                <c:pt idx="0">
                  <c:v>2038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'6.4'!$Q$6:$Q$35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'6.4'!$W$6:$W$35</c:f>
              <c:numCache>
                <c:formatCode>General</c:formatCode>
                <c:ptCount val="30"/>
                <c:pt idx="0">
                  <c:v>5</c:v>
                </c:pt>
                <c:pt idx="1">
                  <c:v>25</c:v>
                </c:pt>
                <c:pt idx="2">
                  <c:v>10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  <c:pt idx="6">
                  <c:v>7</c:v>
                </c:pt>
                <c:pt idx="7">
                  <c:v>1</c:v>
                </c:pt>
                <c:pt idx="8">
                  <c:v>23</c:v>
                </c:pt>
                <c:pt idx="9">
                  <c:v>2</c:v>
                </c:pt>
                <c:pt idx="10">
                  <c:v>7</c:v>
                </c:pt>
                <c:pt idx="11">
                  <c:v>16</c:v>
                </c:pt>
                <c:pt idx="12">
                  <c:v>4</c:v>
                </c:pt>
                <c:pt idx="13">
                  <c:v>33</c:v>
                </c:pt>
                <c:pt idx="14">
                  <c:v>13</c:v>
                </c:pt>
                <c:pt idx="15">
                  <c:v>3</c:v>
                </c:pt>
                <c:pt idx="16">
                  <c:v>10</c:v>
                </c:pt>
                <c:pt idx="17">
                  <c:v>2</c:v>
                </c:pt>
                <c:pt idx="18">
                  <c:v>12</c:v>
                </c:pt>
                <c:pt idx="19">
                  <c:v>2</c:v>
                </c:pt>
                <c:pt idx="20">
                  <c:v>7</c:v>
                </c:pt>
                <c:pt idx="21">
                  <c:v>13</c:v>
                </c:pt>
                <c:pt idx="22">
                  <c:v>14</c:v>
                </c:pt>
                <c:pt idx="23">
                  <c:v>2</c:v>
                </c:pt>
                <c:pt idx="24">
                  <c:v>4</c:v>
                </c:pt>
                <c:pt idx="25">
                  <c:v>18</c:v>
                </c:pt>
                <c:pt idx="26">
                  <c:v>6</c:v>
                </c:pt>
                <c:pt idx="27">
                  <c:v>3</c:v>
                </c:pt>
                <c:pt idx="28">
                  <c:v>39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CE-44E7-B44F-E0BA0D664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1930192"/>
        <c:axId val="1171929832"/>
      </c:barChart>
      <c:catAx>
        <c:axId val="1171930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Obszary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1929832"/>
        <c:crosses val="autoZero"/>
        <c:auto val="1"/>
        <c:lblAlgn val="ctr"/>
        <c:lblOffset val="100"/>
        <c:noMultiLvlLbl val="0"/>
      </c:catAx>
      <c:valAx>
        <c:axId val="117192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Masa ładunku w 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193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138906</xdr:colOff>
      <xdr:row>8</xdr:row>
      <xdr:rowOff>33338</xdr:rowOff>
    </xdr:from>
    <xdr:to>
      <xdr:col>21</xdr:col>
      <xdr:colOff>559593</xdr:colOff>
      <xdr:row>23</xdr:row>
      <xdr:rowOff>38100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8BD179A-FB27-3401-D151-9C7C21091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5.841640856481" createdVersion="8" refreshedVersion="8" minRefreshableVersion="3" recordCount="2072" xr:uid="{43344736-60A3-4ACC-A305-7FC2839AB6BD}">
  <cacheSource type="worksheet">
    <worksheetSource ref="A1:E2073" sheet="6.2"/>
  </cacheSource>
  <cacheFields count="5">
    <cacheField name="data" numFmtId="14">
      <sharedItems containsSemiMixedTypes="0" containsNonDate="0" containsDate="1" containsString="0" minDate="2033-03-03T00:00:00" maxDate="2038-11-04T00:00:00"/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liczba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5.846561805556" createdVersion="8" refreshedVersion="8" minRefreshableVersion="3" recordCount="2072" xr:uid="{9AB75FB4-2466-4126-BC06-447CD5F29AD8}">
  <cacheSource type="worksheet">
    <worksheetSource ref="A1:F2073" sheet="6.4"/>
  </cacheSource>
  <cacheFields count="6">
    <cacheField name="data" numFmtId="14">
      <sharedItems containsSemiMixedTypes="0" containsNonDate="0" containsDate="1" containsString="0" minDate="2033-03-03T00:00:00" maxDate="2038-11-04T00:00:00"/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rok" numFmtId="0">
      <sharedItems containsSemiMixedTypes="0" containsString="0" containsNumber="1" containsInteger="1" minValue="2033" maxValue="2038" count="6">
        <n v="2033"/>
        <n v="2034"/>
        <n v="2035"/>
        <n v="2036"/>
        <n v="2037"/>
        <n v="2038"/>
      </sharedItems>
    </cacheField>
    <cacheField name="liczba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d v="2033-03-03T00:00:00"/>
    <x v="0"/>
    <n v="27.8"/>
    <n v="0.2"/>
    <n v="1"/>
  </r>
  <r>
    <d v="2033-03-04T00:00:00"/>
    <x v="1"/>
    <n v="11.8"/>
    <n v="1.7"/>
    <n v="1"/>
  </r>
  <r>
    <d v="2033-03-05T00:00:00"/>
    <x v="2"/>
    <n v="21"/>
    <n v="6"/>
    <n v="1"/>
  </r>
  <r>
    <d v="2033-03-06T00:00:00"/>
    <x v="3"/>
    <n v="26.3"/>
    <n v="11.4"/>
    <n v="1"/>
  </r>
  <r>
    <d v="2033-03-07T00:00:00"/>
    <x v="4"/>
    <n v="28.8"/>
    <n v="0"/>
    <n v="1"/>
  </r>
  <r>
    <d v="2033-03-08T00:00:00"/>
    <x v="5"/>
    <n v="29.2"/>
    <n v="0"/>
    <n v="1"/>
  </r>
  <r>
    <d v="2033-03-09T00:00:00"/>
    <x v="6"/>
    <n v="25.6"/>
    <n v="28.7"/>
    <n v="1"/>
  </r>
  <r>
    <d v="2033-03-10T00:00:00"/>
    <x v="7"/>
    <n v="10.1"/>
    <n v="7.7"/>
    <n v="1"/>
  </r>
  <r>
    <d v="2033-03-11T00:00:00"/>
    <x v="8"/>
    <n v="14.6"/>
    <n v="0"/>
    <n v="1"/>
  </r>
  <r>
    <d v="2033-03-12T00:00:00"/>
    <x v="9"/>
    <n v="11.5"/>
    <n v="1.9"/>
    <n v="1"/>
  </r>
  <r>
    <d v="2033-03-13T00:00:00"/>
    <x v="5"/>
    <n v="15.2"/>
    <n v="0"/>
    <n v="1"/>
  </r>
  <r>
    <d v="2033-03-14T00:00:00"/>
    <x v="6"/>
    <n v="10.199999999999999"/>
    <n v="13.3"/>
    <n v="1"/>
  </r>
  <r>
    <d v="2033-03-15T00:00:00"/>
    <x v="10"/>
    <n v="20.399999999999999"/>
    <n v="4.5999999999999996"/>
    <n v="1"/>
  </r>
  <r>
    <d v="2033-03-16T00:00:00"/>
    <x v="10"/>
    <n v="13.6"/>
    <n v="8"/>
    <n v="1"/>
  </r>
  <r>
    <d v="2033-03-17T00:00:00"/>
    <x v="11"/>
    <n v="11"/>
    <n v="11.6"/>
    <n v="1"/>
  </r>
  <r>
    <d v="2033-03-18T00:00:00"/>
    <x v="12"/>
    <n v="14.1"/>
    <n v="0"/>
    <n v="1"/>
  </r>
  <r>
    <d v="2033-03-19T00:00:00"/>
    <x v="6"/>
    <n v="19.2"/>
    <n v="0"/>
    <n v="1"/>
  </r>
  <r>
    <d v="2033-03-20T00:00:00"/>
    <x v="6"/>
    <n v="20.7"/>
    <n v="0"/>
    <n v="1"/>
  </r>
  <r>
    <d v="2033-03-21T00:00:00"/>
    <x v="13"/>
    <n v="29.5"/>
    <n v="2.1"/>
    <n v="1"/>
  </r>
  <r>
    <d v="2033-03-22T00:00:00"/>
    <x v="7"/>
    <n v="24.4"/>
    <n v="10.1"/>
    <n v="1"/>
  </r>
  <r>
    <d v="2033-03-23T00:00:00"/>
    <x v="14"/>
    <n v="15.6"/>
    <n v="6.6"/>
    <n v="1"/>
  </r>
  <r>
    <d v="2033-03-24T00:00:00"/>
    <x v="5"/>
    <n v="22.7"/>
    <n v="2.9"/>
    <n v="1"/>
  </r>
  <r>
    <d v="2033-03-25T00:00:00"/>
    <x v="11"/>
    <n v="15.1"/>
    <n v="0"/>
    <n v="1"/>
  </r>
  <r>
    <d v="2033-03-26T00:00:00"/>
    <x v="15"/>
    <n v="14.1"/>
    <n v="0.8"/>
    <n v="1"/>
  </r>
  <r>
    <d v="2033-03-27T00:00:00"/>
    <x v="3"/>
    <n v="24.9"/>
    <n v="2.2000000000000002"/>
    <n v="1"/>
  </r>
  <r>
    <d v="2033-03-28T00:00:00"/>
    <x v="16"/>
    <n v="14.8"/>
    <n v="0"/>
    <n v="1"/>
  </r>
  <r>
    <d v="2033-03-29T00:00:00"/>
    <x v="10"/>
    <n v="18.8"/>
    <n v="0"/>
    <n v="1"/>
  </r>
  <r>
    <d v="2033-03-30T00:00:00"/>
    <x v="11"/>
    <n v="29.3"/>
    <n v="8"/>
    <n v="1"/>
  </r>
  <r>
    <d v="2033-03-31T00:00:00"/>
    <x v="17"/>
    <n v="29.4"/>
    <n v="2.4"/>
    <n v="1"/>
  </r>
  <r>
    <d v="2033-04-01T00:00:00"/>
    <x v="18"/>
    <n v="16.8"/>
    <n v="2.9"/>
    <n v="1"/>
  </r>
  <r>
    <d v="2033-04-02T00:00:00"/>
    <x v="8"/>
    <n v="21.4"/>
    <n v="6.3"/>
    <n v="1"/>
  </r>
  <r>
    <d v="2033-04-03T00:00:00"/>
    <x v="3"/>
    <n v="23.9"/>
    <n v="0"/>
    <n v="1"/>
  </r>
  <r>
    <d v="2033-04-04T00:00:00"/>
    <x v="8"/>
    <n v="26.7"/>
    <n v="0"/>
    <n v="1"/>
  </r>
  <r>
    <d v="2033-04-05T00:00:00"/>
    <x v="3"/>
    <n v="12.4"/>
    <n v="0"/>
    <n v="1"/>
  </r>
  <r>
    <d v="2033-04-06T00:00:00"/>
    <x v="8"/>
    <n v="10.4"/>
    <n v="10.7"/>
    <n v="1"/>
  </r>
  <r>
    <d v="2033-04-07T00:00:00"/>
    <x v="5"/>
    <n v="17.899999999999999"/>
    <n v="0"/>
    <n v="1"/>
  </r>
  <r>
    <d v="2033-04-08T00:00:00"/>
    <x v="16"/>
    <n v="17.399999999999999"/>
    <n v="1.6"/>
    <n v="1"/>
  </r>
  <r>
    <d v="2033-04-09T00:00:00"/>
    <x v="7"/>
    <n v="29.4"/>
    <n v="21.7"/>
    <n v="1"/>
  </r>
  <r>
    <d v="2033-04-10T00:00:00"/>
    <x v="15"/>
    <n v="22.9"/>
    <n v="26.9"/>
    <n v="1"/>
  </r>
  <r>
    <d v="2033-04-11T00:00:00"/>
    <x v="15"/>
    <n v="18.899999999999999"/>
    <n v="11.3"/>
    <n v="1"/>
  </r>
  <r>
    <d v="2033-04-12T00:00:00"/>
    <x v="1"/>
    <n v="23.5"/>
    <n v="0"/>
    <n v="1"/>
  </r>
  <r>
    <d v="2033-04-13T00:00:00"/>
    <x v="14"/>
    <n v="13.4"/>
    <n v="14.2"/>
    <n v="1"/>
  </r>
  <r>
    <d v="2033-04-14T00:00:00"/>
    <x v="16"/>
    <n v="18.899999999999999"/>
    <n v="1.5"/>
    <n v="1"/>
  </r>
  <r>
    <d v="2033-04-15T00:00:00"/>
    <x v="13"/>
    <n v="13.5"/>
    <n v="1.4"/>
    <n v="1"/>
  </r>
  <r>
    <d v="2033-04-16T00:00:00"/>
    <x v="1"/>
    <n v="17.7"/>
    <n v="5.9"/>
    <n v="1"/>
  </r>
  <r>
    <d v="2033-04-17T00:00:00"/>
    <x v="7"/>
    <n v="24.7"/>
    <n v="0"/>
    <n v="1"/>
  </r>
  <r>
    <d v="2033-04-18T00:00:00"/>
    <x v="14"/>
    <n v="25.6"/>
    <n v="1.9"/>
    <n v="1"/>
  </r>
  <r>
    <d v="2033-04-19T00:00:00"/>
    <x v="18"/>
    <n v="18.399999999999999"/>
    <n v="0"/>
    <n v="1"/>
  </r>
  <r>
    <d v="2033-04-20T00:00:00"/>
    <x v="19"/>
    <n v="27"/>
    <n v="0"/>
    <n v="1"/>
  </r>
  <r>
    <d v="2033-04-21T00:00:00"/>
    <x v="6"/>
    <n v="16"/>
    <n v="0"/>
    <n v="1"/>
  </r>
  <r>
    <d v="2033-04-22T00:00:00"/>
    <x v="3"/>
    <n v="18.600000000000001"/>
    <n v="7.4"/>
    <n v="1"/>
  </r>
  <r>
    <d v="2033-04-23T00:00:00"/>
    <x v="6"/>
    <n v="12.7"/>
    <n v="30.8"/>
    <n v="1"/>
  </r>
  <r>
    <d v="2033-04-24T00:00:00"/>
    <x v="15"/>
    <n v="14.5"/>
    <n v="0"/>
    <n v="1"/>
  </r>
  <r>
    <d v="2033-04-25T00:00:00"/>
    <x v="20"/>
    <n v="12.2"/>
    <n v="3.5"/>
    <n v="1"/>
  </r>
  <r>
    <d v="2033-04-26T00:00:00"/>
    <x v="21"/>
    <n v="19.899999999999999"/>
    <n v="0"/>
    <n v="1"/>
  </r>
  <r>
    <d v="2033-04-27T00:00:00"/>
    <x v="22"/>
    <n v="28.1"/>
    <n v="5.3"/>
    <n v="1"/>
  </r>
  <r>
    <d v="2033-04-28T00:00:00"/>
    <x v="6"/>
    <n v="27.7"/>
    <n v="45.3"/>
    <n v="1"/>
  </r>
  <r>
    <d v="2033-04-29T00:00:00"/>
    <x v="1"/>
    <n v="14.6"/>
    <n v="5.2"/>
    <n v="1"/>
  </r>
  <r>
    <d v="2033-04-30T00:00:00"/>
    <x v="14"/>
    <n v="10.8"/>
    <n v="0"/>
    <n v="1"/>
  </r>
  <r>
    <d v="2033-05-01T00:00:00"/>
    <x v="23"/>
    <n v="12.4"/>
    <n v="3.2"/>
    <n v="1"/>
  </r>
  <r>
    <d v="2033-05-02T00:00:00"/>
    <x v="6"/>
    <n v="25.2"/>
    <n v="0"/>
    <n v="1"/>
  </r>
  <r>
    <d v="2033-05-03T00:00:00"/>
    <x v="6"/>
    <n v="28.9"/>
    <n v="0"/>
    <n v="1"/>
  </r>
  <r>
    <d v="2033-05-04T00:00:00"/>
    <x v="15"/>
    <n v="13.2"/>
    <n v="23.3"/>
    <n v="1"/>
  </r>
  <r>
    <d v="2033-05-05T00:00:00"/>
    <x v="6"/>
    <n v="27.9"/>
    <n v="0"/>
    <n v="1"/>
  </r>
  <r>
    <d v="2033-05-06T00:00:00"/>
    <x v="3"/>
    <n v="10.9"/>
    <n v="3.5"/>
    <n v="1"/>
  </r>
  <r>
    <d v="2033-05-07T00:00:00"/>
    <x v="11"/>
    <n v="25.5"/>
    <n v="20"/>
    <n v="1"/>
  </r>
  <r>
    <d v="2033-05-08T00:00:00"/>
    <x v="5"/>
    <n v="26"/>
    <n v="0"/>
    <n v="1"/>
  </r>
  <r>
    <d v="2033-05-09T00:00:00"/>
    <x v="21"/>
    <n v="25.8"/>
    <n v="0.1"/>
    <n v="1"/>
  </r>
  <r>
    <d v="2033-05-10T00:00:00"/>
    <x v="10"/>
    <n v="17.5"/>
    <n v="0.5"/>
    <n v="1"/>
  </r>
  <r>
    <d v="2033-05-11T00:00:00"/>
    <x v="6"/>
    <n v="17.8"/>
    <n v="3.3"/>
    <n v="1"/>
  </r>
  <r>
    <d v="2033-05-12T00:00:00"/>
    <x v="6"/>
    <n v="17.5"/>
    <n v="0"/>
    <n v="1"/>
  </r>
  <r>
    <d v="2033-05-13T00:00:00"/>
    <x v="9"/>
    <n v="16.100000000000001"/>
    <n v="0"/>
    <n v="1"/>
  </r>
  <r>
    <d v="2033-05-14T00:00:00"/>
    <x v="1"/>
    <n v="11.8"/>
    <n v="7"/>
    <n v="1"/>
  </r>
  <r>
    <d v="2033-05-15T00:00:00"/>
    <x v="11"/>
    <n v="26.2"/>
    <n v="0"/>
    <n v="1"/>
  </r>
  <r>
    <d v="2033-05-16T00:00:00"/>
    <x v="2"/>
    <n v="28.8"/>
    <n v="2.9"/>
    <n v="1"/>
  </r>
  <r>
    <d v="2033-05-17T00:00:00"/>
    <x v="6"/>
    <n v="18.7"/>
    <n v="0"/>
    <n v="1"/>
  </r>
  <r>
    <d v="2033-05-18T00:00:00"/>
    <x v="14"/>
    <n v="10.3"/>
    <n v="9.1999999999999993"/>
    <n v="1"/>
  </r>
  <r>
    <d v="2033-05-19T00:00:00"/>
    <x v="2"/>
    <n v="29.8"/>
    <n v="3.4"/>
    <n v="1"/>
  </r>
  <r>
    <d v="2033-05-20T00:00:00"/>
    <x v="6"/>
    <n v="26.2"/>
    <n v="32.299999999999997"/>
    <n v="1"/>
  </r>
  <r>
    <d v="2033-05-21T00:00:00"/>
    <x v="15"/>
    <n v="13.8"/>
    <n v="15.9"/>
    <n v="1"/>
  </r>
  <r>
    <d v="2033-05-22T00:00:00"/>
    <x v="15"/>
    <n v="22.4"/>
    <n v="24.5"/>
    <n v="1"/>
  </r>
  <r>
    <d v="2033-05-23T00:00:00"/>
    <x v="15"/>
    <n v="24.5"/>
    <n v="0.9"/>
    <n v="1"/>
  </r>
  <r>
    <d v="2033-05-24T00:00:00"/>
    <x v="24"/>
    <n v="23.1"/>
    <n v="0.3"/>
    <n v="1"/>
  </r>
  <r>
    <d v="2033-05-25T00:00:00"/>
    <x v="21"/>
    <n v="29.8"/>
    <n v="0"/>
    <n v="1"/>
  </r>
  <r>
    <d v="2033-05-26T00:00:00"/>
    <x v="0"/>
    <n v="11.2"/>
    <n v="0"/>
    <n v="1"/>
  </r>
  <r>
    <d v="2033-05-27T00:00:00"/>
    <x v="15"/>
    <n v="18.7"/>
    <n v="0"/>
    <n v="1"/>
  </r>
  <r>
    <d v="2033-05-28T00:00:00"/>
    <x v="14"/>
    <n v="11.4"/>
    <n v="8.1"/>
    <n v="1"/>
  </r>
  <r>
    <d v="2033-05-29T00:00:00"/>
    <x v="9"/>
    <n v="21.3"/>
    <n v="13.4"/>
    <n v="1"/>
  </r>
  <r>
    <d v="2033-05-30T00:00:00"/>
    <x v="1"/>
    <n v="24.5"/>
    <n v="2.6"/>
    <n v="1"/>
  </r>
  <r>
    <d v="2033-05-31T00:00:00"/>
    <x v="15"/>
    <n v="20"/>
    <n v="13.2"/>
    <n v="1"/>
  </r>
  <r>
    <d v="2033-06-01T00:00:00"/>
    <x v="6"/>
    <n v="28.4"/>
    <n v="12"/>
    <n v="1"/>
  </r>
  <r>
    <d v="2033-06-02T00:00:00"/>
    <x v="7"/>
    <n v="14.8"/>
    <n v="10.1"/>
    <n v="1"/>
  </r>
  <r>
    <d v="2033-06-03T00:00:00"/>
    <x v="25"/>
    <n v="27.9"/>
    <n v="0.6"/>
    <n v="1"/>
  </r>
  <r>
    <d v="2033-06-04T00:00:00"/>
    <x v="8"/>
    <n v="19.899999999999999"/>
    <n v="9.8000000000000007"/>
    <n v="1"/>
  </r>
  <r>
    <d v="2033-06-05T00:00:00"/>
    <x v="15"/>
    <n v="22.5"/>
    <n v="0"/>
    <n v="1"/>
  </r>
  <r>
    <d v="2033-06-06T00:00:00"/>
    <x v="4"/>
    <n v="21.6"/>
    <n v="4.9000000000000004"/>
    <n v="1"/>
  </r>
  <r>
    <d v="2033-06-07T00:00:00"/>
    <x v="6"/>
    <n v="28.1"/>
    <n v="0"/>
    <n v="1"/>
  </r>
  <r>
    <d v="2033-06-08T00:00:00"/>
    <x v="8"/>
    <n v="21.5"/>
    <n v="8.6"/>
    <n v="1"/>
  </r>
  <r>
    <d v="2033-06-09T00:00:00"/>
    <x v="10"/>
    <n v="22.7"/>
    <n v="0.1"/>
    <n v="1"/>
  </r>
  <r>
    <d v="2033-06-10T00:00:00"/>
    <x v="6"/>
    <n v="27.4"/>
    <n v="21.8"/>
    <n v="1"/>
  </r>
  <r>
    <d v="2033-06-11T00:00:00"/>
    <x v="15"/>
    <n v="18.3"/>
    <n v="17.3"/>
    <n v="1"/>
  </r>
  <r>
    <d v="2033-06-12T00:00:00"/>
    <x v="15"/>
    <n v="29"/>
    <n v="27.3"/>
    <n v="1"/>
  </r>
  <r>
    <d v="2033-06-13T00:00:00"/>
    <x v="14"/>
    <n v="18.100000000000001"/>
    <n v="0"/>
    <n v="1"/>
  </r>
  <r>
    <d v="2033-06-14T00:00:00"/>
    <x v="16"/>
    <n v="16.399999999999999"/>
    <n v="1.1000000000000001"/>
    <n v="1"/>
  </r>
  <r>
    <d v="2033-06-15T00:00:00"/>
    <x v="2"/>
    <n v="21.8"/>
    <n v="0"/>
    <n v="1"/>
  </r>
  <r>
    <d v="2033-06-16T00:00:00"/>
    <x v="25"/>
    <n v="27.2"/>
    <n v="0"/>
    <n v="1"/>
  </r>
  <r>
    <d v="2033-06-17T00:00:00"/>
    <x v="18"/>
    <n v="21.2"/>
    <n v="0"/>
    <n v="1"/>
  </r>
  <r>
    <d v="2033-06-18T00:00:00"/>
    <x v="15"/>
    <n v="17.7"/>
    <n v="13.9"/>
    <n v="1"/>
  </r>
  <r>
    <d v="2033-06-19T00:00:00"/>
    <x v="18"/>
    <n v="10.6"/>
    <n v="6.9"/>
    <n v="1"/>
  </r>
  <r>
    <d v="2033-06-20T00:00:00"/>
    <x v="23"/>
    <n v="10.4"/>
    <n v="1.1000000000000001"/>
    <n v="1"/>
  </r>
  <r>
    <d v="2033-06-21T00:00:00"/>
    <x v="6"/>
    <n v="15.8"/>
    <n v="7.1"/>
    <n v="1"/>
  </r>
  <r>
    <d v="2033-06-22T00:00:00"/>
    <x v="5"/>
    <n v="19.899999999999999"/>
    <n v="10.8"/>
    <n v="1"/>
  </r>
  <r>
    <d v="2033-06-23T00:00:00"/>
    <x v="7"/>
    <n v="13"/>
    <n v="0"/>
    <n v="1"/>
  </r>
  <r>
    <d v="2033-06-24T00:00:00"/>
    <x v="3"/>
    <n v="28.1"/>
    <n v="15"/>
    <n v="1"/>
  </r>
  <r>
    <d v="2033-06-25T00:00:00"/>
    <x v="8"/>
    <n v="22.5"/>
    <n v="8.6"/>
    <n v="1"/>
  </r>
  <r>
    <d v="2033-06-26T00:00:00"/>
    <x v="15"/>
    <n v="14"/>
    <n v="36.1"/>
    <n v="1"/>
  </r>
  <r>
    <d v="2033-06-27T00:00:00"/>
    <x v="6"/>
    <n v="10.6"/>
    <n v="18.399999999999999"/>
    <n v="1"/>
  </r>
  <r>
    <d v="2033-06-28T00:00:00"/>
    <x v="19"/>
    <n v="22.3"/>
    <n v="0"/>
    <n v="1"/>
  </r>
  <r>
    <d v="2033-06-29T00:00:00"/>
    <x v="15"/>
    <n v="14.5"/>
    <n v="26"/>
    <n v="1"/>
  </r>
  <r>
    <d v="2033-06-30T00:00:00"/>
    <x v="1"/>
    <n v="21"/>
    <n v="1.7"/>
    <n v="1"/>
  </r>
  <r>
    <d v="2033-07-01T00:00:00"/>
    <x v="0"/>
    <n v="17.7"/>
    <n v="0.4"/>
    <n v="1"/>
  </r>
  <r>
    <d v="2033-07-02T00:00:00"/>
    <x v="3"/>
    <n v="24.3"/>
    <n v="9.6999999999999993"/>
    <n v="1"/>
  </r>
  <r>
    <d v="2033-07-03T00:00:00"/>
    <x v="11"/>
    <n v="18.8"/>
    <n v="6.4"/>
    <n v="1"/>
  </r>
  <r>
    <d v="2033-07-04T00:00:00"/>
    <x v="9"/>
    <n v="15.9"/>
    <n v="5.2"/>
    <n v="1"/>
  </r>
  <r>
    <d v="2033-07-05T00:00:00"/>
    <x v="3"/>
    <n v="26.1"/>
    <n v="0"/>
    <n v="1"/>
  </r>
  <r>
    <d v="2033-07-06T00:00:00"/>
    <x v="15"/>
    <n v="29.4"/>
    <n v="8.8000000000000007"/>
    <n v="1"/>
  </r>
  <r>
    <d v="2033-07-07T00:00:00"/>
    <x v="9"/>
    <n v="10.5"/>
    <n v="14.5"/>
    <n v="1"/>
  </r>
  <r>
    <d v="2033-07-08T00:00:00"/>
    <x v="26"/>
    <n v="18.100000000000001"/>
    <n v="0"/>
    <n v="1"/>
  </r>
  <r>
    <d v="2033-07-09T00:00:00"/>
    <x v="11"/>
    <n v="20.6"/>
    <n v="0"/>
    <n v="1"/>
  </r>
  <r>
    <d v="2033-07-10T00:00:00"/>
    <x v="11"/>
    <n v="17.100000000000001"/>
    <n v="0"/>
    <n v="1"/>
  </r>
  <r>
    <d v="2033-07-11T00:00:00"/>
    <x v="18"/>
    <n v="17"/>
    <n v="0.3"/>
    <n v="1"/>
  </r>
  <r>
    <d v="2033-07-12T00:00:00"/>
    <x v="19"/>
    <n v="14.7"/>
    <n v="2.2999999999999998"/>
    <n v="1"/>
  </r>
  <r>
    <d v="2033-07-13T00:00:00"/>
    <x v="11"/>
    <n v="21.7"/>
    <n v="0"/>
    <n v="1"/>
  </r>
  <r>
    <d v="2033-07-14T00:00:00"/>
    <x v="12"/>
    <n v="12.5"/>
    <n v="0"/>
    <n v="1"/>
  </r>
  <r>
    <d v="2033-07-15T00:00:00"/>
    <x v="4"/>
    <n v="17.8"/>
    <n v="4.0999999999999996"/>
    <n v="1"/>
  </r>
  <r>
    <d v="2033-07-16T00:00:00"/>
    <x v="6"/>
    <n v="28.9"/>
    <n v="38.700000000000003"/>
    <n v="1"/>
  </r>
  <r>
    <d v="2033-07-17T00:00:00"/>
    <x v="7"/>
    <n v="21"/>
    <n v="3.5"/>
    <n v="1"/>
  </r>
  <r>
    <d v="2033-07-18T00:00:00"/>
    <x v="17"/>
    <n v="13"/>
    <n v="0.1"/>
    <n v="1"/>
  </r>
  <r>
    <d v="2033-07-19T00:00:00"/>
    <x v="6"/>
    <n v="23.1"/>
    <n v="0"/>
    <n v="1"/>
  </r>
  <r>
    <d v="2033-07-20T00:00:00"/>
    <x v="11"/>
    <n v="28.5"/>
    <n v="0"/>
    <n v="1"/>
  </r>
  <r>
    <d v="2033-07-21T00:00:00"/>
    <x v="11"/>
    <n v="12.8"/>
    <n v="0"/>
    <n v="1"/>
  </r>
  <r>
    <d v="2033-07-22T00:00:00"/>
    <x v="27"/>
    <n v="26.8"/>
    <n v="0"/>
    <n v="1"/>
  </r>
  <r>
    <d v="2033-07-23T00:00:00"/>
    <x v="6"/>
    <n v="15.1"/>
    <n v="24.8"/>
    <n v="1"/>
  </r>
  <r>
    <d v="2033-07-24T00:00:00"/>
    <x v="14"/>
    <n v="14.4"/>
    <n v="13.5"/>
    <n v="1"/>
  </r>
  <r>
    <d v="2033-07-25T00:00:00"/>
    <x v="7"/>
    <n v="29.2"/>
    <n v="15.7"/>
    <n v="1"/>
  </r>
  <r>
    <d v="2033-07-26T00:00:00"/>
    <x v="6"/>
    <n v="28.9"/>
    <n v="47.2"/>
    <n v="1"/>
  </r>
  <r>
    <d v="2033-07-27T00:00:00"/>
    <x v="16"/>
    <n v="18.399999999999999"/>
    <n v="3.9"/>
    <n v="1"/>
  </r>
  <r>
    <d v="2033-07-28T00:00:00"/>
    <x v="13"/>
    <n v="26.2"/>
    <n v="4"/>
    <n v="1"/>
  </r>
  <r>
    <d v="2033-07-29T00:00:00"/>
    <x v="6"/>
    <n v="14.3"/>
    <n v="45.1"/>
    <n v="1"/>
  </r>
  <r>
    <d v="2033-07-30T00:00:00"/>
    <x v="3"/>
    <n v="14.5"/>
    <n v="0"/>
    <n v="1"/>
  </r>
  <r>
    <d v="2033-07-31T00:00:00"/>
    <x v="6"/>
    <n v="18.600000000000001"/>
    <n v="5.5"/>
    <n v="1"/>
  </r>
  <r>
    <d v="2033-08-01T00:00:00"/>
    <x v="3"/>
    <n v="26.3"/>
    <n v="14.5"/>
    <n v="1"/>
  </r>
  <r>
    <d v="2033-08-02T00:00:00"/>
    <x v="28"/>
    <n v="25.9"/>
    <n v="0.7"/>
    <n v="1"/>
  </r>
  <r>
    <d v="2033-08-03T00:00:00"/>
    <x v="8"/>
    <n v="29.8"/>
    <n v="0"/>
    <n v="1"/>
  </r>
  <r>
    <d v="2033-08-04T00:00:00"/>
    <x v="6"/>
    <n v="18.3"/>
    <n v="18.7"/>
    <n v="1"/>
  </r>
  <r>
    <d v="2033-08-05T00:00:00"/>
    <x v="8"/>
    <n v="24.5"/>
    <n v="6.7"/>
    <n v="1"/>
  </r>
  <r>
    <d v="2033-08-06T00:00:00"/>
    <x v="15"/>
    <n v="18.7"/>
    <n v="0"/>
    <n v="1"/>
  </r>
  <r>
    <d v="2033-08-07T00:00:00"/>
    <x v="15"/>
    <n v="29.2"/>
    <n v="34.9"/>
    <n v="1"/>
  </r>
  <r>
    <d v="2033-08-08T00:00:00"/>
    <x v="5"/>
    <n v="21.4"/>
    <n v="10.7"/>
    <n v="1"/>
  </r>
  <r>
    <d v="2033-08-09T00:00:00"/>
    <x v="11"/>
    <n v="25.6"/>
    <n v="3.1"/>
    <n v="1"/>
  </r>
  <r>
    <d v="2033-08-10T00:00:00"/>
    <x v="11"/>
    <n v="15.7"/>
    <n v="5.0999999999999996"/>
    <n v="1"/>
  </r>
  <r>
    <d v="2033-08-11T00:00:00"/>
    <x v="2"/>
    <n v="27.3"/>
    <n v="11"/>
    <n v="1"/>
  </r>
  <r>
    <d v="2033-08-12T00:00:00"/>
    <x v="21"/>
    <n v="28.4"/>
    <n v="2.7"/>
    <n v="1"/>
  </r>
  <r>
    <d v="2033-08-13T00:00:00"/>
    <x v="7"/>
    <n v="22"/>
    <n v="3.3"/>
    <n v="1"/>
  </r>
  <r>
    <d v="2033-08-14T00:00:00"/>
    <x v="4"/>
    <n v="19.399999999999999"/>
    <n v="0"/>
    <n v="1"/>
  </r>
  <r>
    <d v="2033-08-15T00:00:00"/>
    <x v="11"/>
    <n v="22.7"/>
    <n v="14.8"/>
    <n v="1"/>
  </r>
  <r>
    <d v="2033-08-16T00:00:00"/>
    <x v="3"/>
    <n v="22.6"/>
    <n v="16.5"/>
    <n v="1"/>
  </r>
  <r>
    <d v="2033-08-17T00:00:00"/>
    <x v="13"/>
    <n v="26.1"/>
    <n v="0"/>
    <n v="1"/>
  </r>
  <r>
    <d v="2033-08-18T00:00:00"/>
    <x v="11"/>
    <n v="27.6"/>
    <n v="6.7"/>
    <n v="1"/>
  </r>
  <r>
    <d v="2033-08-19T00:00:00"/>
    <x v="8"/>
    <n v="13.2"/>
    <n v="0"/>
    <n v="1"/>
  </r>
  <r>
    <d v="2033-08-20T00:00:00"/>
    <x v="17"/>
    <n v="22"/>
    <n v="0"/>
    <n v="1"/>
  </r>
  <r>
    <d v="2033-08-21T00:00:00"/>
    <x v="5"/>
    <n v="10.8"/>
    <n v="7.6"/>
    <n v="1"/>
  </r>
  <r>
    <d v="2033-08-22T00:00:00"/>
    <x v="6"/>
    <n v="15.6"/>
    <n v="38.4"/>
    <n v="1"/>
  </r>
  <r>
    <d v="2033-08-23T00:00:00"/>
    <x v="22"/>
    <n v="11.7"/>
    <n v="0.5"/>
    <n v="1"/>
  </r>
  <r>
    <d v="2033-08-24T00:00:00"/>
    <x v="6"/>
    <n v="27.2"/>
    <n v="8.3000000000000007"/>
    <n v="1"/>
  </r>
  <r>
    <d v="2033-08-25T00:00:00"/>
    <x v="6"/>
    <n v="24.7"/>
    <n v="28.9"/>
    <n v="1"/>
  </r>
  <r>
    <d v="2033-08-26T00:00:00"/>
    <x v="7"/>
    <n v="18.2"/>
    <n v="12.5"/>
    <n v="1"/>
  </r>
  <r>
    <d v="2033-08-27T00:00:00"/>
    <x v="7"/>
    <n v="14.6"/>
    <n v="17.899999999999999"/>
    <n v="1"/>
  </r>
  <r>
    <d v="2033-08-28T00:00:00"/>
    <x v="7"/>
    <n v="16.5"/>
    <n v="13.9"/>
    <n v="1"/>
  </r>
  <r>
    <d v="2033-08-29T00:00:00"/>
    <x v="14"/>
    <n v="29.4"/>
    <n v="0"/>
    <n v="1"/>
  </r>
  <r>
    <d v="2033-08-30T00:00:00"/>
    <x v="6"/>
    <n v="17.899999999999999"/>
    <n v="0"/>
    <n v="1"/>
  </r>
  <r>
    <d v="2033-08-31T00:00:00"/>
    <x v="13"/>
    <n v="29.8"/>
    <n v="0"/>
    <n v="1"/>
  </r>
  <r>
    <d v="2033-09-01T00:00:00"/>
    <x v="0"/>
    <n v="18.7"/>
    <n v="0"/>
    <n v="1"/>
  </r>
  <r>
    <d v="2033-09-02T00:00:00"/>
    <x v="8"/>
    <n v="24.3"/>
    <n v="7.8"/>
    <n v="1"/>
  </r>
  <r>
    <d v="2033-09-03T00:00:00"/>
    <x v="9"/>
    <n v="29.3"/>
    <n v="4.5999999999999996"/>
    <n v="1"/>
  </r>
  <r>
    <d v="2033-09-04T00:00:00"/>
    <x v="3"/>
    <n v="18.399999999999999"/>
    <n v="0"/>
    <n v="1"/>
  </r>
  <r>
    <d v="2033-09-05T00:00:00"/>
    <x v="3"/>
    <n v="10.3"/>
    <n v="16"/>
    <n v="1"/>
  </r>
  <r>
    <d v="2033-09-06T00:00:00"/>
    <x v="6"/>
    <n v="27.5"/>
    <n v="0"/>
    <n v="1"/>
  </r>
  <r>
    <d v="2033-09-07T00:00:00"/>
    <x v="3"/>
    <n v="20.6"/>
    <n v="15.7"/>
    <n v="1"/>
  </r>
  <r>
    <d v="2033-09-08T00:00:00"/>
    <x v="7"/>
    <n v="21.3"/>
    <n v="0"/>
    <n v="1"/>
  </r>
  <r>
    <d v="2033-09-09T00:00:00"/>
    <x v="15"/>
    <n v="26.2"/>
    <n v="0"/>
    <n v="1"/>
  </r>
  <r>
    <d v="2033-09-10T00:00:00"/>
    <x v="6"/>
    <n v="23.9"/>
    <n v="0"/>
    <n v="1"/>
  </r>
  <r>
    <d v="2033-09-11T00:00:00"/>
    <x v="23"/>
    <n v="26.6"/>
    <n v="1.6"/>
    <n v="1"/>
  </r>
  <r>
    <d v="2033-09-12T00:00:00"/>
    <x v="6"/>
    <n v="18.600000000000001"/>
    <n v="20.399999999999999"/>
    <n v="1"/>
  </r>
  <r>
    <d v="2033-09-13T00:00:00"/>
    <x v="14"/>
    <n v="22.3"/>
    <n v="1.7"/>
    <n v="1"/>
  </r>
  <r>
    <d v="2033-09-14T00:00:00"/>
    <x v="13"/>
    <n v="18.399999999999999"/>
    <n v="3.9"/>
    <n v="1"/>
  </r>
  <r>
    <d v="2033-09-15T00:00:00"/>
    <x v="23"/>
    <n v="28"/>
    <n v="4.4000000000000004"/>
    <n v="1"/>
  </r>
  <r>
    <d v="2033-09-16T00:00:00"/>
    <x v="6"/>
    <n v="10.9"/>
    <n v="32.9"/>
    <n v="1"/>
  </r>
  <r>
    <d v="2033-09-17T00:00:00"/>
    <x v="15"/>
    <n v="25.1"/>
    <n v="33.299999999999997"/>
    <n v="1"/>
  </r>
  <r>
    <d v="2033-09-18T00:00:00"/>
    <x v="24"/>
    <n v="10.7"/>
    <n v="0.3"/>
    <n v="1"/>
  </r>
  <r>
    <d v="2033-09-19T00:00:00"/>
    <x v="6"/>
    <n v="26.1"/>
    <n v="31"/>
    <n v="1"/>
  </r>
  <r>
    <d v="2033-09-20T00:00:00"/>
    <x v="7"/>
    <n v="15.2"/>
    <n v="12.7"/>
    <n v="1"/>
  </r>
  <r>
    <d v="2033-09-21T00:00:00"/>
    <x v="10"/>
    <n v="28.8"/>
    <n v="4.3"/>
    <n v="1"/>
  </r>
  <r>
    <d v="2033-09-22T00:00:00"/>
    <x v="22"/>
    <n v="10.3"/>
    <n v="0"/>
    <n v="1"/>
  </r>
  <r>
    <d v="2033-09-23T00:00:00"/>
    <x v="2"/>
    <n v="14.9"/>
    <n v="0.1"/>
    <n v="1"/>
  </r>
  <r>
    <d v="2033-09-24T00:00:00"/>
    <x v="6"/>
    <n v="11.3"/>
    <n v="0"/>
    <n v="1"/>
  </r>
  <r>
    <d v="2033-09-25T00:00:00"/>
    <x v="6"/>
    <n v="20.8"/>
    <n v="34.9"/>
    <n v="1"/>
  </r>
  <r>
    <d v="2033-09-26T00:00:00"/>
    <x v="15"/>
    <n v="18.2"/>
    <n v="0"/>
    <n v="1"/>
  </r>
  <r>
    <d v="2033-09-27T00:00:00"/>
    <x v="13"/>
    <n v="12.7"/>
    <n v="5.3"/>
    <n v="1"/>
  </r>
  <r>
    <d v="2033-09-28T00:00:00"/>
    <x v="10"/>
    <n v="21.4"/>
    <n v="8.3000000000000007"/>
    <n v="1"/>
  </r>
  <r>
    <d v="2033-09-29T00:00:00"/>
    <x v="2"/>
    <n v="21.3"/>
    <n v="11.8"/>
    <n v="1"/>
  </r>
  <r>
    <d v="2033-09-30T00:00:00"/>
    <x v="13"/>
    <n v="20.7"/>
    <n v="3.9"/>
    <n v="1"/>
  </r>
  <r>
    <d v="2033-10-01T00:00:00"/>
    <x v="16"/>
    <n v="19.7"/>
    <n v="0"/>
    <n v="1"/>
  </r>
  <r>
    <d v="2033-10-02T00:00:00"/>
    <x v="7"/>
    <n v="27.2"/>
    <n v="17.600000000000001"/>
    <n v="1"/>
  </r>
  <r>
    <d v="2033-10-03T00:00:00"/>
    <x v="21"/>
    <n v="16.600000000000001"/>
    <n v="1.7"/>
    <n v="1"/>
  </r>
  <r>
    <d v="2033-10-04T00:00:00"/>
    <x v="7"/>
    <n v="22.3"/>
    <n v="0"/>
    <n v="1"/>
  </r>
  <r>
    <d v="2033-10-05T00:00:00"/>
    <x v="6"/>
    <n v="18"/>
    <n v="40.799999999999997"/>
    <n v="1"/>
  </r>
  <r>
    <d v="2033-10-06T00:00:00"/>
    <x v="20"/>
    <n v="21.8"/>
    <n v="0"/>
    <n v="1"/>
  </r>
  <r>
    <d v="2033-10-07T00:00:00"/>
    <x v="2"/>
    <n v="22.2"/>
    <n v="11.2"/>
    <n v="1"/>
  </r>
  <r>
    <d v="2033-10-08T00:00:00"/>
    <x v="2"/>
    <n v="20"/>
    <n v="0"/>
    <n v="1"/>
  </r>
  <r>
    <d v="2033-10-09T00:00:00"/>
    <x v="28"/>
    <n v="29.4"/>
    <n v="0.7"/>
    <n v="1"/>
  </r>
  <r>
    <d v="2033-10-10T00:00:00"/>
    <x v="6"/>
    <n v="23.6"/>
    <n v="0"/>
    <n v="1"/>
  </r>
  <r>
    <d v="2033-10-11T00:00:00"/>
    <x v="3"/>
    <n v="16.3"/>
    <n v="22"/>
    <n v="1"/>
  </r>
  <r>
    <d v="2033-10-12T00:00:00"/>
    <x v="11"/>
    <n v="15"/>
    <n v="0"/>
    <n v="1"/>
  </r>
  <r>
    <d v="2033-10-13T00:00:00"/>
    <x v="10"/>
    <n v="10.8"/>
    <n v="0"/>
    <n v="1"/>
  </r>
  <r>
    <d v="2033-10-14T00:00:00"/>
    <x v="15"/>
    <n v="10.5"/>
    <n v="0"/>
    <n v="1"/>
  </r>
  <r>
    <d v="2033-10-15T00:00:00"/>
    <x v="1"/>
    <n v="20.3"/>
    <n v="0"/>
    <n v="1"/>
  </r>
  <r>
    <d v="2033-10-16T00:00:00"/>
    <x v="6"/>
    <n v="13.1"/>
    <n v="50.4"/>
    <n v="1"/>
  </r>
  <r>
    <d v="2033-10-17T00:00:00"/>
    <x v="8"/>
    <n v="24.8"/>
    <n v="7.9"/>
    <n v="1"/>
  </r>
  <r>
    <d v="2033-10-18T00:00:00"/>
    <x v="7"/>
    <n v="23.6"/>
    <n v="0.8"/>
    <n v="1"/>
  </r>
  <r>
    <d v="2033-10-19T00:00:00"/>
    <x v="13"/>
    <n v="17.899999999999999"/>
    <n v="0"/>
    <n v="1"/>
  </r>
  <r>
    <d v="2033-10-20T00:00:00"/>
    <x v="8"/>
    <n v="23.2"/>
    <n v="3"/>
    <n v="1"/>
  </r>
  <r>
    <d v="2033-10-21T00:00:00"/>
    <x v="4"/>
    <n v="21.8"/>
    <n v="2"/>
    <n v="1"/>
  </r>
  <r>
    <d v="2033-10-22T00:00:00"/>
    <x v="22"/>
    <n v="22.2"/>
    <n v="3.1"/>
    <n v="1"/>
  </r>
  <r>
    <d v="2033-10-23T00:00:00"/>
    <x v="11"/>
    <n v="29"/>
    <n v="16.399999999999999"/>
    <n v="1"/>
  </r>
  <r>
    <d v="2033-10-24T00:00:00"/>
    <x v="20"/>
    <n v="24.6"/>
    <n v="1.7"/>
    <n v="1"/>
  </r>
  <r>
    <d v="2033-10-25T00:00:00"/>
    <x v="8"/>
    <n v="23.4"/>
    <n v="0.6"/>
    <n v="1"/>
  </r>
  <r>
    <d v="2033-10-26T00:00:00"/>
    <x v="11"/>
    <n v="21"/>
    <n v="0"/>
    <n v="1"/>
  </r>
  <r>
    <d v="2033-10-27T00:00:00"/>
    <x v="1"/>
    <n v="22"/>
    <n v="0"/>
    <n v="1"/>
  </r>
  <r>
    <d v="2033-10-28T00:00:00"/>
    <x v="5"/>
    <n v="29.9"/>
    <n v="8"/>
    <n v="1"/>
  </r>
  <r>
    <d v="2033-10-29T00:00:00"/>
    <x v="3"/>
    <n v="27.2"/>
    <n v="19.2"/>
    <n v="1"/>
  </r>
  <r>
    <d v="2033-10-30T00:00:00"/>
    <x v="15"/>
    <n v="10.9"/>
    <n v="9"/>
    <n v="1"/>
  </r>
  <r>
    <d v="2033-10-31T00:00:00"/>
    <x v="5"/>
    <n v="22.6"/>
    <n v="5.9"/>
    <n v="1"/>
  </r>
  <r>
    <d v="2033-11-01T00:00:00"/>
    <x v="19"/>
    <n v="12"/>
    <n v="3.9"/>
    <n v="1"/>
  </r>
  <r>
    <d v="2033-11-02T00:00:00"/>
    <x v="11"/>
    <n v="19.5"/>
    <n v="14.2"/>
    <n v="1"/>
  </r>
  <r>
    <d v="2033-11-03T00:00:00"/>
    <x v="6"/>
    <n v="27"/>
    <n v="10.9"/>
    <n v="1"/>
  </r>
  <r>
    <d v="2033-11-04T00:00:00"/>
    <x v="18"/>
    <n v="10.7"/>
    <n v="5.6"/>
    <n v="1"/>
  </r>
  <r>
    <d v="2033-11-05T00:00:00"/>
    <x v="15"/>
    <n v="29.1"/>
    <n v="0"/>
    <n v="1"/>
  </r>
  <r>
    <d v="2033-11-06T00:00:00"/>
    <x v="23"/>
    <n v="25.3"/>
    <n v="0"/>
    <n v="1"/>
  </r>
  <r>
    <d v="2033-11-07T00:00:00"/>
    <x v="2"/>
    <n v="13.3"/>
    <n v="4.4000000000000004"/>
    <n v="1"/>
  </r>
  <r>
    <d v="2033-11-08T00:00:00"/>
    <x v="3"/>
    <n v="16.899999999999999"/>
    <n v="0"/>
    <n v="1"/>
  </r>
  <r>
    <d v="2033-11-09T00:00:00"/>
    <x v="11"/>
    <n v="26.4"/>
    <n v="6.8"/>
    <n v="1"/>
  </r>
  <r>
    <d v="2033-11-10T00:00:00"/>
    <x v="10"/>
    <n v="29.7"/>
    <n v="0"/>
    <n v="1"/>
  </r>
  <r>
    <d v="2033-11-11T00:00:00"/>
    <x v="3"/>
    <n v="17.600000000000001"/>
    <n v="8.6999999999999993"/>
    <n v="1"/>
  </r>
  <r>
    <d v="2033-11-12T00:00:00"/>
    <x v="13"/>
    <n v="13.2"/>
    <n v="3.3"/>
    <n v="1"/>
  </r>
  <r>
    <d v="2033-11-13T00:00:00"/>
    <x v="11"/>
    <n v="21.2"/>
    <n v="0"/>
    <n v="1"/>
  </r>
  <r>
    <d v="2033-11-14T00:00:00"/>
    <x v="11"/>
    <n v="23"/>
    <n v="7.7"/>
    <n v="1"/>
  </r>
  <r>
    <d v="2033-11-15T00:00:00"/>
    <x v="7"/>
    <n v="23"/>
    <n v="0"/>
    <n v="1"/>
  </r>
  <r>
    <d v="2033-11-16T00:00:00"/>
    <x v="7"/>
    <n v="23.4"/>
    <n v="0"/>
    <n v="1"/>
  </r>
  <r>
    <d v="2033-11-17T00:00:00"/>
    <x v="3"/>
    <n v="28.7"/>
    <n v="3.3"/>
    <n v="1"/>
  </r>
  <r>
    <d v="2033-11-18T00:00:00"/>
    <x v="22"/>
    <n v="23.6"/>
    <n v="4.3"/>
    <n v="1"/>
  </r>
  <r>
    <d v="2033-11-19T00:00:00"/>
    <x v="2"/>
    <n v="10.199999999999999"/>
    <n v="8.6999999999999993"/>
    <n v="1"/>
  </r>
  <r>
    <d v="2033-11-20T00:00:00"/>
    <x v="5"/>
    <n v="13.8"/>
    <n v="0"/>
    <n v="1"/>
  </r>
  <r>
    <d v="2033-11-21T00:00:00"/>
    <x v="4"/>
    <n v="27.7"/>
    <n v="0"/>
    <n v="1"/>
  </r>
  <r>
    <d v="2033-11-22T00:00:00"/>
    <x v="3"/>
    <n v="13.3"/>
    <n v="7.2"/>
    <n v="1"/>
  </r>
  <r>
    <d v="2033-11-23T00:00:00"/>
    <x v="7"/>
    <n v="26"/>
    <n v="0.7"/>
    <n v="1"/>
  </r>
  <r>
    <d v="2033-11-24T00:00:00"/>
    <x v="2"/>
    <n v="16.3"/>
    <n v="11"/>
    <n v="1"/>
  </r>
  <r>
    <d v="2033-11-25T00:00:00"/>
    <x v="11"/>
    <n v="23.5"/>
    <n v="15.5"/>
    <n v="1"/>
  </r>
  <r>
    <d v="2033-11-26T00:00:00"/>
    <x v="23"/>
    <n v="15.7"/>
    <n v="0"/>
    <n v="1"/>
  </r>
  <r>
    <d v="2033-11-27T00:00:00"/>
    <x v="22"/>
    <n v="26"/>
    <n v="6.4"/>
    <n v="1"/>
  </r>
  <r>
    <d v="2033-11-28T00:00:00"/>
    <x v="15"/>
    <n v="22.7"/>
    <n v="0"/>
    <n v="1"/>
  </r>
  <r>
    <d v="2033-11-29T00:00:00"/>
    <x v="5"/>
    <n v="26.2"/>
    <n v="5.7"/>
    <n v="1"/>
  </r>
  <r>
    <d v="2033-11-30T00:00:00"/>
    <x v="18"/>
    <n v="14.1"/>
    <n v="0"/>
    <n v="1"/>
  </r>
  <r>
    <d v="2033-12-01T00:00:00"/>
    <x v="7"/>
    <n v="23.6"/>
    <n v="19.7"/>
    <n v="1"/>
  </r>
  <r>
    <d v="2033-12-02T00:00:00"/>
    <x v="15"/>
    <n v="25.2"/>
    <n v="37.200000000000003"/>
    <n v="1"/>
  </r>
  <r>
    <d v="2033-12-03T00:00:00"/>
    <x v="9"/>
    <n v="23"/>
    <n v="0"/>
    <n v="1"/>
  </r>
  <r>
    <d v="2033-12-04T00:00:00"/>
    <x v="2"/>
    <n v="29.7"/>
    <n v="6.8"/>
    <n v="1"/>
  </r>
  <r>
    <d v="2033-12-05T00:00:00"/>
    <x v="5"/>
    <n v="17.2"/>
    <n v="3.5"/>
    <n v="1"/>
  </r>
  <r>
    <d v="2033-12-06T00:00:00"/>
    <x v="5"/>
    <n v="21.7"/>
    <n v="2.5"/>
    <n v="1"/>
  </r>
  <r>
    <d v="2033-12-07T00:00:00"/>
    <x v="7"/>
    <n v="25.8"/>
    <n v="3.8"/>
    <n v="1"/>
  </r>
  <r>
    <d v="2033-12-08T00:00:00"/>
    <x v="22"/>
    <n v="12.9"/>
    <n v="1.6"/>
    <n v="1"/>
  </r>
  <r>
    <d v="2033-12-09T00:00:00"/>
    <x v="12"/>
    <n v="18.2"/>
    <n v="0"/>
    <n v="1"/>
  </r>
  <r>
    <d v="2033-12-10T00:00:00"/>
    <x v="6"/>
    <n v="20"/>
    <n v="25.7"/>
    <n v="1"/>
  </r>
  <r>
    <d v="2033-12-11T00:00:00"/>
    <x v="15"/>
    <n v="17.100000000000001"/>
    <n v="33"/>
    <n v="1"/>
  </r>
  <r>
    <d v="2033-12-12T00:00:00"/>
    <x v="1"/>
    <n v="23.2"/>
    <n v="2.2999999999999998"/>
    <n v="1"/>
  </r>
  <r>
    <d v="2033-12-13T00:00:00"/>
    <x v="11"/>
    <n v="23.1"/>
    <n v="2.2000000000000002"/>
    <n v="1"/>
  </r>
  <r>
    <d v="2033-12-14T00:00:00"/>
    <x v="6"/>
    <n v="22.4"/>
    <n v="33.5"/>
    <n v="1"/>
  </r>
  <r>
    <d v="2033-12-15T00:00:00"/>
    <x v="29"/>
    <n v="25.4"/>
    <n v="0.9"/>
    <n v="1"/>
  </r>
  <r>
    <d v="2033-12-16T00:00:00"/>
    <x v="6"/>
    <n v="15.4"/>
    <n v="1.6"/>
    <n v="1"/>
  </r>
  <r>
    <d v="2033-12-17T00:00:00"/>
    <x v="21"/>
    <n v="23.5"/>
    <n v="0.6"/>
    <n v="1"/>
  </r>
  <r>
    <d v="2033-12-18T00:00:00"/>
    <x v="11"/>
    <n v="10.3"/>
    <n v="15.4"/>
    <n v="1"/>
  </r>
  <r>
    <d v="2033-12-19T00:00:00"/>
    <x v="6"/>
    <n v="15.5"/>
    <n v="20.2"/>
    <n v="1"/>
  </r>
  <r>
    <d v="2033-12-20T00:00:00"/>
    <x v="20"/>
    <n v="20.7"/>
    <n v="3"/>
    <n v="1"/>
  </r>
  <r>
    <d v="2033-12-21T00:00:00"/>
    <x v="9"/>
    <n v="12.7"/>
    <n v="14.4"/>
    <n v="1"/>
  </r>
  <r>
    <d v="2033-12-22T00:00:00"/>
    <x v="19"/>
    <n v="22.8"/>
    <n v="3.3"/>
    <n v="1"/>
  </r>
  <r>
    <d v="2033-12-23T00:00:00"/>
    <x v="26"/>
    <n v="20.5"/>
    <n v="0"/>
    <n v="1"/>
  </r>
  <r>
    <d v="2033-12-24T00:00:00"/>
    <x v="18"/>
    <n v="13.1"/>
    <n v="5.9"/>
    <n v="1"/>
  </r>
  <r>
    <d v="2033-12-25T00:00:00"/>
    <x v="17"/>
    <n v="29"/>
    <n v="1"/>
    <n v="1"/>
  </r>
  <r>
    <d v="2033-12-26T00:00:00"/>
    <x v="15"/>
    <n v="15.4"/>
    <n v="0"/>
    <n v="1"/>
  </r>
  <r>
    <d v="2033-12-27T00:00:00"/>
    <x v="6"/>
    <n v="20.3"/>
    <n v="10.7"/>
    <n v="1"/>
  </r>
  <r>
    <d v="2033-12-28T00:00:00"/>
    <x v="6"/>
    <n v="15"/>
    <n v="0"/>
    <n v="1"/>
  </r>
  <r>
    <d v="2033-12-29T00:00:00"/>
    <x v="14"/>
    <n v="16.600000000000001"/>
    <n v="0"/>
    <n v="1"/>
  </r>
  <r>
    <d v="2033-12-30T00:00:00"/>
    <x v="7"/>
    <n v="28.6"/>
    <n v="0"/>
    <n v="1"/>
  </r>
  <r>
    <d v="2033-12-31T00:00:00"/>
    <x v="13"/>
    <n v="11.4"/>
    <n v="3.6"/>
    <n v="1"/>
  </r>
  <r>
    <d v="2034-01-01T00:00:00"/>
    <x v="5"/>
    <n v="15.5"/>
    <n v="1"/>
    <n v="1"/>
  </r>
  <r>
    <d v="2034-01-02T00:00:00"/>
    <x v="2"/>
    <n v="18.3"/>
    <n v="0.7"/>
    <n v="1"/>
  </r>
  <r>
    <d v="2034-01-03T00:00:00"/>
    <x v="15"/>
    <n v="14.9"/>
    <n v="6.1"/>
    <n v="1"/>
  </r>
  <r>
    <d v="2034-01-04T00:00:00"/>
    <x v="7"/>
    <n v="29.7"/>
    <n v="13.3"/>
    <n v="1"/>
  </r>
  <r>
    <d v="2034-01-05T00:00:00"/>
    <x v="3"/>
    <n v="28.9"/>
    <n v="13.8"/>
    <n v="1"/>
  </r>
  <r>
    <d v="2034-01-06T00:00:00"/>
    <x v="13"/>
    <n v="24.3"/>
    <n v="0"/>
    <n v="1"/>
  </r>
  <r>
    <d v="2034-01-07T00:00:00"/>
    <x v="6"/>
    <n v="24"/>
    <n v="19.7"/>
    <n v="1"/>
  </r>
  <r>
    <d v="2034-01-08T00:00:00"/>
    <x v="11"/>
    <n v="11.8"/>
    <n v="13.3"/>
    <n v="1"/>
  </r>
  <r>
    <d v="2034-01-09T00:00:00"/>
    <x v="6"/>
    <n v="26.5"/>
    <n v="19.7"/>
    <n v="1"/>
  </r>
  <r>
    <d v="2034-01-10T00:00:00"/>
    <x v="22"/>
    <n v="12.4"/>
    <n v="5.0999999999999996"/>
    <n v="1"/>
  </r>
  <r>
    <d v="2034-01-11T00:00:00"/>
    <x v="6"/>
    <n v="21.9"/>
    <n v="6.6"/>
    <n v="1"/>
  </r>
  <r>
    <d v="2034-01-12T00:00:00"/>
    <x v="6"/>
    <n v="20.3"/>
    <n v="0"/>
    <n v="1"/>
  </r>
  <r>
    <d v="2034-01-13T00:00:00"/>
    <x v="28"/>
    <n v="27.7"/>
    <n v="0.3"/>
    <n v="1"/>
  </r>
  <r>
    <d v="2034-01-14T00:00:00"/>
    <x v="15"/>
    <n v="28.5"/>
    <n v="30"/>
    <n v="1"/>
  </r>
  <r>
    <d v="2034-01-15T00:00:00"/>
    <x v="17"/>
    <n v="28.7"/>
    <n v="1.9"/>
    <n v="1"/>
  </r>
  <r>
    <d v="2034-01-16T00:00:00"/>
    <x v="0"/>
    <n v="10.9"/>
    <n v="0"/>
    <n v="1"/>
  </r>
  <r>
    <d v="2034-01-17T00:00:00"/>
    <x v="5"/>
    <n v="13.7"/>
    <n v="0"/>
    <n v="1"/>
  </r>
  <r>
    <d v="2034-01-18T00:00:00"/>
    <x v="7"/>
    <n v="28.2"/>
    <n v="0"/>
    <n v="1"/>
  </r>
  <r>
    <d v="2034-01-19T00:00:00"/>
    <x v="15"/>
    <n v="20.100000000000001"/>
    <n v="0"/>
    <n v="1"/>
  </r>
  <r>
    <d v="2034-01-20T00:00:00"/>
    <x v="7"/>
    <n v="20.6"/>
    <n v="0"/>
    <n v="1"/>
  </r>
  <r>
    <d v="2034-01-21T00:00:00"/>
    <x v="9"/>
    <n v="15.5"/>
    <n v="16.8"/>
    <n v="1"/>
  </r>
  <r>
    <d v="2034-01-22T00:00:00"/>
    <x v="8"/>
    <n v="22.2"/>
    <n v="2.4"/>
    <n v="1"/>
  </r>
  <r>
    <d v="2034-01-23T00:00:00"/>
    <x v="9"/>
    <n v="15"/>
    <n v="4.0999999999999996"/>
    <n v="1"/>
  </r>
  <r>
    <d v="2034-01-24T00:00:00"/>
    <x v="15"/>
    <n v="18.399999999999999"/>
    <n v="30.4"/>
    <n v="1"/>
  </r>
  <r>
    <d v="2034-01-25T00:00:00"/>
    <x v="28"/>
    <n v="29.3"/>
    <n v="0.4"/>
    <n v="1"/>
  </r>
  <r>
    <d v="2034-01-26T00:00:00"/>
    <x v="19"/>
    <n v="23.9"/>
    <n v="3.3"/>
    <n v="1"/>
  </r>
  <r>
    <d v="2034-01-27T00:00:00"/>
    <x v="16"/>
    <n v="29.8"/>
    <n v="3.3"/>
    <n v="1"/>
  </r>
  <r>
    <d v="2034-01-28T00:00:00"/>
    <x v="6"/>
    <n v="29.1"/>
    <n v="23"/>
    <n v="1"/>
  </r>
  <r>
    <d v="2034-01-29T00:00:00"/>
    <x v="7"/>
    <n v="22.5"/>
    <n v="17.2"/>
    <n v="1"/>
  </r>
  <r>
    <d v="2034-01-30T00:00:00"/>
    <x v="15"/>
    <n v="15.3"/>
    <n v="21.5"/>
    <n v="1"/>
  </r>
  <r>
    <d v="2034-01-31T00:00:00"/>
    <x v="6"/>
    <n v="13.8"/>
    <n v="40.4"/>
    <n v="1"/>
  </r>
  <r>
    <d v="2034-02-01T00:00:00"/>
    <x v="3"/>
    <n v="12.3"/>
    <n v="0"/>
    <n v="1"/>
  </r>
  <r>
    <d v="2034-02-02T00:00:00"/>
    <x v="1"/>
    <n v="18.5"/>
    <n v="4.2"/>
    <n v="1"/>
  </r>
  <r>
    <d v="2034-02-03T00:00:00"/>
    <x v="16"/>
    <n v="10.3"/>
    <n v="3.2"/>
    <n v="1"/>
  </r>
  <r>
    <d v="2034-02-04T00:00:00"/>
    <x v="15"/>
    <n v="24.9"/>
    <n v="12.1"/>
    <n v="1"/>
  </r>
  <r>
    <d v="2034-02-05T00:00:00"/>
    <x v="6"/>
    <n v="26.4"/>
    <n v="0"/>
    <n v="1"/>
  </r>
  <r>
    <d v="2034-02-06T00:00:00"/>
    <x v="3"/>
    <n v="11.8"/>
    <n v="0"/>
    <n v="1"/>
  </r>
  <r>
    <d v="2034-02-07T00:00:00"/>
    <x v="2"/>
    <n v="11"/>
    <n v="7.5"/>
    <n v="1"/>
  </r>
  <r>
    <d v="2034-02-08T00:00:00"/>
    <x v="6"/>
    <n v="15.4"/>
    <n v="5.2"/>
    <n v="1"/>
  </r>
  <r>
    <d v="2034-02-09T00:00:00"/>
    <x v="23"/>
    <n v="25.7"/>
    <n v="5.8"/>
    <n v="1"/>
  </r>
  <r>
    <d v="2034-02-10T00:00:00"/>
    <x v="9"/>
    <n v="14.8"/>
    <n v="0"/>
    <n v="1"/>
  </r>
  <r>
    <d v="2034-02-11T00:00:00"/>
    <x v="27"/>
    <n v="21.5"/>
    <n v="0.8"/>
    <n v="1"/>
  </r>
  <r>
    <d v="2034-02-12T00:00:00"/>
    <x v="15"/>
    <n v="26.2"/>
    <n v="8.9"/>
    <n v="1"/>
  </r>
  <r>
    <d v="2034-02-13T00:00:00"/>
    <x v="0"/>
    <n v="20.6"/>
    <n v="0.1"/>
    <n v="1"/>
  </r>
  <r>
    <d v="2034-02-14T00:00:00"/>
    <x v="6"/>
    <n v="14.1"/>
    <n v="20.9"/>
    <n v="1"/>
  </r>
  <r>
    <d v="2034-02-15T00:00:00"/>
    <x v="20"/>
    <n v="20.8"/>
    <n v="0.7"/>
    <n v="1"/>
  </r>
  <r>
    <d v="2034-02-16T00:00:00"/>
    <x v="14"/>
    <n v="17.600000000000001"/>
    <n v="10.5"/>
    <n v="1"/>
  </r>
  <r>
    <d v="2034-02-17T00:00:00"/>
    <x v="6"/>
    <n v="16.8"/>
    <n v="38.9"/>
    <n v="1"/>
  </r>
  <r>
    <d v="2034-02-18T00:00:00"/>
    <x v="0"/>
    <n v="23.1"/>
    <n v="0"/>
    <n v="1"/>
  </r>
  <r>
    <d v="2034-02-19T00:00:00"/>
    <x v="23"/>
    <n v="16.3"/>
    <n v="3.4"/>
    <n v="1"/>
  </r>
  <r>
    <d v="2034-02-20T00:00:00"/>
    <x v="3"/>
    <n v="15.7"/>
    <n v="10.9"/>
    <n v="1"/>
  </r>
  <r>
    <d v="2034-02-21T00:00:00"/>
    <x v="14"/>
    <n v="29.3"/>
    <n v="2.1"/>
    <n v="1"/>
  </r>
  <r>
    <d v="2034-02-22T00:00:00"/>
    <x v="18"/>
    <n v="24"/>
    <n v="7.3"/>
    <n v="1"/>
  </r>
  <r>
    <d v="2034-02-23T00:00:00"/>
    <x v="2"/>
    <n v="27"/>
    <n v="0.6"/>
    <n v="1"/>
  </r>
  <r>
    <d v="2034-02-24T00:00:00"/>
    <x v="6"/>
    <n v="26.3"/>
    <n v="1.2"/>
    <n v="1"/>
  </r>
  <r>
    <d v="2034-02-25T00:00:00"/>
    <x v="11"/>
    <n v="26.3"/>
    <n v="8.1999999999999993"/>
    <n v="1"/>
  </r>
  <r>
    <d v="2034-02-26T00:00:00"/>
    <x v="2"/>
    <n v="25.2"/>
    <n v="4.7"/>
    <n v="1"/>
  </r>
  <r>
    <d v="2034-02-27T00:00:00"/>
    <x v="6"/>
    <n v="22.1"/>
    <n v="0"/>
    <n v="1"/>
  </r>
  <r>
    <d v="2034-02-28T00:00:00"/>
    <x v="6"/>
    <n v="11.9"/>
    <n v="41.6"/>
    <n v="1"/>
  </r>
  <r>
    <d v="2034-03-01T00:00:00"/>
    <x v="9"/>
    <n v="19.600000000000001"/>
    <n v="0"/>
    <n v="1"/>
  </r>
  <r>
    <d v="2034-03-02T00:00:00"/>
    <x v="23"/>
    <n v="15.9"/>
    <n v="0"/>
    <n v="1"/>
  </r>
  <r>
    <d v="2034-03-03T00:00:00"/>
    <x v="8"/>
    <n v="24.3"/>
    <n v="1.7"/>
    <n v="1"/>
  </r>
  <r>
    <d v="2034-03-04T00:00:00"/>
    <x v="10"/>
    <n v="20"/>
    <n v="0"/>
    <n v="1"/>
  </r>
  <r>
    <d v="2034-03-05T00:00:00"/>
    <x v="6"/>
    <n v="14.2"/>
    <n v="32.200000000000003"/>
    <n v="1"/>
  </r>
  <r>
    <d v="2034-03-06T00:00:00"/>
    <x v="3"/>
    <n v="20.5"/>
    <n v="18.3"/>
    <n v="1"/>
  </r>
  <r>
    <d v="2034-03-07T00:00:00"/>
    <x v="6"/>
    <n v="22.4"/>
    <n v="0"/>
    <n v="1"/>
  </r>
  <r>
    <d v="2034-03-08T00:00:00"/>
    <x v="18"/>
    <n v="19.100000000000001"/>
    <n v="0"/>
    <n v="1"/>
  </r>
  <r>
    <d v="2034-03-09T00:00:00"/>
    <x v="11"/>
    <n v="20.399999999999999"/>
    <n v="4.3"/>
    <n v="1"/>
  </r>
  <r>
    <d v="2034-03-10T00:00:00"/>
    <x v="15"/>
    <n v="29.8"/>
    <n v="0"/>
    <n v="1"/>
  </r>
  <r>
    <d v="2034-03-11T00:00:00"/>
    <x v="29"/>
    <n v="13.7"/>
    <n v="0.7"/>
    <n v="1"/>
  </r>
  <r>
    <d v="2034-03-12T00:00:00"/>
    <x v="4"/>
    <n v="20.2"/>
    <n v="3.7"/>
    <n v="1"/>
  </r>
  <r>
    <d v="2034-03-13T00:00:00"/>
    <x v="7"/>
    <n v="18.2"/>
    <n v="1.6"/>
    <n v="1"/>
  </r>
  <r>
    <d v="2034-03-14T00:00:00"/>
    <x v="9"/>
    <n v="14.2"/>
    <n v="2"/>
    <n v="1"/>
  </r>
  <r>
    <d v="2034-03-15T00:00:00"/>
    <x v="11"/>
    <n v="11.2"/>
    <n v="14.3"/>
    <n v="1"/>
  </r>
  <r>
    <d v="2034-03-16T00:00:00"/>
    <x v="28"/>
    <n v="13.9"/>
    <n v="0.2"/>
    <n v="1"/>
  </r>
  <r>
    <d v="2034-03-17T00:00:00"/>
    <x v="7"/>
    <n v="22.6"/>
    <n v="15.1"/>
    <n v="1"/>
  </r>
  <r>
    <d v="2034-03-18T00:00:00"/>
    <x v="11"/>
    <n v="29.8"/>
    <n v="0"/>
    <n v="1"/>
  </r>
  <r>
    <d v="2034-03-19T00:00:00"/>
    <x v="16"/>
    <n v="12.7"/>
    <n v="2.6"/>
    <n v="1"/>
  </r>
  <r>
    <d v="2034-03-20T00:00:00"/>
    <x v="23"/>
    <n v="14.4"/>
    <n v="0"/>
    <n v="1"/>
  </r>
  <r>
    <d v="2034-03-21T00:00:00"/>
    <x v="29"/>
    <n v="18.399999999999999"/>
    <n v="0.2"/>
    <n v="1"/>
  </r>
  <r>
    <d v="2034-03-22T00:00:00"/>
    <x v="5"/>
    <n v="27.2"/>
    <n v="9.6"/>
    <n v="1"/>
  </r>
  <r>
    <d v="2034-03-23T00:00:00"/>
    <x v="18"/>
    <n v="12.5"/>
    <n v="8.8000000000000007"/>
    <n v="1"/>
  </r>
  <r>
    <d v="2034-03-24T00:00:00"/>
    <x v="22"/>
    <n v="22.6"/>
    <n v="3.5"/>
    <n v="1"/>
  </r>
  <r>
    <d v="2034-03-25T00:00:00"/>
    <x v="3"/>
    <n v="21.8"/>
    <n v="6.5"/>
    <n v="1"/>
  </r>
  <r>
    <d v="2034-03-26T00:00:00"/>
    <x v="19"/>
    <n v="17.2"/>
    <n v="0"/>
    <n v="1"/>
  </r>
  <r>
    <d v="2034-03-27T00:00:00"/>
    <x v="9"/>
    <n v="13.4"/>
    <n v="14.1"/>
    <n v="1"/>
  </r>
  <r>
    <d v="2034-03-28T00:00:00"/>
    <x v="5"/>
    <n v="13.8"/>
    <n v="9.9"/>
    <n v="1"/>
  </r>
  <r>
    <d v="2034-03-29T00:00:00"/>
    <x v="20"/>
    <n v="10.6"/>
    <n v="1.2"/>
    <n v="1"/>
  </r>
  <r>
    <d v="2034-03-30T00:00:00"/>
    <x v="12"/>
    <n v="28.8"/>
    <n v="0.1"/>
    <n v="1"/>
  </r>
  <r>
    <d v="2034-03-31T00:00:00"/>
    <x v="24"/>
    <n v="16.899999999999999"/>
    <n v="0.7"/>
    <n v="1"/>
  </r>
  <r>
    <d v="2034-04-01T00:00:00"/>
    <x v="14"/>
    <n v="11.2"/>
    <n v="4.8"/>
    <n v="1"/>
  </r>
  <r>
    <d v="2034-04-02T00:00:00"/>
    <x v="6"/>
    <n v="13.9"/>
    <n v="23"/>
    <n v="1"/>
  </r>
  <r>
    <d v="2034-04-03T00:00:00"/>
    <x v="7"/>
    <n v="25.3"/>
    <n v="21.9"/>
    <n v="1"/>
  </r>
  <r>
    <d v="2034-04-04T00:00:00"/>
    <x v="6"/>
    <n v="14.7"/>
    <n v="0"/>
    <n v="1"/>
  </r>
  <r>
    <d v="2034-04-05T00:00:00"/>
    <x v="8"/>
    <n v="20.3"/>
    <n v="5.3"/>
    <n v="1"/>
  </r>
  <r>
    <d v="2034-04-06T00:00:00"/>
    <x v="11"/>
    <n v="25"/>
    <n v="3.8"/>
    <n v="1"/>
  </r>
  <r>
    <d v="2034-04-07T00:00:00"/>
    <x v="14"/>
    <n v="19.600000000000001"/>
    <n v="0.6"/>
    <n v="1"/>
  </r>
  <r>
    <d v="2034-04-08T00:00:00"/>
    <x v="8"/>
    <n v="10.8"/>
    <n v="0"/>
    <n v="1"/>
  </r>
  <r>
    <d v="2034-04-09T00:00:00"/>
    <x v="17"/>
    <n v="17.100000000000001"/>
    <n v="0.7"/>
    <n v="1"/>
  </r>
  <r>
    <d v="2034-04-10T00:00:00"/>
    <x v="10"/>
    <n v="15.1"/>
    <n v="0"/>
    <n v="1"/>
  </r>
  <r>
    <d v="2034-04-11T00:00:00"/>
    <x v="14"/>
    <n v="26.4"/>
    <n v="1.9"/>
    <n v="1"/>
  </r>
  <r>
    <d v="2034-04-12T00:00:00"/>
    <x v="6"/>
    <n v="11.6"/>
    <n v="14.4"/>
    <n v="1"/>
  </r>
  <r>
    <d v="2034-04-13T00:00:00"/>
    <x v="6"/>
    <n v="16.600000000000001"/>
    <n v="40.6"/>
    <n v="1"/>
  </r>
  <r>
    <d v="2034-04-14T00:00:00"/>
    <x v="15"/>
    <n v="19.5"/>
    <n v="24.9"/>
    <n v="1"/>
  </r>
  <r>
    <d v="2034-04-15T00:00:00"/>
    <x v="13"/>
    <n v="24.9"/>
    <n v="6.5"/>
    <n v="1"/>
  </r>
  <r>
    <d v="2034-04-16T00:00:00"/>
    <x v="19"/>
    <n v="19.3"/>
    <n v="0.8"/>
    <n v="1"/>
  </r>
  <r>
    <d v="2034-04-17T00:00:00"/>
    <x v="13"/>
    <n v="26.2"/>
    <n v="2.8"/>
    <n v="1"/>
  </r>
  <r>
    <d v="2034-04-18T00:00:00"/>
    <x v="3"/>
    <n v="28.1"/>
    <n v="0.6"/>
    <n v="1"/>
  </r>
  <r>
    <d v="2034-04-19T00:00:00"/>
    <x v="10"/>
    <n v="17"/>
    <n v="4.8"/>
    <n v="1"/>
  </r>
  <r>
    <d v="2034-04-20T00:00:00"/>
    <x v="13"/>
    <n v="28.5"/>
    <n v="7.1"/>
    <n v="1"/>
  </r>
  <r>
    <d v="2034-04-21T00:00:00"/>
    <x v="1"/>
    <n v="14.2"/>
    <n v="2.1"/>
    <n v="1"/>
  </r>
  <r>
    <d v="2034-04-22T00:00:00"/>
    <x v="3"/>
    <n v="24.9"/>
    <n v="8.3000000000000007"/>
    <n v="1"/>
  </r>
  <r>
    <d v="2034-04-23T00:00:00"/>
    <x v="13"/>
    <n v="19.100000000000001"/>
    <n v="3.4"/>
    <n v="1"/>
  </r>
  <r>
    <d v="2034-04-24T00:00:00"/>
    <x v="6"/>
    <n v="14.9"/>
    <n v="23.1"/>
    <n v="1"/>
  </r>
  <r>
    <d v="2034-04-25T00:00:00"/>
    <x v="23"/>
    <n v="16.899999999999999"/>
    <n v="6.8"/>
    <n v="1"/>
  </r>
  <r>
    <d v="2034-04-26T00:00:00"/>
    <x v="8"/>
    <n v="15.9"/>
    <n v="6.8"/>
    <n v="1"/>
  </r>
  <r>
    <d v="2034-04-27T00:00:00"/>
    <x v="25"/>
    <n v="26.3"/>
    <n v="0.7"/>
    <n v="1"/>
  </r>
  <r>
    <d v="2034-04-28T00:00:00"/>
    <x v="6"/>
    <n v="12.2"/>
    <n v="0"/>
    <n v="1"/>
  </r>
  <r>
    <d v="2034-04-29T00:00:00"/>
    <x v="3"/>
    <n v="27.5"/>
    <n v="0"/>
    <n v="1"/>
  </r>
  <r>
    <d v="2034-04-30T00:00:00"/>
    <x v="17"/>
    <n v="23"/>
    <n v="0"/>
    <n v="1"/>
  </r>
  <r>
    <d v="2034-05-01T00:00:00"/>
    <x v="15"/>
    <n v="17.899999999999999"/>
    <n v="36.799999999999997"/>
    <n v="1"/>
  </r>
  <r>
    <d v="2034-05-02T00:00:00"/>
    <x v="15"/>
    <n v="27.3"/>
    <n v="0"/>
    <n v="1"/>
  </r>
  <r>
    <d v="2034-05-03T00:00:00"/>
    <x v="0"/>
    <n v="19.3"/>
    <n v="0.4"/>
    <n v="1"/>
  </r>
  <r>
    <d v="2034-05-04T00:00:00"/>
    <x v="10"/>
    <n v="25.5"/>
    <n v="0"/>
    <n v="1"/>
  </r>
  <r>
    <d v="2034-05-05T00:00:00"/>
    <x v="2"/>
    <n v="13.7"/>
    <n v="11.7"/>
    <n v="1"/>
  </r>
  <r>
    <d v="2034-05-06T00:00:00"/>
    <x v="15"/>
    <n v="18.399999999999999"/>
    <n v="0"/>
    <n v="1"/>
  </r>
  <r>
    <d v="2034-05-07T00:00:00"/>
    <x v="14"/>
    <n v="11.1"/>
    <n v="0"/>
    <n v="1"/>
  </r>
  <r>
    <d v="2034-05-08T00:00:00"/>
    <x v="8"/>
    <n v="28"/>
    <n v="0"/>
    <n v="1"/>
  </r>
  <r>
    <d v="2034-05-09T00:00:00"/>
    <x v="2"/>
    <n v="16.2"/>
    <n v="13.7"/>
    <n v="1"/>
  </r>
  <r>
    <d v="2034-05-10T00:00:00"/>
    <x v="15"/>
    <n v="12.1"/>
    <n v="37.200000000000003"/>
    <n v="1"/>
  </r>
  <r>
    <d v="2034-05-11T00:00:00"/>
    <x v="16"/>
    <n v="21.4"/>
    <n v="3.1"/>
    <n v="1"/>
  </r>
  <r>
    <d v="2034-05-12T00:00:00"/>
    <x v="6"/>
    <n v="11.2"/>
    <n v="0"/>
    <n v="1"/>
  </r>
  <r>
    <d v="2034-05-13T00:00:00"/>
    <x v="24"/>
    <n v="18.399999999999999"/>
    <n v="0.2"/>
    <n v="1"/>
  </r>
  <r>
    <d v="2034-05-14T00:00:00"/>
    <x v="8"/>
    <n v="13.7"/>
    <n v="0"/>
    <n v="1"/>
  </r>
  <r>
    <d v="2034-05-15T00:00:00"/>
    <x v="15"/>
    <n v="10.4"/>
    <n v="15.6"/>
    <n v="1"/>
  </r>
  <r>
    <d v="2034-05-16T00:00:00"/>
    <x v="27"/>
    <n v="21.8"/>
    <n v="0"/>
    <n v="1"/>
  </r>
  <r>
    <d v="2034-05-17T00:00:00"/>
    <x v="3"/>
    <n v="11"/>
    <n v="0.4"/>
    <n v="1"/>
  </r>
  <r>
    <d v="2034-05-18T00:00:00"/>
    <x v="6"/>
    <n v="19"/>
    <n v="21.9"/>
    <n v="1"/>
  </r>
  <r>
    <d v="2034-05-19T00:00:00"/>
    <x v="6"/>
    <n v="12.5"/>
    <n v="0"/>
    <n v="1"/>
  </r>
  <r>
    <d v="2034-05-20T00:00:00"/>
    <x v="11"/>
    <n v="13.6"/>
    <n v="12.6"/>
    <n v="1"/>
  </r>
  <r>
    <d v="2034-05-21T00:00:00"/>
    <x v="6"/>
    <n v="20.2"/>
    <n v="17.899999999999999"/>
    <n v="1"/>
  </r>
  <r>
    <d v="2034-05-22T00:00:00"/>
    <x v="6"/>
    <n v="28.7"/>
    <n v="0"/>
    <n v="1"/>
  </r>
  <r>
    <d v="2034-05-23T00:00:00"/>
    <x v="16"/>
    <n v="13.4"/>
    <n v="4.8"/>
    <n v="1"/>
  </r>
  <r>
    <d v="2034-05-24T00:00:00"/>
    <x v="11"/>
    <n v="12"/>
    <n v="8.9"/>
    <n v="1"/>
  </r>
  <r>
    <d v="2034-05-25T00:00:00"/>
    <x v="7"/>
    <n v="28.9"/>
    <n v="13.9"/>
    <n v="1"/>
  </r>
  <r>
    <d v="2034-05-26T00:00:00"/>
    <x v="18"/>
    <n v="25.2"/>
    <n v="0"/>
    <n v="1"/>
  </r>
  <r>
    <d v="2034-05-27T00:00:00"/>
    <x v="7"/>
    <n v="18.600000000000001"/>
    <n v="1.8"/>
    <n v="1"/>
  </r>
  <r>
    <d v="2034-05-28T00:00:00"/>
    <x v="22"/>
    <n v="20"/>
    <n v="2.4"/>
    <n v="1"/>
  </r>
  <r>
    <d v="2034-05-29T00:00:00"/>
    <x v="5"/>
    <n v="14.3"/>
    <n v="3.9"/>
    <n v="1"/>
  </r>
  <r>
    <d v="2034-05-30T00:00:00"/>
    <x v="6"/>
    <n v="28.8"/>
    <n v="25.1"/>
    <n v="1"/>
  </r>
  <r>
    <d v="2034-05-31T00:00:00"/>
    <x v="15"/>
    <n v="26.8"/>
    <n v="10.8"/>
    <n v="1"/>
  </r>
  <r>
    <d v="2034-06-01T00:00:00"/>
    <x v="15"/>
    <n v="20.399999999999999"/>
    <n v="0"/>
    <n v="1"/>
  </r>
  <r>
    <d v="2034-06-02T00:00:00"/>
    <x v="18"/>
    <n v="14.1"/>
    <n v="4.5"/>
    <n v="1"/>
  </r>
  <r>
    <d v="2034-06-03T00:00:00"/>
    <x v="10"/>
    <n v="28.1"/>
    <n v="6.3"/>
    <n v="1"/>
  </r>
  <r>
    <d v="2034-06-04T00:00:00"/>
    <x v="9"/>
    <n v="15.7"/>
    <n v="11.5"/>
    <n v="1"/>
  </r>
  <r>
    <d v="2034-06-05T00:00:00"/>
    <x v="25"/>
    <n v="27.7"/>
    <n v="0.6"/>
    <n v="1"/>
  </r>
  <r>
    <d v="2034-06-06T00:00:00"/>
    <x v="3"/>
    <n v="22.9"/>
    <n v="22.6"/>
    <n v="1"/>
  </r>
  <r>
    <d v="2034-06-07T00:00:00"/>
    <x v="9"/>
    <n v="10.3"/>
    <n v="0"/>
    <n v="1"/>
  </r>
  <r>
    <d v="2034-06-08T00:00:00"/>
    <x v="19"/>
    <n v="28.4"/>
    <n v="4"/>
    <n v="1"/>
  </r>
  <r>
    <d v="2034-06-09T00:00:00"/>
    <x v="14"/>
    <n v="18.7"/>
    <n v="15"/>
    <n v="1"/>
  </r>
  <r>
    <d v="2034-06-10T00:00:00"/>
    <x v="15"/>
    <n v="13.7"/>
    <n v="9.4"/>
    <n v="1"/>
  </r>
  <r>
    <d v="2034-06-11T00:00:00"/>
    <x v="10"/>
    <n v="16.3"/>
    <n v="3.6"/>
    <n v="1"/>
  </r>
  <r>
    <d v="2034-06-12T00:00:00"/>
    <x v="23"/>
    <n v="14"/>
    <n v="0"/>
    <n v="1"/>
  </r>
  <r>
    <d v="2034-06-13T00:00:00"/>
    <x v="11"/>
    <n v="26"/>
    <n v="5.5"/>
    <n v="1"/>
  </r>
  <r>
    <d v="2034-06-14T00:00:00"/>
    <x v="15"/>
    <n v="27"/>
    <n v="38.6"/>
    <n v="1"/>
  </r>
  <r>
    <d v="2034-06-15T00:00:00"/>
    <x v="6"/>
    <n v="26.6"/>
    <n v="49.7"/>
    <n v="1"/>
  </r>
  <r>
    <d v="2034-06-16T00:00:00"/>
    <x v="15"/>
    <n v="20.9"/>
    <n v="30"/>
    <n v="1"/>
  </r>
  <r>
    <d v="2034-06-17T00:00:00"/>
    <x v="18"/>
    <n v="28.5"/>
    <n v="5.3"/>
    <n v="1"/>
  </r>
  <r>
    <d v="2034-06-18T00:00:00"/>
    <x v="1"/>
    <n v="10.4"/>
    <n v="0"/>
    <n v="1"/>
  </r>
  <r>
    <d v="2034-06-19T00:00:00"/>
    <x v="14"/>
    <n v="25.9"/>
    <n v="9.1999999999999993"/>
    <n v="1"/>
  </r>
  <r>
    <d v="2034-06-20T00:00:00"/>
    <x v="7"/>
    <n v="24.6"/>
    <n v="11"/>
    <n v="1"/>
  </r>
  <r>
    <d v="2034-06-21T00:00:00"/>
    <x v="12"/>
    <n v="22"/>
    <n v="0"/>
    <n v="1"/>
  </r>
  <r>
    <d v="2034-06-22T00:00:00"/>
    <x v="4"/>
    <n v="16.8"/>
    <n v="2.4"/>
    <n v="1"/>
  </r>
  <r>
    <d v="2034-06-23T00:00:00"/>
    <x v="6"/>
    <n v="21.7"/>
    <n v="44.1"/>
    <n v="1"/>
  </r>
  <r>
    <d v="2034-06-24T00:00:00"/>
    <x v="8"/>
    <n v="28.9"/>
    <n v="0"/>
    <n v="1"/>
  </r>
  <r>
    <d v="2034-06-25T00:00:00"/>
    <x v="9"/>
    <n v="26.6"/>
    <n v="0.4"/>
    <n v="1"/>
  </r>
  <r>
    <d v="2034-06-26T00:00:00"/>
    <x v="11"/>
    <n v="28"/>
    <n v="16.7"/>
    <n v="1"/>
  </r>
  <r>
    <d v="2034-06-27T00:00:00"/>
    <x v="13"/>
    <n v="27.5"/>
    <n v="0"/>
    <n v="1"/>
  </r>
  <r>
    <d v="2034-06-28T00:00:00"/>
    <x v="18"/>
    <n v="18.2"/>
    <n v="0"/>
    <n v="1"/>
  </r>
  <r>
    <d v="2034-06-29T00:00:00"/>
    <x v="14"/>
    <n v="25.1"/>
    <n v="0"/>
    <n v="1"/>
  </r>
  <r>
    <d v="2034-06-30T00:00:00"/>
    <x v="0"/>
    <n v="10.1"/>
    <n v="0.2"/>
    <n v="1"/>
  </r>
  <r>
    <d v="2034-07-01T00:00:00"/>
    <x v="11"/>
    <n v="13.1"/>
    <n v="7.9"/>
    <n v="1"/>
  </r>
  <r>
    <d v="2034-07-02T00:00:00"/>
    <x v="5"/>
    <n v="22.9"/>
    <n v="0"/>
    <n v="1"/>
  </r>
  <r>
    <d v="2034-07-03T00:00:00"/>
    <x v="5"/>
    <n v="26.3"/>
    <n v="4"/>
    <n v="1"/>
  </r>
  <r>
    <d v="2034-07-04T00:00:00"/>
    <x v="15"/>
    <n v="11.3"/>
    <n v="19.8"/>
    <n v="1"/>
  </r>
  <r>
    <d v="2034-07-05T00:00:00"/>
    <x v="6"/>
    <n v="30"/>
    <n v="0"/>
    <n v="1"/>
  </r>
  <r>
    <d v="2034-07-06T00:00:00"/>
    <x v="18"/>
    <n v="20.399999999999999"/>
    <n v="0"/>
    <n v="1"/>
  </r>
  <r>
    <d v="2034-07-07T00:00:00"/>
    <x v="3"/>
    <n v="24.5"/>
    <n v="8.6999999999999993"/>
    <n v="1"/>
  </r>
  <r>
    <d v="2034-07-08T00:00:00"/>
    <x v="7"/>
    <n v="17"/>
    <n v="2.7"/>
    <n v="1"/>
  </r>
  <r>
    <d v="2034-07-09T00:00:00"/>
    <x v="15"/>
    <n v="21"/>
    <n v="5.6"/>
    <n v="1"/>
  </r>
  <r>
    <d v="2034-07-10T00:00:00"/>
    <x v="15"/>
    <n v="20.7"/>
    <n v="0"/>
    <n v="1"/>
  </r>
  <r>
    <d v="2034-07-11T00:00:00"/>
    <x v="8"/>
    <n v="26.7"/>
    <n v="9.8000000000000007"/>
    <n v="1"/>
  </r>
  <r>
    <d v="2034-07-12T00:00:00"/>
    <x v="26"/>
    <n v="10.199999999999999"/>
    <n v="0.1"/>
    <n v="1"/>
  </r>
  <r>
    <d v="2034-07-13T00:00:00"/>
    <x v="6"/>
    <n v="15.7"/>
    <n v="5.8"/>
    <n v="1"/>
  </r>
  <r>
    <d v="2034-07-14T00:00:00"/>
    <x v="29"/>
    <n v="15.9"/>
    <n v="2.2000000000000002"/>
    <n v="1"/>
  </r>
  <r>
    <d v="2034-07-15T00:00:00"/>
    <x v="15"/>
    <n v="21"/>
    <n v="13.1"/>
    <n v="1"/>
  </r>
  <r>
    <d v="2034-07-16T00:00:00"/>
    <x v="5"/>
    <n v="10.9"/>
    <n v="8.1"/>
    <n v="1"/>
  </r>
  <r>
    <d v="2034-07-17T00:00:00"/>
    <x v="18"/>
    <n v="20.9"/>
    <n v="5.9"/>
    <n v="1"/>
  </r>
  <r>
    <d v="2034-07-18T00:00:00"/>
    <x v="15"/>
    <n v="21.8"/>
    <n v="15.9"/>
    <n v="1"/>
  </r>
  <r>
    <d v="2034-07-19T00:00:00"/>
    <x v="11"/>
    <n v="11.9"/>
    <n v="18.100000000000001"/>
    <n v="1"/>
  </r>
  <r>
    <d v="2034-07-20T00:00:00"/>
    <x v="9"/>
    <n v="12.9"/>
    <n v="0"/>
    <n v="1"/>
  </r>
  <r>
    <d v="2034-07-21T00:00:00"/>
    <x v="15"/>
    <n v="14.9"/>
    <n v="4.8"/>
    <n v="1"/>
  </r>
  <r>
    <d v="2034-07-22T00:00:00"/>
    <x v="6"/>
    <n v="29.5"/>
    <n v="0"/>
    <n v="1"/>
  </r>
  <r>
    <d v="2034-07-23T00:00:00"/>
    <x v="15"/>
    <n v="18.100000000000001"/>
    <n v="0"/>
    <n v="1"/>
  </r>
  <r>
    <d v="2034-07-24T00:00:00"/>
    <x v="2"/>
    <n v="10.8"/>
    <n v="11.8"/>
    <n v="1"/>
  </r>
  <r>
    <d v="2034-07-25T00:00:00"/>
    <x v="5"/>
    <n v="13.5"/>
    <n v="5.4"/>
    <n v="1"/>
  </r>
  <r>
    <d v="2034-07-26T00:00:00"/>
    <x v="18"/>
    <n v="15.9"/>
    <n v="0"/>
    <n v="1"/>
  </r>
  <r>
    <d v="2034-07-27T00:00:00"/>
    <x v="22"/>
    <n v="23.1"/>
    <n v="0"/>
    <n v="1"/>
  </r>
  <r>
    <d v="2034-07-28T00:00:00"/>
    <x v="12"/>
    <n v="26.7"/>
    <n v="0"/>
    <n v="1"/>
  </r>
  <r>
    <d v="2034-07-29T00:00:00"/>
    <x v="6"/>
    <n v="26"/>
    <n v="29.1"/>
    <n v="1"/>
  </r>
  <r>
    <d v="2034-07-30T00:00:00"/>
    <x v="14"/>
    <n v="23.6"/>
    <n v="9.1"/>
    <n v="1"/>
  </r>
  <r>
    <d v="2034-07-31T00:00:00"/>
    <x v="22"/>
    <n v="29.8"/>
    <n v="5.7"/>
    <n v="1"/>
  </r>
  <r>
    <d v="2034-08-01T00:00:00"/>
    <x v="15"/>
    <n v="18.600000000000001"/>
    <n v="0"/>
    <n v="1"/>
  </r>
  <r>
    <d v="2034-08-02T00:00:00"/>
    <x v="11"/>
    <n v="17.600000000000001"/>
    <n v="2.4"/>
    <n v="1"/>
  </r>
  <r>
    <d v="2034-08-03T00:00:00"/>
    <x v="11"/>
    <n v="12.6"/>
    <n v="9.1999999999999993"/>
    <n v="1"/>
  </r>
  <r>
    <d v="2034-08-04T00:00:00"/>
    <x v="13"/>
    <n v="25.4"/>
    <n v="5.4"/>
    <n v="1"/>
  </r>
  <r>
    <d v="2034-08-05T00:00:00"/>
    <x v="16"/>
    <n v="12.8"/>
    <n v="3.6"/>
    <n v="1"/>
  </r>
  <r>
    <d v="2034-08-06T00:00:00"/>
    <x v="7"/>
    <n v="18.7"/>
    <n v="0"/>
    <n v="1"/>
  </r>
  <r>
    <d v="2034-08-07T00:00:00"/>
    <x v="29"/>
    <n v="22.3"/>
    <n v="0"/>
    <n v="1"/>
  </r>
  <r>
    <d v="2034-08-08T00:00:00"/>
    <x v="14"/>
    <n v="26.4"/>
    <n v="0.5"/>
    <n v="1"/>
  </r>
  <r>
    <d v="2034-08-09T00:00:00"/>
    <x v="3"/>
    <n v="28.5"/>
    <n v="3.2"/>
    <n v="1"/>
  </r>
  <r>
    <d v="2034-08-10T00:00:00"/>
    <x v="13"/>
    <n v="16.8"/>
    <n v="5.5"/>
    <n v="1"/>
  </r>
  <r>
    <d v="2034-08-11T00:00:00"/>
    <x v="23"/>
    <n v="24.7"/>
    <n v="0.8"/>
    <n v="1"/>
  </r>
  <r>
    <d v="2034-08-12T00:00:00"/>
    <x v="5"/>
    <n v="29.6"/>
    <n v="0"/>
    <n v="1"/>
  </r>
  <r>
    <d v="2034-08-13T00:00:00"/>
    <x v="6"/>
    <n v="23.3"/>
    <n v="29.4"/>
    <n v="1"/>
  </r>
  <r>
    <d v="2034-08-14T00:00:00"/>
    <x v="5"/>
    <n v="28.8"/>
    <n v="11.5"/>
    <n v="1"/>
  </r>
  <r>
    <d v="2034-08-15T00:00:00"/>
    <x v="5"/>
    <n v="26.5"/>
    <n v="0"/>
    <n v="1"/>
  </r>
  <r>
    <d v="2034-08-16T00:00:00"/>
    <x v="19"/>
    <n v="17.100000000000001"/>
    <n v="3.6"/>
    <n v="1"/>
  </r>
  <r>
    <d v="2034-08-17T00:00:00"/>
    <x v="5"/>
    <n v="17.8"/>
    <n v="7"/>
    <n v="1"/>
  </r>
  <r>
    <d v="2034-08-18T00:00:00"/>
    <x v="23"/>
    <n v="24.7"/>
    <n v="1.5"/>
    <n v="1"/>
  </r>
  <r>
    <d v="2034-08-19T00:00:00"/>
    <x v="15"/>
    <n v="25.1"/>
    <n v="0"/>
    <n v="1"/>
  </r>
  <r>
    <d v="2034-08-20T00:00:00"/>
    <x v="28"/>
    <n v="27"/>
    <n v="0"/>
    <n v="1"/>
  </r>
  <r>
    <d v="2034-08-21T00:00:00"/>
    <x v="14"/>
    <n v="18.2"/>
    <n v="13.9"/>
    <n v="1"/>
  </r>
  <r>
    <d v="2034-08-22T00:00:00"/>
    <x v="11"/>
    <n v="10.8"/>
    <n v="7.9"/>
    <n v="1"/>
  </r>
  <r>
    <d v="2034-08-23T00:00:00"/>
    <x v="3"/>
    <n v="27.9"/>
    <n v="9.9"/>
    <n v="1"/>
  </r>
  <r>
    <d v="2034-08-24T00:00:00"/>
    <x v="20"/>
    <n v="14.1"/>
    <n v="0.7"/>
    <n v="1"/>
  </r>
  <r>
    <d v="2034-08-25T00:00:00"/>
    <x v="14"/>
    <n v="17.5"/>
    <n v="3.2"/>
    <n v="1"/>
  </r>
  <r>
    <d v="2034-08-26T00:00:00"/>
    <x v="6"/>
    <n v="14.3"/>
    <n v="0"/>
    <n v="1"/>
  </r>
  <r>
    <d v="2034-08-27T00:00:00"/>
    <x v="16"/>
    <n v="15.4"/>
    <n v="0"/>
    <n v="1"/>
  </r>
  <r>
    <d v="2034-08-28T00:00:00"/>
    <x v="15"/>
    <n v="17.5"/>
    <n v="0"/>
    <n v="1"/>
  </r>
  <r>
    <d v="2034-08-29T00:00:00"/>
    <x v="9"/>
    <n v="11.6"/>
    <n v="4.0999999999999996"/>
    <n v="1"/>
  </r>
  <r>
    <d v="2034-08-30T00:00:00"/>
    <x v="5"/>
    <n v="27.9"/>
    <n v="10.3"/>
    <n v="1"/>
  </r>
  <r>
    <d v="2034-08-31T00:00:00"/>
    <x v="15"/>
    <n v="11.8"/>
    <n v="20.2"/>
    <n v="1"/>
  </r>
  <r>
    <d v="2034-09-01T00:00:00"/>
    <x v="3"/>
    <n v="12"/>
    <n v="8.5"/>
    <n v="1"/>
  </r>
  <r>
    <d v="2034-09-02T00:00:00"/>
    <x v="6"/>
    <n v="11.8"/>
    <n v="7.8"/>
    <n v="1"/>
  </r>
  <r>
    <d v="2034-09-03T00:00:00"/>
    <x v="13"/>
    <n v="22.2"/>
    <n v="0"/>
    <n v="1"/>
  </r>
  <r>
    <d v="2034-09-04T00:00:00"/>
    <x v="3"/>
    <n v="13.3"/>
    <n v="3.8"/>
    <n v="1"/>
  </r>
  <r>
    <d v="2034-09-05T00:00:00"/>
    <x v="9"/>
    <n v="24.6"/>
    <n v="2.1"/>
    <n v="1"/>
  </r>
  <r>
    <d v="2034-09-06T00:00:00"/>
    <x v="15"/>
    <n v="15.7"/>
    <n v="0"/>
    <n v="1"/>
  </r>
  <r>
    <d v="2034-09-07T00:00:00"/>
    <x v="14"/>
    <n v="26.7"/>
    <n v="16.2"/>
    <n v="1"/>
  </r>
  <r>
    <d v="2034-09-08T00:00:00"/>
    <x v="11"/>
    <n v="28.1"/>
    <n v="1.1000000000000001"/>
    <n v="1"/>
  </r>
  <r>
    <d v="2034-09-09T00:00:00"/>
    <x v="6"/>
    <n v="29.1"/>
    <n v="3"/>
    <n v="1"/>
  </r>
  <r>
    <d v="2034-09-10T00:00:00"/>
    <x v="3"/>
    <n v="26.2"/>
    <n v="0"/>
    <n v="1"/>
  </r>
  <r>
    <d v="2034-09-11T00:00:00"/>
    <x v="27"/>
    <n v="23.3"/>
    <n v="0"/>
    <n v="1"/>
  </r>
  <r>
    <d v="2034-09-12T00:00:00"/>
    <x v="15"/>
    <n v="21.7"/>
    <n v="10.4"/>
    <n v="1"/>
  </r>
  <r>
    <d v="2034-09-13T00:00:00"/>
    <x v="14"/>
    <n v="18.8"/>
    <n v="15.6"/>
    <n v="1"/>
  </r>
  <r>
    <d v="2034-09-14T00:00:00"/>
    <x v="11"/>
    <n v="25.4"/>
    <n v="7.4"/>
    <n v="1"/>
  </r>
  <r>
    <d v="2034-09-15T00:00:00"/>
    <x v="7"/>
    <n v="21.1"/>
    <n v="1"/>
    <n v="1"/>
  </r>
  <r>
    <d v="2034-09-16T00:00:00"/>
    <x v="7"/>
    <n v="25.1"/>
    <n v="20"/>
    <n v="1"/>
  </r>
  <r>
    <d v="2034-09-17T00:00:00"/>
    <x v="3"/>
    <n v="17.600000000000001"/>
    <n v="0"/>
    <n v="1"/>
  </r>
  <r>
    <d v="2034-09-18T00:00:00"/>
    <x v="11"/>
    <n v="21.2"/>
    <n v="3.4"/>
    <n v="1"/>
  </r>
  <r>
    <d v="2034-09-19T00:00:00"/>
    <x v="3"/>
    <n v="26.4"/>
    <n v="14.7"/>
    <n v="1"/>
  </r>
  <r>
    <d v="2034-09-20T00:00:00"/>
    <x v="1"/>
    <n v="13.5"/>
    <n v="0"/>
    <n v="1"/>
  </r>
  <r>
    <d v="2034-09-21T00:00:00"/>
    <x v="18"/>
    <n v="25.1"/>
    <n v="0"/>
    <n v="1"/>
  </r>
  <r>
    <d v="2034-09-22T00:00:00"/>
    <x v="7"/>
    <n v="10.4"/>
    <n v="11"/>
    <n v="1"/>
  </r>
  <r>
    <d v="2034-09-23T00:00:00"/>
    <x v="11"/>
    <n v="24.3"/>
    <n v="4.9000000000000004"/>
    <n v="1"/>
  </r>
  <r>
    <d v="2034-09-24T00:00:00"/>
    <x v="8"/>
    <n v="18.7"/>
    <n v="6.2"/>
    <n v="1"/>
  </r>
  <r>
    <d v="2034-09-25T00:00:00"/>
    <x v="29"/>
    <n v="14.1"/>
    <n v="0"/>
    <n v="1"/>
  </r>
  <r>
    <d v="2034-09-26T00:00:00"/>
    <x v="19"/>
    <n v="24.2"/>
    <n v="0"/>
    <n v="1"/>
  </r>
  <r>
    <d v="2034-09-27T00:00:00"/>
    <x v="18"/>
    <n v="26.4"/>
    <n v="0"/>
    <n v="1"/>
  </r>
  <r>
    <d v="2034-09-28T00:00:00"/>
    <x v="6"/>
    <n v="24.5"/>
    <n v="4"/>
    <n v="1"/>
  </r>
  <r>
    <d v="2034-09-29T00:00:00"/>
    <x v="10"/>
    <n v="25.5"/>
    <n v="2.9"/>
    <n v="1"/>
  </r>
  <r>
    <d v="2034-09-30T00:00:00"/>
    <x v="7"/>
    <n v="11.8"/>
    <n v="13.5"/>
    <n v="1"/>
  </r>
  <r>
    <d v="2034-10-01T00:00:00"/>
    <x v="18"/>
    <n v="14.3"/>
    <n v="5.4"/>
    <n v="1"/>
  </r>
  <r>
    <d v="2034-10-02T00:00:00"/>
    <x v="5"/>
    <n v="12.4"/>
    <n v="1.2"/>
    <n v="1"/>
  </r>
  <r>
    <d v="2034-10-03T00:00:00"/>
    <x v="15"/>
    <n v="29.3"/>
    <n v="19.8"/>
    <n v="1"/>
  </r>
  <r>
    <d v="2034-10-04T00:00:00"/>
    <x v="3"/>
    <n v="29.4"/>
    <n v="0"/>
    <n v="1"/>
  </r>
  <r>
    <d v="2034-10-05T00:00:00"/>
    <x v="9"/>
    <n v="29.8"/>
    <n v="16"/>
    <n v="1"/>
  </r>
  <r>
    <d v="2034-10-06T00:00:00"/>
    <x v="15"/>
    <n v="29.9"/>
    <n v="13.3"/>
    <n v="1"/>
  </r>
  <r>
    <d v="2034-10-07T00:00:00"/>
    <x v="5"/>
    <n v="11.6"/>
    <n v="9.6999999999999993"/>
    <n v="1"/>
  </r>
  <r>
    <d v="2034-10-08T00:00:00"/>
    <x v="7"/>
    <n v="10.199999999999999"/>
    <n v="0"/>
    <n v="1"/>
  </r>
  <r>
    <d v="2034-10-09T00:00:00"/>
    <x v="5"/>
    <n v="10.7"/>
    <n v="11.9"/>
    <n v="1"/>
  </r>
  <r>
    <d v="2034-10-10T00:00:00"/>
    <x v="26"/>
    <n v="11.7"/>
    <n v="0.1"/>
    <n v="1"/>
  </r>
  <r>
    <d v="2034-10-11T00:00:00"/>
    <x v="14"/>
    <n v="29.4"/>
    <n v="9.6"/>
    <n v="1"/>
  </r>
  <r>
    <d v="2034-10-12T00:00:00"/>
    <x v="16"/>
    <n v="29.1"/>
    <n v="2.6"/>
    <n v="1"/>
  </r>
  <r>
    <d v="2034-10-13T00:00:00"/>
    <x v="6"/>
    <n v="20.5"/>
    <n v="30.1"/>
    <n v="1"/>
  </r>
  <r>
    <d v="2034-10-14T00:00:00"/>
    <x v="3"/>
    <n v="26.2"/>
    <n v="19"/>
    <n v="1"/>
  </r>
  <r>
    <d v="2034-10-15T00:00:00"/>
    <x v="11"/>
    <n v="22.6"/>
    <n v="0"/>
    <n v="1"/>
  </r>
  <r>
    <d v="2034-10-16T00:00:00"/>
    <x v="10"/>
    <n v="17.7"/>
    <n v="0"/>
    <n v="1"/>
  </r>
  <r>
    <d v="2034-10-17T00:00:00"/>
    <x v="15"/>
    <n v="21.2"/>
    <n v="0"/>
    <n v="1"/>
  </r>
  <r>
    <d v="2034-10-18T00:00:00"/>
    <x v="29"/>
    <n v="10.3"/>
    <n v="0.2"/>
    <n v="1"/>
  </r>
  <r>
    <d v="2034-10-19T00:00:00"/>
    <x v="21"/>
    <n v="10.1"/>
    <n v="2.1"/>
    <n v="1"/>
  </r>
  <r>
    <d v="2034-10-20T00:00:00"/>
    <x v="4"/>
    <n v="23.4"/>
    <n v="3.9"/>
    <n v="1"/>
  </r>
  <r>
    <d v="2034-10-21T00:00:00"/>
    <x v="27"/>
    <n v="11.7"/>
    <n v="0"/>
    <n v="1"/>
  </r>
  <r>
    <d v="2034-10-22T00:00:00"/>
    <x v="1"/>
    <n v="26"/>
    <n v="2.1"/>
    <n v="1"/>
  </r>
  <r>
    <d v="2034-10-23T00:00:00"/>
    <x v="26"/>
    <n v="29.5"/>
    <n v="0.4"/>
    <n v="1"/>
  </r>
  <r>
    <d v="2034-10-24T00:00:00"/>
    <x v="10"/>
    <n v="13"/>
    <n v="4.4000000000000004"/>
    <n v="1"/>
  </r>
  <r>
    <d v="2034-10-25T00:00:00"/>
    <x v="5"/>
    <n v="17.100000000000001"/>
    <n v="3.8"/>
    <n v="1"/>
  </r>
  <r>
    <d v="2034-10-26T00:00:00"/>
    <x v="23"/>
    <n v="12.6"/>
    <n v="0.2"/>
    <n v="1"/>
  </r>
  <r>
    <d v="2034-10-27T00:00:00"/>
    <x v="6"/>
    <n v="23.6"/>
    <n v="24.1"/>
    <n v="1"/>
  </r>
  <r>
    <d v="2034-10-28T00:00:00"/>
    <x v="7"/>
    <n v="14.9"/>
    <n v="14.2"/>
    <n v="1"/>
  </r>
  <r>
    <d v="2034-10-29T00:00:00"/>
    <x v="8"/>
    <n v="17"/>
    <n v="0"/>
    <n v="1"/>
  </r>
  <r>
    <d v="2034-10-30T00:00:00"/>
    <x v="7"/>
    <n v="12.8"/>
    <n v="0"/>
    <n v="1"/>
  </r>
  <r>
    <d v="2034-10-31T00:00:00"/>
    <x v="9"/>
    <n v="17.5"/>
    <n v="0"/>
    <n v="1"/>
  </r>
  <r>
    <d v="2034-11-01T00:00:00"/>
    <x v="6"/>
    <n v="13.9"/>
    <n v="15.3"/>
    <n v="1"/>
  </r>
  <r>
    <d v="2034-11-02T00:00:00"/>
    <x v="15"/>
    <n v="25.9"/>
    <n v="14.5"/>
    <n v="1"/>
  </r>
  <r>
    <d v="2034-11-03T00:00:00"/>
    <x v="13"/>
    <n v="12.1"/>
    <n v="0"/>
    <n v="1"/>
  </r>
  <r>
    <d v="2034-11-04T00:00:00"/>
    <x v="3"/>
    <n v="25.8"/>
    <n v="12.3"/>
    <n v="1"/>
  </r>
  <r>
    <d v="2034-11-05T00:00:00"/>
    <x v="5"/>
    <n v="29.1"/>
    <n v="0"/>
    <n v="1"/>
  </r>
  <r>
    <d v="2034-11-06T00:00:00"/>
    <x v="6"/>
    <n v="13.2"/>
    <n v="0"/>
    <n v="1"/>
  </r>
  <r>
    <d v="2034-11-07T00:00:00"/>
    <x v="3"/>
    <n v="29.4"/>
    <n v="12.8"/>
    <n v="1"/>
  </r>
  <r>
    <d v="2034-11-08T00:00:00"/>
    <x v="11"/>
    <n v="21"/>
    <n v="0"/>
    <n v="1"/>
  </r>
  <r>
    <d v="2034-11-09T00:00:00"/>
    <x v="2"/>
    <n v="22.7"/>
    <n v="12.4"/>
    <n v="1"/>
  </r>
  <r>
    <d v="2034-11-10T00:00:00"/>
    <x v="6"/>
    <n v="25.1"/>
    <n v="43.4"/>
    <n v="1"/>
  </r>
  <r>
    <d v="2034-11-11T00:00:00"/>
    <x v="6"/>
    <n v="26.8"/>
    <n v="26.9"/>
    <n v="1"/>
  </r>
  <r>
    <d v="2034-11-12T00:00:00"/>
    <x v="25"/>
    <n v="15.9"/>
    <n v="0.5"/>
    <n v="1"/>
  </r>
  <r>
    <d v="2034-11-13T00:00:00"/>
    <x v="14"/>
    <n v="27.6"/>
    <n v="0"/>
    <n v="1"/>
  </r>
  <r>
    <d v="2034-11-14T00:00:00"/>
    <x v="21"/>
    <n v="20.8"/>
    <n v="0"/>
    <n v="1"/>
  </r>
  <r>
    <d v="2034-11-15T00:00:00"/>
    <x v="2"/>
    <n v="23.9"/>
    <n v="9.9"/>
    <n v="1"/>
  </r>
  <r>
    <d v="2034-11-16T00:00:00"/>
    <x v="23"/>
    <n v="24.8"/>
    <n v="4.7"/>
    <n v="1"/>
  </r>
  <r>
    <d v="2034-11-17T00:00:00"/>
    <x v="15"/>
    <n v="16.3"/>
    <n v="0"/>
    <n v="1"/>
  </r>
  <r>
    <d v="2034-11-18T00:00:00"/>
    <x v="14"/>
    <n v="20.100000000000001"/>
    <n v="0"/>
    <n v="1"/>
  </r>
  <r>
    <d v="2034-11-19T00:00:00"/>
    <x v="18"/>
    <n v="25.9"/>
    <n v="8.9"/>
    <n v="1"/>
  </r>
  <r>
    <d v="2034-11-20T00:00:00"/>
    <x v="15"/>
    <n v="27.3"/>
    <n v="15.8"/>
    <n v="1"/>
  </r>
  <r>
    <d v="2034-11-21T00:00:00"/>
    <x v="2"/>
    <n v="19.100000000000001"/>
    <n v="6.3"/>
    <n v="1"/>
  </r>
  <r>
    <d v="2034-11-22T00:00:00"/>
    <x v="6"/>
    <n v="16.899999999999999"/>
    <n v="0"/>
    <n v="1"/>
  </r>
  <r>
    <d v="2034-11-23T00:00:00"/>
    <x v="3"/>
    <n v="13.4"/>
    <n v="20.100000000000001"/>
    <n v="1"/>
  </r>
  <r>
    <d v="2034-11-24T00:00:00"/>
    <x v="20"/>
    <n v="24.8"/>
    <n v="0.4"/>
    <n v="1"/>
  </r>
  <r>
    <d v="2034-11-25T00:00:00"/>
    <x v="13"/>
    <n v="28.4"/>
    <n v="1.6"/>
    <n v="1"/>
  </r>
  <r>
    <d v="2034-11-26T00:00:00"/>
    <x v="19"/>
    <n v="25.3"/>
    <n v="1.8"/>
    <n v="1"/>
  </r>
  <r>
    <d v="2034-11-27T00:00:00"/>
    <x v="14"/>
    <n v="25.9"/>
    <n v="1.6"/>
    <n v="1"/>
  </r>
  <r>
    <d v="2034-11-28T00:00:00"/>
    <x v="2"/>
    <n v="12.2"/>
    <n v="0.8"/>
    <n v="1"/>
  </r>
  <r>
    <d v="2034-11-29T00:00:00"/>
    <x v="29"/>
    <n v="22.8"/>
    <n v="2.2999999999999998"/>
    <n v="1"/>
  </r>
  <r>
    <d v="2034-11-30T00:00:00"/>
    <x v="15"/>
    <n v="12.7"/>
    <n v="0"/>
    <n v="1"/>
  </r>
  <r>
    <d v="2034-12-01T00:00:00"/>
    <x v="22"/>
    <n v="13"/>
    <n v="5.0999999999999996"/>
    <n v="1"/>
  </r>
  <r>
    <d v="2034-12-02T00:00:00"/>
    <x v="6"/>
    <n v="13.5"/>
    <n v="4.9000000000000004"/>
    <n v="1"/>
  </r>
  <r>
    <d v="2034-12-03T00:00:00"/>
    <x v="9"/>
    <n v="17.8"/>
    <n v="5"/>
    <n v="1"/>
  </r>
  <r>
    <d v="2034-12-04T00:00:00"/>
    <x v="6"/>
    <n v="21.5"/>
    <n v="47.1"/>
    <n v="1"/>
  </r>
  <r>
    <d v="2034-12-05T00:00:00"/>
    <x v="4"/>
    <n v="20.5"/>
    <n v="0.1"/>
    <n v="1"/>
  </r>
  <r>
    <d v="2034-12-06T00:00:00"/>
    <x v="9"/>
    <n v="14.4"/>
    <n v="0"/>
    <n v="1"/>
  </r>
  <r>
    <d v="2034-12-07T00:00:00"/>
    <x v="11"/>
    <n v="12.3"/>
    <n v="0"/>
    <n v="1"/>
  </r>
  <r>
    <d v="2034-12-08T00:00:00"/>
    <x v="9"/>
    <n v="26.5"/>
    <n v="14"/>
    <n v="1"/>
  </r>
  <r>
    <d v="2034-12-09T00:00:00"/>
    <x v="9"/>
    <n v="17.7"/>
    <n v="0"/>
    <n v="1"/>
  </r>
  <r>
    <d v="2034-12-10T00:00:00"/>
    <x v="22"/>
    <n v="15.7"/>
    <n v="1"/>
    <n v="1"/>
  </r>
  <r>
    <d v="2034-12-11T00:00:00"/>
    <x v="16"/>
    <n v="16.2"/>
    <n v="0"/>
    <n v="1"/>
  </r>
  <r>
    <d v="2034-12-12T00:00:00"/>
    <x v="17"/>
    <n v="18.600000000000001"/>
    <n v="1.4"/>
    <n v="1"/>
  </r>
  <r>
    <d v="2034-12-13T00:00:00"/>
    <x v="14"/>
    <n v="23.9"/>
    <n v="4"/>
    <n v="1"/>
  </r>
  <r>
    <d v="2034-12-14T00:00:00"/>
    <x v="6"/>
    <n v="15.8"/>
    <n v="50.3"/>
    <n v="1"/>
  </r>
  <r>
    <d v="2034-12-15T00:00:00"/>
    <x v="8"/>
    <n v="26.2"/>
    <n v="8.5"/>
    <n v="1"/>
  </r>
  <r>
    <d v="2034-12-16T00:00:00"/>
    <x v="6"/>
    <n v="23.1"/>
    <n v="0"/>
    <n v="1"/>
  </r>
  <r>
    <d v="2034-12-17T00:00:00"/>
    <x v="17"/>
    <n v="10.8"/>
    <n v="0"/>
    <n v="1"/>
  </r>
  <r>
    <d v="2034-12-18T00:00:00"/>
    <x v="14"/>
    <n v="21.2"/>
    <n v="16.100000000000001"/>
    <n v="1"/>
  </r>
  <r>
    <d v="2034-12-19T00:00:00"/>
    <x v="3"/>
    <n v="26.3"/>
    <n v="21.1"/>
    <n v="1"/>
  </r>
  <r>
    <d v="2034-12-20T00:00:00"/>
    <x v="3"/>
    <n v="22.8"/>
    <n v="22.7"/>
    <n v="1"/>
  </r>
  <r>
    <d v="2034-12-21T00:00:00"/>
    <x v="14"/>
    <n v="24"/>
    <n v="11.5"/>
    <n v="1"/>
  </r>
  <r>
    <d v="2034-12-22T00:00:00"/>
    <x v="10"/>
    <n v="16.8"/>
    <n v="2"/>
    <n v="1"/>
  </r>
  <r>
    <d v="2034-12-23T00:00:00"/>
    <x v="9"/>
    <n v="12.5"/>
    <n v="4.7"/>
    <n v="1"/>
  </r>
  <r>
    <d v="2034-12-24T00:00:00"/>
    <x v="6"/>
    <n v="15"/>
    <n v="1.7"/>
    <n v="1"/>
  </r>
  <r>
    <d v="2034-12-25T00:00:00"/>
    <x v="14"/>
    <n v="16.2"/>
    <n v="0"/>
    <n v="1"/>
  </r>
  <r>
    <d v="2034-12-26T00:00:00"/>
    <x v="3"/>
    <n v="29.3"/>
    <n v="0"/>
    <n v="1"/>
  </r>
  <r>
    <d v="2034-12-27T00:00:00"/>
    <x v="28"/>
    <n v="26.4"/>
    <n v="0.2"/>
    <n v="1"/>
  </r>
  <r>
    <d v="2034-12-28T00:00:00"/>
    <x v="14"/>
    <n v="23"/>
    <n v="0"/>
    <n v="1"/>
  </r>
  <r>
    <d v="2034-12-29T00:00:00"/>
    <x v="7"/>
    <n v="25.4"/>
    <n v="1.2"/>
    <n v="1"/>
  </r>
  <r>
    <d v="2034-12-30T00:00:00"/>
    <x v="6"/>
    <n v="24.5"/>
    <n v="22.5"/>
    <n v="1"/>
  </r>
  <r>
    <d v="2034-12-31T00:00:00"/>
    <x v="15"/>
    <n v="19"/>
    <n v="18.899999999999999"/>
    <n v="1"/>
  </r>
  <r>
    <d v="2035-01-01T00:00:00"/>
    <x v="15"/>
    <n v="10"/>
    <n v="7.6"/>
    <n v="1"/>
  </r>
  <r>
    <d v="2035-01-02T00:00:00"/>
    <x v="6"/>
    <n v="10.4"/>
    <n v="20.6"/>
    <n v="1"/>
  </r>
  <r>
    <d v="2035-01-03T00:00:00"/>
    <x v="17"/>
    <n v="10.5"/>
    <n v="0"/>
    <n v="1"/>
  </r>
  <r>
    <d v="2035-01-04T00:00:00"/>
    <x v="2"/>
    <n v="12.1"/>
    <n v="8.8000000000000007"/>
    <n v="1"/>
  </r>
  <r>
    <d v="2035-01-05T00:00:00"/>
    <x v="6"/>
    <n v="20.5"/>
    <n v="0"/>
    <n v="1"/>
  </r>
  <r>
    <d v="2035-01-06T00:00:00"/>
    <x v="9"/>
    <n v="13.1"/>
    <n v="0"/>
    <n v="1"/>
  </r>
  <r>
    <d v="2035-01-07T00:00:00"/>
    <x v="22"/>
    <n v="29.8"/>
    <n v="1.1000000000000001"/>
    <n v="1"/>
  </r>
  <r>
    <d v="2035-01-08T00:00:00"/>
    <x v="11"/>
    <n v="17.100000000000001"/>
    <n v="5.5"/>
    <n v="1"/>
  </r>
  <r>
    <d v="2035-01-09T00:00:00"/>
    <x v="10"/>
    <n v="29.1"/>
    <n v="0.4"/>
    <n v="1"/>
  </r>
  <r>
    <d v="2035-01-10T00:00:00"/>
    <x v="14"/>
    <n v="10.9"/>
    <n v="0"/>
    <n v="1"/>
  </r>
  <r>
    <d v="2035-01-11T00:00:00"/>
    <x v="28"/>
    <n v="27.4"/>
    <n v="0.3"/>
    <n v="1"/>
  </r>
  <r>
    <d v="2035-01-12T00:00:00"/>
    <x v="15"/>
    <n v="16.3"/>
    <n v="9.8000000000000007"/>
    <n v="1"/>
  </r>
  <r>
    <d v="2035-01-13T00:00:00"/>
    <x v="3"/>
    <n v="14.7"/>
    <n v="0"/>
    <n v="1"/>
  </r>
  <r>
    <d v="2035-01-14T00:00:00"/>
    <x v="8"/>
    <n v="17.2"/>
    <n v="2"/>
    <n v="1"/>
  </r>
  <r>
    <d v="2035-01-15T00:00:00"/>
    <x v="11"/>
    <n v="24.2"/>
    <n v="9.9"/>
    <n v="1"/>
  </r>
  <r>
    <d v="2035-01-16T00:00:00"/>
    <x v="9"/>
    <n v="22.3"/>
    <n v="0"/>
    <n v="1"/>
  </r>
  <r>
    <d v="2035-01-17T00:00:00"/>
    <x v="25"/>
    <n v="26.7"/>
    <n v="0.6"/>
    <n v="1"/>
  </r>
  <r>
    <d v="2035-01-18T00:00:00"/>
    <x v="8"/>
    <n v="10.9"/>
    <n v="3.8"/>
    <n v="1"/>
  </r>
  <r>
    <d v="2035-01-19T00:00:00"/>
    <x v="17"/>
    <n v="23.7"/>
    <n v="0"/>
    <n v="1"/>
  </r>
  <r>
    <d v="2035-01-20T00:00:00"/>
    <x v="6"/>
    <n v="16"/>
    <n v="22.3"/>
    <n v="1"/>
  </r>
  <r>
    <d v="2035-01-21T00:00:00"/>
    <x v="6"/>
    <n v="19.399999999999999"/>
    <n v="41.6"/>
    <n v="1"/>
  </r>
  <r>
    <d v="2035-01-22T00:00:00"/>
    <x v="7"/>
    <n v="26.7"/>
    <n v="10"/>
    <n v="1"/>
  </r>
  <r>
    <d v="2035-01-23T00:00:00"/>
    <x v="15"/>
    <n v="20.8"/>
    <n v="0"/>
    <n v="1"/>
  </r>
  <r>
    <d v="2035-01-24T00:00:00"/>
    <x v="6"/>
    <n v="25.6"/>
    <n v="0"/>
    <n v="1"/>
  </r>
  <r>
    <d v="2035-01-25T00:00:00"/>
    <x v="14"/>
    <n v="18.3"/>
    <n v="0.5"/>
    <n v="1"/>
  </r>
  <r>
    <d v="2035-01-26T00:00:00"/>
    <x v="5"/>
    <n v="27.4"/>
    <n v="4.2"/>
    <n v="1"/>
  </r>
  <r>
    <d v="2035-01-27T00:00:00"/>
    <x v="19"/>
    <n v="16.100000000000001"/>
    <n v="3.4"/>
    <n v="1"/>
  </r>
  <r>
    <d v="2035-01-28T00:00:00"/>
    <x v="10"/>
    <n v="27.5"/>
    <n v="8"/>
    <n v="1"/>
  </r>
  <r>
    <d v="2035-01-29T00:00:00"/>
    <x v="5"/>
    <n v="28.4"/>
    <n v="10.199999999999999"/>
    <n v="1"/>
  </r>
  <r>
    <d v="2035-01-30T00:00:00"/>
    <x v="9"/>
    <n v="16.100000000000001"/>
    <n v="4"/>
    <n v="1"/>
  </r>
  <r>
    <d v="2035-01-31T00:00:00"/>
    <x v="19"/>
    <n v="28.4"/>
    <n v="2.6"/>
    <n v="1"/>
  </r>
  <r>
    <d v="2035-02-01T00:00:00"/>
    <x v="10"/>
    <n v="29.3"/>
    <n v="0"/>
    <n v="1"/>
  </r>
  <r>
    <d v="2035-02-02T00:00:00"/>
    <x v="9"/>
    <n v="19.7"/>
    <n v="16.2"/>
    <n v="1"/>
  </r>
  <r>
    <d v="2035-02-03T00:00:00"/>
    <x v="27"/>
    <n v="11.5"/>
    <n v="0.3"/>
    <n v="1"/>
  </r>
  <r>
    <d v="2035-02-04T00:00:00"/>
    <x v="15"/>
    <n v="19.5"/>
    <n v="0"/>
    <n v="1"/>
  </r>
  <r>
    <d v="2035-02-05T00:00:00"/>
    <x v="16"/>
    <n v="22.7"/>
    <n v="0.7"/>
    <n v="1"/>
  </r>
  <r>
    <d v="2035-02-06T00:00:00"/>
    <x v="3"/>
    <n v="19.7"/>
    <n v="7.3"/>
    <n v="1"/>
  </r>
  <r>
    <d v="2035-02-07T00:00:00"/>
    <x v="22"/>
    <n v="19.399999999999999"/>
    <n v="0.4"/>
    <n v="1"/>
  </r>
  <r>
    <d v="2035-02-08T00:00:00"/>
    <x v="19"/>
    <n v="13.8"/>
    <n v="1.1000000000000001"/>
    <n v="1"/>
  </r>
  <r>
    <d v="2035-02-09T00:00:00"/>
    <x v="9"/>
    <n v="19.600000000000001"/>
    <n v="2.2999999999999998"/>
    <n v="1"/>
  </r>
  <r>
    <d v="2035-02-10T00:00:00"/>
    <x v="15"/>
    <n v="22.6"/>
    <n v="13.3"/>
    <n v="1"/>
  </r>
  <r>
    <d v="2035-02-11T00:00:00"/>
    <x v="2"/>
    <n v="18.2"/>
    <n v="7.6"/>
    <n v="1"/>
  </r>
  <r>
    <d v="2035-02-12T00:00:00"/>
    <x v="15"/>
    <n v="27.3"/>
    <n v="38.4"/>
    <n v="1"/>
  </r>
  <r>
    <d v="2035-02-13T00:00:00"/>
    <x v="15"/>
    <n v="14.7"/>
    <n v="31.8"/>
    <n v="1"/>
  </r>
  <r>
    <d v="2035-02-14T00:00:00"/>
    <x v="18"/>
    <n v="20.6"/>
    <n v="5.9"/>
    <n v="1"/>
  </r>
  <r>
    <d v="2035-02-15T00:00:00"/>
    <x v="6"/>
    <n v="12.6"/>
    <n v="14.4"/>
    <n v="1"/>
  </r>
  <r>
    <d v="2035-02-16T00:00:00"/>
    <x v="7"/>
    <n v="14.5"/>
    <n v="0"/>
    <n v="1"/>
  </r>
  <r>
    <d v="2035-02-17T00:00:00"/>
    <x v="6"/>
    <n v="24.7"/>
    <n v="36"/>
    <n v="1"/>
  </r>
  <r>
    <d v="2035-02-18T00:00:00"/>
    <x v="15"/>
    <n v="17.899999999999999"/>
    <n v="24.9"/>
    <n v="1"/>
  </r>
  <r>
    <d v="2035-02-19T00:00:00"/>
    <x v="10"/>
    <n v="20.2"/>
    <n v="2.9"/>
    <n v="1"/>
  </r>
  <r>
    <d v="2035-02-20T00:00:00"/>
    <x v="4"/>
    <n v="13.4"/>
    <n v="1.7"/>
    <n v="1"/>
  </r>
  <r>
    <d v="2035-02-21T00:00:00"/>
    <x v="13"/>
    <n v="12.2"/>
    <n v="6"/>
    <n v="1"/>
  </r>
  <r>
    <d v="2035-02-22T00:00:00"/>
    <x v="26"/>
    <n v="29.8"/>
    <n v="0.4"/>
    <n v="1"/>
  </r>
  <r>
    <d v="2035-02-23T00:00:00"/>
    <x v="15"/>
    <n v="16.100000000000001"/>
    <n v="28.7"/>
    <n v="1"/>
  </r>
  <r>
    <d v="2035-02-24T00:00:00"/>
    <x v="6"/>
    <n v="18.8"/>
    <n v="0"/>
    <n v="1"/>
  </r>
  <r>
    <d v="2035-02-25T00:00:00"/>
    <x v="11"/>
    <n v="17.100000000000001"/>
    <n v="0"/>
    <n v="1"/>
  </r>
  <r>
    <d v="2035-02-26T00:00:00"/>
    <x v="5"/>
    <n v="11.7"/>
    <n v="7.7"/>
    <n v="1"/>
  </r>
  <r>
    <d v="2035-02-27T00:00:00"/>
    <x v="14"/>
    <n v="25.4"/>
    <n v="14.2"/>
    <n v="1"/>
  </r>
  <r>
    <d v="2035-02-28T00:00:00"/>
    <x v="18"/>
    <n v="12.6"/>
    <n v="9"/>
    <n v="1"/>
  </r>
  <r>
    <d v="2035-03-01T00:00:00"/>
    <x v="6"/>
    <n v="15.8"/>
    <n v="0"/>
    <n v="1"/>
  </r>
  <r>
    <d v="2035-03-02T00:00:00"/>
    <x v="14"/>
    <n v="24.7"/>
    <n v="13.9"/>
    <n v="1"/>
  </r>
  <r>
    <d v="2035-03-03T00:00:00"/>
    <x v="23"/>
    <n v="26.7"/>
    <n v="0"/>
    <n v="1"/>
  </r>
  <r>
    <d v="2035-03-04T00:00:00"/>
    <x v="15"/>
    <n v="21.2"/>
    <n v="5.3"/>
    <n v="1"/>
  </r>
  <r>
    <d v="2035-03-05T00:00:00"/>
    <x v="2"/>
    <n v="10.4"/>
    <n v="8.6"/>
    <n v="1"/>
  </r>
  <r>
    <d v="2035-03-06T00:00:00"/>
    <x v="22"/>
    <n v="25.1"/>
    <n v="3.3"/>
    <n v="1"/>
  </r>
  <r>
    <d v="2035-03-07T00:00:00"/>
    <x v="15"/>
    <n v="27.8"/>
    <n v="20.9"/>
    <n v="1"/>
  </r>
  <r>
    <d v="2035-03-08T00:00:00"/>
    <x v="7"/>
    <n v="26.1"/>
    <n v="0"/>
    <n v="1"/>
  </r>
  <r>
    <d v="2035-03-09T00:00:00"/>
    <x v="9"/>
    <n v="18.3"/>
    <n v="7.8"/>
    <n v="1"/>
  </r>
  <r>
    <d v="2035-03-10T00:00:00"/>
    <x v="7"/>
    <n v="16.3"/>
    <n v="0"/>
    <n v="1"/>
  </r>
  <r>
    <d v="2035-03-11T00:00:00"/>
    <x v="7"/>
    <n v="17.2"/>
    <n v="12.5"/>
    <n v="1"/>
  </r>
  <r>
    <d v="2035-03-12T00:00:00"/>
    <x v="20"/>
    <n v="22.1"/>
    <n v="3.7"/>
    <n v="1"/>
  </r>
  <r>
    <d v="2035-03-13T00:00:00"/>
    <x v="19"/>
    <n v="18.8"/>
    <n v="0"/>
    <n v="1"/>
  </r>
  <r>
    <d v="2035-03-14T00:00:00"/>
    <x v="14"/>
    <n v="12.3"/>
    <n v="7.1"/>
    <n v="1"/>
  </r>
  <r>
    <d v="2035-03-15T00:00:00"/>
    <x v="6"/>
    <n v="27.5"/>
    <n v="34.299999999999997"/>
    <n v="1"/>
  </r>
  <r>
    <d v="2035-03-16T00:00:00"/>
    <x v="14"/>
    <n v="23.1"/>
    <n v="0"/>
    <n v="1"/>
  </r>
  <r>
    <d v="2035-03-17T00:00:00"/>
    <x v="7"/>
    <n v="21.3"/>
    <n v="0"/>
    <n v="1"/>
  </r>
  <r>
    <d v="2035-03-18T00:00:00"/>
    <x v="22"/>
    <n v="13.8"/>
    <n v="5.9"/>
    <n v="1"/>
  </r>
  <r>
    <d v="2035-03-19T00:00:00"/>
    <x v="9"/>
    <n v="20"/>
    <n v="16"/>
    <n v="1"/>
  </r>
  <r>
    <d v="2035-03-20T00:00:00"/>
    <x v="8"/>
    <n v="23.9"/>
    <n v="0"/>
    <n v="1"/>
  </r>
  <r>
    <d v="2035-03-21T00:00:00"/>
    <x v="25"/>
    <n v="15.3"/>
    <n v="0.1"/>
    <n v="1"/>
  </r>
  <r>
    <d v="2035-03-22T00:00:00"/>
    <x v="10"/>
    <n v="16.600000000000001"/>
    <n v="0"/>
    <n v="1"/>
  </r>
  <r>
    <d v="2035-03-23T00:00:00"/>
    <x v="23"/>
    <n v="20.8"/>
    <n v="2"/>
    <n v="1"/>
  </r>
  <r>
    <d v="2035-03-24T00:00:00"/>
    <x v="7"/>
    <n v="10.8"/>
    <n v="12.3"/>
    <n v="1"/>
  </r>
  <r>
    <d v="2035-03-25T00:00:00"/>
    <x v="7"/>
    <n v="12.5"/>
    <n v="18.399999999999999"/>
    <n v="1"/>
  </r>
  <r>
    <d v="2035-03-26T00:00:00"/>
    <x v="5"/>
    <n v="24"/>
    <n v="4.9000000000000004"/>
    <n v="1"/>
  </r>
  <r>
    <d v="2035-03-27T00:00:00"/>
    <x v="6"/>
    <n v="21.4"/>
    <n v="11.1"/>
    <n v="1"/>
  </r>
  <r>
    <d v="2035-03-28T00:00:00"/>
    <x v="18"/>
    <n v="18.3"/>
    <n v="0"/>
    <n v="1"/>
  </r>
  <r>
    <d v="2035-03-29T00:00:00"/>
    <x v="11"/>
    <n v="10.5"/>
    <n v="3.9"/>
    <n v="1"/>
  </r>
  <r>
    <d v="2035-03-30T00:00:00"/>
    <x v="6"/>
    <n v="11.7"/>
    <n v="0"/>
    <n v="1"/>
  </r>
  <r>
    <d v="2035-03-31T00:00:00"/>
    <x v="3"/>
    <n v="26.8"/>
    <n v="0"/>
    <n v="1"/>
  </r>
  <r>
    <d v="2035-04-01T00:00:00"/>
    <x v="6"/>
    <n v="22.1"/>
    <n v="33.799999999999997"/>
    <n v="1"/>
  </r>
  <r>
    <d v="2035-04-02T00:00:00"/>
    <x v="28"/>
    <n v="17.100000000000001"/>
    <n v="0"/>
    <n v="1"/>
  </r>
  <r>
    <d v="2035-04-03T00:00:00"/>
    <x v="9"/>
    <n v="12.1"/>
    <n v="14.4"/>
    <n v="1"/>
  </r>
  <r>
    <d v="2035-04-04T00:00:00"/>
    <x v="15"/>
    <n v="28.6"/>
    <n v="23.2"/>
    <n v="1"/>
  </r>
  <r>
    <d v="2035-04-05T00:00:00"/>
    <x v="2"/>
    <n v="21.2"/>
    <n v="1.5"/>
    <n v="1"/>
  </r>
  <r>
    <d v="2035-04-06T00:00:00"/>
    <x v="5"/>
    <n v="17.2"/>
    <n v="2.4"/>
    <n v="1"/>
  </r>
  <r>
    <d v="2035-04-07T00:00:00"/>
    <x v="6"/>
    <n v="22.3"/>
    <n v="0"/>
    <n v="1"/>
  </r>
  <r>
    <d v="2035-04-08T00:00:00"/>
    <x v="11"/>
    <n v="13.2"/>
    <n v="3.6"/>
    <n v="1"/>
  </r>
  <r>
    <d v="2035-04-09T00:00:00"/>
    <x v="14"/>
    <n v="13.6"/>
    <n v="13.4"/>
    <n v="1"/>
  </r>
  <r>
    <d v="2035-04-10T00:00:00"/>
    <x v="8"/>
    <n v="15.7"/>
    <n v="0"/>
    <n v="1"/>
  </r>
  <r>
    <d v="2035-04-11T00:00:00"/>
    <x v="5"/>
    <n v="24.8"/>
    <n v="0"/>
    <n v="1"/>
  </r>
  <r>
    <d v="2035-04-12T00:00:00"/>
    <x v="6"/>
    <n v="25.1"/>
    <n v="5.0999999999999996"/>
    <n v="1"/>
  </r>
  <r>
    <d v="2035-04-13T00:00:00"/>
    <x v="15"/>
    <n v="14.2"/>
    <n v="23.5"/>
    <n v="1"/>
  </r>
  <r>
    <d v="2035-04-14T00:00:00"/>
    <x v="10"/>
    <n v="21.1"/>
    <n v="1.4"/>
    <n v="1"/>
  </r>
  <r>
    <d v="2035-04-15T00:00:00"/>
    <x v="6"/>
    <n v="25.4"/>
    <n v="28"/>
    <n v="1"/>
  </r>
  <r>
    <d v="2035-04-16T00:00:00"/>
    <x v="6"/>
    <n v="24.7"/>
    <n v="5.7"/>
    <n v="1"/>
  </r>
  <r>
    <d v="2035-04-17T00:00:00"/>
    <x v="9"/>
    <n v="19.8"/>
    <n v="0"/>
    <n v="1"/>
  </r>
  <r>
    <d v="2035-04-18T00:00:00"/>
    <x v="23"/>
    <n v="28.4"/>
    <n v="2.9"/>
    <n v="1"/>
  </r>
  <r>
    <d v="2035-04-19T00:00:00"/>
    <x v="7"/>
    <n v="26.5"/>
    <n v="0"/>
    <n v="1"/>
  </r>
  <r>
    <d v="2035-04-20T00:00:00"/>
    <x v="6"/>
    <n v="14.1"/>
    <n v="13.1"/>
    <n v="1"/>
  </r>
  <r>
    <d v="2035-04-21T00:00:00"/>
    <x v="24"/>
    <n v="15.9"/>
    <n v="0.5"/>
    <n v="1"/>
  </r>
  <r>
    <d v="2035-04-22T00:00:00"/>
    <x v="15"/>
    <n v="28.2"/>
    <n v="26.9"/>
    <n v="1"/>
  </r>
  <r>
    <d v="2035-04-23T00:00:00"/>
    <x v="24"/>
    <n v="17.100000000000001"/>
    <n v="0.5"/>
    <n v="1"/>
  </r>
  <r>
    <d v="2035-04-24T00:00:00"/>
    <x v="15"/>
    <n v="27"/>
    <n v="0"/>
    <n v="1"/>
  </r>
  <r>
    <d v="2035-04-25T00:00:00"/>
    <x v="14"/>
    <n v="24.1"/>
    <n v="0"/>
    <n v="1"/>
  </r>
  <r>
    <d v="2035-04-26T00:00:00"/>
    <x v="8"/>
    <n v="10.4"/>
    <n v="7.2"/>
    <n v="1"/>
  </r>
  <r>
    <d v="2035-04-27T00:00:00"/>
    <x v="9"/>
    <n v="27.2"/>
    <n v="15.1"/>
    <n v="1"/>
  </r>
  <r>
    <d v="2035-04-28T00:00:00"/>
    <x v="18"/>
    <n v="22.1"/>
    <n v="0"/>
    <n v="1"/>
  </r>
  <r>
    <d v="2035-04-29T00:00:00"/>
    <x v="10"/>
    <n v="13.3"/>
    <n v="8.5"/>
    <n v="1"/>
  </r>
  <r>
    <d v="2035-04-30T00:00:00"/>
    <x v="8"/>
    <n v="26.4"/>
    <n v="0"/>
    <n v="1"/>
  </r>
  <r>
    <d v="2035-05-01T00:00:00"/>
    <x v="21"/>
    <n v="25.8"/>
    <n v="2.9"/>
    <n v="1"/>
  </r>
  <r>
    <d v="2035-05-02T00:00:00"/>
    <x v="11"/>
    <n v="23"/>
    <n v="3.8"/>
    <n v="1"/>
  </r>
  <r>
    <d v="2035-05-03T00:00:00"/>
    <x v="9"/>
    <n v="22.7"/>
    <n v="0"/>
    <n v="1"/>
  </r>
  <r>
    <d v="2035-05-04T00:00:00"/>
    <x v="22"/>
    <n v="26.2"/>
    <n v="5.0999999999999996"/>
    <n v="1"/>
  </r>
  <r>
    <d v="2035-05-05T00:00:00"/>
    <x v="10"/>
    <n v="16.600000000000001"/>
    <n v="0"/>
    <n v="1"/>
  </r>
  <r>
    <d v="2035-05-06T00:00:00"/>
    <x v="19"/>
    <n v="23.9"/>
    <n v="0"/>
    <n v="1"/>
  </r>
  <r>
    <d v="2035-05-07T00:00:00"/>
    <x v="3"/>
    <n v="10.6"/>
    <n v="21.3"/>
    <n v="1"/>
  </r>
  <r>
    <d v="2035-05-08T00:00:00"/>
    <x v="6"/>
    <n v="22.8"/>
    <n v="24.6"/>
    <n v="1"/>
  </r>
  <r>
    <d v="2035-05-09T00:00:00"/>
    <x v="1"/>
    <n v="26.8"/>
    <n v="7.5"/>
    <n v="1"/>
  </r>
  <r>
    <d v="2035-05-10T00:00:00"/>
    <x v="15"/>
    <n v="21.3"/>
    <n v="37.700000000000003"/>
    <n v="1"/>
  </r>
  <r>
    <d v="2035-05-11T00:00:00"/>
    <x v="8"/>
    <n v="20.3"/>
    <n v="11"/>
    <n v="1"/>
  </r>
  <r>
    <d v="2035-05-12T00:00:00"/>
    <x v="15"/>
    <n v="25.6"/>
    <n v="20.100000000000001"/>
    <n v="1"/>
  </r>
  <r>
    <d v="2035-05-13T00:00:00"/>
    <x v="9"/>
    <n v="25.1"/>
    <n v="14.7"/>
    <n v="1"/>
  </r>
  <r>
    <d v="2035-05-14T00:00:00"/>
    <x v="3"/>
    <n v="24.3"/>
    <n v="24.3"/>
    <n v="1"/>
  </r>
  <r>
    <d v="2035-05-15T00:00:00"/>
    <x v="10"/>
    <n v="12.9"/>
    <n v="2.7"/>
    <n v="1"/>
  </r>
  <r>
    <d v="2035-05-16T00:00:00"/>
    <x v="15"/>
    <n v="16.7"/>
    <n v="27.7"/>
    <n v="1"/>
  </r>
  <r>
    <d v="2035-05-17T00:00:00"/>
    <x v="6"/>
    <n v="16.2"/>
    <n v="20.5"/>
    <n v="1"/>
  </r>
  <r>
    <d v="2035-05-18T00:00:00"/>
    <x v="8"/>
    <n v="19.5"/>
    <n v="5.0999999999999996"/>
    <n v="1"/>
  </r>
  <r>
    <d v="2035-05-19T00:00:00"/>
    <x v="6"/>
    <n v="22.9"/>
    <n v="6.6"/>
    <n v="1"/>
  </r>
  <r>
    <d v="2035-05-20T00:00:00"/>
    <x v="15"/>
    <n v="25.9"/>
    <n v="4.4000000000000004"/>
    <n v="1"/>
  </r>
  <r>
    <d v="2035-05-21T00:00:00"/>
    <x v="14"/>
    <n v="20.3"/>
    <n v="4.5999999999999996"/>
    <n v="1"/>
  </r>
  <r>
    <d v="2035-05-22T00:00:00"/>
    <x v="24"/>
    <n v="11.3"/>
    <n v="0.3"/>
    <n v="1"/>
  </r>
  <r>
    <d v="2035-05-23T00:00:00"/>
    <x v="6"/>
    <n v="27.4"/>
    <n v="29.9"/>
    <n v="1"/>
  </r>
  <r>
    <d v="2035-05-24T00:00:00"/>
    <x v="15"/>
    <n v="29.2"/>
    <n v="0"/>
    <n v="1"/>
  </r>
  <r>
    <d v="2035-05-25T00:00:00"/>
    <x v="0"/>
    <n v="27.4"/>
    <n v="0"/>
    <n v="1"/>
  </r>
  <r>
    <d v="2035-05-26T00:00:00"/>
    <x v="15"/>
    <n v="10.1"/>
    <n v="8.1"/>
    <n v="1"/>
  </r>
  <r>
    <d v="2035-05-27T00:00:00"/>
    <x v="1"/>
    <n v="12.9"/>
    <n v="5.9"/>
    <n v="1"/>
  </r>
  <r>
    <d v="2035-05-28T00:00:00"/>
    <x v="10"/>
    <n v="18.7"/>
    <n v="0"/>
    <n v="1"/>
  </r>
  <r>
    <d v="2035-05-29T00:00:00"/>
    <x v="28"/>
    <n v="17.8"/>
    <n v="0.3"/>
    <n v="1"/>
  </r>
  <r>
    <d v="2035-05-30T00:00:00"/>
    <x v="6"/>
    <n v="24.7"/>
    <n v="42.9"/>
    <n v="1"/>
  </r>
  <r>
    <d v="2035-05-31T00:00:00"/>
    <x v="6"/>
    <n v="28.7"/>
    <n v="33.799999999999997"/>
    <n v="1"/>
  </r>
  <r>
    <d v="2035-06-01T00:00:00"/>
    <x v="14"/>
    <n v="12.3"/>
    <n v="1.7"/>
    <n v="1"/>
  </r>
  <r>
    <d v="2035-06-02T00:00:00"/>
    <x v="15"/>
    <n v="22.9"/>
    <n v="0"/>
    <n v="1"/>
  </r>
  <r>
    <d v="2035-06-03T00:00:00"/>
    <x v="13"/>
    <n v="20"/>
    <n v="3"/>
    <n v="1"/>
  </r>
  <r>
    <d v="2035-06-04T00:00:00"/>
    <x v="6"/>
    <n v="27.3"/>
    <n v="0"/>
    <n v="1"/>
  </r>
  <r>
    <d v="2035-06-05T00:00:00"/>
    <x v="9"/>
    <n v="29.9"/>
    <n v="7.7"/>
    <n v="1"/>
  </r>
  <r>
    <d v="2035-06-06T00:00:00"/>
    <x v="8"/>
    <n v="27.5"/>
    <n v="2.7"/>
    <n v="1"/>
  </r>
  <r>
    <d v="2035-06-07T00:00:00"/>
    <x v="14"/>
    <n v="16.5"/>
    <n v="13.3"/>
    <n v="1"/>
  </r>
  <r>
    <d v="2035-06-08T00:00:00"/>
    <x v="1"/>
    <n v="23.5"/>
    <n v="5.9"/>
    <n v="1"/>
  </r>
  <r>
    <d v="2035-06-09T00:00:00"/>
    <x v="1"/>
    <n v="21.5"/>
    <n v="4.0999999999999996"/>
    <n v="1"/>
  </r>
  <r>
    <d v="2035-06-10T00:00:00"/>
    <x v="11"/>
    <n v="10.3"/>
    <n v="15.6"/>
    <n v="1"/>
  </r>
  <r>
    <d v="2035-06-11T00:00:00"/>
    <x v="6"/>
    <n v="15"/>
    <n v="0"/>
    <n v="1"/>
  </r>
  <r>
    <d v="2035-06-12T00:00:00"/>
    <x v="2"/>
    <n v="23.3"/>
    <n v="5.3"/>
    <n v="1"/>
  </r>
  <r>
    <d v="2035-06-13T00:00:00"/>
    <x v="11"/>
    <n v="10.5"/>
    <n v="14.4"/>
    <n v="1"/>
  </r>
  <r>
    <d v="2035-06-14T00:00:00"/>
    <x v="6"/>
    <n v="18.5"/>
    <n v="0"/>
    <n v="1"/>
  </r>
  <r>
    <d v="2035-06-15T00:00:00"/>
    <x v="10"/>
    <n v="20.2"/>
    <n v="5.4"/>
    <n v="1"/>
  </r>
  <r>
    <d v="2035-06-16T00:00:00"/>
    <x v="19"/>
    <n v="29"/>
    <n v="4.2"/>
    <n v="1"/>
  </r>
  <r>
    <d v="2035-06-17T00:00:00"/>
    <x v="11"/>
    <n v="12.1"/>
    <n v="18.100000000000001"/>
    <n v="1"/>
  </r>
  <r>
    <d v="2035-06-18T00:00:00"/>
    <x v="9"/>
    <n v="14.1"/>
    <n v="5.6"/>
    <n v="1"/>
  </r>
  <r>
    <d v="2035-06-19T00:00:00"/>
    <x v="6"/>
    <n v="19.5"/>
    <n v="2.7"/>
    <n v="1"/>
  </r>
  <r>
    <d v="2035-06-20T00:00:00"/>
    <x v="23"/>
    <n v="28.7"/>
    <n v="0.3"/>
    <n v="1"/>
  </r>
  <r>
    <d v="2035-06-21T00:00:00"/>
    <x v="15"/>
    <n v="20.3"/>
    <n v="15"/>
    <n v="1"/>
  </r>
  <r>
    <d v="2035-06-22T00:00:00"/>
    <x v="3"/>
    <n v="25.9"/>
    <n v="4.7"/>
    <n v="1"/>
  </r>
  <r>
    <d v="2035-06-23T00:00:00"/>
    <x v="3"/>
    <n v="25.3"/>
    <n v="0"/>
    <n v="1"/>
  </r>
  <r>
    <d v="2035-06-24T00:00:00"/>
    <x v="16"/>
    <n v="22.8"/>
    <n v="0.6"/>
    <n v="1"/>
  </r>
  <r>
    <d v="2035-06-25T00:00:00"/>
    <x v="18"/>
    <n v="28.4"/>
    <n v="2.2999999999999998"/>
    <n v="1"/>
  </r>
  <r>
    <d v="2035-06-26T00:00:00"/>
    <x v="18"/>
    <n v="29.7"/>
    <n v="0"/>
    <n v="1"/>
  </r>
  <r>
    <d v="2035-06-27T00:00:00"/>
    <x v="11"/>
    <n v="11.7"/>
    <n v="6.4"/>
    <n v="1"/>
  </r>
  <r>
    <d v="2035-06-28T00:00:00"/>
    <x v="18"/>
    <n v="12.8"/>
    <n v="6.9"/>
    <n v="1"/>
  </r>
  <r>
    <d v="2035-06-29T00:00:00"/>
    <x v="6"/>
    <n v="11"/>
    <n v="0"/>
    <n v="1"/>
  </r>
  <r>
    <d v="2035-06-30T00:00:00"/>
    <x v="29"/>
    <n v="14.7"/>
    <n v="0.5"/>
    <n v="1"/>
  </r>
  <r>
    <d v="2035-07-01T00:00:00"/>
    <x v="22"/>
    <n v="13.2"/>
    <n v="2.5"/>
    <n v="1"/>
  </r>
  <r>
    <d v="2035-07-02T00:00:00"/>
    <x v="22"/>
    <n v="28"/>
    <n v="3.8"/>
    <n v="1"/>
  </r>
  <r>
    <d v="2035-07-03T00:00:00"/>
    <x v="7"/>
    <n v="27.5"/>
    <n v="10.3"/>
    <n v="1"/>
  </r>
  <r>
    <d v="2035-07-04T00:00:00"/>
    <x v="22"/>
    <n v="12.1"/>
    <n v="4.7"/>
    <n v="1"/>
  </r>
  <r>
    <d v="2035-07-05T00:00:00"/>
    <x v="11"/>
    <n v="24.7"/>
    <n v="7.2"/>
    <n v="1"/>
  </r>
  <r>
    <d v="2035-07-06T00:00:00"/>
    <x v="21"/>
    <n v="27.1"/>
    <n v="2.6"/>
    <n v="1"/>
  </r>
  <r>
    <d v="2035-07-07T00:00:00"/>
    <x v="3"/>
    <n v="28.7"/>
    <n v="3"/>
    <n v="1"/>
  </r>
  <r>
    <d v="2035-07-08T00:00:00"/>
    <x v="6"/>
    <n v="15"/>
    <n v="21.4"/>
    <n v="1"/>
  </r>
  <r>
    <d v="2035-07-09T00:00:00"/>
    <x v="7"/>
    <n v="11.6"/>
    <n v="3.7"/>
    <n v="1"/>
  </r>
  <r>
    <d v="2035-07-10T00:00:00"/>
    <x v="6"/>
    <n v="13.1"/>
    <n v="0"/>
    <n v="1"/>
  </r>
  <r>
    <d v="2035-07-11T00:00:00"/>
    <x v="22"/>
    <n v="25.5"/>
    <n v="0"/>
    <n v="1"/>
  </r>
  <r>
    <d v="2035-07-12T00:00:00"/>
    <x v="24"/>
    <n v="19.399999999999999"/>
    <n v="0.7"/>
    <n v="1"/>
  </r>
  <r>
    <d v="2035-07-13T00:00:00"/>
    <x v="3"/>
    <n v="27.3"/>
    <n v="2.6"/>
    <n v="1"/>
  </r>
  <r>
    <d v="2035-07-14T00:00:00"/>
    <x v="6"/>
    <n v="21"/>
    <n v="27.8"/>
    <n v="1"/>
  </r>
  <r>
    <d v="2035-07-15T00:00:00"/>
    <x v="10"/>
    <n v="11.5"/>
    <n v="0"/>
    <n v="1"/>
  </r>
  <r>
    <d v="2035-07-16T00:00:00"/>
    <x v="17"/>
    <n v="13.6"/>
    <n v="2.7"/>
    <n v="1"/>
  </r>
  <r>
    <d v="2035-07-17T00:00:00"/>
    <x v="4"/>
    <n v="17.8"/>
    <n v="0.3"/>
    <n v="1"/>
  </r>
  <r>
    <d v="2035-07-18T00:00:00"/>
    <x v="4"/>
    <n v="10.8"/>
    <n v="0"/>
    <n v="1"/>
  </r>
  <r>
    <d v="2035-07-19T00:00:00"/>
    <x v="6"/>
    <n v="23"/>
    <n v="3.3"/>
    <n v="1"/>
  </r>
  <r>
    <d v="2035-07-20T00:00:00"/>
    <x v="7"/>
    <n v="14"/>
    <n v="18.100000000000001"/>
    <n v="1"/>
  </r>
  <r>
    <d v="2035-07-21T00:00:00"/>
    <x v="22"/>
    <n v="10.7"/>
    <n v="0.4"/>
    <n v="1"/>
  </r>
  <r>
    <d v="2035-07-22T00:00:00"/>
    <x v="9"/>
    <n v="24.7"/>
    <n v="9.1"/>
    <n v="1"/>
  </r>
  <r>
    <d v="2035-07-23T00:00:00"/>
    <x v="15"/>
    <n v="12.2"/>
    <n v="18.600000000000001"/>
    <n v="1"/>
  </r>
  <r>
    <d v="2035-07-24T00:00:00"/>
    <x v="2"/>
    <n v="23.8"/>
    <n v="7.7"/>
    <n v="1"/>
  </r>
  <r>
    <d v="2035-07-25T00:00:00"/>
    <x v="8"/>
    <n v="18.5"/>
    <n v="0"/>
    <n v="1"/>
  </r>
  <r>
    <d v="2035-07-26T00:00:00"/>
    <x v="13"/>
    <n v="24.6"/>
    <n v="0.4"/>
    <n v="1"/>
  </r>
  <r>
    <d v="2035-07-27T00:00:00"/>
    <x v="15"/>
    <n v="24.6"/>
    <n v="10.4"/>
    <n v="1"/>
  </r>
  <r>
    <d v="2035-07-28T00:00:00"/>
    <x v="8"/>
    <n v="25.4"/>
    <n v="11.2"/>
    <n v="1"/>
  </r>
  <r>
    <d v="2035-07-29T00:00:00"/>
    <x v="7"/>
    <n v="13.1"/>
    <n v="22.2"/>
    <n v="1"/>
  </r>
  <r>
    <d v="2035-07-30T00:00:00"/>
    <x v="6"/>
    <n v="10.1"/>
    <n v="11.6"/>
    <n v="1"/>
  </r>
  <r>
    <d v="2035-07-31T00:00:00"/>
    <x v="11"/>
    <n v="25"/>
    <n v="0"/>
    <n v="1"/>
  </r>
  <r>
    <d v="2035-08-01T00:00:00"/>
    <x v="14"/>
    <n v="20.9"/>
    <n v="11.4"/>
    <n v="1"/>
  </r>
  <r>
    <d v="2035-08-02T00:00:00"/>
    <x v="10"/>
    <n v="27.6"/>
    <n v="2.5"/>
    <n v="1"/>
  </r>
  <r>
    <d v="2035-08-03T00:00:00"/>
    <x v="6"/>
    <n v="22.8"/>
    <n v="0"/>
    <n v="1"/>
  </r>
  <r>
    <d v="2035-08-04T00:00:00"/>
    <x v="5"/>
    <n v="12"/>
    <n v="0"/>
    <n v="1"/>
  </r>
  <r>
    <d v="2035-08-05T00:00:00"/>
    <x v="19"/>
    <n v="16.8"/>
    <n v="4.9000000000000004"/>
    <n v="1"/>
  </r>
  <r>
    <d v="2035-08-06T00:00:00"/>
    <x v="16"/>
    <n v="12.9"/>
    <n v="3"/>
    <n v="1"/>
  </r>
  <r>
    <d v="2035-08-07T00:00:00"/>
    <x v="6"/>
    <n v="18"/>
    <n v="13.6"/>
    <n v="1"/>
  </r>
  <r>
    <d v="2035-08-08T00:00:00"/>
    <x v="15"/>
    <n v="26"/>
    <n v="30.4"/>
    <n v="1"/>
  </r>
  <r>
    <d v="2035-08-09T00:00:00"/>
    <x v="11"/>
    <n v="21.3"/>
    <n v="0"/>
    <n v="1"/>
  </r>
  <r>
    <d v="2035-08-10T00:00:00"/>
    <x v="7"/>
    <n v="15.7"/>
    <n v="5.9"/>
    <n v="1"/>
  </r>
  <r>
    <d v="2035-08-11T00:00:00"/>
    <x v="6"/>
    <n v="19.100000000000001"/>
    <n v="0"/>
    <n v="1"/>
  </r>
  <r>
    <d v="2035-08-12T00:00:00"/>
    <x v="15"/>
    <n v="24.6"/>
    <n v="12.3"/>
    <n v="1"/>
  </r>
  <r>
    <d v="2035-08-13T00:00:00"/>
    <x v="6"/>
    <n v="18.7"/>
    <n v="17.8"/>
    <n v="1"/>
  </r>
  <r>
    <d v="2035-08-14T00:00:00"/>
    <x v="5"/>
    <n v="13.2"/>
    <n v="3.2"/>
    <n v="1"/>
  </r>
  <r>
    <d v="2035-08-15T00:00:00"/>
    <x v="8"/>
    <n v="24.8"/>
    <n v="2.2999999999999998"/>
    <n v="1"/>
  </r>
  <r>
    <d v="2035-08-16T00:00:00"/>
    <x v="11"/>
    <n v="19.3"/>
    <n v="1.8"/>
    <n v="1"/>
  </r>
  <r>
    <d v="2035-08-17T00:00:00"/>
    <x v="14"/>
    <n v="22.7"/>
    <n v="0"/>
    <n v="1"/>
  </r>
  <r>
    <d v="2035-08-18T00:00:00"/>
    <x v="7"/>
    <n v="15.2"/>
    <n v="0"/>
    <n v="1"/>
  </r>
  <r>
    <d v="2035-08-19T00:00:00"/>
    <x v="19"/>
    <n v="28.6"/>
    <n v="0.2"/>
    <n v="1"/>
  </r>
  <r>
    <d v="2035-08-20T00:00:00"/>
    <x v="3"/>
    <n v="17.899999999999999"/>
    <n v="18.600000000000001"/>
    <n v="1"/>
  </r>
  <r>
    <d v="2035-08-21T00:00:00"/>
    <x v="27"/>
    <n v="11.6"/>
    <n v="0"/>
    <n v="1"/>
  </r>
  <r>
    <d v="2035-08-22T00:00:00"/>
    <x v="17"/>
    <n v="19"/>
    <n v="2.2000000000000002"/>
    <n v="1"/>
  </r>
  <r>
    <d v="2035-08-23T00:00:00"/>
    <x v="8"/>
    <n v="17.600000000000001"/>
    <n v="7.2"/>
    <n v="1"/>
  </r>
  <r>
    <d v="2035-08-24T00:00:00"/>
    <x v="3"/>
    <n v="12.1"/>
    <n v="7.2"/>
    <n v="1"/>
  </r>
  <r>
    <d v="2035-08-25T00:00:00"/>
    <x v="9"/>
    <n v="28.3"/>
    <n v="1.8"/>
    <n v="1"/>
  </r>
  <r>
    <d v="2035-08-26T00:00:00"/>
    <x v="14"/>
    <n v="13.3"/>
    <n v="0"/>
    <n v="1"/>
  </r>
  <r>
    <d v="2035-08-27T00:00:00"/>
    <x v="7"/>
    <n v="21"/>
    <n v="4.2"/>
    <n v="1"/>
  </r>
  <r>
    <d v="2035-08-28T00:00:00"/>
    <x v="6"/>
    <n v="12"/>
    <n v="2.2000000000000002"/>
    <n v="1"/>
  </r>
  <r>
    <d v="2035-08-29T00:00:00"/>
    <x v="15"/>
    <n v="12.1"/>
    <n v="0"/>
    <n v="1"/>
  </r>
  <r>
    <d v="2035-08-30T00:00:00"/>
    <x v="7"/>
    <n v="15.8"/>
    <n v="17.2"/>
    <n v="1"/>
  </r>
  <r>
    <d v="2035-08-31T00:00:00"/>
    <x v="8"/>
    <n v="25.7"/>
    <n v="5.9"/>
    <n v="1"/>
  </r>
  <r>
    <d v="2035-09-01T00:00:00"/>
    <x v="6"/>
    <n v="20.5"/>
    <n v="26"/>
    <n v="1"/>
  </r>
  <r>
    <d v="2035-09-02T00:00:00"/>
    <x v="9"/>
    <n v="23.5"/>
    <n v="15.3"/>
    <n v="1"/>
  </r>
  <r>
    <d v="2035-09-03T00:00:00"/>
    <x v="8"/>
    <n v="21.7"/>
    <n v="1.2"/>
    <n v="1"/>
  </r>
  <r>
    <d v="2035-09-04T00:00:00"/>
    <x v="6"/>
    <n v="29.8"/>
    <n v="0"/>
    <n v="1"/>
  </r>
  <r>
    <d v="2035-09-05T00:00:00"/>
    <x v="3"/>
    <n v="27.1"/>
    <n v="0"/>
    <n v="1"/>
  </r>
  <r>
    <d v="2035-09-06T00:00:00"/>
    <x v="8"/>
    <n v="27.3"/>
    <n v="0"/>
    <n v="1"/>
  </r>
  <r>
    <d v="2035-09-07T00:00:00"/>
    <x v="15"/>
    <n v="15.5"/>
    <n v="27.6"/>
    <n v="1"/>
  </r>
  <r>
    <d v="2035-09-08T00:00:00"/>
    <x v="9"/>
    <n v="27.9"/>
    <n v="5.0999999999999996"/>
    <n v="1"/>
  </r>
  <r>
    <d v="2035-09-09T00:00:00"/>
    <x v="6"/>
    <n v="19.7"/>
    <n v="21.4"/>
    <n v="1"/>
  </r>
  <r>
    <d v="2035-09-10T00:00:00"/>
    <x v="6"/>
    <n v="27.8"/>
    <n v="27.6"/>
    <n v="1"/>
  </r>
  <r>
    <d v="2035-09-11T00:00:00"/>
    <x v="18"/>
    <n v="12.3"/>
    <n v="2.9"/>
    <n v="1"/>
  </r>
  <r>
    <d v="2035-09-12T00:00:00"/>
    <x v="14"/>
    <n v="12.8"/>
    <n v="8.8000000000000007"/>
    <n v="1"/>
  </r>
  <r>
    <d v="2035-09-13T00:00:00"/>
    <x v="6"/>
    <n v="15"/>
    <n v="0"/>
    <n v="1"/>
  </r>
  <r>
    <d v="2035-09-14T00:00:00"/>
    <x v="19"/>
    <n v="27.6"/>
    <n v="4.7"/>
    <n v="1"/>
  </r>
  <r>
    <d v="2035-09-15T00:00:00"/>
    <x v="6"/>
    <n v="19.600000000000001"/>
    <n v="0"/>
    <n v="1"/>
  </r>
  <r>
    <d v="2035-09-16T00:00:00"/>
    <x v="26"/>
    <n v="16"/>
    <n v="0.4"/>
    <n v="1"/>
  </r>
  <r>
    <d v="2035-09-17T00:00:00"/>
    <x v="6"/>
    <n v="10.3"/>
    <n v="0"/>
    <n v="1"/>
  </r>
  <r>
    <d v="2035-09-18T00:00:00"/>
    <x v="14"/>
    <n v="20.2"/>
    <n v="13.9"/>
    <n v="1"/>
  </r>
  <r>
    <d v="2035-09-19T00:00:00"/>
    <x v="22"/>
    <n v="26.4"/>
    <n v="6.8"/>
    <n v="1"/>
  </r>
  <r>
    <d v="2035-09-20T00:00:00"/>
    <x v="13"/>
    <n v="20.6"/>
    <n v="0"/>
    <n v="1"/>
  </r>
  <r>
    <d v="2035-09-21T00:00:00"/>
    <x v="15"/>
    <n v="12.3"/>
    <n v="0.2"/>
    <n v="1"/>
  </r>
  <r>
    <d v="2035-09-22T00:00:00"/>
    <x v="15"/>
    <n v="11.2"/>
    <n v="36.200000000000003"/>
    <n v="1"/>
  </r>
  <r>
    <d v="2035-09-23T00:00:00"/>
    <x v="4"/>
    <n v="22.6"/>
    <n v="2.4"/>
    <n v="1"/>
  </r>
  <r>
    <d v="2035-09-24T00:00:00"/>
    <x v="21"/>
    <n v="16.399999999999999"/>
    <n v="0.1"/>
    <n v="1"/>
  </r>
  <r>
    <d v="2035-09-25T00:00:00"/>
    <x v="23"/>
    <n v="23.4"/>
    <n v="0"/>
    <n v="1"/>
  </r>
  <r>
    <d v="2035-09-26T00:00:00"/>
    <x v="19"/>
    <n v="20.2"/>
    <n v="0.3"/>
    <n v="1"/>
  </r>
  <r>
    <d v="2035-09-27T00:00:00"/>
    <x v="7"/>
    <n v="17.600000000000001"/>
    <n v="15"/>
    <n v="1"/>
  </r>
  <r>
    <d v="2035-09-28T00:00:00"/>
    <x v="6"/>
    <n v="21.7"/>
    <n v="33.299999999999997"/>
    <n v="1"/>
  </r>
  <r>
    <d v="2035-09-29T00:00:00"/>
    <x v="6"/>
    <n v="18.399999999999999"/>
    <n v="19.3"/>
    <n v="1"/>
  </r>
  <r>
    <d v="2035-09-30T00:00:00"/>
    <x v="3"/>
    <n v="20.100000000000001"/>
    <n v="15.4"/>
    <n v="1"/>
  </r>
  <r>
    <d v="2035-10-01T00:00:00"/>
    <x v="14"/>
    <n v="16.5"/>
    <n v="14.7"/>
    <n v="1"/>
  </r>
  <r>
    <d v="2035-10-02T00:00:00"/>
    <x v="6"/>
    <n v="12.3"/>
    <n v="30.2"/>
    <n v="1"/>
  </r>
  <r>
    <d v="2035-10-03T00:00:00"/>
    <x v="6"/>
    <n v="29.6"/>
    <n v="42.8"/>
    <n v="1"/>
  </r>
  <r>
    <d v="2035-10-04T00:00:00"/>
    <x v="8"/>
    <n v="26.6"/>
    <n v="9.1999999999999993"/>
    <n v="1"/>
  </r>
  <r>
    <d v="2035-10-05T00:00:00"/>
    <x v="14"/>
    <n v="26.7"/>
    <n v="4"/>
    <n v="1"/>
  </r>
  <r>
    <d v="2035-10-06T00:00:00"/>
    <x v="11"/>
    <n v="23.6"/>
    <n v="0"/>
    <n v="1"/>
  </r>
  <r>
    <d v="2035-10-07T00:00:00"/>
    <x v="21"/>
    <n v="13.6"/>
    <n v="2.8"/>
    <n v="1"/>
  </r>
  <r>
    <d v="2035-10-08T00:00:00"/>
    <x v="1"/>
    <n v="13.8"/>
    <n v="6.5"/>
    <n v="1"/>
  </r>
  <r>
    <d v="2035-10-09T00:00:00"/>
    <x v="2"/>
    <n v="12.3"/>
    <n v="0"/>
    <n v="1"/>
  </r>
  <r>
    <d v="2035-10-10T00:00:00"/>
    <x v="3"/>
    <n v="12.3"/>
    <n v="0"/>
    <n v="1"/>
  </r>
  <r>
    <d v="2035-10-11T00:00:00"/>
    <x v="14"/>
    <n v="22.7"/>
    <n v="10.3"/>
    <n v="1"/>
  </r>
  <r>
    <d v="2035-10-12T00:00:00"/>
    <x v="6"/>
    <n v="19"/>
    <n v="0"/>
    <n v="1"/>
  </r>
  <r>
    <d v="2035-10-13T00:00:00"/>
    <x v="4"/>
    <n v="23.4"/>
    <n v="0"/>
    <n v="1"/>
  </r>
  <r>
    <d v="2035-10-14T00:00:00"/>
    <x v="11"/>
    <n v="28.2"/>
    <n v="0"/>
    <n v="1"/>
  </r>
  <r>
    <d v="2035-10-15T00:00:00"/>
    <x v="11"/>
    <n v="20.100000000000001"/>
    <n v="9.6999999999999993"/>
    <n v="1"/>
  </r>
  <r>
    <d v="2035-10-16T00:00:00"/>
    <x v="13"/>
    <n v="29.6"/>
    <n v="0"/>
    <n v="1"/>
  </r>
  <r>
    <d v="2035-10-17T00:00:00"/>
    <x v="3"/>
    <n v="25.8"/>
    <n v="0"/>
    <n v="1"/>
  </r>
  <r>
    <d v="2035-10-18T00:00:00"/>
    <x v="6"/>
    <n v="19.600000000000001"/>
    <n v="18.5"/>
    <n v="1"/>
  </r>
  <r>
    <d v="2035-10-19T00:00:00"/>
    <x v="15"/>
    <n v="21.5"/>
    <n v="3"/>
    <n v="1"/>
  </r>
  <r>
    <d v="2035-10-20T00:00:00"/>
    <x v="11"/>
    <n v="24.2"/>
    <n v="17.399999999999999"/>
    <n v="1"/>
  </r>
  <r>
    <d v="2035-10-21T00:00:00"/>
    <x v="23"/>
    <n v="12"/>
    <n v="0"/>
    <n v="1"/>
  </r>
  <r>
    <d v="2035-10-22T00:00:00"/>
    <x v="29"/>
    <n v="23"/>
    <n v="0"/>
    <n v="1"/>
  </r>
  <r>
    <d v="2035-10-23T00:00:00"/>
    <x v="15"/>
    <n v="19.8"/>
    <n v="29.2"/>
    <n v="1"/>
  </r>
  <r>
    <d v="2035-10-24T00:00:00"/>
    <x v="1"/>
    <n v="14.9"/>
    <n v="0.8"/>
    <n v="1"/>
  </r>
  <r>
    <d v="2035-10-25T00:00:00"/>
    <x v="11"/>
    <n v="17.899999999999999"/>
    <n v="10.3"/>
    <n v="1"/>
  </r>
  <r>
    <d v="2035-10-26T00:00:00"/>
    <x v="3"/>
    <n v="26"/>
    <n v="0"/>
    <n v="1"/>
  </r>
  <r>
    <d v="2035-10-27T00:00:00"/>
    <x v="8"/>
    <n v="21.5"/>
    <n v="9.3000000000000007"/>
    <n v="1"/>
  </r>
  <r>
    <d v="2035-10-28T00:00:00"/>
    <x v="15"/>
    <n v="29.9"/>
    <n v="2.4"/>
    <n v="1"/>
  </r>
  <r>
    <d v="2035-10-29T00:00:00"/>
    <x v="6"/>
    <n v="12.3"/>
    <n v="35.1"/>
    <n v="1"/>
  </r>
  <r>
    <d v="2035-10-30T00:00:00"/>
    <x v="13"/>
    <n v="21.7"/>
    <n v="3.9"/>
    <n v="1"/>
  </r>
  <r>
    <d v="2035-10-31T00:00:00"/>
    <x v="6"/>
    <n v="10.7"/>
    <n v="0"/>
    <n v="1"/>
  </r>
  <r>
    <d v="2035-11-01T00:00:00"/>
    <x v="1"/>
    <n v="21.5"/>
    <n v="0"/>
    <n v="1"/>
  </r>
  <r>
    <d v="2035-11-02T00:00:00"/>
    <x v="6"/>
    <n v="26"/>
    <n v="33.799999999999997"/>
    <n v="1"/>
  </r>
  <r>
    <d v="2035-11-03T00:00:00"/>
    <x v="11"/>
    <n v="24.4"/>
    <n v="15.4"/>
    <n v="1"/>
  </r>
  <r>
    <d v="2035-11-04T00:00:00"/>
    <x v="1"/>
    <n v="20.8"/>
    <n v="0"/>
    <n v="1"/>
  </r>
  <r>
    <d v="2035-11-05T00:00:00"/>
    <x v="9"/>
    <n v="18.2"/>
    <n v="15.7"/>
    <n v="1"/>
  </r>
  <r>
    <d v="2035-11-06T00:00:00"/>
    <x v="13"/>
    <n v="25.6"/>
    <n v="7"/>
    <n v="1"/>
  </r>
  <r>
    <d v="2035-11-07T00:00:00"/>
    <x v="7"/>
    <n v="25.2"/>
    <n v="0"/>
    <n v="1"/>
  </r>
  <r>
    <d v="2035-11-08T00:00:00"/>
    <x v="8"/>
    <n v="19.5"/>
    <n v="5.3"/>
    <n v="1"/>
  </r>
  <r>
    <d v="2035-11-09T00:00:00"/>
    <x v="20"/>
    <n v="15.2"/>
    <n v="2.1"/>
    <n v="1"/>
  </r>
  <r>
    <d v="2035-11-10T00:00:00"/>
    <x v="11"/>
    <n v="21.3"/>
    <n v="11.4"/>
    <n v="1"/>
  </r>
  <r>
    <d v="2035-11-11T00:00:00"/>
    <x v="11"/>
    <n v="21.8"/>
    <n v="17.399999999999999"/>
    <n v="1"/>
  </r>
  <r>
    <d v="2035-11-12T00:00:00"/>
    <x v="12"/>
    <n v="27.7"/>
    <n v="0.5"/>
    <n v="1"/>
  </r>
  <r>
    <d v="2035-11-13T00:00:00"/>
    <x v="6"/>
    <n v="28.5"/>
    <n v="46"/>
    <n v="1"/>
  </r>
  <r>
    <d v="2035-11-14T00:00:00"/>
    <x v="23"/>
    <n v="25.7"/>
    <n v="0"/>
    <n v="1"/>
  </r>
  <r>
    <d v="2035-11-15T00:00:00"/>
    <x v="6"/>
    <n v="18"/>
    <n v="0.5"/>
    <n v="1"/>
  </r>
  <r>
    <d v="2035-11-16T00:00:00"/>
    <x v="2"/>
    <n v="29.5"/>
    <n v="0"/>
    <n v="1"/>
  </r>
  <r>
    <d v="2035-11-17T00:00:00"/>
    <x v="14"/>
    <n v="21"/>
    <n v="10.3"/>
    <n v="1"/>
  </r>
  <r>
    <d v="2035-11-18T00:00:00"/>
    <x v="16"/>
    <n v="11.4"/>
    <n v="3.2"/>
    <n v="1"/>
  </r>
  <r>
    <d v="2035-11-19T00:00:00"/>
    <x v="6"/>
    <n v="12.7"/>
    <n v="0"/>
    <n v="1"/>
  </r>
  <r>
    <d v="2035-11-20T00:00:00"/>
    <x v="1"/>
    <n v="14.1"/>
    <n v="6.2"/>
    <n v="1"/>
  </r>
  <r>
    <d v="2035-11-21T00:00:00"/>
    <x v="6"/>
    <n v="29.5"/>
    <n v="29.9"/>
    <n v="1"/>
  </r>
  <r>
    <d v="2035-11-22T00:00:00"/>
    <x v="18"/>
    <n v="18.399999999999999"/>
    <n v="0"/>
    <n v="1"/>
  </r>
  <r>
    <d v="2035-11-23T00:00:00"/>
    <x v="6"/>
    <n v="29.6"/>
    <n v="43.9"/>
    <n v="1"/>
  </r>
  <r>
    <d v="2035-11-24T00:00:00"/>
    <x v="11"/>
    <n v="22.6"/>
    <n v="14.6"/>
    <n v="1"/>
  </r>
  <r>
    <d v="2035-11-25T00:00:00"/>
    <x v="10"/>
    <n v="13.2"/>
    <n v="6.7"/>
    <n v="1"/>
  </r>
  <r>
    <d v="2035-11-26T00:00:00"/>
    <x v="2"/>
    <n v="10.4"/>
    <n v="8.5"/>
    <n v="1"/>
  </r>
  <r>
    <d v="2035-11-27T00:00:00"/>
    <x v="9"/>
    <n v="16.899999999999999"/>
    <n v="16.399999999999999"/>
    <n v="1"/>
  </r>
  <r>
    <d v="2035-11-28T00:00:00"/>
    <x v="11"/>
    <n v="19.399999999999999"/>
    <n v="0"/>
    <n v="1"/>
  </r>
  <r>
    <d v="2035-11-29T00:00:00"/>
    <x v="20"/>
    <n v="16.899999999999999"/>
    <n v="1"/>
    <n v="1"/>
  </r>
  <r>
    <d v="2035-11-30T00:00:00"/>
    <x v="6"/>
    <n v="18.399999999999999"/>
    <n v="0"/>
    <n v="1"/>
  </r>
  <r>
    <d v="2035-12-01T00:00:00"/>
    <x v="11"/>
    <n v="13.4"/>
    <n v="12.8"/>
    <n v="1"/>
  </r>
  <r>
    <d v="2035-12-02T00:00:00"/>
    <x v="3"/>
    <n v="28.8"/>
    <n v="0"/>
    <n v="1"/>
  </r>
  <r>
    <d v="2035-12-03T00:00:00"/>
    <x v="9"/>
    <n v="19.5"/>
    <n v="1.3"/>
    <n v="1"/>
  </r>
  <r>
    <d v="2035-12-04T00:00:00"/>
    <x v="7"/>
    <n v="29"/>
    <n v="14"/>
    <n v="1"/>
  </r>
  <r>
    <d v="2035-12-05T00:00:00"/>
    <x v="6"/>
    <n v="29.6"/>
    <n v="28.7"/>
    <n v="1"/>
  </r>
  <r>
    <d v="2035-12-06T00:00:00"/>
    <x v="2"/>
    <n v="26.5"/>
    <n v="0"/>
    <n v="1"/>
  </r>
  <r>
    <d v="2035-12-07T00:00:00"/>
    <x v="14"/>
    <n v="24.8"/>
    <n v="12.1"/>
    <n v="1"/>
  </r>
  <r>
    <d v="2035-12-08T00:00:00"/>
    <x v="6"/>
    <n v="20"/>
    <n v="14.7"/>
    <n v="1"/>
  </r>
  <r>
    <d v="2035-12-09T00:00:00"/>
    <x v="15"/>
    <n v="16.899999999999999"/>
    <n v="38.299999999999997"/>
    <n v="1"/>
  </r>
  <r>
    <d v="2035-12-10T00:00:00"/>
    <x v="6"/>
    <n v="11.5"/>
    <n v="24.7"/>
    <n v="1"/>
  </r>
  <r>
    <d v="2035-12-11T00:00:00"/>
    <x v="9"/>
    <n v="11.4"/>
    <n v="0"/>
    <n v="1"/>
  </r>
  <r>
    <d v="2035-12-12T00:00:00"/>
    <x v="2"/>
    <n v="28.5"/>
    <n v="0"/>
    <n v="1"/>
  </r>
  <r>
    <d v="2035-12-13T00:00:00"/>
    <x v="18"/>
    <n v="27.9"/>
    <n v="0.7"/>
    <n v="1"/>
  </r>
  <r>
    <d v="2035-12-14T00:00:00"/>
    <x v="3"/>
    <n v="26.7"/>
    <n v="15.5"/>
    <n v="1"/>
  </r>
  <r>
    <d v="2035-12-15T00:00:00"/>
    <x v="14"/>
    <n v="28.3"/>
    <n v="6.8"/>
    <n v="1"/>
  </r>
  <r>
    <d v="2035-12-16T00:00:00"/>
    <x v="6"/>
    <n v="28.9"/>
    <n v="0"/>
    <n v="1"/>
  </r>
  <r>
    <d v="2035-12-17T00:00:00"/>
    <x v="16"/>
    <n v="21.6"/>
    <n v="4"/>
    <n v="1"/>
  </r>
  <r>
    <d v="2035-12-18T00:00:00"/>
    <x v="19"/>
    <n v="16.5"/>
    <n v="4.2"/>
    <n v="1"/>
  </r>
  <r>
    <d v="2035-12-19T00:00:00"/>
    <x v="9"/>
    <n v="24.6"/>
    <n v="10.6"/>
    <n v="1"/>
  </r>
  <r>
    <d v="2035-12-20T00:00:00"/>
    <x v="6"/>
    <n v="28.9"/>
    <n v="40.799999999999997"/>
    <n v="1"/>
  </r>
  <r>
    <d v="2035-12-21T00:00:00"/>
    <x v="6"/>
    <n v="22.1"/>
    <n v="10"/>
    <n v="1"/>
  </r>
  <r>
    <d v="2035-12-22T00:00:00"/>
    <x v="17"/>
    <n v="29.3"/>
    <n v="0"/>
    <n v="1"/>
  </r>
  <r>
    <d v="2035-12-23T00:00:00"/>
    <x v="14"/>
    <n v="18.8"/>
    <n v="4.7"/>
    <n v="1"/>
  </r>
  <r>
    <d v="2035-12-24T00:00:00"/>
    <x v="15"/>
    <n v="26.5"/>
    <n v="7.3"/>
    <n v="1"/>
  </r>
  <r>
    <d v="2035-12-25T00:00:00"/>
    <x v="7"/>
    <n v="24"/>
    <n v="0"/>
    <n v="1"/>
  </r>
  <r>
    <d v="2035-12-26T00:00:00"/>
    <x v="15"/>
    <n v="21"/>
    <n v="12.2"/>
    <n v="1"/>
  </r>
  <r>
    <d v="2035-12-27T00:00:00"/>
    <x v="13"/>
    <n v="28.1"/>
    <n v="6.7"/>
    <n v="1"/>
  </r>
  <r>
    <d v="2035-12-28T00:00:00"/>
    <x v="10"/>
    <n v="23.3"/>
    <n v="4.8"/>
    <n v="1"/>
  </r>
  <r>
    <d v="2035-12-29T00:00:00"/>
    <x v="13"/>
    <n v="14.3"/>
    <n v="1.5"/>
    <n v="1"/>
  </r>
  <r>
    <d v="2035-12-30T00:00:00"/>
    <x v="21"/>
    <n v="12.6"/>
    <n v="1.1000000000000001"/>
    <n v="1"/>
  </r>
  <r>
    <d v="2035-12-31T00:00:00"/>
    <x v="15"/>
    <n v="18.100000000000001"/>
    <n v="0"/>
    <n v="1"/>
  </r>
  <r>
    <d v="2036-01-01T00:00:00"/>
    <x v="11"/>
    <n v="19"/>
    <n v="11"/>
    <n v="1"/>
  </r>
  <r>
    <d v="2036-01-02T00:00:00"/>
    <x v="10"/>
    <n v="13.1"/>
    <n v="0"/>
    <n v="1"/>
  </r>
  <r>
    <d v="2036-01-03T00:00:00"/>
    <x v="9"/>
    <n v="17.3"/>
    <n v="1.1000000000000001"/>
    <n v="1"/>
  </r>
  <r>
    <d v="2036-01-04T00:00:00"/>
    <x v="13"/>
    <n v="23.7"/>
    <n v="5.9"/>
    <n v="1"/>
  </r>
  <r>
    <d v="2036-01-05T00:00:00"/>
    <x v="29"/>
    <n v="26.3"/>
    <n v="0"/>
    <n v="1"/>
  </r>
  <r>
    <d v="2036-01-06T00:00:00"/>
    <x v="11"/>
    <n v="16.399999999999999"/>
    <n v="0"/>
    <n v="1"/>
  </r>
  <r>
    <d v="2036-01-07T00:00:00"/>
    <x v="5"/>
    <n v="13"/>
    <n v="0"/>
    <n v="1"/>
  </r>
  <r>
    <d v="2036-01-08T00:00:00"/>
    <x v="7"/>
    <n v="28.6"/>
    <n v="1"/>
    <n v="1"/>
  </r>
  <r>
    <d v="2036-01-09T00:00:00"/>
    <x v="6"/>
    <n v="11.1"/>
    <n v="2.4"/>
    <n v="1"/>
  </r>
  <r>
    <d v="2036-01-10T00:00:00"/>
    <x v="20"/>
    <n v="12.9"/>
    <n v="2.9"/>
    <n v="1"/>
  </r>
  <r>
    <d v="2036-01-11T00:00:00"/>
    <x v="26"/>
    <n v="28.4"/>
    <n v="0.9"/>
    <n v="1"/>
  </r>
  <r>
    <d v="2036-01-12T00:00:00"/>
    <x v="15"/>
    <n v="21.8"/>
    <n v="3.4"/>
    <n v="1"/>
  </r>
  <r>
    <d v="2036-01-13T00:00:00"/>
    <x v="2"/>
    <n v="20.8"/>
    <n v="11.8"/>
    <n v="1"/>
  </r>
  <r>
    <d v="2036-01-14T00:00:00"/>
    <x v="9"/>
    <n v="17.399999999999999"/>
    <n v="0"/>
    <n v="1"/>
  </r>
  <r>
    <d v="2036-01-15T00:00:00"/>
    <x v="2"/>
    <n v="24.8"/>
    <n v="0"/>
    <n v="1"/>
  </r>
  <r>
    <d v="2036-01-16T00:00:00"/>
    <x v="5"/>
    <n v="12.9"/>
    <n v="0"/>
    <n v="1"/>
  </r>
  <r>
    <d v="2036-01-17T00:00:00"/>
    <x v="13"/>
    <n v="25.9"/>
    <n v="0"/>
    <n v="1"/>
  </r>
  <r>
    <d v="2036-01-18T00:00:00"/>
    <x v="6"/>
    <n v="11.5"/>
    <n v="23.2"/>
    <n v="1"/>
  </r>
  <r>
    <d v="2036-01-19T00:00:00"/>
    <x v="16"/>
    <n v="25.5"/>
    <n v="0"/>
    <n v="1"/>
  </r>
  <r>
    <d v="2036-01-20T00:00:00"/>
    <x v="29"/>
    <n v="22.6"/>
    <n v="2.2000000000000002"/>
    <n v="1"/>
  </r>
  <r>
    <d v="2036-01-21T00:00:00"/>
    <x v="6"/>
    <n v="14.2"/>
    <n v="0"/>
    <n v="1"/>
  </r>
  <r>
    <d v="2036-01-22T00:00:00"/>
    <x v="9"/>
    <n v="26.9"/>
    <n v="9.1999999999999993"/>
    <n v="1"/>
  </r>
  <r>
    <d v="2036-01-23T00:00:00"/>
    <x v="15"/>
    <n v="30"/>
    <n v="32.299999999999997"/>
    <n v="1"/>
  </r>
  <r>
    <d v="2036-01-24T00:00:00"/>
    <x v="23"/>
    <n v="16.2"/>
    <n v="5.2"/>
    <n v="1"/>
  </r>
  <r>
    <d v="2036-01-25T00:00:00"/>
    <x v="7"/>
    <n v="12.2"/>
    <n v="0"/>
    <n v="1"/>
  </r>
  <r>
    <d v="2036-01-26T00:00:00"/>
    <x v="11"/>
    <n v="28.7"/>
    <n v="0.5"/>
    <n v="1"/>
  </r>
  <r>
    <d v="2036-01-27T00:00:00"/>
    <x v="2"/>
    <n v="23.3"/>
    <n v="11.1"/>
    <n v="1"/>
  </r>
  <r>
    <d v="2036-01-28T00:00:00"/>
    <x v="11"/>
    <n v="30"/>
    <n v="16.100000000000001"/>
    <n v="1"/>
  </r>
  <r>
    <d v="2036-01-29T00:00:00"/>
    <x v="14"/>
    <n v="16"/>
    <n v="9.8000000000000007"/>
    <n v="1"/>
  </r>
  <r>
    <d v="2036-01-30T00:00:00"/>
    <x v="16"/>
    <n v="21.6"/>
    <n v="3.4"/>
    <n v="1"/>
  </r>
  <r>
    <d v="2036-01-31T00:00:00"/>
    <x v="15"/>
    <n v="27.9"/>
    <n v="4.8"/>
    <n v="1"/>
  </r>
  <r>
    <d v="2036-02-01T00:00:00"/>
    <x v="9"/>
    <n v="17.5"/>
    <n v="14.7"/>
    <n v="1"/>
  </r>
  <r>
    <d v="2036-02-02T00:00:00"/>
    <x v="3"/>
    <n v="20.7"/>
    <n v="0"/>
    <n v="1"/>
  </r>
  <r>
    <d v="2036-02-03T00:00:00"/>
    <x v="6"/>
    <n v="10.8"/>
    <n v="36.4"/>
    <n v="1"/>
  </r>
  <r>
    <d v="2036-02-04T00:00:00"/>
    <x v="15"/>
    <n v="27.6"/>
    <n v="32.799999999999997"/>
    <n v="1"/>
  </r>
  <r>
    <d v="2036-02-05T00:00:00"/>
    <x v="7"/>
    <n v="10.8"/>
    <n v="11.6"/>
    <n v="1"/>
  </r>
  <r>
    <d v="2036-02-06T00:00:00"/>
    <x v="13"/>
    <n v="13.7"/>
    <n v="0"/>
    <n v="1"/>
  </r>
  <r>
    <d v="2036-02-07T00:00:00"/>
    <x v="14"/>
    <n v="19.5"/>
    <n v="0"/>
    <n v="1"/>
  </r>
  <r>
    <d v="2036-02-08T00:00:00"/>
    <x v="5"/>
    <n v="21.6"/>
    <n v="11.6"/>
    <n v="1"/>
  </r>
  <r>
    <d v="2036-02-09T00:00:00"/>
    <x v="13"/>
    <n v="21.6"/>
    <n v="2.7"/>
    <n v="1"/>
  </r>
  <r>
    <d v="2036-02-10T00:00:00"/>
    <x v="20"/>
    <n v="16.100000000000001"/>
    <n v="0"/>
    <n v="1"/>
  </r>
  <r>
    <d v="2036-02-11T00:00:00"/>
    <x v="2"/>
    <n v="29.4"/>
    <n v="12.5"/>
    <n v="1"/>
  </r>
  <r>
    <d v="2036-02-12T00:00:00"/>
    <x v="22"/>
    <n v="17.8"/>
    <n v="5.9"/>
    <n v="1"/>
  </r>
  <r>
    <d v="2036-02-13T00:00:00"/>
    <x v="15"/>
    <n v="26.1"/>
    <n v="14.8"/>
    <n v="1"/>
  </r>
  <r>
    <d v="2036-02-14T00:00:00"/>
    <x v="6"/>
    <n v="13.8"/>
    <n v="0"/>
    <n v="1"/>
  </r>
  <r>
    <d v="2036-02-15T00:00:00"/>
    <x v="8"/>
    <n v="16.100000000000001"/>
    <n v="6.2"/>
    <n v="1"/>
  </r>
  <r>
    <d v="2036-02-16T00:00:00"/>
    <x v="6"/>
    <n v="23.2"/>
    <n v="45.8"/>
    <n v="1"/>
  </r>
  <r>
    <d v="2036-02-17T00:00:00"/>
    <x v="8"/>
    <n v="18.899999999999999"/>
    <n v="0"/>
    <n v="1"/>
  </r>
  <r>
    <d v="2036-02-18T00:00:00"/>
    <x v="15"/>
    <n v="28.9"/>
    <n v="34.1"/>
    <n v="1"/>
  </r>
  <r>
    <d v="2036-02-19T00:00:00"/>
    <x v="6"/>
    <n v="19.3"/>
    <n v="49.6"/>
    <n v="1"/>
  </r>
  <r>
    <d v="2036-02-20T00:00:00"/>
    <x v="14"/>
    <n v="23.9"/>
    <n v="11.7"/>
    <n v="1"/>
  </r>
  <r>
    <d v="2036-02-21T00:00:00"/>
    <x v="9"/>
    <n v="28.6"/>
    <n v="11.5"/>
    <n v="1"/>
  </r>
  <r>
    <d v="2036-02-22T00:00:00"/>
    <x v="22"/>
    <n v="14.5"/>
    <n v="0.3"/>
    <n v="1"/>
  </r>
  <r>
    <d v="2036-02-23T00:00:00"/>
    <x v="6"/>
    <n v="13"/>
    <n v="0"/>
    <n v="1"/>
  </r>
  <r>
    <d v="2036-02-24T00:00:00"/>
    <x v="15"/>
    <n v="16.2"/>
    <n v="9.1999999999999993"/>
    <n v="1"/>
  </r>
  <r>
    <d v="2036-02-25T00:00:00"/>
    <x v="11"/>
    <n v="27.1"/>
    <n v="6.3"/>
    <n v="1"/>
  </r>
  <r>
    <d v="2036-02-26T00:00:00"/>
    <x v="6"/>
    <n v="15.6"/>
    <n v="28"/>
    <n v="1"/>
  </r>
  <r>
    <d v="2036-02-27T00:00:00"/>
    <x v="22"/>
    <n v="28.9"/>
    <n v="6.8"/>
    <n v="1"/>
  </r>
  <r>
    <d v="2036-02-28T00:00:00"/>
    <x v="2"/>
    <n v="13.8"/>
    <n v="11.9"/>
    <n v="1"/>
  </r>
  <r>
    <d v="2036-02-29T00:00:00"/>
    <x v="2"/>
    <n v="17.8"/>
    <n v="1.5"/>
    <n v="1"/>
  </r>
  <r>
    <d v="2036-03-01T00:00:00"/>
    <x v="18"/>
    <n v="25.1"/>
    <n v="0"/>
    <n v="1"/>
  </r>
  <r>
    <d v="2036-03-02T00:00:00"/>
    <x v="18"/>
    <n v="29.5"/>
    <n v="0"/>
    <n v="1"/>
  </r>
  <r>
    <d v="2036-03-03T00:00:00"/>
    <x v="22"/>
    <n v="16.100000000000001"/>
    <n v="7.1"/>
    <n v="1"/>
  </r>
  <r>
    <d v="2036-03-04T00:00:00"/>
    <x v="5"/>
    <n v="18"/>
    <n v="12"/>
    <n v="1"/>
  </r>
  <r>
    <d v="2036-03-05T00:00:00"/>
    <x v="6"/>
    <n v="12.2"/>
    <n v="26.8"/>
    <n v="1"/>
  </r>
  <r>
    <d v="2036-03-06T00:00:00"/>
    <x v="10"/>
    <n v="20.7"/>
    <n v="4.7"/>
    <n v="1"/>
  </r>
  <r>
    <d v="2036-03-07T00:00:00"/>
    <x v="6"/>
    <n v="20.100000000000001"/>
    <n v="47.4"/>
    <n v="1"/>
  </r>
  <r>
    <d v="2036-03-08T00:00:00"/>
    <x v="6"/>
    <n v="14.9"/>
    <n v="43.8"/>
    <n v="1"/>
  </r>
  <r>
    <d v="2036-03-09T00:00:00"/>
    <x v="6"/>
    <n v="19"/>
    <n v="0"/>
    <n v="1"/>
  </r>
  <r>
    <d v="2036-03-10T00:00:00"/>
    <x v="2"/>
    <n v="12.5"/>
    <n v="0"/>
    <n v="1"/>
  </r>
  <r>
    <d v="2036-03-11T00:00:00"/>
    <x v="9"/>
    <n v="15.2"/>
    <n v="13.9"/>
    <n v="1"/>
  </r>
  <r>
    <d v="2036-03-12T00:00:00"/>
    <x v="15"/>
    <n v="29.2"/>
    <n v="26.8"/>
    <n v="1"/>
  </r>
  <r>
    <d v="2036-03-13T00:00:00"/>
    <x v="2"/>
    <n v="13.9"/>
    <n v="1.1000000000000001"/>
    <n v="1"/>
  </r>
  <r>
    <d v="2036-03-14T00:00:00"/>
    <x v="11"/>
    <n v="11.4"/>
    <n v="0"/>
    <n v="1"/>
  </r>
  <r>
    <d v="2036-03-15T00:00:00"/>
    <x v="5"/>
    <n v="15.8"/>
    <n v="7"/>
    <n v="1"/>
  </r>
  <r>
    <d v="2036-03-16T00:00:00"/>
    <x v="6"/>
    <n v="10.199999999999999"/>
    <n v="43.3"/>
    <n v="1"/>
  </r>
  <r>
    <d v="2036-03-17T00:00:00"/>
    <x v="9"/>
    <n v="19.600000000000001"/>
    <n v="8.9"/>
    <n v="1"/>
  </r>
  <r>
    <d v="2036-03-18T00:00:00"/>
    <x v="2"/>
    <n v="15.5"/>
    <n v="10.1"/>
    <n v="1"/>
  </r>
  <r>
    <d v="2036-03-19T00:00:00"/>
    <x v="11"/>
    <n v="19.899999999999999"/>
    <n v="16.2"/>
    <n v="1"/>
  </r>
  <r>
    <d v="2036-03-20T00:00:00"/>
    <x v="14"/>
    <n v="10.7"/>
    <n v="2.8"/>
    <n v="1"/>
  </r>
  <r>
    <d v="2036-03-21T00:00:00"/>
    <x v="22"/>
    <n v="11.5"/>
    <n v="5.9"/>
    <n v="1"/>
  </r>
  <r>
    <d v="2036-03-22T00:00:00"/>
    <x v="10"/>
    <n v="28.4"/>
    <n v="1"/>
    <n v="1"/>
  </r>
  <r>
    <d v="2036-03-23T00:00:00"/>
    <x v="15"/>
    <n v="22.3"/>
    <n v="5.0999999999999996"/>
    <n v="1"/>
  </r>
  <r>
    <d v="2036-03-24T00:00:00"/>
    <x v="9"/>
    <n v="28.7"/>
    <n v="11.5"/>
    <n v="1"/>
  </r>
  <r>
    <d v="2036-03-25T00:00:00"/>
    <x v="2"/>
    <n v="19.100000000000001"/>
    <n v="0"/>
    <n v="1"/>
  </r>
  <r>
    <d v="2036-03-26T00:00:00"/>
    <x v="6"/>
    <n v="10.199999999999999"/>
    <n v="7.6"/>
    <n v="1"/>
  </r>
  <r>
    <d v="2036-03-27T00:00:00"/>
    <x v="6"/>
    <n v="18.399999999999999"/>
    <n v="0"/>
    <n v="1"/>
  </r>
  <r>
    <d v="2036-03-28T00:00:00"/>
    <x v="15"/>
    <n v="29.3"/>
    <n v="0"/>
    <n v="1"/>
  </r>
  <r>
    <d v="2036-03-29T00:00:00"/>
    <x v="13"/>
    <n v="26.7"/>
    <n v="5.7"/>
    <n v="1"/>
  </r>
  <r>
    <d v="2036-03-30T00:00:00"/>
    <x v="4"/>
    <n v="22.2"/>
    <n v="0.9"/>
    <n v="1"/>
  </r>
  <r>
    <d v="2036-03-31T00:00:00"/>
    <x v="9"/>
    <n v="25.5"/>
    <n v="5.8"/>
    <n v="1"/>
  </r>
  <r>
    <d v="2036-04-01T00:00:00"/>
    <x v="15"/>
    <n v="23.5"/>
    <n v="32"/>
    <n v="1"/>
  </r>
  <r>
    <d v="2036-04-02T00:00:00"/>
    <x v="1"/>
    <n v="28.4"/>
    <n v="5.7"/>
    <n v="1"/>
  </r>
  <r>
    <d v="2036-04-03T00:00:00"/>
    <x v="18"/>
    <n v="13.7"/>
    <n v="6"/>
    <n v="1"/>
  </r>
  <r>
    <d v="2036-04-04T00:00:00"/>
    <x v="5"/>
    <n v="22.1"/>
    <n v="11.7"/>
    <n v="1"/>
  </r>
  <r>
    <d v="2036-04-05T00:00:00"/>
    <x v="7"/>
    <n v="16.899999999999999"/>
    <n v="18.2"/>
    <n v="1"/>
  </r>
  <r>
    <d v="2036-04-06T00:00:00"/>
    <x v="18"/>
    <n v="28"/>
    <n v="0"/>
    <n v="1"/>
  </r>
  <r>
    <d v="2036-04-07T00:00:00"/>
    <x v="6"/>
    <n v="13.5"/>
    <n v="3.7"/>
    <n v="1"/>
  </r>
  <r>
    <d v="2036-04-08T00:00:00"/>
    <x v="15"/>
    <n v="13.4"/>
    <n v="22.5"/>
    <n v="1"/>
  </r>
  <r>
    <d v="2036-04-09T00:00:00"/>
    <x v="2"/>
    <n v="19.899999999999999"/>
    <n v="11.6"/>
    <n v="1"/>
  </r>
  <r>
    <d v="2036-04-10T00:00:00"/>
    <x v="3"/>
    <n v="24.2"/>
    <n v="11"/>
    <n v="1"/>
  </r>
  <r>
    <d v="2036-04-11T00:00:00"/>
    <x v="23"/>
    <n v="20.399999999999999"/>
    <n v="0"/>
    <n v="1"/>
  </r>
  <r>
    <d v="2036-04-12T00:00:00"/>
    <x v="23"/>
    <n v="16.600000000000001"/>
    <n v="3.9"/>
    <n v="1"/>
  </r>
  <r>
    <d v="2036-04-13T00:00:00"/>
    <x v="29"/>
    <n v="14.3"/>
    <n v="0"/>
    <n v="1"/>
  </r>
  <r>
    <d v="2036-04-14T00:00:00"/>
    <x v="22"/>
    <n v="24.4"/>
    <n v="4.4000000000000004"/>
    <n v="1"/>
  </r>
  <r>
    <d v="2036-04-15T00:00:00"/>
    <x v="6"/>
    <n v="26.7"/>
    <n v="30.4"/>
    <n v="1"/>
  </r>
  <r>
    <d v="2036-04-16T00:00:00"/>
    <x v="9"/>
    <n v="20.100000000000001"/>
    <n v="3.1"/>
    <n v="1"/>
  </r>
  <r>
    <d v="2036-04-17T00:00:00"/>
    <x v="2"/>
    <n v="13.5"/>
    <n v="6.9"/>
    <n v="1"/>
  </r>
  <r>
    <d v="2036-04-18T00:00:00"/>
    <x v="3"/>
    <n v="18.8"/>
    <n v="21.5"/>
    <n v="1"/>
  </r>
  <r>
    <d v="2036-04-19T00:00:00"/>
    <x v="15"/>
    <n v="18"/>
    <n v="13.9"/>
    <n v="1"/>
  </r>
  <r>
    <d v="2036-04-20T00:00:00"/>
    <x v="23"/>
    <n v="16.899999999999999"/>
    <n v="1.8"/>
    <n v="1"/>
  </r>
  <r>
    <d v="2036-04-21T00:00:00"/>
    <x v="2"/>
    <n v="23.7"/>
    <n v="13"/>
    <n v="1"/>
  </r>
  <r>
    <d v="2036-04-22T00:00:00"/>
    <x v="28"/>
    <n v="17.600000000000001"/>
    <n v="0.6"/>
    <n v="1"/>
  </r>
  <r>
    <d v="2036-04-23T00:00:00"/>
    <x v="3"/>
    <n v="29.1"/>
    <n v="8.3000000000000007"/>
    <n v="1"/>
  </r>
  <r>
    <d v="2036-04-24T00:00:00"/>
    <x v="5"/>
    <n v="26.8"/>
    <n v="11.2"/>
    <n v="1"/>
  </r>
  <r>
    <d v="2036-04-25T00:00:00"/>
    <x v="14"/>
    <n v="10.5"/>
    <n v="0"/>
    <n v="1"/>
  </r>
  <r>
    <d v="2036-04-26T00:00:00"/>
    <x v="7"/>
    <n v="13.5"/>
    <n v="0"/>
    <n v="1"/>
  </r>
  <r>
    <d v="2036-04-27T00:00:00"/>
    <x v="6"/>
    <n v="14"/>
    <n v="22"/>
    <n v="1"/>
  </r>
  <r>
    <d v="2036-04-28T00:00:00"/>
    <x v="7"/>
    <n v="26.7"/>
    <n v="8"/>
    <n v="1"/>
  </r>
  <r>
    <d v="2036-04-29T00:00:00"/>
    <x v="22"/>
    <n v="11.2"/>
    <n v="6.1"/>
    <n v="1"/>
  </r>
  <r>
    <d v="2036-04-30T00:00:00"/>
    <x v="23"/>
    <n v="24.7"/>
    <n v="0"/>
    <n v="1"/>
  </r>
  <r>
    <d v="2036-05-01T00:00:00"/>
    <x v="25"/>
    <n v="27.2"/>
    <n v="0.3"/>
    <n v="1"/>
  </r>
  <r>
    <d v="2036-05-02T00:00:00"/>
    <x v="26"/>
    <n v="11"/>
    <n v="0"/>
    <n v="1"/>
  </r>
  <r>
    <d v="2036-05-03T00:00:00"/>
    <x v="8"/>
    <n v="10.9"/>
    <n v="4.4000000000000004"/>
    <n v="1"/>
  </r>
  <r>
    <d v="2036-05-04T00:00:00"/>
    <x v="3"/>
    <n v="27.4"/>
    <n v="6"/>
    <n v="1"/>
  </r>
  <r>
    <d v="2036-05-05T00:00:00"/>
    <x v="2"/>
    <n v="20"/>
    <n v="7.6"/>
    <n v="1"/>
  </r>
  <r>
    <d v="2036-05-06T00:00:00"/>
    <x v="14"/>
    <n v="23.5"/>
    <n v="2.5"/>
    <n v="1"/>
  </r>
  <r>
    <d v="2036-05-07T00:00:00"/>
    <x v="7"/>
    <n v="28.5"/>
    <n v="0"/>
    <n v="1"/>
  </r>
  <r>
    <d v="2036-05-08T00:00:00"/>
    <x v="23"/>
    <n v="10.8"/>
    <n v="5.8"/>
    <n v="1"/>
  </r>
  <r>
    <d v="2036-05-09T00:00:00"/>
    <x v="11"/>
    <n v="18.899999999999999"/>
    <n v="9.5"/>
    <n v="1"/>
  </r>
  <r>
    <d v="2036-05-10T00:00:00"/>
    <x v="9"/>
    <n v="24"/>
    <n v="4"/>
    <n v="1"/>
  </r>
  <r>
    <d v="2036-05-11T00:00:00"/>
    <x v="8"/>
    <n v="12.7"/>
    <n v="3"/>
    <n v="1"/>
  </r>
  <r>
    <d v="2036-05-12T00:00:00"/>
    <x v="3"/>
    <n v="13.4"/>
    <n v="6.2"/>
    <n v="1"/>
  </r>
  <r>
    <d v="2036-05-13T00:00:00"/>
    <x v="6"/>
    <n v="15.9"/>
    <n v="0"/>
    <n v="1"/>
  </r>
  <r>
    <d v="2036-05-14T00:00:00"/>
    <x v="7"/>
    <n v="19.399999999999999"/>
    <n v="21.2"/>
    <n v="1"/>
  </r>
  <r>
    <d v="2036-05-15T00:00:00"/>
    <x v="11"/>
    <n v="16.3"/>
    <n v="17.600000000000001"/>
    <n v="1"/>
  </r>
  <r>
    <d v="2036-05-16T00:00:00"/>
    <x v="7"/>
    <n v="28"/>
    <n v="20.399999999999999"/>
    <n v="1"/>
  </r>
  <r>
    <d v="2036-05-17T00:00:00"/>
    <x v="8"/>
    <n v="19"/>
    <n v="5.2"/>
    <n v="1"/>
  </r>
  <r>
    <d v="2036-05-18T00:00:00"/>
    <x v="23"/>
    <n v="24.1"/>
    <n v="4.8"/>
    <n v="1"/>
  </r>
  <r>
    <d v="2036-05-19T00:00:00"/>
    <x v="6"/>
    <n v="15.2"/>
    <n v="25.7"/>
    <n v="1"/>
  </r>
  <r>
    <d v="2036-05-20T00:00:00"/>
    <x v="7"/>
    <n v="16.3"/>
    <n v="21"/>
    <n v="1"/>
  </r>
  <r>
    <d v="2036-05-21T00:00:00"/>
    <x v="3"/>
    <n v="26.9"/>
    <n v="0"/>
    <n v="1"/>
  </r>
  <r>
    <d v="2036-05-22T00:00:00"/>
    <x v="5"/>
    <n v="25"/>
    <n v="0.5"/>
    <n v="1"/>
  </r>
  <r>
    <d v="2036-05-23T00:00:00"/>
    <x v="13"/>
    <n v="25.1"/>
    <n v="5.2"/>
    <n v="1"/>
  </r>
  <r>
    <d v="2036-05-24T00:00:00"/>
    <x v="8"/>
    <n v="29.2"/>
    <n v="7.1"/>
    <n v="1"/>
  </r>
  <r>
    <d v="2036-05-25T00:00:00"/>
    <x v="9"/>
    <n v="18.100000000000001"/>
    <n v="5.0999999999999996"/>
    <n v="1"/>
  </r>
  <r>
    <d v="2036-05-26T00:00:00"/>
    <x v="7"/>
    <n v="12.5"/>
    <n v="0"/>
    <n v="1"/>
  </r>
  <r>
    <d v="2036-05-27T00:00:00"/>
    <x v="7"/>
    <n v="19.100000000000001"/>
    <n v="0.3"/>
    <n v="1"/>
  </r>
  <r>
    <d v="2036-05-28T00:00:00"/>
    <x v="15"/>
    <n v="27.4"/>
    <n v="0"/>
    <n v="1"/>
  </r>
  <r>
    <d v="2036-05-29T00:00:00"/>
    <x v="3"/>
    <n v="21.1"/>
    <n v="10.4"/>
    <n v="1"/>
  </r>
  <r>
    <d v="2036-05-30T00:00:00"/>
    <x v="23"/>
    <n v="13.4"/>
    <n v="0"/>
    <n v="1"/>
  </r>
  <r>
    <d v="2036-05-31T00:00:00"/>
    <x v="1"/>
    <n v="11.9"/>
    <n v="7.3"/>
    <n v="1"/>
  </r>
  <r>
    <d v="2036-06-01T00:00:00"/>
    <x v="9"/>
    <n v="20.399999999999999"/>
    <n v="4.3"/>
    <n v="1"/>
  </r>
  <r>
    <d v="2036-06-02T00:00:00"/>
    <x v="3"/>
    <n v="29.5"/>
    <n v="18.600000000000001"/>
    <n v="1"/>
  </r>
  <r>
    <d v="2036-06-03T00:00:00"/>
    <x v="8"/>
    <n v="24.1"/>
    <n v="5"/>
    <n v="1"/>
  </r>
  <r>
    <d v="2036-06-04T00:00:00"/>
    <x v="10"/>
    <n v="11.5"/>
    <n v="3.6"/>
    <n v="1"/>
  </r>
  <r>
    <d v="2036-06-05T00:00:00"/>
    <x v="21"/>
    <n v="21.2"/>
    <n v="1.8"/>
    <n v="1"/>
  </r>
  <r>
    <d v="2036-06-06T00:00:00"/>
    <x v="6"/>
    <n v="22.2"/>
    <n v="40.299999999999997"/>
    <n v="1"/>
  </r>
  <r>
    <d v="2036-06-07T00:00:00"/>
    <x v="6"/>
    <n v="14.6"/>
    <n v="2.6"/>
    <n v="1"/>
  </r>
  <r>
    <d v="2036-06-08T00:00:00"/>
    <x v="9"/>
    <n v="23.3"/>
    <n v="8.1"/>
    <n v="1"/>
  </r>
  <r>
    <d v="2036-06-09T00:00:00"/>
    <x v="9"/>
    <n v="16.2"/>
    <n v="10.4"/>
    <n v="1"/>
  </r>
  <r>
    <d v="2036-06-10T00:00:00"/>
    <x v="6"/>
    <n v="25.9"/>
    <n v="0"/>
    <n v="1"/>
  </r>
  <r>
    <d v="2036-06-11T00:00:00"/>
    <x v="1"/>
    <n v="14.6"/>
    <n v="7"/>
    <n v="1"/>
  </r>
  <r>
    <d v="2036-06-12T00:00:00"/>
    <x v="14"/>
    <n v="15.1"/>
    <n v="11.7"/>
    <n v="1"/>
  </r>
  <r>
    <d v="2036-06-13T00:00:00"/>
    <x v="15"/>
    <n v="14.1"/>
    <n v="6.5"/>
    <n v="1"/>
  </r>
  <r>
    <d v="2036-06-14T00:00:00"/>
    <x v="23"/>
    <n v="22.1"/>
    <n v="1.8"/>
    <n v="1"/>
  </r>
  <r>
    <d v="2036-06-15T00:00:00"/>
    <x v="7"/>
    <n v="27.2"/>
    <n v="21.9"/>
    <n v="1"/>
  </r>
  <r>
    <d v="2036-06-16T00:00:00"/>
    <x v="2"/>
    <n v="10.8"/>
    <n v="0"/>
    <n v="1"/>
  </r>
  <r>
    <d v="2036-06-17T00:00:00"/>
    <x v="3"/>
    <n v="24.6"/>
    <n v="0"/>
    <n v="1"/>
  </r>
  <r>
    <d v="2036-06-18T00:00:00"/>
    <x v="6"/>
    <n v="27.8"/>
    <n v="26.3"/>
    <n v="1"/>
  </r>
  <r>
    <d v="2036-06-19T00:00:00"/>
    <x v="10"/>
    <n v="12.9"/>
    <n v="2.8"/>
    <n v="1"/>
  </r>
  <r>
    <d v="2036-06-20T00:00:00"/>
    <x v="9"/>
    <n v="13.9"/>
    <n v="0.6"/>
    <n v="1"/>
  </r>
  <r>
    <d v="2036-06-21T00:00:00"/>
    <x v="25"/>
    <n v="27.6"/>
    <n v="0.6"/>
    <n v="1"/>
  </r>
  <r>
    <d v="2036-06-22T00:00:00"/>
    <x v="7"/>
    <n v="18.600000000000001"/>
    <n v="21.5"/>
    <n v="1"/>
  </r>
  <r>
    <d v="2036-06-23T00:00:00"/>
    <x v="2"/>
    <n v="17.8"/>
    <n v="0"/>
    <n v="1"/>
  </r>
  <r>
    <d v="2036-06-24T00:00:00"/>
    <x v="11"/>
    <n v="20.8"/>
    <n v="8.5"/>
    <n v="1"/>
  </r>
  <r>
    <d v="2036-06-25T00:00:00"/>
    <x v="18"/>
    <n v="16.399999999999999"/>
    <n v="6.8"/>
    <n v="1"/>
  </r>
  <r>
    <d v="2036-06-26T00:00:00"/>
    <x v="23"/>
    <n v="14.6"/>
    <n v="0"/>
    <n v="1"/>
  </r>
  <r>
    <d v="2036-06-27T00:00:00"/>
    <x v="5"/>
    <n v="27.1"/>
    <n v="1.2"/>
    <n v="1"/>
  </r>
  <r>
    <d v="2036-06-28T00:00:00"/>
    <x v="6"/>
    <n v="18.3"/>
    <n v="3.7"/>
    <n v="1"/>
  </r>
  <r>
    <d v="2036-06-29T00:00:00"/>
    <x v="25"/>
    <n v="27.1"/>
    <n v="0.2"/>
    <n v="1"/>
  </r>
  <r>
    <d v="2036-06-30T00:00:00"/>
    <x v="11"/>
    <n v="12.9"/>
    <n v="10.199999999999999"/>
    <n v="1"/>
  </r>
  <r>
    <d v="2036-07-01T00:00:00"/>
    <x v="15"/>
    <n v="19.100000000000001"/>
    <n v="19.600000000000001"/>
    <n v="1"/>
  </r>
  <r>
    <d v="2036-07-02T00:00:00"/>
    <x v="2"/>
    <n v="19.2"/>
    <n v="3.6"/>
    <n v="1"/>
  </r>
  <r>
    <d v="2036-07-03T00:00:00"/>
    <x v="5"/>
    <n v="25.2"/>
    <n v="0"/>
    <n v="1"/>
  </r>
  <r>
    <d v="2036-07-04T00:00:00"/>
    <x v="11"/>
    <n v="13.5"/>
    <n v="6.3"/>
    <n v="1"/>
  </r>
  <r>
    <d v="2036-07-05T00:00:00"/>
    <x v="8"/>
    <n v="19.2"/>
    <n v="7.7"/>
    <n v="1"/>
  </r>
  <r>
    <d v="2036-07-06T00:00:00"/>
    <x v="10"/>
    <n v="24.1"/>
    <n v="7.8"/>
    <n v="1"/>
  </r>
  <r>
    <d v="2036-07-07T00:00:00"/>
    <x v="6"/>
    <n v="17.8"/>
    <n v="13.4"/>
    <n v="1"/>
  </r>
  <r>
    <d v="2036-07-08T00:00:00"/>
    <x v="3"/>
    <n v="24.7"/>
    <n v="21.1"/>
    <n v="1"/>
  </r>
  <r>
    <d v="2036-07-09T00:00:00"/>
    <x v="16"/>
    <n v="16.8"/>
    <n v="0"/>
    <n v="1"/>
  </r>
  <r>
    <d v="2036-07-10T00:00:00"/>
    <x v="1"/>
    <n v="10.7"/>
    <n v="3"/>
    <n v="1"/>
  </r>
  <r>
    <d v="2036-07-11T00:00:00"/>
    <x v="2"/>
    <n v="29.3"/>
    <n v="8.3000000000000007"/>
    <n v="1"/>
  </r>
  <r>
    <d v="2036-07-12T00:00:00"/>
    <x v="21"/>
    <n v="28.2"/>
    <n v="0"/>
    <n v="1"/>
  </r>
  <r>
    <d v="2036-07-13T00:00:00"/>
    <x v="6"/>
    <n v="17.3"/>
    <n v="33.6"/>
    <n v="1"/>
  </r>
  <r>
    <d v="2036-07-14T00:00:00"/>
    <x v="2"/>
    <n v="24.6"/>
    <n v="0"/>
    <n v="1"/>
  </r>
  <r>
    <d v="2036-07-15T00:00:00"/>
    <x v="8"/>
    <n v="12.6"/>
    <n v="0.6"/>
    <n v="1"/>
  </r>
  <r>
    <d v="2036-07-16T00:00:00"/>
    <x v="15"/>
    <n v="27.3"/>
    <n v="0"/>
    <n v="1"/>
  </r>
  <r>
    <d v="2036-07-17T00:00:00"/>
    <x v="4"/>
    <n v="14.4"/>
    <n v="2"/>
    <n v="1"/>
  </r>
  <r>
    <d v="2036-07-18T00:00:00"/>
    <x v="6"/>
    <n v="11.2"/>
    <n v="32.6"/>
    <n v="1"/>
  </r>
  <r>
    <d v="2036-07-19T00:00:00"/>
    <x v="15"/>
    <n v="11.4"/>
    <n v="5.5"/>
    <n v="1"/>
  </r>
  <r>
    <d v="2036-07-20T00:00:00"/>
    <x v="10"/>
    <n v="22.9"/>
    <n v="0"/>
    <n v="1"/>
  </r>
  <r>
    <d v="2036-07-21T00:00:00"/>
    <x v="3"/>
    <n v="14.3"/>
    <n v="13.2"/>
    <n v="1"/>
  </r>
  <r>
    <d v="2036-07-22T00:00:00"/>
    <x v="6"/>
    <n v="22.9"/>
    <n v="22.9"/>
    <n v="1"/>
  </r>
  <r>
    <d v="2036-07-23T00:00:00"/>
    <x v="7"/>
    <n v="11.8"/>
    <n v="0"/>
    <n v="1"/>
  </r>
  <r>
    <d v="2036-07-24T00:00:00"/>
    <x v="14"/>
    <n v="24.5"/>
    <n v="0"/>
    <n v="1"/>
  </r>
  <r>
    <d v="2036-07-25T00:00:00"/>
    <x v="11"/>
    <n v="25.5"/>
    <n v="19.3"/>
    <n v="1"/>
  </r>
  <r>
    <d v="2036-07-26T00:00:00"/>
    <x v="15"/>
    <n v="14.7"/>
    <n v="18.3"/>
    <n v="1"/>
  </r>
  <r>
    <d v="2036-07-27T00:00:00"/>
    <x v="11"/>
    <n v="28.7"/>
    <n v="0"/>
    <n v="1"/>
  </r>
  <r>
    <d v="2036-07-28T00:00:00"/>
    <x v="6"/>
    <n v="16.7"/>
    <n v="0"/>
    <n v="1"/>
  </r>
  <r>
    <d v="2036-07-29T00:00:00"/>
    <x v="11"/>
    <n v="17.399999999999999"/>
    <n v="13.7"/>
    <n v="1"/>
  </r>
  <r>
    <d v="2036-07-30T00:00:00"/>
    <x v="6"/>
    <n v="15.6"/>
    <n v="0"/>
    <n v="1"/>
  </r>
  <r>
    <d v="2036-07-31T00:00:00"/>
    <x v="15"/>
    <n v="21.7"/>
    <n v="0"/>
    <n v="1"/>
  </r>
  <r>
    <d v="2036-08-01T00:00:00"/>
    <x v="3"/>
    <n v="26"/>
    <n v="0"/>
    <n v="1"/>
  </r>
  <r>
    <d v="2036-08-02T00:00:00"/>
    <x v="18"/>
    <n v="24.5"/>
    <n v="9"/>
    <n v="1"/>
  </r>
  <r>
    <d v="2036-08-03T00:00:00"/>
    <x v="13"/>
    <n v="23.2"/>
    <n v="0"/>
    <n v="1"/>
  </r>
  <r>
    <d v="2036-08-04T00:00:00"/>
    <x v="20"/>
    <n v="17.600000000000001"/>
    <n v="0.8"/>
    <n v="1"/>
  </r>
  <r>
    <d v="2036-08-05T00:00:00"/>
    <x v="3"/>
    <n v="13.9"/>
    <n v="8.8000000000000007"/>
    <n v="1"/>
  </r>
  <r>
    <d v="2036-08-06T00:00:00"/>
    <x v="23"/>
    <n v="20.7"/>
    <n v="4.3"/>
    <n v="1"/>
  </r>
  <r>
    <d v="2036-08-07T00:00:00"/>
    <x v="1"/>
    <n v="10.1"/>
    <n v="1.7"/>
    <n v="1"/>
  </r>
  <r>
    <d v="2036-08-08T00:00:00"/>
    <x v="3"/>
    <n v="26.2"/>
    <n v="22.7"/>
    <n v="1"/>
  </r>
  <r>
    <d v="2036-08-09T00:00:00"/>
    <x v="15"/>
    <n v="27.6"/>
    <n v="13.8"/>
    <n v="1"/>
  </r>
  <r>
    <d v="2036-08-10T00:00:00"/>
    <x v="2"/>
    <n v="20.6"/>
    <n v="4.7"/>
    <n v="1"/>
  </r>
  <r>
    <d v="2036-08-11T00:00:00"/>
    <x v="5"/>
    <n v="21.4"/>
    <n v="5"/>
    <n v="1"/>
  </r>
  <r>
    <d v="2036-08-12T00:00:00"/>
    <x v="2"/>
    <n v="17.100000000000001"/>
    <n v="0"/>
    <n v="1"/>
  </r>
  <r>
    <d v="2036-08-13T00:00:00"/>
    <x v="6"/>
    <n v="19.5"/>
    <n v="20.5"/>
    <n v="1"/>
  </r>
  <r>
    <d v="2036-08-14T00:00:00"/>
    <x v="9"/>
    <n v="15.9"/>
    <n v="0"/>
    <n v="1"/>
  </r>
  <r>
    <d v="2036-08-15T00:00:00"/>
    <x v="6"/>
    <n v="21.1"/>
    <n v="46.8"/>
    <n v="1"/>
  </r>
  <r>
    <d v="2036-08-16T00:00:00"/>
    <x v="15"/>
    <n v="20.2"/>
    <n v="36.6"/>
    <n v="1"/>
  </r>
  <r>
    <d v="2036-08-17T00:00:00"/>
    <x v="8"/>
    <n v="25"/>
    <n v="7.8"/>
    <n v="1"/>
  </r>
  <r>
    <d v="2036-08-18T00:00:00"/>
    <x v="6"/>
    <n v="22.1"/>
    <n v="8.8000000000000007"/>
    <n v="1"/>
  </r>
  <r>
    <d v="2036-08-19T00:00:00"/>
    <x v="29"/>
    <n v="28.9"/>
    <n v="0.5"/>
    <n v="1"/>
  </r>
  <r>
    <d v="2036-08-20T00:00:00"/>
    <x v="7"/>
    <n v="19.600000000000001"/>
    <n v="0"/>
    <n v="1"/>
  </r>
  <r>
    <d v="2036-08-21T00:00:00"/>
    <x v="3"/>
    <n v="18"/>
    <n v="13.2"/>
    <n v="1"/>
  </r>
  <r>
    <d v="2036-08-22T00:00:00"/>
    <x v="8"/>
    <n v="28.3"/>
    <n v="0"/>
    <n v="1"/>
  </r>
  <r>
    <d v="2036-08-23T00:00:00"/>
    <x v="2"/>
    <n v="25.2"/>
    <n v="0"/>
    <n v="1"/>
  </r>
  <r>
    <d v="2036-08-24T00:00:00"/>
    <x v="6"/>
    <n v="22.5"/>
    <n v="0"/>
    <n v="1"/>
  </r>
  <r>
    <d v="2036-08-25T00:00:00"/>
    <x v="9"/>
    <n v="19.899999999999999"/>
    <n v="6.7"/>
    <n v="1"/>
  </r>
  <r>
    <d v="2036-08-26T00:00:00"/>
    <x v="7"/>
    <n v="10.8"/>
    <n v="19.600000000000001"/>
    <n v="1"/>
  </r>
  <r>
    <d v="2036-08-27T00:00:00"/>
    <x v="15"/>
    <n v="18.399999999999999"/>
    <n v="0.6"/>
    <n v="1"/>
  </r>
  <r>
    <d v="2036-08-28T00:00:00"/>
    <x v="22"/>
    <n v="27.6"/>
    <n v="3.7"/>
    <n v="1"/>
  </r>
  <r>
    <d v="2036-08-29T00:00:00"/>
    <x v="22"/>
    <n v="11.3"/>
    <n v="1.9"/>
    <n v="1"/>
  </r>
  <r>
    <d v="2036-08-30T00:00:00"/>
    <x v="22"/>
    <n v="28.7"/>
    <n v="0"/>
    <n v="1"/>
  </r>
  <r>
    <d v="2036-08-31T00:00:00"/>
    <x v="17"/>
    <n v="15"/>
    <n v="1.7"/>
    <n v="1"/>
  </r>
  <r>
    <d v="2036-09-01T00:00:00"/>
    <x v="3"/>
    <n v="15.1"/>
    <n v="13.5"/>
    <n v="1"/>
  </r>
  <r>
    <d v="2036-09-02T00:00:00"/>
    <x v="15"/>
    <n v="19.399999999999999"/>
    <n v="29.6"/>
    <n v="1"/>
  </r>
  <r>
    <d v="2036-09-03T00:00:00"/>
    <x v="3"/>
    <n v="21.9"/>
    <n v="1.6"/>
    <n v="1"/>
  </r>
  <r>
    <d v="2036-09-04T00:00:00"/>
    <x v="14"/>
    <n v="19.399999999999999"/>
    <n v="9.8000000000000007"/>
    <n v="1"/>
  </r>
  <r>
    <d v="2036-09-05T00:00:00"/>
    <x v="3"/>
    <n v="21.8"/>
    <n v="18.5"/>
    <n v="1"/>
  </r>
  <r>
    <d v="2036-09-06T00:00:00"/>
    <x v="13"/>
    <n v="29.3"/>
    <n v="2.8"/>
    <n v="1"/>
  </r>
  <r>
    <d v="2036-09-07T00:00:00"/>
    <x v="15"/>
    <n v="14.4"/>
    <n v="0"/>
    <n v="1"/>
  </r>
  <r>
    <d v="2036-09-08T00:00:00"/>
    <x v="6"/>
    <n v="14.5"/>
    <n v="0"/>
    <n v="1"/>
  </r>
  <r>
    <d v="2036-09-09T00:00:00"/>
    <x v="11"/>
    <n v="18.399999999999999"/>
    <n v="10.1"/>
    <n v="1"/>
  </r>
  <r>
    <d v="2036-09-10T00:00:00"/>
    <x v="14"/>
    <n v="29.8"/>
    <n v="0"/>
    <n v="1"/>
  </r>
  <r>
    <d v="2036-09-11T00:00:00"/>
    <x v="3"/>
    <n v="27.3"/>
    <n v="18.600000000000001"/>
    <n v="1"/>
  </r>
  <r>
    <d v="2036-09-12T00:00:00"/>
    <x v="5"/>
    <n v="22.7"/>
    <n v="0"/>
    <n v="1"/>
  </r>
  <r>
    <d v="2036-09-13T00:00:00"/>
    <x v="6"/>
    <n v="27.3"/>
    <n v="18.399999999999999"/>
    <n v="1"/>
  </r>
  <r>
    <d v="2036-09-14T00:00:00"/>
    <x v="14"/>
    <n v="12.9"/>
    <n v="0"/>
    <n v="1"/>
  </r>
  <r>
    <d v="2036-09-15T00:00:00"/>
    <x v="15"/>
    <n v="24.3"/>
    <n v="1.9"/>
    <n v="1"/>
  </r>
  <r>
    <d v="2036-09-16T00:00:00"/>
    <x v="14"/>
    <n v="20.6"/>
    <n v="14.6"/>
    <n v="1"/>
  </r>
  <r>
    <d v="2036-09-17T00:00:00"/>
    <x v="1"/>
    <n v="24.2"/>
    <n v="0"/>
    <n v="1"/>
  </r>
  <r>
    <d v="2036-09-18T00:00:00"/>
    <x v="6"/>
    <n v="15.2"/>
    <n v="0"/>
    <n v="1"/>
  </r>
  <r>
    <d v="2036-09-19T00:00:00"/>
    <x v="21"/>
    <n v="27.3"/>
    <n v="2.5"/>
    <n v="1"/>
  </r>
  <r>
    <d v="2036-09-20T00:00:00"/>
    <x v="21"/>
    <n v="28"/>
    <n v="0"/>
    <n v="1"/>
  </r>
  <r>
    <d v="2036-09-21T00:00:00"/>
    <x v="27"/>
    <n v="16.100000000000001"/>
    <n v="0"/>
    <n v="1"/>
  </r>
  <r>
    <d v="2036-09-22T00:00:00"/>
    <x v="15"/>
    <n v="18.8"/>
    <n v="16.899999999999999"/>
    <n v="1"/>
  </r>
  <r>
    <d v="2036-09-23T00:00:00"/>
    <x v="6"/>
    <n v="13.2"/>
    <n v="10.4"/>
    <n v="1"/>
  </r>
  <r>
    <d v="2036-09-24T00:00:00"/>
    <x v="1"/>
    <n v="17.899999999999999"/>
    <n v="3.5"/>
    <n v="1"/>
  </r>
  <r>
    <d v="2036-09-25T00:00:00"/>
    <x v="3"/>
    <n v="18.3"/>
    <n v="16.7"/>
    <n v="1"/>
  </r>
  <r>
    <d v="2036-09-26T00:00:00"/>
    <x v="13"/>
    <n v="25.7"/>
    <n v="2"/>
    <n v="1"/>
  </r>
  <r>
    <d v="2036-09-27T00:00:00"/>
    <x v="6"/>
    <n v="29.2"/>
    <n v="31.5"/>
    <n v="1"/>
  </r>
  <r>
    <d v="2036-09-28T00:00:00"/>
    <x v="3"/>
    <n v="21.5"/>
    <n v="0"/>
    <n v="1"/>
  </r>
  <r>
    <d v="2036-09-29T00:00:00"/>
    <x v="7"/>
    <n v="29.5"/>
    <n v="12.2"/>
    <n v="1"/>
  </r>
  <r>
    <d v="2036-09-30T00:00:00"/>
    <x v="3"/>
    <n v="17.7"/>
    <n v="10.1"/>
    <n v="1"/>
  </r>
  <r>
    <d v="2036-10-01T00:00:00"/>
    <x v="15"/>
    <n v="26.7"/>
    <n v="1.2"/>
    <n v="1"/>
  </r>
  <r>
    <d v="2036-10-02T00:00:00"/>
    <x v="6"/>
    <n v="13.3"/>
    <n v="0.5"/>
    <n v="1"/>
  </r>
  <r>
    <d v="2036-10-03T00:00:00"/>
    <x v="3"/>
    <n v="13.4"/>
    <n v="23.4"/>
    <n v="1"/>
  </r>
  <r>
    <d v="2036-10-04T00:00:00"/>
    <x v="7"/>
    <n v="22.1"/>
    <n v="17.7"/>
    <n v="1"/>
  </r>
  <r>
    <d v="2036-10-05T00:00:00"/>
    <x v="18"/>
    <n v="11.4"/>
    <n v="0"/>
    <n v="1"/>
  </r>
  <r>
    <d v="2036-10-06T00:00:00"/>
    <x v="11"/>
    <n v="26"/>
    <n v="4.9000000000000004"/>
    <n v="1"/>
  </r>
  <r>
    <d v="2036-10-07T00:00:00"/>
    <x v="11"/>
    <n v="27.8"/>
    <n v="6.7"/>
    <n v="1"/>
  </r>
  <r>
    <d v="2036-10-08T00:00:00"/>
    <x v="3"/>
    <n v="29.3"/>
    <n v="1.7"/>
    <n v="1"/>
  </r>
  <r>
    <d v="2036-10-09T00:00:00"/>
    <x v="19"/>
    <n v="24.7"/>
    <n v="2.5"/>
    <n v="1"/>
  </r>
  <r>
    <d v="2036-10-10T00:00:00"/>
    <x v="0"/>
    <n v="16.600000000000001"/>
    <n v="0.1"/>
    <n v="1"/>
  </r>
  <r>
    <d v="2036-10-11T00:00:00"/>
    <x v="14"/>
    <n v="27.5"/>
    <n v="0"/>
    <n v="1"/>
  </r>
  <r>
    <d v="2036-10-12T00:00:00"/>
    <x v="11"/>
    <n v="22.7"/>
    <n v="0"/>
    <n v="1"/>
  </r>
  <r>
    <d v="2036-10-13T00:00:00"/>
    <x v="8"/>
    <n v="20.100000000000001"/>
    <n v="10.5"/>
    <n v="1"/>
  </r>
  <r>
    <d v="2036-10-14T00:00:00"/>
    <x v="3"/>
    <n v="16.100000000000001"/>
    <n v="8.1"/>
    <n v="1"/>
  </r>
  <r>
    <d v="2036-10-15T00:00:00"/>
    <x v="3"/>
    <n v="13.9"/>
    <n v="0"/>
    <n v="1"/>
  </r>
  <r>
    <d v="2036-10-16T00:00:00"/>
    <x v="8"/>
    <n v="22.3"/>
    <n v="0"/>
    <n v="1"/>
  </r>
  <r>
    <d v="2036-10-17T00:00:00"/>
    <x v="22"/>
    <n v="13"/>
    <n v="0"/>
    <n v="1"/>
  </r>
  <r>
    <d v="2036-10-18T00:00:00"/>
    <x v="7"/>
    <n v="16.2"/>
    <n v="0"/>
    <n v="1"/>
  </r>
  <r>
    <d v="2036-10-19T00:00:00"/>
    <x v="10"/>
    <n v="24.8"/>
    <n v="0"/>
    <n v="1"/>
  </r>
  <r>
    <d v="2036-10-20T00:00:00"/>
    <x v="9"/>
    <n v="29.7"/>
    <n v="0"/>
    <n v="1"/>
  </r>
  <r>
    <d v="2036-10-21T00:00:00"/>
    <x v="6"/>
    <n v="17.600000000000001"/>
    <n v="14.7"/>
    <n v="1"/>
  </r>
  <r>
    <d v="2036-10-22T00:00:00"/>
    <x v="6"/>
    <n v="10.4"/>
    <n v="27.7"/>
    <n v="1"/>
  </r>
  <r>
    <d v="2036-10-23T00:00:00"/>
    <x v="11"/>
    <n v="17"/>
    <n v="1.1000000000000001"/>
    <n v="1"/>
  </r>
  <r>
    <d v="2036-10-24T00:00:00"/>
    <x v="14"/>
    <n v="15.7"/>
    <n v="5.9"/>
    <n v="1"/>
  </r>
  <r>
    <d v="2036-10-25T00:00:00"/>
    <x v="15"/>
    <n v="23.8"/>
    <n v="4.3"/>
    <n v="1"/>
  </r>
  <r>
    <d v="2036-10-26T00:00:00"/>
    <x v="7"/>
    <n v="16.2"/>
    <n v="8.6999999999999993"/>
    <n v="1"/>
  </r>
  <r>
    <d v="2036-10-27T00:00:00"/>
    <x v="1"/>
    <n v="23.3"/>
    <n v="5.8"/>
    <n v="1"/>
  </r>
  <r>
    <d v="2036-10-28T00:00:00"/>
    <x v="3"/>
    <n v="18.7"/>
    <n v="1.1000000000000001"/>
    <n v="1"/>
  </r>
  <r>
    <d v="2036-10-29T00:00:00"/>
    <x v="13"/>
    <n v="27.9"/>
    <n v="2.6"/>
    <n v="1"/>
  </r>
  <r>
    <d v="2036-10-30T00:00:00"/>
    <x v="14"/>
    <n v="19.8"/>
    <n v="0"/>
    <n v="1"/>
  </r>
  <r>
    <d v="2036-10-31T00:00:00"/>
    <x v="7"/>
    <n v="16.7"/>
    <n v="3.5"/>
    <n v="1"/>
  </r>
  <r>
    <d v="2036-11-01T00:00:00"/>
    <x v="19"/>
    <n v="28.6"/>
    <n v="0"/>
    <n v="1"/>
  </r>
  <r>
    <d v="2036-11-02T00:00:00"/>
    <x v="6"/>
    <n v="10.8"/>
    <n v="32.9"/>
    <n v="1"/>
  </r>
  <r>
    <d v="2036-11-03T00:00:00"/>
    <x v="14"/>
    <n v="12.8"/>
    <n v="0"/>
    <n v="1"/>
  </r>
  <r>
    <d v="2036-11-04T00:00:00"/>
    <x v="22"/>
    <n v="17.600000000000001"/>
    <n v="0"/>
    <n v="1"/>
  </r>
  <r>
    <d v="2036-11-05T00:00:00"/>
    <x v="18"/>
    <n v="24.1"/>
    <n v="0"/>
    <n v="1"/>
  </r>
  <r>
    <d v="2036-11-06T00:00:00"/>
    <x v="7"/>
    <n v="11.4"/>
    <n v="18.2"/>
    <n v="1"/>
  </r>
  <r>
    <d v="2036-11-07T00:00:00"/>
    <x v="5"/>
    <n v="21.9"/>
    <n v="5.4"/>
    <n v="1"/>
  </r>
  <r>
    <d v="2036-11-08T00:00:00"/>
    <x v="22"/>
    <n v="16.8"/>
    <n v="1.6"/>
    <n v="1"/>
  </r>
  <r>
    <d v="2036-11-09T00:00:00"/>
    <x v="2"/>
    <n v="26"/>
    <n v="0"/>
    <n v="1"/>
  </r>
  <r>
    <d v="2036-11-10T00:00:00"/>
    <x v="7"/>
    <n v="20.2"/>
    <n v="10"/>
    <n v="1"/>
  </r>
  <r>
    <d v="2036-11-11T00:00:00"/>
    <x v="15"/>
    <n v="20.3"/>
    <n v="37.799999999999997"/>
    <n v="1"/>
  </r>
  <r>
    <d v="2036-11-12T00:00:00"/>
    <x v="3"/>
    <n v="27.5"/>
    <n v="20.8"/>
    <n v="1"/>
  </r>
  <r>
    <d v="2036-11-13T00:00:00"/>
    <x v="15"/>
    <n v="24.2"/>
    <n v="2.9"/>
    <n v="1"/>
  </r>
  <r>
    <d v="2036-11-14T00:00:00"/>
    <x v="7"/>
    <n v="10.7"/>
    <n v="14.3"/>
    <n v="1"/>
  </r>
  <r>
    <d v="2036-11-15T00:00:00"/>
    <x v="15"/>
    <n v="17.3"/>
    <n v="0"/>
    <n v="1"/>
  </r>
  <r>
    <d v="2036-11-16T00:00:00"/>
    <x v="7"/>
    <n v="13.5"/>
    <n v="21.1"/>
    <n v="1"/>
  </r>
  <r>
    <d v="2036-11-17T00:00:00"/>
    <x v="2"/>
    <n v="13.6"/>
    <n v="6"/>
    <n v="1"/>
  </r>
  <r>
    <d v="2036-11-18T00:00:00"/>
    <x v="1"/>
    <n v="19.899999999999999"/>
    <n v="0"/>
    <n v="1"/>
  </r>
  <r>
    <d v="2036-11-19T00:00:00"/>
    <x v="14"/>
    <n v="13.1"/>
    <n v="10.199999999999999"/>
    <n v="1"/>
  </r>
  <r>
    <d v="2036-11-20T00:00:00"/>
    <x v="17"/>
    <n v="29.8"/>
    <n v="1.9"/>
    <n v="1"/>
  </r>
  <r>
    <d v="2036-11-21T00:00:00"/>
    <x v="24"/>
    <n v="23.7"/>
    <n v="0.3"/>
    <n v="1"/>
  </r>
  <r>
    <d v="2036-11-22T00:00:00"/>
    <x v="15"/>
    <n v="14"/>
    <n v="0"/>
    <n v="1"/>
  </r>
  <r>
    <d v="2036-11-23T00:00:00"/>
    <x v="26"/>
    <n v="19"/>
    <n v="0.5"/>
    <n v="1"/>
  </r>
  <r>
    <d v="2036-11-24T00:00:00"/>
    <x v="28"/>
    <n v="23.9"/>
    <n v="0.5"/>
    <n v="1"/>
  </r>
  <r>
    <d v="2036-11-25T00:00:00"/>
    <x v="15"/>
    <n v="12.8"/>
    <n v="26.7"/>
    <n v="1"/>
  </r>
  <r>
    <d v="2036-11-26T00:00:00"/>
    <x v="3"/>
    <n v="26.9"/>
    <n v="4.5"/>
    <n v="1"/>
  </r>
  <r>
    <d v="2036-11-27T00:00:00"/>
    <x v="22"/>
    <n v="10.6"/>
    <n v="0"/>
    <n v="1"/>
  </r>
  <r>
    <d v="2036-11-28T00:00:00"/>
    <x v="7"/>
    <n v="21.1"/>
    <n v="10.6"/>
    <n v="1"/>
  </r>
  <r>
    <d v="2036-11-29T00:00:00"/>
    <x v="2"/>
    <n v="11.7"/>
    <n v="9.9"/>
    <n v="1"/>
  </r>
  <r>
    <d v="2036-11-30T00:00:00"/>
    <x v="4"/>
    <n v="20.5"/>
    <n v="3.7"/>
    <n v="1"/>
  </r>
  <r>
    <d v="2036-12-01T00:00:00"/>
    <x v="15"/>
    <n v="27.4"/>
    <n v="10.4"/>
    <n v="1"/>
  </r>
  <r>
    <d v="2036-12-02T00:00:00"/>
    <x v="6"/>
    <n v="15.8"/>
    <n v="10.199999999999999"/>
    <n v="1"/>
  </r>
  <r>
    <d v="2036-12-03T00:00:00"/>
    <x v="15"/>
    <n v="19.600000000000001"/>
    <n v="0"/>
    <n v="1"/>
  </r>
  <r>
    <d v="2036-12-04T00:00:00"/>
    <x v="6"/>
    <n v="16.899999999999999"/>
    <n v="48.4"/>
    <n v="1"/>
  </r>
  <r>
    <d v="2036-12-05T00:00:00"/>
    <x v="15"/>
    <n v="12.2"/>
    <n v="0"/>
    <n v="1"/>
  </r>
  <r>
    <d v="2036-12-06T00:00:00"/>
    <x v="6"/>
    <n v="16.600000000000001"/>
    <n v="14.1"/>
    <n v="1"/>
  </r>
  <r>
    <d v="2036-12-07T00:00:00"/>
    <x v="7"/>
    <n v="27.6"/>
    <n v="0"/>
    <n v="1"/>
  </r>
  <r>
    <d v="2036-12-08T00:00:00"/>
    <x v="11"/>
    <n v="24.8"/>
    <n v="0"/>
    <n v="1"/>
  </r>
  <r>
    <d v="2036-12-09T00:00:00"/>
    <x v="6"/>
    <n v="23.1"/>
    <n v="29.8"/>
    <n v="1"/>
  </r>
  <r>
    <d v="2036-12-10T00:00:00"/>
    <x v="23"/>
    <n v="12.4"/>
    <n v="6.1"/>
    <n v="1"/>
  </r>
  <r>
    <d v="2036-12-11T00:00:00"/>
    <x v="15"/>
    <n v="13.9"/>
    <n v="21.5"/>
    <n v="1"/>
  </r>
  <r>
    <d v="2036-12-12T00:00:00"/>
    <x v="16"/>
    <n v="16.600000000000001"/>
    <n v="4.7"/>
    <n v="1"/>
  </r>
  <r>
    <d v="2036-12-13T00:00:00"/>
    <x v="9"/>
    <n v="17.7"/>
    <n v="14"/>
    <n v="1"/>
  </r>
  <r>
    <d v="2036-12-14T00:00:00"/>
    <x v="7"/>
    <n v="19"/>
    <n v="1.7"/>
    <n v="1"/>
  </r>
  <r>
    <d v="2036-12-15T00:00:00"/>
    <x v="3"/>
    <n v="29.9"/>
    <n v="0"/>
    <n v="1"/>
  </r>
  <r>
    <d v="2036-12-16T00:00:00"/>
    <x v="15"/>
    <n v="23.7"/>
    <n v="31.4"/>
    <n v="1"/>
  </r>
  <r>
    <d v="2036-12-17T00:00:00"/>
    <x v="6"/>
    <n v="25.4"/>
    <n v="0"/>
    <n v="1"/>
  </r>
  <r>
    <d v="2036-12-18T00:00:00"/>
    <x v="14"/>
    <n v="24.3"/>
    <n v="15.8"/>
    <n v="1"/>
  </r>
  <r>
    <d v="2036-12-19T00:00:00"/>
    <x v="3"/>
    <n v="10.8"/>
    <n v="0"/>
    <n v="1"/>
  </r>
  <r>
    <d v="2036-12-20T00:00:00"/>
    <x v="6"/>
    <n v="19"/>
    <n v="9.1"/>
    <n v="1"/>
  </r>
  <r>
    <d v="2036-12-21T00:00:00"/>
    <x v="11"/>
    <n v="27.8"/>
    <n v="15.2"/>
    <n v="1"/>
  </r>
  <r>
    <d v="2036-12-22T00:00:00"/>
    <x v="3"/>
    <n v="28.8"/>
    <n v="0"/>
    <n v="1"/>
  </r>
  <r>
    <d v="2036-12-23T00:00:00"/>
    <x v="1"/>
    <n v="12.6"/>
    <n v="0.8"/>
    <n v="1"/>
  </r>
  <r>
    <d v="2036-12-24T00:00:00"/>
    <x v="1"/>
    <n v="20.7"/>
    <n v="0"/>
    <n v="1"/>
  </r>
  <r>
    <d v="2036-12-25T00:00:00"/>
    <x v="15"/>
    <n v="19.399999999999999"/>
    <n v="19.3"/>
    <n v="1"/>
  </r>
  <r>
    <d v="2036-12-26T00:00:00"/>
    <x v="6"/>
    <n v="24.3"/>
    <n v="8.8000000000000007"/>
    <n v="1"/>
  </r>
  <r>
    <d v="2036-12-27T00:00:00"/>
    <x v="15"/>
    <n v="21.2"/>
    <n v="36"/>
    <n v="1"/>
  </r>
  <r>
    <d v="2036-12-28T00:00:00"/>
    <x v="1"/>
    <n v="28.4"/>
    <n v="0"/>
    <n v="1"/>
  </r>
  <r>
    <d v="2036-12-29T00:00:00"/>
    <x v="23"/>
    <n v="17.100000000000001"/>
    <n v="5.4"/>
    <n v="1"/>
  </r>
  <r>
    <d v="2036-12-30T00:00:00"/>
    <x v="6"/>
    <n v="24.4"/>
    <n v="23.8"/>
    <n v="1"/>
  </r>
  <r>
    <d v="2036-12-31T00:00:00"/>
    <x v="14"/>
    <n v="18.5"/>
    <n v="6"/>
    <n v="1"/>
  </r>
  <r>
    <d v="2037-01-01T00:00:00"/>
    <x v="15"/>
    <n v="24.1"/>
    <n v="21.5"/>
    <n v="1"/>
  </r>
  <r>
    <d v="2037-01-02T00:00:00"/>
    <x v="18"/>
    <n v="17.899999999999999"/>
    <n v="5.4"/>
    <n v="1"/>
  </r>
  <r>
    <d v="2037-01-03T00:00:00"/>
    <x v="18"/>
    <n v="15.8"/>
    <n v="7.4"/>
    <n v="1"/>
  </r>
  <r>
    <d v="2037-01-04T00:00:00"/>
    <x v="26"/>
    <n v="19.600000000000001"/>
    <n v="0.3"/>
    <n v="1"/>
  </r>
  <r>
    <d v="2037-01-05T00:00:00"/>
    <x v="15"/>
    <n v="17.7"/>
    <n v="0"/>
    <n v="1"/>
  </r>
  <r>
    <d v="2037-01-06T00:00:00"/>
    <x v="23"/>
    <n v="19.899999999999999"/>
    <n v="4.7"/>
    <n v="1"/>
  </r>
  <r>
    <d v="2037-01-07T00:00:00"/>
    <x v="1"/>
    <n v="10.6"/>
    <n v="4.8"/>
    <n v="1"/>
  </r>
  <r>
    <d v="2037-01-08T00:00:00"/>
    <x v="15"/>
    <n v="25.6"/>
    <n v="17.399999999999999"/>
    <n v="1"/>
  </r>
  <r>
    <d v="2037-01-09T00:00:00"/>
    <x v="5"/>
    <n v="22.4"/>
    <n v="7.7"/>
    <n v="1"/>
  </r>
  <r>
    <d v="2037-01-10T00:00:00"/>
    <x v="4"/>
    <n v="14.5"/>
    <n v="3.8"/>
    <n v="1"/>
  </r>
  <r>
    <d v="2037-01-11T00:00:00"/>
    <x v="5"/>
    <n v="15"/>
    <n v="4.2"/>
    <n v="1"/>
  </r>
  <r>
    <d v="2037-01-12T00:00:00"/>
    <x v="9"/>
    <n v="24"/>
    <n v="11.5"/>
    <n v="1"/>
  </r>
  <r>
    <d v="2037-01-13T00:00:00"/>
    <x v="19"/>
    <n v="20.7"/>
    <n v="2.9"/>
    <n v="1"/>
  </r>
  <r>
    <d v="2037-01-14T00:00:00"/>
    <x v="24"/>
    <n v="13.5"/>
    <n v="0.7"/>
    <n v="1"/>
  </r>
  <r>
    <d v="2037-01-15T00:00:00"/>
    <x v="15"/>
    <n v="23.7"/>
    <n v="13.1"/>
    <n v="1"/>
  </r>
  <r>
    <d v="2037-01-16T00:00:00"/>
    <x v="6"/>
    <n v="12.1"/>
    <n v="36"/>
    <n v="1"/>
  </r>
  <r>
    <d v="2037-01-17T00:00:00"/>
    <x v="9"/>
    <n v="21.8"/>
    <n v="10.9"/>
    <n v="1"/>
  </r>
  <r>
    <d v="2037-01-18T00:00:00"/>
    <x v="18"/>
    <n v="17.399999999999999"/>
    <n v="0"/>
    <n v="1"/>
  </r>
  <r>
    <d v="2037-01-19T00:00:00"/>
    <x v="2"/>
    <n v="15.6"/>
    <n v="0"/>
    <n v="1"/>
  </r>
  <r>
    <d v="2037-01-20T00:00:00"/>
    <x v="9"/>
    <n v="13.7"/>
    <n v="0"/>
    <n v="1"/>
  </r>
  <r>
    <d v="2037-01-21T00:00:00"/>
    <x v="6"/>
    <n v="24.7"/>
    <n v="16.2"/>
    <n v="1"/>
  </r>
  <r>
    <d v="2037-01-22T00:00:00"/>
    <x v="11"/>
    <n v="25.3"/>
    <n v="14.2"/>
    <n v="1"/>
  </r>
  <r>
    <d v="2037-01-23T00:00:00"/>
    <x v="11"/>
    <n v="18.399999999999999"/>
    <n v="0"/>
    <n v="1"/>
  </r>
  <r>
    <d v="2037-01-24T00:00:00"/>
    <x v="10"/>
    <n v="10.199999999999999"/>
    <n v="0"/>
    <n v="1"/>
  </r>
  <r>
    <d v="2037-01-25T00:00:00"/>
    <x v="29"/>
    <n v="26.9"/>
    <n v="0"/>
    <n v="1"/>
  </r>
  <r>
    <d v="2037-01-26T00:00:00"/>
    <x v="4"/>
    <n v="28.2"/>
    <n v="0"/>
    <n v="1"/>
  </r>
  <r>
    <d v="2037-01-27T00:00:00"/>
    <x v="3"/>
    <n v="15.9"/>
    <n v="0"/>
    <n v="1"/>
  </r>
  <r>
    <d v="2037-01-28T00:00:00"/>
    <x v="6"/>
    <n v="19.7"/>
    <n v="0"/>
    <n v="1"/>
  </r>
  <r>
    <d v="2037-01-29T00:00:00"/>
    <x v="3"/>
    <n v="16"/>
    <n v="0"/>
    <n v="1"/>
  </r>
  <r>
    <d v="2037-01-30T00:00:00"/>
    <x v="2"/>
    <n v="20.8"/>
    <n v="0"/>
    <n v="1"/>
  </r>
  <r>
    <d v="2037-01-31T00:00:00"/>
    <x v="19"/>
    <n v="12.5"/>
    <n v="0"/>
    <n v="1"/>
  </r>
  <r>
    <d v="2037-02-01T00:00:00"/>
    <x v="11"/>
    <n v="12.7"/>
    <n v="2.4"/>
    <n v="1"/>
  </r>
  <r>
    <d v="2037-02-02T00:00:00"/>
    <x v="14"/>
    <n v="23.5"/>
    <n v="11.5"/>
    <n v="1"/>
  </r>
  <r>
    <d v="2037-02-03T00:00:00"/>
    <x v="10"/>
    <n v="17.8"/>
    <n v="1.8"/>
    <n v="1"/>
  </r>
  <r>
    <d v="2037-02-04T00:00:00"/>
    <x v="7"/>
    <n v="11"/>
    <n v="0"/>
    <n v="1"/>
  </r>
  <r>
    <d v="2037-02-05T00:00:00"/>
    <x v="8"/>
    <n v="21.3"/>
    <n v="5.2"/>
    <n v="1"/>
  </r>
  <r>
    <d v="2037-02-06T00:00:00"/>
    <x v="3"/>
    <n v="19.600000000000001"/>
    <n v="8.1"/>
    <n v="1"/>
  </r>
  <r>
    <d v="2037-02-07T00:00:00"/>
    <x v="7"/>
    <n v="25.7"/>
    <n v="4.2"/>
    <n v="1"/>
  </r>
  <r>
    <d v="2037-02-08T00:00:00"/>
    <x v="6"/>
    <n v="20.9"/>
    <n v="28.6"/>
    <n v="1"/>
  </r>
  <r>
    <d v="2037-02-09T00:00:00"/>
    <x v="15"/>
    <n v="26.4"/>
    <n v="3.2"/>
    <n v="1"/>
  </r>
  <r>
    <d v="2037-02-10T00:00:00"/>
    <x v="15"/>
    <n v="26.5"/>
    <n v="13.1"/>
    <n v="1"/>
  </r>
  <r>
    <d v="2037-02-11T00:00:00"/>
    <x v="4"/>
    <n v="11.7"/>
    <n v="0"/>
    <n v="1"/>
  </r>
  <r>
    <d v="2037-02-12T00:00:00"/>
    <x v="8"/>
    <n v="24.7"/>
    <n v="0.3"/>
    <n v="1"/>
  </r>
  <r>
    <d v="2037-02-13T00:00:00"/>
    <x v="5"/>
    <n v="24.4"/>
    <n v="9.6"/>
    <n v="1"/>
  </r>
  <r>
    <d v="2037-02-14T00:00:00"/>
    <x v="15"/>
    <n v="19"/>
    <n v="28.8"/>
    <n v="1"/>
  </r>
  <r>
    <d v="2037-02-15T00:00:00"/>
    <x v="6"/>
    <n v="13.7"/>
    <n v="19.3"/>
    <n v="1"/>
  </r>
  <r>
    <d v="2037-02-16T00:00:00"/>
    <x v="6"/>
    <n v="28.9"/>
    <n v="20.399999999999999"/>
    <n v="1"/>
  </r>
  <r>
    <d v="2037-02-17T00:00:00"/>
    <x v="16"/>
    <n v="25.2"/>
    <n v="0"/>
    <n v="1"/>
  </r>
  <r>
    <d v="2037-02-18T00:00:00"/>
    <x v="7"/>
    <n v="15.4"/>
    <n v="9"/>
    <n v="1"/>
  </r>
  <r>
    <d v="2037-02-19T00:00:00"/>
    <x v="12"/>
    <n v="24.1"/>
    <n v="0.3"/>
    <n v="1"/>
  </r>
  <r>
    <d v="2037-02-20T00:00:00"/>
    <x v="18"/>
    <n v="27.7"/>
    <n v="0"/>
    <n v="1"/>
  </r>
  <r>
    <d v="2037-02-21T00:00:00"/>
    <x v="7"/>
    <n v="19.600000000000001"/>
    <n v="21.1"/>
    <n v="1"/>
  </r>
  <r>
    <d v="2037-02-22T00:00:00"/>
    <x v="19"/>
    <n v="29"/>
    <n v="3.2"/>
    <n v="1"/>
  </r>
  <r>
    <d v="2037-02-23T00:00:00"/>
    <x v="27"/>
    <n v="10.3"/>
    <n v="0.7"/>
    <n v="1"/>
  </r>
  <r>
    <d v="2037-02-24T00:00:00"/>
    <x v="6"/>
    <n v="11"/>
    <n v="40.200000000000003"/>
    <n v="1"/>
  </r>
  <r>
    <d v="2037-02-25T00:00:00"/>
    <x v="7"/>
    <n v="28.6"/>
    <n v="0.6"/>
    <n v="1"/>
  </r>
  <r>
    <d v="2037-02-26T00:00:00"/>
    <x v="13"/>
    <n v="22.5"/>
    <n v="1"/>
    <n v="1"/>
  </r>
  <r>
    <d v="2037-02-27T00:00:00"/>
    <x v="8"/>
    <n v="19.600000000000001"/>
    <n v="0"/>
    <n v="1"/>
  </r>
  <r>
    <d v="2037-02-28T00:00:00"/>
    <x v="24"/>
    <n v="19.899999999999999"/>
    <n v="0"/>
    <n v="1"/>
  </r>
  <r>
    <d v="2037-03-01T00:00:00"/>
    <x v="2"/>
    <n v="21.7"/>
    <n v="9.4"/>
    <n v="1"/>
  </r>
  <r>
    <d v="2037-03-02T00:00:00"/>
    <x v="8"/>
    <n v="15.3"/>
    <n v="0"/>
    <n v="1"/>
  </r>
  <r>
    <d v="2037-03-03T00:00:00"/>
    <x v="11"/>
    <n v="20.9"/>
    <n v="12.4"/>
    <n v="1"/>
  </r>
  <r>
    <d v="2037-03-04T00:00:00"/>
    <x v="1"/>
    <n v="17"/>
    <n v="0"/>
    <n v="1"/>
  </r>
  <r>
    <d v="2037-03-05T00:00:00"/>
    <x v="2"/>
    <n v="25.8"/>
    <n v="1.4"/>
    <n v="1"/>
  </r>
  <r>
    <d v="2037-03-06T00:00:00"/>
    <x v="23"/>
    <n v="19.100000000000001"/>
    <n v="2.5"/>
    <n v="1"/>
  </r>
  <r>
    <d v="2037-03-07T00:00:00"/>
    <x v="9"/>
    <n v="24.6"/>
    <n v="12.5"/>
    <n v="1"/>
  </r>
  <r>
    <d v="2037-03-08T00:00:00"/>
    <x v="11"/>
    <n v="22.6"/>
    <n v="15.4"/>
    <n v="1"/>
  </r>
  <r>
    <d v="2037-03-09T00:00:00"/>
    <x v="5"/>
    <n v="18.3"/>
    <n v="4.7"/>
    <n v="1"/>
  </r>
  <r>
    <d v="2037-03-10T00:00:00"/>
    <x v="3"/>
    <n v="25.5"/>
    <n v="0"/>
    <n v="1"/>
  </r>
  <r>
    <d v="2037-03-11T00:00:00"/>
    <x v="14"/>
    <n v="26.6"/>
    <n v="0"/>
    <n v="1"/>
  </r>
  <r>
    <d v="2037-03-12T00:00:00"/>
    <x v="3"/>
    <n v="19.8"/>
    <n v="14.9"/>
    <n v="1"/>
  </r>
  <r>
    <d v="2037-03-13T00:00:00"/>
    <x v="22"/>
    <n v="23.7"/>
    <n v="0.9"/>
    <n v="1"/>
  </r>
  <r>
    <d v="2037-03-14T00:00:00"/>
    <x v="20"/>
    <n v="23.5"/>
    <n v="1"/>
    <n v="1"/>
  </r>
  <r>
    <d v="2037-03-15T00:00:00"/>
    <x v="1"/>
    <n v="18.8"/>
    <n v="7.8"/>
    <n v="1"/>
  </r>
  <r>
    <d v="2037-03-16T00:00:00"/>
    <x v="2"/>
    <n v="18.7"/>
    <n v="10"/>
    <n v="1"/>
  </r>
  <r>
    <d v="2037-03-17T00:00:00"/>
    <x v="15"/>
    <n v="28.3"/>
    <n v="21.8"/>
    <n v="1"/>
  </r>
  <r>
    <d v="2037-03-18T00:00:00"/>
    <x v="18"/>
    <n v="10.6"/>
    <n v="6.4"/>
    <n v="1"/>
  </r>
  <r>
    <d v="2037-03-19T00:00:00"/>
    <x v="6"/>
    <n v="26.2"/>
    <n v="19.2"/>
    <n v="1"/>
  </r>
  <r>
    <d v="2037-03-20T00:00:00"/>
    <x v="9"/>
    <n v="25.3"/>
    <n v="8.6999999999999993"/>
    <n v="1"/>
  </r>
  <r>
    <d v="2037-03-21T00:00:00"/>
    <x v="18"/>
    <n v="21.6"/>
    <n v="1"/>
    <n v="1"/>
  </r>
  <r>
    <d v="2037-03-22T00:00:00"/>
    <x v="15"/>
    <n v="24.9"/>
    <n v="23.5"/>
    <n v="1"/>
  </r>
  <r>
    <d v="2037-03-23T00:00:00"/>
    <x v="11"/>
    <n v="27.7"/>
    <n v="11.5"/>
    <n v="1"/>
  </r>
  <r>
    <d v="2037-03-24T00:00:00"/>
    <x v="15"/>
    <n v="12.3"/>
    <n v="0"/>
    <n v="1"/>
  </r>
  <r>
    <d v="2037-03-25T00:00:00"/>
    <x v="16"/>
    <n v="10.199999999999999"/>
    <n v="0.8"/>
    <n v="1"/>
  </r>
  <r>
    <d v="2037-03-26T00:00:00"/>
    <x v="6"/>
    <n v="23.1"/>
    <n v="0"/>
    <n v="1"/>
  </r>
  <r>
    <d v="2037-03-27T00:00:00"/>
    <x v="14"/>
    <n v="11.3"/>
    <n v="0"/>
    <n v="1"/>
  </r>
  <r>
    <d v="2037-03-28T00:00:00"/>
    <x v="15"/>
    <n v="29.5"/>
    <n v="10.4"/>
    <n v="1"/>
  </r>
  <r>
    <d v="2037-03-29T00:00:00"/>
    <x v="11"/>
    <n v="19.7"/>
    <n v="0"/>
    <n v="1"/>
  </r>
  <r>
    <d v="2037-03-30T00:00:00"/>
    <x v="1"/>
    <n v="27.9"/>
    <n v="3.4"/>
    <n v="1"/>
  </r>
  <r>
    <d v="2037-03-31T00:00:00"/>
    <x v="6"/>
    <n v="17.399999999999999"/>
    <n v="34.200000000000003"/>
    <n v="1"/>
  </r>
  <r>
    <d v="2037-04-01T00:00:00"/>
    <x v="13"/>
    <n v="23"/>
    <n v="0"/>
    <n v="1"/>
  </r>
  <r>
    <d v="2037-04-02T00:00:00"/>
    <x v="17"/>
    <n v="27.6"/>
    <n v="0"/>
    <n v="1"/>
  </r>
  <r>
    <d v="2037-04-03T00:00:00"/>
    <x v="18"/>
    <n v="11.6"/>
    <n v="0"/>
    <n v="1"/>
  </r>
  <r>
    <d v="2037-04-04T00:00:00"/>
    <x v="16"/>
    <n v="24.2"/>
    <n v="5"/>
    <n v="1"/>
  </r>
  <r>
    <d v="2037-04-05T00:00:00"/>
    <x v="2"/>
    <n v="13.2"/>
    <n v="2.2999999999999998"/>
    <n v="1"/>
  </r>
  <r>
    <d v="2037-04-06T00:00:00"/>
    <x v="3"/>
    <n v="27"/>
    <n v="0.7"/>
    <n v="1"/>
  </r>
  <r>
    <d v="2037-04-07T00:00:00"/>
    <x v="2"/>
    <n v="23.9"/>
    <n v="6.2"/>
    <n v="1"/>
  </r>
  <r>
    <d v="2037-04-08T00:00:00"/>
    <x v="15"/>
    <n v="16.8"/>
    <n v="17.600000000000001"/>
    <n v="1"/>
  </r>
  <r>
    <d v="2037-04-09T00:00:00"/>
    <x v="15"/>
    <n v="28.5"/>
    <n v="15.2"/>
    <n v="1"/>
  </r>
  <r>
    <d v="2037-04-10T00:00:00"/>
    <x v="29"/>
    <n v="25.2"/>
    <n v="1.9"/>
    <n v="1"/>
  </r>
  <r>
    <d v="2037-04-11T00:00:00"/>
    <x v="6"/>
    <n v="24.9"/>
    <n v="6.8"/>
    <n v="1"/>
  </r>
  <r>
    <d v="2037-04-12T00:00:00"/>
    <x v="8"/>
    <n v="14.7"/>
    <n v="5.7"/>
    <n v="1"/>
  </r>
  <r>
    <d v="2037-04-13T00:00:00"/>
    <x v="6"/>
    <n v="12.2"/>
    <n v="14.1"/>
    <n v="1"/>
  </r>
  <r>
    <d v="2037-04-14T00:00:00"/>
    <x v="5"/>
    <n v="24.2"/>
    <n v="8"/>
    <n v="1"/>
  </r>
  <r>
    <d v="2037-04-15T00:00:00"/>
    <x v="18"/>
    <n v="28.7"/>
    <n v="0"/>
    <n v="1"/>
  </r>
  <r>
    <d v="2037-04-16T00:00:00"/>
    <x v="6"/>
    <n v="28.5"/>
    <n v="0"/>
    <n v="1"/>
  </r>
  <r>
    <d v="2037-04-17T00:00:00"/>
    <x v="3"/>
    <n v="29.3"/>
    <n v="23.3"/>
    <n v="1"/>
  </r>
  <r>
    <d v="2037-04-18T00:00:00"/>
    <x v="6"/>
    <n v="13.3"/>
    <n v="4.9000000000000004"/>
    <n v="1"/>
  </r>
  <r>
    <d v="2037-04-19T00:00:00"/>
    <x v="6"/>
    <n v="22.6"/>
    <n v="0.7"/>
    <n v="1"/>
  </r>
  <r>
    <d v="2037-04-20T00:00:00"/>
    <x v="16"/>
    <n v="19.3"/>
    <n v="3"/>
    <n v="1"/>
  </r>
  <r>
    <d v="2037-04-21T00:00:00"/>
    <x v="4"/>
    <n v="17.899999999999999"/>
    <n v="5.0999999999999996"/>
    <n v="1"/>
  </r>
  <r>
    <d v="2037-04-22T00:00:00"/>
    <x v="16"/>
    <n v="16.7"/>
    <n v="0.3"/>
    <n v="1"/>
  </r>
  <r>
    <d v="2037-04-23T00:00:00"/>
    <x v="16"/>
    <n v="22"/>
    <n v="0"/>
    <n v="1"/>
  </r>
  <r>
    <d v="2037-04-24T00:00:00"/>
    <x v="5"/>
    <n v="21.2"/>
    <n v="5.9"/>
    <n v="1"/>
  </r>
  <r>
    <d v="2037-04-25T00:00:00"/>
    <x v="7"/>
    <n v="20.6"/>
    <n v="4.5999999999999996"/>
    <n v="1"/>
  </r>
  <r>
    <d v="2037-04-26T00:00:00"/>
    <x v="15"/>
    <n v="29.4"/>
    <n v="9.1999999999999993"/>
    <n v="1"/>
  </r>
  <r>
    <d v="2037-04-27T00:00:00"/>
    <x v="3"/>
    <n v="21.3"/>
    <n v="0"/>
    <n v="1"/>
  </r>
  <r>
    <d v="2037-04-28T00:00:00"/>
    <x v="5"/>
    <n v="20.100000000000001"/>
    <n v="2.2000000000000002"/>
    <n v="1"/>
  </r>
  <r>
    <d v="2037-04-29T00:00:00"/>
    <x v="6"/>
    <n v="12.7"/>
    <n v="5.6"/>
    <n v="1"/>
  </r>
  <r>
    <d v="2037-04-30T00:00:00"/>
    <x v="7"/>
    <n v="28.9"/>
    <n v="0"/>
    <n v="1"/>
  </r>
  <r>
    <d v="2037-05-01T00:00:00"/>
    <x v="15"/>
    <n v="24.4"/>
    <n v="28.7"/>
    <n v="1"/>
  </r>
  <r>
    <d v="2037-05-02T00:00:00"/>
    <x v="6"/>
    <n v="10.8"/>
    <n v="0"/>
    <n v="1"/>
  </r>
  <r>
    <d v="2037-05-03T00:00:00"/>
    <x v="6"/>
    <n v="18.399999999999999"/>
    <n v="0"/>
    <n v="1"/>
  </r>
  <r>
    <d v="2037-05-04T00:00:00"/>
    <x v="15"/>
    <n v="23.3"/>
    <n v="10.7"/>
    <n v="1"/>
  </r>
  <r>
    <d v="2037-05-05T00:00:00"/>
    <x v="11"/>
    <n v="27.9"/>
    <n v="14.8"/>
    <n v="1"/>
  </r>
  <r>
    <d v="2037-05-06T00:00:00"/>
    <x v="8"/>
    <n v="24.7"/>
    <n v="9"/>
    <n v="1"/>
  </r>
  <r>
    <d v="2037-05-07T00:00:00"/>
    <x v="15"/>
    <n v="14.3"/>
    <n v="22"/>
    <n v="1"/>
  </r>
  <r>
    <d v="2037-05-08T00:00:00"/>
    <x v="29"/>
    <n v="26.2"/>
    <n v="2"/>
    <n v="1"/>
  </r>
  <r>
    <d v="2037-05-09T00:00:00"/>
    <x v="12"/>
    <n v="21.5"/>
    <n v="0.4"/>
    <n v="1"/>
  </r>
  <r>
    <d v="2037-05-10T00:00:00"/>
    <x v="6"/>
    <n v="12.8"/>
    <n v="0"/>
    <n v="1"/>
  </r>
  <r>
    <d v="2037-05-11T00:00:00"/>
    <x v="5"/>
    <n v="24.6"/>
    <n v="3"/>
    <n v="1"/>
  </r>
  <r>
    <d v="2037-05-12T00:00:00"/>
    <x v="23"/>
    <n v="22.6"/>
    <n v="1.6"/>
    <n v="1"/>
  </r>
  <r>
    <d v="2037-05-13T00:00:00"/>
    <x v="9"/>
    <n v="27.3"/>
    <n v="9.3000000000000007"/>
    <n v="1"/>
  </r>
  <r>
    <d v="2037-05-14T00:00:00"/>
    <x v="15"/>
    <n v="10.8"/>
    <n v="22.2"/>
    <n v="1"/>
  </r>
  <r>
    <d v="2037-05-15T00:00:00"/>
    <x v="13"/>
    <n v="12"/>
    <n v="5.3"/>
    <n v="1"/>
  </r>
  <r>
    <d v="2037-05-16T00:00:00"/>
    <x v="3"/>
    <n v="28.1"/>
    <n v="0"/>
    <n v="1"/>
  </r>
  <r>
    <d v="2037-05-17T00:00:00"/>
    <x v="7"/>
    <n v="16.100000000000001"/>
    <n v="9"/>
    <n v="1"/>
  </r>
  <r>
    <d v="2037-05-18T00:00:00"/>
    <x v="14"/>
    <n v="29"/>
    <n v="1.6"/>
    <n v="1"/>
  </r>
  <r>
    <d v="2037-05-19T00:00:00"/>
    <x v="7"/>
    <n v="23.6"/>
    <n v="16"/>
    <n v="1"/>
  </r>
  <r>
    <d v="2037-05-20T00:00:00"/>
    <x v="15"/>
    <n v="11.6"/>
    <n v="32"/>
    <n v="1"/>
  </r>
  <r>
    <d v="2037-05-21T00:00:00"/>
    <x v="11"/>
    <n v="15.9"/>
    <n v="5.5"/>
    <n v="1"/>
  </r>
  <r>
    <d v="2037-05-22T00:00:00"/>
    <x v="22"/>
    <n v="28.3"/>
    <n v="6"/>
    <n v="1"/>
  </r>
  <r>
    <d v="2037-05-23T00:00:00"/>
    <x v="8"/>
    <n v="16.600000000000001"/>
    <n v="11.3"/>
    <n v="1"/>
  </r>
  <r>
    <d v="2037-05-24T00:00:00"/>
    <x v="18"/>
    <n v="25.2"/>
    <n v="6.4"/>
    <n v="1"/>
  </r>
  <r>
    <d v="2037-05-25T00:00:00"/>
    <x v="6"/>
    <n v="29.5"/>
    <n v="26.1"/>
    <n v="1"/>
  </r>
  <r>
    <d v="2037-05-26T00:00:00"/>
    <x v="14"/>
    <n v="13.3"/>
    <n v="7.3"/>
    <n v="1"/>
  </r>
  <r>
    <d v="2037-05-27T00:00:00"/>
    <x v="13"/>
    <n v="19.5"/>
    <n v="3.4"/>
    <n v="1"/>
  </r>
  <r>
    <d v="2037-05-28T00:00:00"/>
    <x v="21"/>
    <n v="11.9"/>
    <n v="1.7"/>
    <n v="1"/>
  </r>
  <r>
    <d v="2037-05-29T00:00:00"/>
    <x v="10"/>
    <n v="29.5"/>
    <n v="5.0999999999999996"/>
    <n v="1"/>
  </r>
  <r>
    <d v="2037-05-30T00:00:00"/>
    <x v="15"/>
    <n v="25.1"/>
    <n v="0"/>
    <n v="1"/>
  </r>
  <r>
    <d v="2037-05-31T00:00:00"/>
    <x v="18"/>
    <n v="15.1"/>
    <n v="0"/>
    <n v="1"/>
  </r>
  <r>
    <d v="2037-06-01T00:00:00"/>
    <x v="29"/>
    <n v="19.7"/>
    <n v="1.7"/>
    <n v="1"/>
  </r>
  <r>
    <d v="2037-06-02T00:00:00"/>
    <x v="15"/>
    <n v="25.6"/>
    <n v="0"/>
    <n v="1"/>
  </r>
  <r>
    <d v="2037-06-03T00:00:00"/>
    <x v="7"/>
    <n v="25"/>
    <n v="18.8"/>
    <n v="1"/>
  </r>
  <r>
    <d v="2037-06-04T00:00:00"/>
    <x v="19"/>
    <n v="11.5"/>
    <n v="0"/>
    <n v="1"/>
  </r>
  <r>
    <d v="2037-06-05T00:00:00"/>
    <x v="6"/>
    <n v="23.8"/>
    <n v="7.3"/>
    <n v="1"/>
  </r>
  <r>
    <d v="2037-06-06T00:00:00"/>
    <x v="15"/>
    <n v="25.3"/>
    <n v="14.7"/>
    <n v="1"/>
  </r>
  <r>
    <d v="2037-06-07T00:00:00"/>
    <x v="6"/>
    <n v="22.6"/>
    <n v="42.2"/>
    <n v="1"/>
  </r>
  <r>
    <d v="2037-06-08T00:00:00"/>
    <x v="10"/>
    <n v="18.100000000000001"/>
    <n v="3.3"/>
    <n v="1"/>
  </r>
  <r>
    <d v="2037-06-09T00:00:00"/>
    <x v="15"/>
    <n v="17.8"/>
    <n v="0"/>
    <n v="1"/>
  </r>
  <r>
    <d v="2037-06-10T00:00:00"/>
    <x v="6"/>
    <n v="25.1"/>
    <n v="25.5"/>
    <n v="1"/>
  </r>
  <r>
    <d v="2037-06-11T00:00:00"/>
    <x v="14"/>
    <n v="12"/>
    <n v="0"/>
    <n v="1"/>
  </r>
  <r>
    <d v="2037-06-12T00:00:00"/>
    <x v="6"/>
    <n v="23.2"/>
    <n v="0"/>
    <n v="1"/>
  </r>
  <r>
    <d v="2037-06-13T00:00:00"/>
    <x v="2"/>
    <n v="16"/>
    <n v="7.9"/>
    <n v="1"/>
  </r>
  <r>
    <d v="2037-06-14T00:00:00"/>
    <x v="11"/>
    <n v="26.5"/>
    <n v="20.2"/>
    <n v="1"/>
  </r>
  <r>
    <d v="2037-06-15T00:00:00"/>
    <x v="25"/>
    <n v="28.9"/>
    <n v="0.3"/>
    <n v="1"/>
  </r>
  <r>
    <d v="2037-06-16T00:00:00"/>
    <x v="6"/>
    <n v="26.6"/>
    <n v="0"/>
    <n v="1"/>
  </r>
  <r>
    <d v="2037-06-17T00:00:00"/>
    <x v="3"/>
    <n v="13.1"/>
    <n v="19.899999999999999"/>
    <n v="1"/>
  </r>
  <r>
    <d v="2037-06-18T00:00:00"/>
    <x v="6"/>
    <n v="21.5"/>
    <n v="33.4"/>
    <n v="1"/>
  </r>
  <r>
    <d v="2037-06-19T00:00:00"/>
    <x v="27"/>
    <n v="25.7"/>
    <n v="0"/>
    <n v="1"/>
  </r>
  <r>
    <d v="2037-06-20T00:00:00"/>
    <x v="15"/>
    <n v="11.8"/>
    <n v="23"/>
    <n v="1"/>
  </r>
  <r>
    <d v="2037-06-21T00:00:00"/>
    <x v="21"/>
    <n v="12.6"/>
    <n v="0.7"/>
    <n v="1"/>
  </r>
  <r>
    <d v="2037-06-22T00:00:00"/>
    <x v="23"/>
    <n v="26.2"/>
    <n v="0.3"/>
    <n v="1"/>
  </r>
  <r>
    <d v="2037-06-23T00:00:00"/>
    <x v="4"/>
    <n v="29.1"/>
    <n v="5"/>
    <n v="1"/>
  </r>
  <r>
    <d v="2037-06-24T00:00:00"/>
    <x v="18"/>
    <n v="18.899999999999999"/>
    <n v="7.5"/>
    <n v="1"/>
  </r>
  <r>
    <d v="2037-06-25T00:00:00"/>
    <x v="7"/>
    <n v="10.5"/>
    <n v="7.3"/>
    <n v="1"/>
  </r>
  <r>
    <d v="2037-06-26T00:00:00"/>
    <x v="19"/>
    <n v="15.1"/>
    <n v="6"/>
    <n v="1"/>
  </r>
  <r>
    <d v="2037-06-27T00:00:00"/>
    <x v="3"/>
    <n v="27.8"/>
    <n v="8.3000000000000007"/>
    <n v="1"/>
  </r>
  <r>
    <d v="2037-06-28T00:00:00"/>
    <x v="12"/>
    <n v="11.7"/>
    <n v="0.4"/>
    <n v="1"/>
  </r>
  <r>
    <d v="2037-06-29T00:00:00"/>
    <x v="6"/>
    <n v="10.5"/>
    <n v="36.9"/>
    <n v="1"/>
  </r>
  <r>
    <d v="2037-06-30T00:00:00"/>
    <x v="1"/>
    <n v="21"/>
    <n v="7.1"/>
    <n v="1"/>
  </r>
  <r>
    <d v="2037-07-01T00:00:00"/>
    <x v="20"/>
    <n v="17.399999999999999"/>
    <n v="3.7"/>
    <n v="1"/>
  </r>
  <r>
    <d v="2037-07-02T00:00:00"/>
    <x v="14"/>
    <n v="21.9"/>
    <n v="7.6"/>
    <n v="1"/>
  </r>
  <r>
    <d v="2037-07-03T00:00:00"/>
    <x v="14"/>
    <n v="26"/>
    <n v="4.5999999999999996"/>
    <n v="1"/>
  </r>
  <r>
    <d v="2037-07-04T00:00:00"/>
    <x v="15"/>
    <n v="12.2"/>
    <n v="19.3"/>
    <n v="1"/>
  </r>
  <r>
    <d v="2037-07-05T00:00:00"/>
    <x v="4"/>
    <n v="22.4"/>
    <n v="0.3"/>
    <n v="1"/>
  </r>
  <r>
    <d v="2037-07-06T00:00:00"/>
    <x v="18"/>
    <n v="18.600000000000001"/>
    <n v="7.2"/>
    <n v="1"/>
  </r>
  <r>
    <d v="2037-07-07T00:00:00"/>
    <x v="6"/>
    <n v="17.100000000000001"/>
    <n v="0"/>
    <n v="1"/>
  </r>
  <r>
    <d v="2037-07-08T00:00:00"/>
    <x v="15"/>
    <n v="25.1"/>
    <n v="24.3"/>
    <n v="1"/>
  </r>
  <r>
    <d v="2037-07-09T00:00:00"/>
    <x v="7"/>
    <n v="10.4"/>
    <n v="22.2"/>
    <n v="1"/>
  </r>
  <r>
    <d v="2037-07-10T00:00:00"/>
    <x v="14"/>
    <n v="28.9"/>
    <n v="0"/>
    <n v="1"/>
  </r>
  <r>
    <d v="2037-07-11T00:00:00"/>
    <x v="27"/>
    <n v="24.1"/>
    <n v="0"/>
    <n v="1"/>
  </r>
  <r>
    <d v="2037-07-12T00:00:00"/>
    <x v="15"/>
    <n v="23.2"/>
    <n v="22.1"/>
    <n v="1"/>
  </r>
  <r>
    <d v="2037-07-13T00:00:00"/>
    <x v="9"/>
    <n v="24.1"/>
    <n v="9.3000000000000007"/>
    <n v="1"/>
  </r>
  <r>
    <d v="2037-07-14T00:00:00"/>
    <x v="6"/>
    <n v="14.6"/>
    <n v="0"/>
    <n v="1"/>
  </r>
  <r>
    <d v="2037-07-15T00:00:00"/>
    <x v="16"/>
    <n v="17.7"/>
    <n v="0"/>
    <n v="1"/>
  </r>
  <r>
    <d v="2037-07-16T00:00:00"/>
    <x v="2"/>
    <n v="20.100000000000001"/>
    <n v="11.5"/>
    <n v="1"/>
  </r>
  <r>
    <d v="2037-07-17T00:00:00"/>
    <x v="4"/>
    <n v="27.5"/>
    <n v="0"/>
    <n v="1"/>
  </r>
  <r>
    <d v="2037-07-18T00:00:00"/>
    <x v="3"/>
    <n v="10.9"/>
    <n v="9"/>
    <n v="1"/>
  </r>
  <r>
    <d v="2037-07-19T00:00:00"/>
    <x v="20"/>
    <n v="27.6"/>
    <n v="3.2"/>
    <n v="1"/>
  </r>
  <r>
    <d v="2037-07-20T00:00:00"/>
    <x v="15"/>
    <n v="24.5"/>
    <n v="15.3"/>
    <n v="1"/>
  </r>
  <r>
    <d v="2037-07-21T00:00:00"/>
    <x v="13"/>
    <n v="10.8"/>
    <n v="0"/>
    <n v="1"/>
  </r>
  <r>
    <d v="2037-07-22T00:00:00"/>
    <x v="15"/>
    <n v="28.7"/>
    <n v="27.2"/>
    <n v="1"/>
  </r>
  <r>
    <d v="2037-07-23T00:00:00"/>
    <x v="5"/>
    <n v="21.5"/>
    <n v="0.6"/>
    <n v="1"/>
  </r>
  <r>
    <d v="2037-07-24T00:00:00"/>
    <x v="20"/>
    <n v="20.100000000000001"/>
    <n v="0.8"/>
    <n v="1"/>
  </r>
  <r>
    <d v="2037-07-25T00:00:00"/>
    <x v="15"/>
    <n v="21.3"/>
    <n v="14.6"/>
    <n v="1"/>
  </r>
  <r>
    <d v="2037-07-26T00:00:00"/>
    <x v="23"/>
    <n v="20.2"/>
    <n v="6.9"/>
    <n v="1"/>
  </r>
  <r>
    <d v="2037-07-27T00:00:00"/>
    <x v="9"/>
    <n v="16.8"/>
    <n v="7.6"/>
    <n v="1"/>
  </r>
  <r>
    <d v="2037-07-28T00:00:00"/>
    <x v="2"/>
    <n v="26.5"/>
    <n v="2.5"/>
    <n v="1"/>
  </r>
  <r>
    <d v="2037-07-29T00:00:00"/>
    <x v="3"/>
    <n v="18.899999999999999"/>
    <n v="0"/>
    <n v="1"/>
  </r>
  <r>
    <d v="2037-07-30T00:00:00"/>
    <x v="16"/>
    <n v="22.9"/>
    <n v="1.2"/>
    <n v="1"/>
  </r>
  <r>
    <d v="2037-07-31T00:00:00"/>
    <x v="15"/>
    <n v="11.3"/>
    <n v="32.700000000000003"/>
    <n v="1"/>
  </r>
  <r>
    <d v="2037-08-01T00:00:00"/>
    <x v="9"/>
    <n v="13"/>
    <n v="1.7"/>
    <n v="1"/>
  </r>
  <r>
    <d v="2037-08-02T00:00:00"/>
    <x v="4"/>
    <n v="18.3"/>
    <n v="2.5"/>
    <n v="1"/>
  </r>
  <r>
    <d v="2037-08-03T00:00:00"/>
    <x v="3"/>
    <n v="10.199999999999999"/>
    <n v="14.3"/>
    <n v="1"/>
  </r>
  <r>
    <d v="2037-08-04T00:00:00"/>
    <x v="7"/>
    <n v="14.5"/>
    <n v="10.5"/>
    <n v="1"/>
  </r>
  <r>
    <d v="2037-08-05T00:00:00"/>
    <x v="10"/>
    <n v="12.3"/>
    <n v="7.4"/>
    <n v="1"/>
  </r>
  <r>
    <d v="2037-08-06T00:00:00"/>
    <x v="9"/>
    <n v="17"/>
    <n v="16.899999999999999"/>
    <n v="1"/>
  </r>
  <r>
    <d v="2037-08-07T00:00:00"/>
    <x v="1"/>
    <n v="17.5"/>
    <n v="0"/>
    <n v="1"/>
  </r>
  <r>
    <d v="2037-08-08T00:00:00"/>
    <x v="0"/>
    <n v="28.4"/>
    <n v="0"/>
    <n v="1"/>
  </r>
  <r>
    <d v="2037-08-09T00:00:00"/>
    <x v="15"/>
    <n v="13.1"/>
    <n v="36.6"/>
    <n v="1"/>
  </r>
  <r>
    <d v="2037-08-10T00:00:00"/>
    <x v="3"/>
    <n v="16.600000000000001"/>
    <n v="6.6"/>
    <n v="1"/>
  </r>
  <r>
    <d v="2037-08-11T00:00:00"/>
    <x v="15"/>
    <n v="20.2"/>
    <n v="0"/>
    <n v="1"/>
  </r>
  <r>
    <d v="2037-08-12T00:00:00"/>
    <x v="3"/>
    <n v="26.4"/>
    <n v="11.9"/>
    <n v="1"/>
  </r>
  <r>
    <d v="2037-08-13T00:00:00"/>
    <x v="6"/>
    <n v="11.8"/>
    <n v="0"/>
    <n v="1"/>
  </r>
  <r>
    <d v="2037-08-14T00:00:00"/>
    <x v="13"/>
    <n v="19.5"/>
    <n v="6.4"/>
    <n v="1"/>
  </r>
  <r>
    <d v="2037-08-15T00:00:00"/>
    <x v="15"/>
    <n v="12"/>
    <n v="13.3"/>
    <n v="1"/>
  </r>
  <r>
    <d v="2037-08-16T00:00:00"/>
    <x v="18"/>
    <n v="16.3"/>
    <n v="7.5"/>
    <n v="1"/>
  </r>
  <r>
    <d v="2037-08-17T00:00:00"/>
    <x v="13"/>
    <n v="22.8"/>
    <n v="2.7"/>
    <n v="1"/>
  </r>
  <r>
    <d v="2037-08-18T00:00:00"/>
    <x v="6"/>
    <n v="16.2"/>
    <n v="43.3"/>
    <n v="1"/>
  </r>
  <r>
    <d v="2037-08-19T00:00:00"/>
    <x v="20"/>
    <n v="11.5"/>
    <n v="3.1"/>
    <n v="1"/>
  </r>
  <r>
    <d v="2037-08-20T00:00:00"/>
    <x v="9"/>
    <n v="13.5"/>
    <n v="0"/>
    <n v="1"/>
  </r>
  <r>
    <d v="2037-08-21T00:00:00"/>
    <x v="13"/>
    <n v="16.2"/>
    <n v="6.4"/>
    <n v="1"/>
  </r>
  <r>
    <d v="2037-08-22T00:00:00"/>
    <x v="6"/>
    <n v="18.5"/>
    <n v="24.9"/>
    <n v="1"/>
  </r>
  <r>
    <d v="2037-08-23T00:00:00"/>
    <x v="15"/>
    <n v="10.9"/>
    <n v="0"/>
    <n v="1"/>
  </r>
  <r>
    <d v="2037-08-24T00:00:00"/>
    <x v="13"/>
    <n v="23.9"/>
    <n v="4.5"/>
    <n v="1"/>
  </r>
  <r>
    <d v="2037-08-25T00:00:00"/>
    <x v="7"/>
    <n v="20.2"/>
    <n v="0"/>
    <n v="1"/>
  </r>
  <r>
    <d v="2037-08-26T00:00:00"/>
    <x v="3"/>
    <n v="23.3"/>
    <n v="0"/>
    <n v="1"/>
  </r>
  <r>
    <d v="2037-08-27T00:00:00"/>
    <x v="9"/>
    <n v="26.3"/>
    <n v="2.2000000000000002"/>
    <n v="1"/>
  </r>
  <r>
    <d v="2037-08-28T00:00:00"/>
    <x v="9"/>
    <n v="20.3"/>
    <n v="16.600000000000001"/>
    <n v="1"/>
  </r>
  <r>
    <d v="2037-08-29T00:00:00"/>
    <x v="6"/>
    <n v="11.1"/>
    <n v="38"/>
    <n v="1"/>
  </r>
  <r>
    <d v="2037-08-30T00:00:00"/>
    <x v="1"/>
    <n v="10.7"/>
    <n v="1.2"/>
    <n v="1"/>
  </r>
  <r>
    <d v="2037-08-31T00:00:00"/>
    <x v="17"/>
    <n v="21.8"/>
    <n v="0"/>
    <n v="1"/>
  </r>
  <r>
    <d v="2037-09-01T00:00:00"/>
    <x v="3"/>
    <n v="29.7"/>
    <n v="2.5"/>
    <n v="1"/>
  </r>
  <r>
    <d v="2037-09-02T00:00:00"/>
    <x v="6"/>
    <n v="21.7"/>
    <n v="16.100000000000001"/>
    <n v="1"/>
  </r>
  <r>
    <d v="2037-09-03T00:00:00"/>
    <x v="6"/>
    <n v="26"/>
    <n v="47.6"/>
    <n v="1"/>
  </r>
  <r>
    <d v="2037-09-04T00:00:00"/>
    <x v="3"/>
    <n v="18"/>
    <n v="5.3"/>
    <n v="1"/>
  </r>
  <r>
    <d v="2037-09-05T00:00:00"/>
    <x v="20"/>
    <n v="15.8"/>
    <n v="3.6"/>
    <n v="1"/>
  </r>
  <r>
    <d v="2037-09-06T00:00:00"/>
    <x v="22"/>
    <n v="14.1"/>
    <n v="6.8"/>
    <n v="1"/>
  </r>
  <r>
    <d v="2037-09-07T00:00:00"/>
    <x v="20"/>
    <n v="22.3"/>
    <n v="1.8"/>
    <n v="1"/>
  </r>
  <r>
    <d v="2037-09-08T00:00:00"/>
    <x v="15"/>
    <n v="22.2"/>
    <n v="0"/>
    <n v="1"/>
  </r>
  <r>
    <d v="2037-09-09T00:00:00"/>
    <x v="2"/>
    <n v="23.8"/>
    <n v="0"/>
    <n v="1"/>
  </r>
  <r>
    <d v="2037-09-10T00:00:00"/>
    <x v="10"/>
    <n v="10"/>
    <n v="8.1"/>
    <n v="1"/>
  </r>
  <r>
    <d v="2037-09-11T00:00:00"/>
    <x v="20"/>
    <n v="23.8"/>
    <n v="0"/>
    <n v="1"/>
  </r>
  <r>
    <d v="2037-09-12T00:00:00"/>
    <x v="19"/>
    <n v="13.4"/>
    <n v="2.6"/>
    <n v="1"/>
  </r>
  <r>
    <d v="2037-09-13T00:00:00"/>
    <x v="20"/>
    <n v="17"/>
    <n v="1.5"/>
    <n v="1"/>
  </r>
  <r>
    <d v="2037-09-14T00:00:00"/>
    <x v="2"/>
    <n v="25.5"/>
    <n v="0"/>
    <n v="1"/>
  </r>
  <r>
    <d v="2037-09-15T00:00:00"/>
    <x v="10"/>
    <n v="19.7"/>
    <n v="0"/>
    <n v="1"/>
  </r>
  <r>
    <d v="2037-09-16T00:00:00"/>
    <x v="6"/>
    <n v="22.8"/>
    <n v="10.7"/>
    <n v="1"/>
  </r>
  <r>
    <d v="2037-09-17T00:00:00"/>
    <x v="12"/>
    <n v="25.5"/>
    <n v="0"/>
    <n v="1"/>
  </r>
  <r>
    <d v="2037-09-18T00:00:00"/>
    <x v="6"/>
    <n v="16.8"/>
    <n v="2.2000000000000002"/>
    <n v="1"/>
  </r>
  <r>
    <d v="2037-09-19T00:00:00"/>
    <x v="19"/>
    <n v="25.3"/>
    <n v="2.5"/>
    <n v="1"/>
  </r>
  <r>
    <d v="2037-09-20T00:00:00"/>
    <x v="21"/>
    <n v="26.3"/>
    <n v="0.4"/>
    <n v="1"/>
  </r>
  <r>
    <d v="2037-09-21T00:00:00"/>
    <x v="9"/>
    <n v="21.9"/>
    <n v="7"/>
    <n v="1"/>
  </r>
  <r>
    <d v="2037-09-22T00:00:00"/>
    <x v="9"/>
    <n v="11.2"/>
    <n v="0"/>
    <n v="1"/>
  </r>
  <r>
    <d v="2037-09-23T00:00:00"/>
    <x v="11"/>
    <n v="10.6"/>
    <n v="5.2"/>
    <n v="1"/>
  </r>
  <r>
    <d v="2037-09-24T00:00:00"/>
    <x v="8"/>
    <n v="17.7"/>
    <n v="1"/>
    <n v="1"/>
  </r>
  <r>
    <d v="2037-09-25T00:00:00"/>
    <x v="3"/>
    <n v="19.899999999999999"/>
    <n v="0"/>
    <n v="1"/>
  </r>
  <r>
    <d v="2037-09-26T00:00:00"/>
    <x v="6"/>
    <n v="25.1"/>
    <n v="42.1"/>
    <n v="1"/>
  </r>
  <r>
    <d v="2037-09-27T00:00:00"/>
    <x v="5"/>
    <n v="18.5"/>
    <n v="0.3"/>
    <n v="1"/>
  </r>
  <r>
    <d v="2037-09-28T00:00:00"/>
    <x v="6"/>
    <n v="25.5"/>
    <n v="25.3"/>
    <n v="1"/>
  </r>
  <r>
    <d v="2037-09-29T00:00:00"/>
    <x v="6"/>
    <n v="12.8"/>
    <n v="0"/>
    <n v="1"/>
  </r>
  <r>
    <d v="2037-09-30T00:00:00"/>
    <x v="15"/>
    <n v="23.6"/>
    <n v="34.299999999999997"/>
    <n v="1"/>
  </r>
  <r>
    <d v="2037-10-01T00:00:00"/>
    <x v="11"/>
    <n v="13.1"/>
    <n v="2"/>
    <n v="1"/>
  </r>
  <r>
    <d v="2037-10-02T00:00:00"/>
    <x v="19"/>
    <n v="23"/>
    <n v="0"/>
    <n v="1"/>
  </r>
  <r>
    <d v="2037-10-03T00:00:00"/>
    <x v="9"/>
    <n v="13"/>
    <n v="15.8"/>
    <n v="1"/>
  </r>
  <r>
    <d v="2037-10-04T00:00:00"/>
    <x v="5"/>
    <n v="19.5"/>
    <n v="8"/>
    <n v="1"/>
  </r>
  <r>
    <d v="2037-10-05T00:00:00"/>
    <x v="3"/>
    <n v="19.2"/>
    <n v="0"/>
    <n v="1"/>
  </r>
  <r>
    <d v="2037-10-06T00:00:00"/>
    <x v="1"/>
    <n v="28.3"/>
    <n v="1.1000000000000001"/>
    <n v="1"/>
  </r>
  <r>
    <d v="2037-10-07T00:00:00"/>
    <x v="6"/>
    <n v="18.100000000000001"/>
    <n v="0"/>
    <n v="1"/>
  </r>
  <r>
    <d v="2037-10-08T00:00:00"/>
    <x v="15"/>
    <n v="17.5"/>
    <n v="13.3"/>
    <n v="1"/>
  </r>
  <r>
    <d v="2037-10-09T00:00:00"/>
    <x v="2"/>
    <n v="26.7"/>
    <n v="12.9"/>
    <n v="1"/>
  </r>
  <r>
    <d v="2037-10-10T00:00:00"/>
    <x v="15"/>
    <n v="26.6"/>
    <n v="0"/>
    <n v="1"/>
  </r>
  <r>
    <d v="2037-10-11T00:00:00"/>
    <x v="18"/>
    <n v="12.2"/>
    <n v="1.8"/>
    <n v="1"/>
  </r>
  <r>
    <d v="2037-10-12T00:00:00"/>
    <x v="3"/>
    <n v="27.4"/>
    <n v="4.8"/>
    <n v="1"/>
  </r>
  <r>
    <d v="2037-10-13T00:00:00"/>
    <x v="9"/>
    <n v="24.9"/>
    <n v="1.6"/>
    <n v="1"/>
  </r>
  <r>
    <d v="2037-10-14T00:00:00"/>
    <x v="23"/>
    <n v="21.4"/>
    <n v="5.5"/>
    <n v="1"/>
  </r>
  <r>
    <d v="2037-10-15T00:00:00"/>
    <x v="25"/>
    <n v="14.1"/>
    <n v="0"/>
    <n v="1"/>
  </r>
  <r>
    <d v="2037-10-16T00:00:00"/>
    <x v="21"/>
    <n v="15.4"/>
    <n v="2.1"/>
    <n v="1"/>
  </r>
  <r>
    <d v="2037-10-17T00:00:00"/>
    <x v="9"/>
    <n v="27.7"/>
    <n v="0"/>
    <n v="1"/>
  </r>
  <r>
    <d v="2037-10-18T00:00:00"/>
    <x v="6"/>
    <n v="15.5"/>
    <n v="43.4"/>
    <n v="1"/>
  </r>
  <r>
    <d v="2037-10-19T00:00:00"/>
    <x v="3"/>
    <n v="26.8"/>
    <n v="0"/>
    <n v="1"/>
  </r>
  <r>
    <d v="2037-10-20T00:00:00"/>
    <x v="9"/>
    <n v="23.1"/>
    <n v="9.1"/>
    <n v="1"/>
  </r>
  <r>
    <d v="2037-10-21T00:00:00"/>
    <x v="2"/>
    <n v="22.8"/>
    <n v="12.9"/>
    <n v="1"/>
  </r>
  <r>
    <d v="2037-10-22T00:00:00"/>
    <x v="6"/>
    <n v="17.2"/>
    <n v="0"/>
    <n v="1"/>
  </r>
  <r>
    <d v="2037-10-23T00:00:00"/>
    <x v="6"/>
    <n v="29.3"/>
    <n v="6.1"/>
    <n v="1"/>
  </r>
  <r>
    <d v="2037-10-24T00:00:00"/>
    <x v="9"/>
    <n v="19.5"/>
    <n v="14.2"/>
    <n v="1"/>
  </r>
  <r>
    <d v="2037-10-25T00:00:00"/>
    <x v="15"/>
    <n v="28.1"/>
    <n v="9.4"/>
    <n v="1"/>
  </r>
  <r>
    <d v="2037-10-26T00:00:00"/>
    <x v="7"/>
    <n v="21.1"/>
    <n v="12"/>
    <n v="1"/>
  </r>
  <r>
    <d v="2037-10-27T00:00:00"/>
    <x v="3"/>
    <n v="23.8"/>
    <n v="13.3"/>
    <n v="1"/>
  </r>
  <r>
    <d v="2037-10-28T00:00:00"/>
    <x v="20"/>
    <n v="19.399999999999999"/>
    <n v="2.2000000000000002"/>
    <n v="1"/>
  </r>
  <r>
    <d v="2037-10-29T00:00:00"/>
    <x v="3"/>
    <n v="25.8"/>
    <n v="17.100000000000001"/>
    <n v="1"/>
  </r>
  <r>
    <d v="2037-10-30T00:00:00"/>
    <x v="3"/>
    <n v="30"/>
    <n v="6.3"/>
    <n v="1"/>
  </r>
  <r>
    <d v="2037-10-31T00:00:00"/>
    <x v="6"/>
    <n v="11"/>
    <n v="0"/>
    <n v="1"/>
  </r>
  <r>
    <d v="2037-11-01T00:00:00"/>
    <x v="15"/>
    <n v="27.2"/>
    <n v="0"/>
    <n v="1"/>
  </r>
  <r>
    <d v="2037-11-02T00:00:00"/>
    <x v="3"/>
    <n v="18.3"/>
    <n v="8.4"/>
    <n v="1"/>
  </r>
  <r>
    <d v="2037-11-03T00:00:00"/>
    <x v="21"/>
    <n v="14"/>
    <n v="2.5"/>
    <n v="1"/>
  </r>
  <r>
    <d v="2037-11-04T00:00:00"/>
    <x v="3"/>
    <n v="26.2"/>
    <n v="6.9"/>
    <n v="1"/>
  </r>
  <r>
    <d v="2037-11-05T00:00:00"/>
    <x v="11"/>
    <n v="25.5"/>
    <n v="8.4"/>
    <n v="1"/>
  </r>
  <r>
    <d v="2037-11-06T00:00:00"/>
    <x v="14"/>
    <n v="23.1"/>
    <n v="11.4"/>
    <n v="1"/>
  </r>
  <r>
    <d v="2037-11-07T00:00:00"/>
    <x v="8"/>
    <n v="21.3"/>
    <n v="2.8"/>
    <n v="1"/>
  </r>
  <r>
    <d v="2037-11-08T00:00:00"/>
    <x v="8"/>
    <n v="16.3"/>
    <n v="7.6"/>
    <n v="1"/>
  </r>
  <r>
    <d v="2037-11-09T00:00:00"/>
    <x v="10"/>
    <n v="23.7"/>
    <n v="7.6"/>
    <n v="1"/>
  </r>
  <r>
    <d v="2037-11-10T00:00:00"/>
    <x v="14"/>
    <n v="24.8"/>
    <n v="0"/>
    <n v="1"/>
  </r>
  <r>
    <d v="2037-11-11T00:00:00"/>
    <x v="29"/>
    <n v="21.7"/>
    <n v="1"/>
    <n v="1"/>
  </r>
  <r>
    <d v="2037-11-12T00:00:00"/>
    <x v="6"/>
    <n v="16.7"/>
    <n v="21"/>
    <n v="1"/>
  </r>
  <r>
    <d v="2037-11-13T00:00:00"/>
    <x v="19"/>
    <n v="22.3"/>
    <n v="0.1"/>
    <n v="1"/>
  </r>
  <r>
    <d v="2037-11-14T00:00:00"/>
    <x v="22"/>
    <n v="13.6"/>
    <n v="0"/>
    <n v="1"/>
  </r>
  <r>
    <d v="2037-11-15T00:00:00"/>
    <x v="21"/>
    <n v="11.8"/>
    <n v="2.1"/>
    <n v="1"/>
  </r>
  <r>
    <d v="2037-11-16T00:00:00"/>
    <x v="7"/>
    <n v="11.1"/>
    <n v="0"/>
    <n v="1"/>
  </r>
  <r>
    <d v="2037-11-17T00:00:00"/>
    <x v="9"/>
    <n v="11.2"/>
    <n v="15"/>
    <n v="1"/>
  </r>
  <r>
    <d v="2037-11-18T00:00:00"/>
    <x v="19"/>
    <n v="19.100000000000001"/>
    <n v="0"/>
    <n v="1"/>
  </r>
  <r>
    <d v="2037-11-19T00:00:00"/>
    <x v="6"/>
    <n v="11.1"/>
    <n v="46.3"/>
    <n v="1"/>
  </r>
  <r>
    <d v="2037-11-20T00:00:00"/>
    <x v="14"/>
    <n v="15.1"/>
    <n v="6.2"/>
    <n v="1"/>
  </r>
  <r>
    <d v="2037-11-21T00:00:00"/>
    <x v="11"/>
    <n v="21.7"/>
    <n v="0"/>
    <n v="1"/>
  </r>
  <r>
    <d v="2037-11-22T00:00:00"/>
    <x v="19"/>
    <n v="19.7"/>
    <n v="0.2"/>
    <n v="1"/>
  </r>
  <r>
    <d v="2037-11-23T00:00:00"/>
    <x v="3"/>
    <n v="17.5"/>
    <n v="2.2000000000000002"/>
    <n v="1"/>
  </r>
  <r>
    <d v="2037-11-24T00:00:00"/>
    <x v="2"/>
    <n v="18.8"/>
    <n v="11.3"/>
    <n v="1"/>
  </r>
  <r>
    <d v="2037-11-25T00:00:00"/>
    <x v="26"/>
    <n v="19.600000000000001"/>
    <n v="0.3"/>
    <n v="1"/>
  </r>
  <r>
    <d v="2037-11-26T00:00:00"/>
    <x v="7"/>
    <n v="24.4"/>
    <n v="22"/>
    <n v="1"/>
  </r>
  <r>
    <d v="2037-11-27T00:00:00"/>
    <x v="19"/>
    <n v="10.5"/>
    <n v="0.1"/>
    <n v="1"/>
  </r>
  <r>
    <d v="2037-11-28T00:00:00"/>
    <x v="5"/>
    <n v="23.5"/>
    <n v="0"/>
    <n v="1"/>
  </r>
  <r>
    <d v="2037-11-29T00:00:00"/>
    <x v="23"/>
    <n v="19.2"/>
    <n v="0"/>
    <n v="1"/>
  </r>
  <r>
    <d v="2037-11-30T00:00:00"/>
    <x v="2"/>
    <n v="11"/>
    <n v="0"/>
    <n v="1"/>
  </r>
  <r>
    <d v="2037-12-01T00:00:00"/>
    <x v="7"/>
    <n v="10.4"/>
    <n v="0"/>
    <n v="1"/>
  </r>
  <r>
    <d v="2037-12-02T00:00:00"/>
    <x v="3"/>
    <n v="11.9"/>
    <n v="9"/>
    <n v="1"/>
  </r>
  <r>
    <d v="2037-12-03T00:00:00"/>
    <x v="10"/>
    <n v="23.1"/>
    <n v="2"/>
    <n v="1"/>
  </r>
  <r>
    <d v="2037-12-04T00:00:00"/>
    <x v="15"/>
    <n v="18.600000000000001"/>
    <n v="17.2"/>
    <n v="1"/>
  </r>
  <r>
    <d v="2037-12-05T00:00:00"/>
    <x v="2"/>
    <n v="21.8"/>
    <n v="12.3"/>
    <n v="1"/>
  </r>
  <r>
    <d v="2037-12-06T00:00:00"/>
    <x v="10"/>
    <n v="27.7"/>
    <n v="7.4"/>
    <n v="1"/>
  </r>
  <r>
    <d v="2037-12-07T00:00:00"/>
    <x v="15"/>
    <n v="23.2"/>
    <n v="24"/>
    <n v="1"/>
  </r>
  <r>
    <d v="2037-12-08T00:00:00"/>
    <x v="15"/>
    <n v="25.8"/>
    <n v="16.100000000000001"/>
    <n v="1"/>
  </r>
  <r>
    <d v="2037-12-09T00:00:00"/>
    <x v="1"/>
    <n v="19.8"/>
    <n v="6.6"/>
    <n v="1"/>
  </r>
  <r>
    <d v="2037-12-10T00:00:00"/>
    <x v="14"/>
    <n v="11.2"/>
    <n v="7.5"/>
    <n v="1"/>
  </r>
  <r>
    <d v="2037-12-11T00:00:00"/>
    <x v="6"/>
    <n v="15.7"/>
    <n v="0"/>
    <n v="1"/>
  </r>
  <r>
    <d v="2037-12-12T00:00:00"/>
    <x v="26"/>
    <n v="23.6"/>
    <n v="0.6"/>
    <n v="1"/>
  </r>
  <r>
    <d v="2037-12-13T00:00:00"/>
    <x v="4"/>
    <n v="27.5"/>
    <n v="5.3"/>
    <n v="1"/>
  </r>
  <r>
    <d v="2037-12-14T00:00:00"/>
    <x v="1"/>
    <n v="17.3"/>
    <n v="0"/>
    <n v="1"/>
  </r>
  <r>
    <d v="2037-12-15T00:00:00"/>
    <x v="15"/>
    <n v="11.2"/>
    <n v="32.700000000000003"/>
    <n v="1"/>
  </r>
  <r>
    <d v="2037-12-16T00:00:00"/>
    <x v="7"/>
    <n v="17.8"/>
    <n v="0"/>
    <n v="1"/>
  </r>
  <r>
    <d v="2037-12-17T00:00:00"/>
    <x v="6"/>
    <n v="16.899999999999999"/>
    <n v="41.8"/>
    <n v="1"/>
  </r>
  <r>
    <d v="2037-12-18T00:00:00"/>
    <x v="7"/>
    <n v="18.3"/>
    <n v="0"/>
    <n v="1"/>
  </r>
  <r>
    <d v="2037-12-19T00:00:00"/>
    <x v="13"/>
    <n v="12.2"/>
    <n v="0"/>
    <n v="1"/>
  </r>
  <r>
    <d v="2037-12-20T00:00:00"/>
    <x v="9"/>
    <n v="21.2"/>
    <n v="0"/>
    <n v="1"/>
  </r>
  <r>
    <d v="2037-12-21T00:00:00"/>
    <x v="6"/>
    <n v="19.600000000000001"/>
    <n v="48.2"/>
    <n v="1"/>
  </r>
  <r>
    <d v="2037-12-22T00:00:00"/>
    <x v="5"/>
    <n v="15.6"/>
    <n v="0.6"/>
    <n v="1"/>
  </r>
  <r>
    <d v="2037-12-23T00:00:00"/>
    <x v="22"/>
    <n v="12.5"/>
    <n v="5.9"/>
    <n v="1"/>
  </r>
  <r>
    <d v="2037-12-24T00:00:00"/>
    <x v="8"/>
    <n v="29.3"/>
    <n v="0"/>
    <n v="1"/>
  </r>
  <r>
    <d v="2037-12-25T00:00:00"/>
    <x v="14"/>
    <n v="24.6"/>
    <n v="0"/>
    <n v="1"/>
  </r>
  <r>
    <d v="2037-12-26T00:00:00"/>
    <x v="5"/>
    <n v="21.2"/>
    <n v="3.1"/>
    <n v="1"/>
  </r>
  <r>
    <d v="2037-12-27T00:00:00"/>
    <x v="6"/>
    <n v="12.7"/>
    <n v="38.1"/>
    <n v="1"/>
  </r>
  <r>
    <d v="2037-12-28T00:00:00"/>
    <x v="19"/>
    <n v="20.6"/>
    <n v="5.2"/>
    <n v="1"/>
  </r>
  <r>
    <d v="2037-12-29T00:00:00"/>
    <x v="8"/>
    <n v="28.3"/>
    <n v="0"/>
    <n v="1"/>
  </r>
  <r>
    <d v="2037-12-30T00:00:00"/>
    <x v="15"/>
    <n v="15.1"/>
    <n v="22.6"/>
    <n v="1"/>
  </r>
  <r>
    <d v="2037-12-31T00:00:00"/>
    <x v="11"/>
    <n v="24.8"/>
    <n v="10.5"/>
    <n v="1"/>
  </r>
  <r>
    <d v="2038-01-01T00:00:00"/>
    <x v="17"/>
    <n v="16.899999999999999"/>
    <n v="1.2"/>
    <n v="1"/>
  </r>
  <r>
    <d v="2038-01-02T00:00:00"/>
    <x v="17"/>
    <n v="23.4"/>
    <n v="0"/>
    <n v="1"/>
  </r>
  <r>
    <d v="2038-01-03T00:00:00"/>
    <x v="3"/>
    <n v="10.5"/>
    <n v="22.2"/>
    <n v="1"/>
  </r>
  <r>
    <d v="2038-01-04T00:00:00"/>
    <x v="6"/>
    <n v="16.2"/>
    <n v="0"/>
    <n v="1"/>
  </r>
  <r>
    <d v="2038-01-05T00:00:00"/>
    <x v="12"/>
    <n v="29.7"/>
    <n v="0.3"/>
    <n v="1"/>
  </r>
  <r>
    <d v="2038-01-06T00:00:00"/>
    <x v="6"/>
    <n v="12.8"/>
    <n v="0"/>
    <n v="1"/>
  </r>
  <r>
    <d v="2038-01-07T00:00:00"/>
    <x v="4"/>
    <n v="19.100000000000001"/>
    <n v="1.7"/>
    <n v="1"/>
  </r>
  <r>
    <d v="2038-01-08T00:00:00"/>
    <x v="7"/>
    <n v="27.7"/>
    <n v="0"/>
    <n v="1"/>
  </r>
  <r>
    <d v="2038-01-09T00:00:00"/>
    <x v="10"/>
    <n v="22"/>
    <n v="5.9"/>
    <n v="1"/>
  </r>
  <r>
    <d v="2038-01-10T00:00:00"/>
    <x v="2"/>
    <n v="19.600000000000001"/>
    <n v="2.7"/>
    <n v="1"/>
  </r>
  <r>
    <d v="2038-01-11T00:00:00"/>
    <x v="4"/>
    <n v="16"/>
    <n v="0.3"/>
    <n v="1"/>
  </r>
  <r>
    <d v="2038-01-12T00:00:00"/>
    <x v="1"/>
    <n v="14"/>
    <n v="1.3"/>
    <n v="1"/>
  </r>
  <r>
    <d v="2038-01-13T00:00:00"/>
    <x v="11"/>
    <n v="29.5"/>
    <n v="3.3"/>
    <n v="1"/>
  </r>
  <r>
    <d v="2038-01-14T00:00:00"/>
    <x v="3"/>
    <n v="12.2"/>
    <n v="0"/>
    <n v="1"/>
  </r>
  <r>
    <d v="2038-01-15T00:00:00"/>
    <x v="7"/>
    <n v="15"/>
    <n v="7.4"/>
    <n v="1"/>
  </r>
  <r>
    <d v="2038-01-16T00:00:00"/>
    <x v="16"/>
    <n v="10.4"/>
    <n v="2"/>
    <n v="1"/>
  </r>
  <r>
    <d v="2038-01-17T00:00:00"/>
    <x v="15"/>
    <n v="18.600000000000001"/>
    <n v="4.5999999999999996"/>
    <n v="1"/>
  </r>
  <r>
    <d v="2038-01-18T00:00:00"/>
    <x v="14"/>
    <n v="23.7"/>
    <n v="7.2"/>
    <n v="1"/>
  </r>
  <r>
    <d v="2038-01-19T00:00:00"/>
    <x v="1"/>
    <n v="27.2"/>
    <n v="0"/>
    <n v="1"/>
  </r>
  <r>
    <d v="2038-01-20T00:00:00"/>
    <x v="11"/>
    <n v="11.3"/>
    <n v="18.8"/>
    <n v="1"/>
  </r>
  <r>
    <d v="2038-01-21T00:00:00"/>
    <x v="3"/>
    <n v="22.1"/>
    <n v="0"/>
    <n v="1"/>
  </r>
  <r>
    <d v="2038-01-22T00:00:00"/>
    <x v="8"/>
    <n v="11"/>
    <n v="0"/>
    <n v="1"/>
  </r>
  <r>
    <d v="2038-01-23T00:00:00"/>
    <x v="15"/>
    <n v="14.7"/>
    <n v="0"/>
    <n v="1"/>
  </r>
  <r>
    <d v="2038-01-24T00:00:00"/>
    <x v="15"/>
    <n v="10.4"/>
    <n v="14.4"/>
    <n v="1"/>
  </r>
  <r>
    <d v="2038-01-25T00:00:00"/>
    <x v="20"/>
    <n v="29.6"/>
    <n v="2.8"/>
    <n v="1"/>
  </r>
  <r>
    <d v="2038-01-26T00:00:00"/>
    <x v="14"/>
    <n v="11.3"/>
    <n v="7.2"/>
    <n v="1"/>
  </r>
  <r>
    <d v="2038-01-27T00:00:00"/>
    <x v="16"/>
    <n v="22.4"/>
    <n v="0"/>
    <n v="1"/>
  </r>
  <r>
    <d v="2038-01-28T00:00:00"/>
    <x v="15"/>
    <n v="19.600000000000001"/>
    <n v="28.7"/>
    <n v="1"/>
  </r>
  <r>
    <d v="2038-01-29T00:00:00"/>
    <x v="2"/>
    <n v="28.5"/>
    <n v="12.9"/>
    <n v="1"/>
  </r>
  <r>
    <d v="2038-01-30T00:00:00"/>
    <x v="20"/>
    <n v="10.9"/>
    <n v="0"/>
    <n v="1"/>
  </r>
  <r>
    <d v="2038-01-31T00:00:00"/>
    <x v="9"/>
    <n v="13.4"/>
    <n v="15.7"/>
    <n v="1"/>
  </r>
  <r>
    <d v="2038-02-01T00:00:00"/>
    <x v="15"/>
    <n v="27.3"/>
    <n v="0"/>
    <n v="1"/>
  </r>
  <r>
    <d v="2038-02-02T00:00:00"/>
    <x v="5"/>
    <n v="23.6"/>
    <n v="0"/>
    <n v="1"/>
  </r>
  <r>
    <d v="2038-02-03T00:00:00"/>
    <x v="3"/>
    <n v="26.5"/>
    <n v="20.3"/>
    <n v="1"/>
  </r>
  <r>
    <d v="2038-02-04T00:00:00"/>
    <x v="5"/>
    <n v="23.6"/>
    <n v="6.5"/>
    <n v="1"/>
  </r>
  <r>
    <d v="2038-02-05T00:00:00"/>
    <x v="7"/>
    <n v="22.4"/>
    <n v="13.3"/>
    <n v="1"/>
  </r>
  <r>
    <d v="2038-02-06T00:00:00"/>
    <x v="14"/>
    <n v="22"/>
    <n v="15.5"/>
    <n v="1"/>
  </r>
  <r>
    <d v="2038-02-07T00:00:00"/>
    <x v="23"/>
    <n v="10.8"/>
    <n v="0.4"/>
    <n v="1"/>
  </r>
  <r>
    <d v="2038-02-08T00:00:00"/>
    <x v="11"/>
    <n v="21.6"/>
    <n v="0"/>
    <n v="1"/>
  </r>
  <r>
    <d v="2038-02-09T00:00:00"/>
    <x v="4"/>
    <n v="10.1"/>
    <n v="0"/>
    <n v="1"/>
  </r>
  <r>
    <d v="2038-02-10T00:00:00"/>
    <x v="7"/>
    <n v="29"/>
    <n v="12.6"/>
    <n v="1"/>
  </r>
  <r>
    <d v="2038-02-11T00:00:00"/>
    <x v="4"/>
    <n v="16.399999999999999"/>
    <n v="3.7"/>
    <n v="1"/>
  </r>
  <r>
    <d v="2038-02-12T00:00:00"/>
    <x v="15"/>
    <n v="13.5"/>
    <n v="38.5"/>
    <n v="1"/>
  </r>
  <r>
    <d v="2038-02-13T00:00:00"/>
    <x v="10"/>
    <n v="18.100000000000001"/>
    <n v="3"/>
    <n v="1"/>
  </r>
  <r>
    <d v="2038-02-14T00:00:00"/>
    <x v="3"/>
    <n v="20.399999999999999"/>
    <n v="11.7"/>
    <n v="1"/>
  </r>
  <r>
    <d v="2038-02-15T00:00:00"/>
    <x v="11"/>
    <n v="29.6"/>
    <n v="0.9"/>
    <n v="1"/>
  </r>
  <r>
    <d v="2038-02-16T00:00:00"/>
    <x v="28"/>
    <n v="11.4"/>
    <n v="0.6"/>
    <n v="1"/>
  </r>
  <r>
    <d v="2038-02-17T00:00:00"/>
    <x v="7"/>
    <n v="28.8"/>
    <n v="14.1"/>
    <n v="1"/>
  </r>
  <r>
    <d v="2038-02-18T00:00:00"/>
    <x v="6"/>
    <n v="11.8"/>
    <n v="42.4"/>
    <n v="1"/>
  </r>
  <r>
    <d v="2038-02-19T00:00:00"/>
    <x v="3"/>
    <n v="11.5"/>
    <n v="10.1"/>
    <n v="1"/>
  </r>
  <r>
    <d v="2038-02-20T00:00:00"/>
    <x v="9"/>
    <n v="13.6"/>
    <n v="8.4"/>
    <n v="1"/>
  </r>
  <r>
    <d v="2038-02-21T00:00:00"/>
    <x v="27"/>
    <n v="14.1"/>
    <n v="0.7"/>
    <n v="1"/>
  </r>
  <r>
    <d v="2038-02-22T00:00:00"/>
    <x v="15"/>
    <n v="19.399999999999999"/>
    <n v="32.700000000000003"/>
    <n v="1"/>
  </r>
  <r>
    <d v="2038-02-23T00:00:00"/>
    <x v="29"/>
    <n v="28.5"/>
    <n v="0"/>
    <n v="1"/>
  </r>
  <r>
    <d v="2038-02-24T00:00:00"/>
    <x v="15"/>
    <n v="23.7"/>
    <n v="12.2"/>
    <n v="1"/>
  </r>
  <r>
    <d v="2038-02-25T00:00:00"/>
    <x v="16"/>
    <n v="21.7"/>
    <n v="0"/>
    <n v="1"/>
  </r>
  <r>
    <d v="2038-02-26T00:00:00"/>
    <x v="2"/>
    <n v="13.3"/>
    <n v="0"/>
    <n v="1"/>
  </r>
  <r>
    <d v="2038-02-27T00:00:00"/>
    <x v="5"/>
    <n v="14.4"/>
    <n v="0"/>
    <n v="1"/>
  </r>
  <r>
    <d v="2038-02-28T00:00:00"/>
    <x v="7"/>
    <n v="28.5"/>
    <n v="21.5"/>
    <n v="1"/>
  </r>
  <r>
    <d v="2038-03-01T00:00:00"/>
    <x v="15"/>
    <n v="20.5"/>
    <n v="0"/>
    <n v="1"/>
  </r>
  <r>
    <d v="2038-03-02T00:00:00"/>
    <x v="6"/>
    <n v="11.4"/>
    <n v="39"/>
    <n v="1"/>
  </r>
  <r>
    <d v="2038-03-03T00:00:00"/>
    <x v="5"/>
    <n v="12.5"/>
    <n v="0"/>
    <n v="1"/>
  </r>
  <r>
    <d v="2038-03-04T00:00:00"/>
    <x v="11"/>
    <n v="16.600000000000001"/>
    <n v="4.5999999999999996"/>
    <n v="1"/>
  </r>
  <r>
    <d v="2038-03-05T00:00:00"/>
    <x v="11"/>
    <n v="10.6"/>
    <n v="11.3"/>
    <n v="1"/>
  </r>
  <r>
    <d v="2038-03-06T00:00:00"/>
    <x v="3"/>
    <n v="27.9"/>
    <n v="16.100000000000001"/>
    <n v="1"/>
  </r>
  <r>
    <d v="2038-03-07T00:00:00"/>
    <x v="6"/>
    <n v="11.1"/>
    <n v="28.2"/>
    <n v="1"/>
  </r>
  <r>
    <d v="2038-03-08T00:00:00"/>
    <x v="3"/>
    <n v="21.5"/>
    <n v="12.8"/>
    <n v="1"/>
  </r>
  <r>
    <d v="2038-03-09T00:00:00"/>
    <x v="2"/>
    <n v="28.4"/>
    <n v="4.5999999999999996"/>
    <n v="1"/>
  </r>
  <r>
    <d v="2038-03-10T00:00:00"/>
    <x v="18"/>
    <n v="18.100000000000001"/>
    <n v="5.9"/>
    <n v="1"/>
  </r>
  <r>
    <d v="2038-03-11T00:00:00"/>
    <x v="16"/>
    <n v="25.3"/>
    <n v="0"/>
    <n v="1"/>
  </r>
  <r>
    <d v="2038-03-12T00:00:00"/>
    <x v="5"/>
    <n v="15.6"/>
    <n v="10.6"/>
    <n v="1"/>
  </r>
  <r>
    <d v="2038-03-13T00:00:00"/>
    <x v="15"/>
    <n v="19.899999999999999"/>
    <n v="0"/>
    <n v="1"/>
  </r>
  <r>
    <d v="2038-03-14T00:00:00"/>
    <x v="3"/>
    <n v="24.7"/>
    <n v="14.7"/>
    <n v="1"/>
  </r>
  <r>
    <d v="2038-03-15T00:00:00"/>
    <x v="19"/>
    <n v="21.9"/>
    <n v="5.6"/>
    <n v="1"/>
  </r>
  <r>
    <d v="2038-03-16T00:00:00"/>
    <x v="10"/>
    <n v="18"/>
    <n v="6.2"/>
    <n v="1"/>
  </r>
  <r>
    <d v="2038-03-17T00:00:00"/>
    <x v="25"/>
    <n v="24.5"/>
    <n v="0.6"/>
    <n v="1"/>
  </r>
  <r>
    <d v="2038-03-18T00:00:00"/>
    <x v="4"/>
    <n v="10.9"/>
    <n v="0"/>
    <n v="1"/>
  </r>
  <r>
    <d v="2038-03-19T00:00:00"/>
    <x v="22"/>
    <n v="11.3"/>
    <n v="2.7"/>
    <n v="1"/>
  </r>
  <r>
    <d v="2038-03-20T00:00:00"/>
    <x v="6"/>
    <n v="13.2"/>
    <n v="30"/>
    <n v="1"/>
  </r>
  <r>
    <d v="2038-03-21T00:00:00"/>
    <x v="4"/>
    <n v="18.7"/>
    <n v="4.7"/>
    <n v="1"/>
  </r>
  <r>
    <d v="2038-03-22T00:00:00"/>
    <x v="4"/>
    <n v="12.1"/>
    <n v="1.5"/>
    <n v="1"/>
  </r>
  <r>
    <d v="2038-03-23T00:00:00"/>
    <x v="11"/>
    <n v="11.9"/>
    <n v="1.3"/>
    <n v="1"/>
  </r>
  <r>
    <d v="2038-03-24T00:00:00"/>
    <x v="22"/>
    <n v="17.7"/>
    <n v="2.6"/>
    <n v="1"/>
  </r>
  <r>
    <d v="2038-03-25T00:00:00"/>
    <x v="17"/>
    <n v="25.9"/>
    <n v="0.8"/>
    <n v="1"/>
  </r>
  <r>
    <d v="2038-03-26T00:00:00"/>
    <x v="2"/>
    <n v="27.7"/>
    <n v="0"/>
    <n v="1"/>
  </r>
  <r>
    <d v="2038-03-27T00:00:00"/>
    <x v="9"/>
    <n v="13.3"/>
    <n v="13.3"/>
    <n v="1"/>
  </r>
  <r>
    <d v="2038-03-28T00:00:00"/>
    <x v="15"/>
    <n v="11.7"/>
    <n v="4.9000000000000004"/>
    <n v="1"/>
  </r>
  <r>
    <d v="2038-03-29T00:00:00"/>
    <x v="22"/>
    <n v="26.5"/>
    <n v="4.5"/>
    <n v="1"/>
  </r>
  <r>
    <d v="2038-03-30T00:00:00"/>
    <x v="23"/>
    <n v="18.7"/>
    <n v="2.2999999999999998"/>
    <n v="1"/>
  </r>
  <r>
    <d v="2038-03-31T00:00:00"/>
    <x v="18"/>
    <n v="11.7"/>
    <n v="6"/>
    <n v="1"/>
  </r>
  <r>
    <d v="2038-04-01T00:00:00"/>
    <x v="15"/>
    <n v="27.5"/>
    <n v="22.6"/>
    <n v="1"/>
  </r>
  <r>
    <d v="2038-04-02T00:00:00"/>
    <x v="23"/>
    <n v="27.4"/>
    <n v="0"/>
    <n v="1"/>
  </r>
  <r>
    <d v="2038-04-03T00:00:00"/>
    <x v="7"/>
    <n v="14.8"/>
    <n v="0"/>
    <n v="1"/>
  </r>
  <r>
    <d v="2038-04-04T00:00:00"/>
    <x v="13"/>
    <n v="26.2"/>
    <n v="0"/>
    <n v="1"/>
  </r>
  <r>
    <d v="2038-04-05T00:00:00"/>
    <x v="11"/>
    <n v="12.9"/>
    <n v="17.899999999999999"/>
    <n v="1"/>
  </r>
  <r>
    <d v="2038-04-06T00:00:00"/>
    <x v="21"/>
    <n v="12.5"/>
    <n v="0"/>
    <n v="1"/>
  </r>
  <r>
    <d v="2038-04-07T00:00:00"/>
    <x v="20"/>
    <n v="12.3"/>
    <n v="0"/>
    <n v="1"/>
  </r>
  <r>
    <d v="2038-04-08T00:00:00"/>
    <x v="1"/>
    <n v="19.399999999999999"/>
    <n v="0"/>
    <n v="1"/>
  </r>
  <r>
    <d v="2038-04-09T00:00:00"/>
    <x v="11"/>
    <n v="20.9"/>
    <n v="0"/>
    <n v="1"/>
  </r>
  <r>
    <d v="2038-04-10T00:00:00"/>
    <x v="5"/>
    <n v="10.4"/>
    <n v="0"/>
    <n v="1"/>
  </r>
  <r>
    <d v="2038-04-11T00:00:00"/>
    <x v="7"/>
    <n v="22.2"/>
    <n v="2.5"/>
    <n v="1"/>
  </r>
  <r>
    <d v="2038-04-12T00:00:00"/>
    <x v="6"/>
    <n v="16.8"/>
    <n v="0"/>
    <n v="1"/>
  </r>
  <r>
    <d v="2038-04-13T00:00:00"/>
    <x v="15"/>
    <n v="21.7"/>
    <n v="33.299999999999997"/>
    <n v="1"/>
  </r>
  <r>
    <d v="2038-04-14T00:00:00"/>
    <x v="7"/>
    <n v="10.199999999999999"/>
    <n v="16.600000000000001"/>
    <n v="1"/>
  </r>
  <r>
    <d v="2038-04-15T00:00:00"/>
    <x v="6"/>
    <n v="16.5"/>
    <n v="0"/>
    <n v="1"/>
  </r>
  <r>
    <d v="2038-04-16T00:00:00"/>
    <x v="12"/>
    <n v="29.1"/>
    <n v="0.5"/>
    <n v="1"/>
  </r>
  <r>
    <d v="2038-04-17T00:00:00"/>
    <x v="7"/>
    <n v="17.8"/>
    <n v="0"/>
    <n v="1"/>
  </r>
  <r>
    <d v="2038-04-18T00:00:00"/>
    <x v="6"/>
    <n v="10"/>
    <n v="0"/>
    <n v="1"/>
  </r>
  <r>
    <d v="2038-04-19T00:00:00"/>
    <x v="5"/>
    <n v="15.5"/>
    <n v="8.6"/>
    <n v="1"/>
  </r>
  <r>
    <d v="2038-04-20T00:00:00"/>
    <x v="6"/>
    <n v="15.3"/>
    <n v="21.4"/>
    <n v="1"/>
  </r>
  <r>
    <d v="2038-04-21T00:00:00"/>
    <x v="8"/>
    <n v="23.7"/>
    <n v="0"/>
    <n v="1"/>
  </r>
  <r>
    <d v="2038-04-22T00:00:00"/>
    <x v="7"/>
    <n v="26.1"/>
    <n v="12.5"/>
    <n v="1"/>
  </r>
  <r>
    <d v="2038-04-23T00:00:00"/>
    <x v="7"/>
    <n v="13.4"/>
    <n v="0"/>
    <n v="1"/>
  </r>
  <r>
    <d v="2038-04-24T00:00:00"/>
    <x v="1"/>
    <n v="17.8"/>
    <n v="3.7"/>
    <n v="1"/>
  </r>
  <r>
    <d v="2038-04-25T00:00:00"/>
    <x v="20"/>
    <n v="13"/>
    <n v="2.7"/>
    <n v="1"/>
  </r>
  <r>
    <d v="2038-04-26T00:00:00"/>
    <x v="3"/>
    <n v="28.2"/>
    <n v="0"/>
    <n v="1"/>
  </r>
  <r>
    <d v="2038-04-27T00:00:00"/>
    <x v="6"/>
    <n v="23"/>
    <n v="0"/>
    <n v="1"/>
  </r>
  <r>
    <d v="2038-04-28T00:00:00"/>
    <x v="3"/>
    <n v="21.5"/>
    <n v="0"/>
    <n v="1"/>
  </r>
  <r>
    <d v="2038-04-29T00:00:00"/>
    <x v="14"/>
    <n v="22.3"/>
    <n v="0"/>
    <n v="1"/>
  </r>
  <r>
    <d v="2038-04-30T00:00:00"/>
    <x v="6"/>
    <n v="28.2"/>
    <n v="0"/>
    <n v="1"/>
  </r>
  <r>
    <d v="2038-05-01T00:00:00"/>
    <x v="20"/>
    <n v="11.9"/>
    <n v="3.4"/>
    <n v="1"/>
  </r>
  <r>
    <d v="2038-05-02T00:00:00"/>
    <x v="14"/>
    <n v="20.9"/>
    <n v="7.5"/>
    <n v="1"/>
  </r>
  <r>
    <d v="2038-05-03T00:00:00"/>
    <x v="28"/>
    <n v="18.399999999999999"/>
    <n v="0.2"/>
    <n v="1"/>
  </r>
  <r>
    <d v="2038-05-04T00:00:00"/>
    <x v="6"/>
    <n v="27.8"/>
    <n v="35.9"/>
    <n v="1"/>
  </r>
  <r>
    <d v="2038-05-05T00:00:00"/>
    <x v="15"/>
    <n v="20.7"/>
    <n v="14.7"/>
    <n v="1"/>
  </r>
  <r>
    <d v="2038-05-06T00:00:00"/>
    <x v="1"/>
    <n v="13"/>
    <n v="0"/>
    <n v="1"/>
  </r>
  <r>
    <d v="2038-05-07T00:00:00"/>
    <x v="15"/>
    <n v="29.4"/>
    <n v="0"/>
    <n v="1"/>
  </r>
  <r>
    <d v="2038-05-08T00:00:00"/>
    <x v="2"/>
    <n v="19.8"/>
    <n v="13.9"/>
    <n v="1"/>
  </r>
  <r>
    <d v="2038-05-09T00:00:00"/>
    <x v="7"/>
    <n v="10.9"/>
    <n v="17"/>
    <n v="1"/>
  </r>
  <r>
    <d v="2038-05-10T00:00:00"/>
    <x v="6"/>
    <n v="27.3"/>
    <n v="15.8"/>
    <n v="1"/>
  </r>
  <r>
    <d v="2038-05-11T00:00:00"/>
    <x v="15"/>
    <n v="16.399999999999999"/>
    <n v="0"/>
    <n v="1"/>
  </r>
  <r>
    <d v="2038-05-12T00:00:00"/>
    <x v="11"/>
    <n v="28"/>
    <n v="9.6999999999999993"/>
    <n v="1"/>
  </r>
  <r>
    <d v="2038-05-13T00:00:00"/>
    <x v="3"/>
    <n v="17.399999999999999"/>
    <n v="6.6"/>
    <n v="1"/>
  </r>
  <r>
    <d v="2038-05-14T00:00:00"/>
    <x v="4"/>
    <n v="25.7"/>
    <n v="0.7"/>
    <n v="1"/>
  </r>
  <r>
    <d v="2038-05-15T00:00:00"/>
    <x v="15"/>
    <n v="20.100000000000001"/>
    <n v="11"/>
    <n v="1"/>
  </r>
  <r>
    <d v="2038-05-16T00:00:00"/>
    <x v="15"/>
    <n v="17.899999999999999"/>
    <n v="0"/>
    <n v="1"/>
  </r>
  <r>
    <d v="2038-05-17T00:00:00"/>
    <x v="7"/>
    <n v="10.7"/>
    <n v="6.4"/>
    <n v="1"/>
  </r>
  <r>
    <d v="2038-05-18T00:00:00"/>
    <x v="5"/>
    <n v="20.399999999999999"/>
    <n v="0"/>
    <n v="1"/>
  </r>
  <r>
    <d v="2038-05-19T00:00:00"/>
    <x v="8"/>
    <n v="25.4"/>
    <n v="1"/>
    <n v="1"/>
  </r>
  <r>
    <d v="2038-05-20T00:00:00"/>
    <x v="4"/>
    <n v="10.9"/>
    <n v="0.2"/>
    <n v="1"/>
  </r>
  <r>
    <d v="2038-05-21T00:00:00"/>
    <x v="23"/>
    <n v="18.5"/>
    <n v="0.5"/>
    <n v="1"/>
  </r>
  <r>
    <d v="2038-05-22T00:00:00"/>
    <x v="6"/>
    <n v="14.8"/>
    <n v="50.3"/>
    <n v="1"/>
  </r>
  <r>
    <d v="2038-05-23T00:00:00"/>
    <x v="14"/>
    <n v="28.5"/>
    <n v="0.7"/>
    <n v="1"/>
  </r>
  <r>
    <d v="2038-05-24T00:00:00"/>
    <x v="27"/>
    <n v="19.399999999999999"/>
    <n v="0"/>
    <n v="1"/>
  </r>
  <r>
    <d v="2038-05-25T00:00:00"/>
    <x v="19"/>
    <n v="20.7"/>
    <n v="4.7"/>
    <n v="1"/>
  </r>
  <r>
    <d v="2038-05-26T00:00:00"/>
    <x v="22"/>
    <n v="25.7"/>
    <n v="0"/>
    <n v="1"/>
  </r>
  <r>
    <d v="2038-05-27T00:00:00"/>
    <x v="15"/>
    <n v="21.4"/>
    <n v="0"/>
    <n v="1"/>
  </r>
  <r>
    <d v="2038-05-28T00:00:00"/>
    <x v="6"/>
    <n v="19.2"/>
    <n v="0"/>
    <n v="1"/>
  </r>
  <r>
    <d v="2038-05-29T00:00:00"/>
    <x v="14"/>
    <n v="19.399999999999999"/>
    <n v="14.2"/>
    <n v="1"/>
  </r>
  <r>
    <d v="2038-05-30T00:00:00"/>
    <x v="15"/>
    <n v="24.2"/>
    <n v="1.9"/>
    <n v="1"/>
  </r>
  <r>
    <d v="2038-05-31T00:00:00"/>
    <x v="3"/>
    <n v="27.7"/>
    <n v="19.5"/>
    <n v="1"/>
  </r>
  <r>
    <d v="2038-06-01T00:00:00"/>
    <x v="1"/>
    <n v="16.899999999999999"/>
    <n v="4.0999999999999996"/>
    <n v="1"/>
  </r>
  <r>
    <d v="2038-06-02T00:00:00"/>
    <x v="15"/>
    <n v="11.8"/>
    <n v="0"/>
    <n v="1"/>
  </r>
  <r>
    <d v="2038-06-03T00:00:00"/>
    <x v="8"/>
    <n v="15.7"/>
    <n v="9.4"/>
    <n v="1"/>
  </r>
  <r>
    <d v="2038-06-04T00:00:00"/>
    <x v="2"/>
    <n v="14.2"/>
    <n v="0"/>
    <n v="1"/>
  </r>
  <r>
    <d v="2038-06-05T00:00:00"/>
    <x v="11"/>
    <n v="18.100000000000001"/>
    <n v="13.1"/>
    <n v="1"/>
  </r>
  <r>
    <d v="2038-06-06T00:00:00"/>
    <x v="15"/>
    <n v="21.9"/>
    <n v="27.5"/>
    <n v="1"/>
  </r>
  <r>
    <d v="2038-06-07T00:00:00"/>
    <x v="6"/>
    <n v="28"/>
    <n v="2.1"/>
    <n v="1"/>
  </r>
  <r>
    <d v="2038-06-08T00:00:00"/>
    <x v="9"/>
    <n v="14.2"/>
    <n v="7"/>
    <n v="1"/>
  </r>
  <r>
    <d v="2038-06-09T00:00:00"/>
    <x v="9"/>
    <n v="11.1"/>
    <n v="0"/>
    <n v="1"/>
  </r>
  <r>
    <d v="2038-06-10T00:00:00"/>
    <x v="10"/>
    <n v="11.8"/>
    <n v="6"/>
    <n v="1"/>
  </r>
  <r>
    <d v="2038-06-11T00:00:00"/>
    <x v="29"/>
    <n v="26.8"/>
    <n v="0.9"/>
    <n v="1"/>
  </r>
  <r>
    <d v="2038-06-12T00:00:00"/>
    <x v="6"/>
    <n v="27.3"/>
    <n v="44.5"/>
    <n v="1"/>
  </r>
  <r>
    <d v="2038-06-13T00:00:00"/>
    <x v="4"/>
    <n v="14.3"/>
    <n v="3.7"/>
    <n v="1"/>
  </r>
  <r>
    <d v="2038-06-14T00:00:00"/>
    <x v="1"/>
    <n v="19.399999999999999"/>
    <n v="0"/>
    <n v="1"/>
  </r>
  <r>
    <d v="2038-06-15T00:00:00"/>
    <x v="15"/>
    <n v="26.5"/>
    <n v="0"/>
    <n v="1"/>
  </r>
  <r>
    <d v="2038-06-16T00:00:00"/>
    <x v="15"/>
    <n v="28.3"/>
    <n v="14.4"/>
    <n v="1"/>
  </r>
  <r>
    <d v="2038-06-17T00:00:00"/>
    <x v="23"/>
    <n v="19.8"/>
    <n v="0"/>
    <n v="1"/>
  </r>
  <r>
    <d v="2038-06-18T00:00:00"/>
    <x v="6"/>
    <n v="16"/>
    <n v="28.7"/>
    <n v="1"/>
  </r>
  <r>
    <d v="2038-06-19T00:00:00"/>
    <x v="15"/>
    <n v="14.5"/>
    <n v="12"/>
    <n v="1"/>
  </r>
  <r>
    <d v="2038-06-20T00:00:00"/>
    <x v="11"/>
    <n v="14.3"/>
    <n v="13"/>
    <n v="1"/>
  </r>
  <r>
    <d v="2038-06-21T00:00:00"/>
    <x v="14"/>
    <n v="12.7"/>
    <n v="10.7"/>
    <n v="1"/>
  </r>
  <r>
    <d v="2038-06-22T00:00:00"/>
    <x v="18"/>
    <n v="12.6"/>
    <n v="0"/>
    <n v="1"/>
  </r>
  <r>
    <d v="2038-06-23T00:00:00"/>
    <x v="22"/>
    <n v="19.899999999999999"/>
    <n v="6.6"/>
    <n v="1"/>
  </r>
  <r>
    <d v="2038-06-24T00:00:00"/>
    <x v="3"/>
    <n v="27.4"/>
    <n v="6.6"/>
    <n v="1"/>
  </r>
  <r>
    <d v="2038-06-25T00:00:00"/>
    <x v="15"/>
    <n v="27.4"/>
    <n v="0"/>
    <n v="1"/>
  </r>
  <r>
    <d v="2038-06-26T00:00:00"/>
    <x v="24"/>
    <n v="11.2"/>
    <n v="0.3"/>
    <n v="1"/>
  </r>
  <r>
    <d v="2038-06-27T00:00:00"/>
    <x v="7"/>
    <n v="19.899999999999999"/>
    <n v="19.399999999999999"/>
    <n v="1"/>
  </r>
  <r>
    <d v="2038-06-28T00:00:00"/>
    <x v="0"/>
    <n v="13"/>
    <n v="0.4"/>
    <n v="1"/>
  </r>
  <r>
    <d v="2038-06-29T00:00:00"/>
    <x v="14"/>
    <n v="25.4"/>
    <n v="12.4"/>
    <n v="1"/>
  </r>
  <r>
    <d v="2038-06-30T00:00:00"/>
    <x v="5"/>
    <n v="23.5"/>
    <n v="0.7"/>
    <n v="1"/>
  </r>
  <r>
    <d v="2038-07-01T00:00:00"/>
    <x v="18"/>
    <n v="16"/>
    <n v="0.1"/>
    <n v="1"/>
  </r>
  <r>
    <d v="2038-07-02T00:00:00"/>
    <x v="2"/>
    <n v="25"/>
    <n v="11.7"/>
    <n v="1"/>
  </r>
  <r>
    <d v="2038-07-03T00:00:00"/>
    <x v="27"/>
    <n v="22.2"/>
    <n v="0.9"/>
    <n v="1"/>
  </r>
  <r>
    <d v="2038-07-04T00:00:00"/>
    <x v="20"/>
    <n v="29.6"/>
    <n v="0"/>
    <n v="1"/>
  </r>
  <r>
    <d v="2038-07-05T00:00:00"/>
    <x v="6"/>
    <n v="10.1"/>
    <n v="0"/>
    <n v="1"/>
  </r>
  <r>
    <d v="2038-07-06T00:00:00"/>
    <x v="5"/>
    <n v="26.3"/>
    <n v="6.7"/>
    <n v="1"/>
  </r>
  <r>
    <d v="2038-07-07T00:00:00"/>
    <x v="6"/>
    <n v="27.3"/>
    <n v="15.3"/>
    <n v="1"/>
  </r>
  <r>
    <d v="2038-07-08T00:00:00"/>
    <x v="7"/>
    <n v="27.8"/>
    <n v="0"/>
    <n v="1"/>
  </r>
  <r>
    <d v="2038-07-09T00:00:00"/>
    <x v="2"/>
    <n v="16.7"/>
    <n v="4.9000000000000004"/>
    <n v="1"/>
  </r>
  <r>
    <d v="2038-07-10T00:00:00"/>
    <x v="11"/>
    <n v="15"/>
    <n v="9.4"/>
    <n v="1"/>
  </r>
  <r>
    <d v="2038-07-11T00:00:00"/>
    <x v="6"/>
    <n v="10.4"/>
    <n v="28.5"/>
    <n v="1"/>
  </r>
  <r>
    <d v="2038-07-12T00:00:00"/>
    <x v="11"/>
    <n v="18.100000000000001"/>
    <n v="9.6"/>
    <n v="1"/>
  </r>
  <r>
    <d v="2038-07-13T00:00:00"/>
    <x v="29"/>
    <n v="26.7"/>
    <n v="1.5"/>
    <n v="1"/>
  </r>
  <r>
    <d v="2038-07-14T00:00:00"/>
    <x v="9"/>
    <n v="22.9"/>
    <n v="8.9"/>
    <n v="1"/>
  </r>
  <r>
    <d v="2038-07-15T00:00:00"/>
    <x v="11"/>
    <n v="29.3"/>
    <n v="0"/>
    <n v="1"/>
  </r>
  <r>
    <d v="2038-07-16T00:00:00"/>
    <x v="3"/>
    <n v="26.4"/>
    <n v="3.2"/>
    <n v="1"/>
  </r>
  <r>
    <d v="2038-07-17T00:00:00"/>
    <x v="14"/>
    <n v="20"/>
    <n v="7.3"/>
    <n v="1"/>
  </r>
  <r>
    <d v="2038-07-18T00:00:00"/>
    <x v="7"/>
    <n v="17.100000000000001"/>
    <n v="0"/>
    <n v="1"/>
  </r>
  <r>
    <d v="2038-07-19T00:00:00"/>
    <x v="1"/>
    <n v="18.8"/>
    <n v="0"/>
    <n v="1"/>
  </r>
  <r>
    <d v="2038-07-20T00:00:00"/>
    <x v="9"/>
    <n v="12.6"/>
    <n v="4.4000000000000004"/>
    <n v="1"/>
  </r>
  <r>
    <d v="2038-07-21T00:00:00"/>
    <x v="18"/>
    <n v="24"/>
    <n v="0"/>
    <n v="1"/>
  </r>
  <r>
    <d v="2038-07-22T00:00:00"/>
    <x v="15"/>
    <n v="13.4"/>
    <n v="35.6"/>
    <n v="1"/>
  </r>
  <r>
    <d v="2038-07-23T00:00:00"/>
    <x v="6"/>
    <n v="25.7"/>
    <n v="21.1"/>
    <n v="1"/>
  </r>
  <r>
    <d v="2038-07-24T00:00:00"/>
    <x v="17"/>
    <n v="24.9"/>
    <n v="2"/>
    <n v="1"/>
  </r>
  <r>
    <d v="2038-07-25T00:00:00"/>
    <x v="7"/>
    <n v="12.5"/>
    <n v="0"/>
    <n v="1"/>
  </r>
  <r>
    <d v="2038-07-26T00:00:00"/>
    <x v="6"/>
    <n v="21.8"/>
    <n v="0"/>
    <n v="1"/>
  </r>
  <r>
    <d v="2038-07-27T00:00:00"/>
    <x v="1"/>
    <n v="15.8"/>
    <n v="6.7"/>
    <n v="1"/>
  </r>
  <r>
    <d v="2038-07-28T00:00:00"/>
    <x v="8"/>
    <n v="13.9"/>
    <n v="0"/>
    <n v="1"/>
  </r>
  <r>
    <d v="2038-07-29T00:00:00"/>
    <x v="16"/>
    <n v="12.2"/>
    <n v="4.4000000000000004"/>
    <n v="1"/>
  </r>
  <r>
    <d v="2038-07-30T00:00:00"/>
    <x v="7"/>
    <n v="12.2"/>
    <n v="0"/>
    <n v="1"/>
  </r>
  <r>
    <d v="2038-07-31T00:00:00"/>
    <x v="15"/>
    <n v="13.7"/>
    <n v="28"/>
    <n v="1"/>
  </r>
  <r>
    <d v="2038-08-01T00:00:00"/>
    <x v="13"/>
    <n v="27.9"/>
    <n v="0"/>
    <n v="1"/>
  </r>
  <r>
    <d v="2038-08-02T00:00:00"/>
    <x v="9"/>
    <n v="25.6"/>
    <n v="1.7"/>
    <n v="1"/>
  </r>
  <r>
    <d v="2038-08-03T00:00:00"/>
    <x v="10"/>
    <n v="11.7"/>
    <n v="4.5999999999999996"/>
    <n v="1"/>
  </r>
  <r>
    <d v="2038-08-04T00:00:00"/>
    <x v="4"/>
    <n v="27.3"/>
    <n v="0"/>
    <n v="1"/>
  </r>
  <r>
    <d v="2038-08-05T00:00:00"/>
    <x v="7"/>
    <n v="25.6"/>
    <n v="18.2"/>
    <n v="1"/>
  </r>
  <r>
    <d v="2038-08-06T00:00:00"/>
    <x v="24"/>
    <n v="23.6"/>
    <n v="0.1"/>
    <n v="1"/>
  </r>
  <r>
    <d v="2038-08-07T00:00:00"/>
    <x v="6"/>
    <n v="14.6"/>
    <n v="0"/>
    <n v="1"/>
  </r>
  <r>
    <d v="2038-08-08T00:00:00"/>
    <x v="5"/>
    <n v="17.399999999999999"/>
    <n v="7.8"/>
    <n v="1"/>
  </r>
  <r>
    <d v="2038-08-09T00:00:00"/>
    <x v="6"/>
    <n v="27.4"/>
    <n v="0"/>
    <n v="1"/>
  </r>
  <r>
    <d v="2038-08-10T00:00:00"/>
    <x v="15"/>
    <n v="15.2"/>
    <n v="5.9"/>
    <n v="1"/>
  </r>
  <r>
    <d v="2038-08-11T00:00:00"/>
    <x v="25"/>
    <n v="11.6"/>
    <n v="0"/>
    <n v="1"/>
  </r>
  <r>
    <d v="2038-08-12T00:00:00"/>
    <x v="22"/>
    <n v="10.8"/>
    <n v="1.6"/>
    <n v="1"/>
  </r>
  <r>
    <d v="2038-08-13T00:00:00"/>
    <x v="18"/>
    <n v="12"/>
    <n v="3.9"/>
    <n v="1"/>
  </r>
  <r>
    <d v="2038-08-14T00:00:00"/>
    <x v="22"/>
    <n v="14"/>
    <n v="5"/>
    <n v="1"/>
  </r>
  <r>
    <d v="2038-08-15T00:00:00"/>
    <x v="15"/>
    <n v="26.4"/>
    <n v="0"/>
    <n v="1"/>
  </r>
  <r>
    <d v="2038-08-16T00:00:00"/>
    <x v="11"/>
    <n v="23"/>
    <n v="20.100000000000001"/>
    <n v="1"/>
  </r>
  <r>
    <d v="2038-08-17T00:00:00"/>
    <x v="4"/>
    <n v="20.5"/>
    <n v="1.1000000000000001"/>
    <n v="1"/>
  </r>
  <r>
    <d v="2038-08-18T00:00:00"/>
    <x v="10"/>
    <n v="15.9"/>
    <n v="3.1"/>
    <n v="1"/>
  </r>
  <r>
    <d v="2038-08-19T00:00:00"/>
    <x v="6"/>
    <n v="20.8"/>
    <n v="6.9"/>
    <n v="1"/>
  </r>
  <r>
    <d v="2038-08-20T00:00:00"/>
    <x v="17"/>
    <n v="12.9"/>
    <n v="1.5"/>
    <n v="1"/>
  </r>
  <r>
    <d v="2038-08-21T00:00:00"/>
    <x v="15"/>
    <n v="11.6"/>
    <n v="15.8"/>
    <n v="1"/>
  </r>
  <r>
    <d v="2038-08-22T00:00:00"/>
    <x v="9"/>
    <n v="25.6"/>
    <n v="0"/>
    <n v="1"/>
  </r>
  <r>
    <d v="2038-08-23T00:00:00"/>
    <x v="3"/>
    <n v="15.7"/>
    <n v="6.7"/>
    <n v="1"/>
  </r>
  <r>
    <d v="2038-08-24T00:00:00"/>
    <x v="10"/>
    <n v="25.5"/>
    <n v="0"/>
    <n v="1"/>
  </r>
  <r>
    <d v="2038-08-25T00:00:00"/>
    <x v="18"/>
    <n v="19.5"/>
    <n v="3.4"/>
    <n v="1"/>
  </r>
  <r>
    <d v="2038-08-26T00:00:00"/>
    <x v="21"/>
    <n v="14.1"/>
    <n v="0"/>
    <n v="1"/>
  </r>
  <r>
    <d v="2038-08-27T00:00:00"/>
    <x v="2"/>
    <n v="26.4"/>
    <n v="0"/>
    <n v="1"/>
  </r>
  <r>
    <d v="2038-08-28T00:00:00"/>
    <x v="11"/>
    <n v="11.7"/>
    <n v="8.4"/>
    <n v="1"/>
  </r>
  <r>
    <d v="2038-08-29T00:00:00"/>
    <x v="21"/>
    <n v="28"/>
    <n v="0"/>
    <n v="1"/>
  </r>
  <r>
    <d v="2038-08-30T00:00:00"/>
    <x v="13"/>
    <n v="13"/>
    <n v="0.1"/>
    <n v="1"/>
  </r>
  <r>
    <d v="2038-08-31T00:00:00"/>
    <x v="7"/>
    <n v="10.8"/>
    <n v="11.3"/>
    <n v="1"/>
  </r>
  <r>
    <d v="2038-09-01T00:00:00"/>
    <x v="7"/>
    <n v="26.4"/>
    <n v="18.7"/>
    <n v="1"/>
  </r>
  <r>
    <d v="2038-09-02T00:00:00"/>
    <x v="15"/>
    <n v="26.7"/>
    <n v="3.9"/>
    <n v="1"/>
  </r>
  <r>
    <d v="2038-09-03T00:00:00"/>
    <x v="7"/>
    <n v="11.7"/>
    <n v="13"/>
    <n v="1"/>
  </r>
  <r>
    <d v="2038-09-04T00:00:00"/>
    <x v="26"/>
    <n v="12"/>
    <n v="0.4"/>
    <n v="1"/>
  </r>
  <r>
    <d v="2038-09-05T00:00:00"/>
    <x v="17"/>
    <n v="24.2"/>
    <n v="0.7"/>
    <n v="1"/>
  </r>
  <r>
    <d v="2038-09-06T00:00:00"/>
    <x v="22"/>
    <n v="27.3"/>
    <n v="3.7"/>
    <n v="1"/>
  </r>
  <r>
    <d v="2038-09-07T00:00:00"/>
    <x v="9"/>
    <n v="10.7"/>
    <n v="0"/>
    <n v="1"/>
  </r>
  <r>
    <d v="2038-09-08T00:00:00"/>
    <x v="4"/>
    <n v="11.1"/>
    <n v="0"/>
    <n v="1"/>
  </r>
  <r>
    <d v="2038-09-09T00:00:00"/>
    <x v="3"/>
    <n v="28.5"/>
    <n v="19.8"/>
    <n v="1"/>
  </r>
  <r>
    <d v="2038-09-10T00:00:00"/>
    <x v="15"/>
    <n v="10.1"/>
    <n v="0"/>
    <n v="1"/>
  </r>
  <r>
    <d v="2038-09-11T00:00:00"/>
    <x v="5"/>
    <n v="20.8"/>
    <n v="11.2"/>
    <n v="1"/>
  </r>
  <r>
    <d v="2038-09-12T00:00:00"/>
    <x v="3"/>
    <n v="16.600000000000001"/>
    <n v="0"/>
    <n v="1"/>
  </r>
  <r>
    <d v="2038-09-13T00:00:00"/>
    <x v="9"/>
    <n v="26.4"/>
    <n v="10"/>
    <n v="1"/>
  </r>
  <r>
    <d v="2038-09-14T00:00:00"/>
    <x v="18"/>
    <n v="15.1"/>
    <n v="0"/>
    <n v="1"/>
  </r>
  <r>
    <d v="2038-09-15T00:00:00"/>
    <x v="2"/>
    <n v="20.9"/>
    <n v="10.1"/>
    <n v="1"/>
  </r>
  <r>
    <d v="2038-09-16T00:00:00"/>
    <x v="9"/>
    <n v="27.3"/>
    <n v="5.3"/>
    <n v="1"/>
  </r>
  <r>
    <d v="2038-09-17T00:00:00"/>
    <x v="2"/>
    <n v="17.600000000000001"/>
    <n v="5.5"/>
    <n v="1"/>
  </r>
  <r>
    <d v="2038-09-18T00:00:00"/>
    <x v="15"/>
    <n v="27.8"/>
    <n v="0"/>
    <n v="1"/>
  </r>
  <r>
    <d v="2038-09-19T00:00:00"/>
    <x v="6"/>
    <n v="25.8"/>
    <n v="12.1"/>
    <n v="1"/>
  </r>
  <r>
    <d v="2038-09-20T00:00:00"/>
    <x v="22"/>
    <n v="18.100000000000001"/>
    <n v="1.1000000000000001"/>
    <n v="1"/>
  </r>
  <r>
    <d v="2038-09-21T00:00:00"/>
    <x v="8"/>
    <n v="21.9"/>
    <n v="7.7"/>
    <n v="1"/>
  </r>
  <r>
    <d v="2038-09-22T00:00:00"/>
    <x v="23"/>
    <n v="23.2"/>
    <n v="5.0999999999999996"/>
    <n v="1"/>
  </r>
  <r>
    <d v="2038-09-23T00:00:00"/>
    <x v="27"/>
    <n v="26.6"/>
    <n v="0.3"/>
    <n v="1"/>
  </r>
  <r>
    <d v="2038-09-24T00:00:00"/>
    <x v="7"/>
    <n v="23.2"/>
    <n v="0"/>
    <n v="1"/>
  </r>
  <r>
    <d v="2038-09-25T00:00:00"/>
    <x v="6"/>
    <n v="11"/>
    <n v="40.9"/>
    <n v="1"/>
  </r>
  <r>
    <d v="2038-09-26T00:00:00"/>
    <x v="19"/>
    <n v="26.8"/>
    <n v="2.2999999999999998"/>
    <n v="1"/>
  </r>
  <r>
    <d v="2038-09-27T00:00:00"/>
    <x v="9"/>
    <n v="22.2"/>
    <n v="0"/>
    <n v="1"/>
  </r>
  <r>
    <d v="2038-09-28T00:00:00"/>
    <x v="14"/>
    <n v="10.199999999999999"/>
    <n v="6.1"/>
    <n v="1"/>
  </r>
  <r>
    <d v="2038-09-29T00:00:00"/>
    <x v="29"/>
    <n v="18.399999999999999"/>
    <n v="1.5"/>
    <n v="1"/>
  </r>
  <r>
    <d v="2038-09-30T00:00:00"/>
    <x v="3"/>
    <n v="29.4"/>
    <n v="22.3"/>
    <n v="1"/>
  </r>
  <r>
    <d v="2038-10-01T00:00:00"/>
    <x v="19"/>
    <n v="23.4"/>
    <n v="0"/>
    <n v="1"/>
  </r>
  <r>
    <d v="2038-10-02T00:00:00"/>
    <x v="1"/>
    <n v="13.6"/>
    <n v="6.1"/>
    <n v="1"/>
  </r>
  <r>
    <d v="2038-10-03T00:00:00"/>
    <x v="3"/>
    <n v="17.7"/>
    <n v="1.4"/>
    <n v="1"/>
  </r>
  <r>
    <d v="2038-10-04T00:00:00"/>
    <x v="19"/>
    <n v="17"/>
    <n v="5.9"/>
    <n v="1"/>
  </r>
  <r>
    <d v="2038-10-05T00:00:00"/>
    <x v="2"/>
    <n v="29.6"/>
    <n v="6.6"/>
    <n v="1"/>
  </r>
  <r>
    <d v="2038-10-06T00:00:00"/>
    <x v="6"/>
    <n v="23.4"/>
    <n v="0"/>
    <n v="1"/>
  </r>
  <r>
    <d v="2038-10-07T00:00:00"/>
    <x v="3"/>
    <n v="21.3"/>
    <n v="22.4"/>
    <n v="1"/>
  </r>
  <r>
    <d v="2038-10-08T00:00:00"/>
    <x v="15"/>
    <n v="18.600000000000001"/>
    <n v="0"/>
    <n v="1"/>
  </r>
  <r>
    <d v="2038-10-09T00:00:00"/>
    <x v="9"/>
    <n v="16.8"/>
    <n v="2.8"/>
    <n v="1"/>
  </r>
  <r>
    <d v="2038-10-10T00:00:00"/>
    <x v="16"/>
    <n v="13.2"/>
    <n v="4"/>
    <n v="1"/>
  </r>
  <r>
    <d v="2038-10-11T00:00:00"/>
    <x v="15"/>
    <n v="29.8"/>
    <n v="24.9"/>
    <n v="1"/>
  </r>
  <r>
    <d v="2038-10-12T00:00:00"/>
    <x v="6"/>
    <n v="10.6"/>
    <n v="31.8"/>
    <n v="1"/>
  </r>
  <r>
    <d v="2038-10-13T00:00:00"/>
    <x v="11"/>
    <n v="11.9"/>
    <n v="12.3"/>
    <n v="1"/>
  </r>
  <r>
    <d v="2038-10-14T00:00:00"/>
    <x v="26"/>
    <n v="26.8"/>
    <n v="0.5"/>
    <n v="1"/>
  </r>
  <r>
    <d v="2038-10-15T00:00:00"/>
    <x v="18"/>
    <n v="29"/>
    <n v="3.5"/>
    <n v="1"/>
  </r>
  <r>
    <d v="2038-10-16T00:00:00"/>
    <x v="16"/>
    <n v="22.9"/>
    <n v="2"/>
    <n v="1"/>
  </r>
  <r>
    <d v="2038-10-17T00:00:00"/>
    <x v="17"/>
    <n v="27.1"/>
    <n v="0"/>
    <n v="1"/>
  </r>
  <r>
    <d v="2038-10-18T00:00:00"/>
    <x v="6"/>
    <n v="11.8"/>
    <n v="49"/>
    <n v="1"/>
  </r>
  <r>
    <d v="2038-10-19T00:00:00"/>
    <x v="2"/>
    <n v="26.6"/>
    <n v="0"/>
    <n v="1"/>
  </r>
  <r>
    <d v="2038-10-20T00:00:00"/>
    <x v="14"/>
    <n v="21.3"/>
    <n v="0"/>
    <n v="1"/>
  </r>
  <r>
    <d v="2038-10-21T00:00:00"/>
    <x v="7"/>
    <n v="23.2"/>
    <n v="0"/>
    <n v="1"/>
  </r>
  <r>
    <d v="2038-10-22T00:00:00"/>
    <x v="6"/>
    <n v="27.3"/>
    <n v="0"/>
    <n v="1"/>
  </r>
  <r>
    <d v="2038-10-23T00:00:00"/>
    <x v="9"/>
    <n v="21.3"/>
    <n v="2.6"/>
    <n v="1"/>
  </r>
  <r>
    <d v="2038-10-24T00:00:00"/>
    <x v="15"/>
    <n v="22.9"/>
    <n v="5.3"/>
    <n v="1"/>
  </r>
  <r>
    <d v="2038-10-25T00:00:00"/>
    <x v="24"/>
    <n v="25"/>
    <n v="0"/>
    <n v="1"/>
  </r>
  <r>
    <d v="2038-10-26T00:00:00"/>
    <x v="20"/>
    <n v="15.9"/>
    <n v="2.5"/>
    <n v="1"/>
  </r>
  <r>
    <d v="2038-10-27T00:00:00"/>
    <x v="18"/>
    <n v="19.2"/>
    <n v="1.3"/>
    <n v="1"/>
  </r>
  <r>
    <d v="2038-10-28T00:00:00"/>
    <x v="3"/>
    <n v="22.5"/>
    <n v="10.9"/>
    <n v="1"/>
  </r>
  <r>
    <d v="2038-10-29T00:00:00"/>
    <x v="9"/>
    <n v="28.7"/>
    <n v="13.3"/>
    <n v="1"/>
  </r>
  <r>
    <d v="2038-10-30T00:00:00"/>
    <x v="15"/>
    <n v="14.6"/>
    <n v="29.3"/>
    <n v="1"/>
  </r>
  <r>
    <d v="2038-10-31T00:00:00"/>
    <x v="14"/>
    <n v="12.1"/>
    <n v="6.5"/>
    <n v="1"/>
  </r>
  <r>
    <d v="2038-11-01T00:00:00"/>
    <x v="15"/>
    <n v="20"/>
    <n v="26.1"/>
    <n v="1"/>
  </r>
  <r>
    <d v="2038-11-02T00:00:00"/>
    <x v="23"/>
    <n v="20.8"/>
    <n v="2.5"/>
    <n v="1"/>
  </r>
  <r>
    <d v="2038-11-03T00:00:00"/>
    <x v="3"/>
    <n v="26.6"/>
    <n v="5.9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d v="2033-03-03T00:00:00"/>
    <x v="0"/>
    <n v="27.8"/>
    <n v="0.2"/>
    <x v="0"/>
    <n v="1"/>
  </r>
  <r>
    <d v="2033-03-04T00:00:00"/>
    <x v="1"/>
    <n v="11.8"/>
    <n v="1.7"/>
    <x v="0"/>
    <n v="1"/>
  </r>
  <r>
    <d v="2033-03-05T00:00:00"/>
    <x v="2"/>
    <n v="21"/>
    <n v="6"/>
    <x v="0"/>
    <n v="1"/>
  </r>
  <r>
    <d v="2033-03-06T00:00:00"/>
    <x v="3"/>
    <n v="26.3"/>
    <n v="11.4"/>
    <x v="0"/>
    <n v="1"/>
  </r>
  <r>
    <d v="2033-03-07T00:00:00"/>
    <x v="4"/>
    <n v="28.8"/>
    <n v="0"/>
    <x v="0"/>
    <n v="1"/>
  </r>
  <r>
    <d v="2033-03-08T00:00:00"/>
    <x v="5"/>
    <n v="29.2"/>
    <n v="0"/>
    <x v="0"/>
    <n v="1"/>
  </r>
  <r>
    <d v="2033-03-09T00:00:00"/>
    <x v="6"/>
    <n v="25.6"/>
    <n v="28.7"/>
    <x v="0"/>
    <n v="1"/>
  </r>
  <r>
    <d v="2033-03-10T00:00:00"/>
    <x v="7"/>
    <n v="10.1"/>
    <n v="7.7"/>
    <x v="0"/>
    <n v="1"/>
  </r>
  <r>
    <d v="2033-03-11T00:00:00"/>
    <x v="8"/>
    <n v="14.6"/>
    <n v="0"/>
    <x v="0"/>
    <n v="1"/>
  </r>
  <r>
    <d v="2033-03-12T00:00:00"/>
    <x v="9"/>
    <n v="11.5"/>
    <n v="1.9"/>
    <x v="0"/>
    <n v="1"/>
  </r>
  <r>
    <d v="2033-03-13T00:00:00"/>
    <x v="5"/>
    <n v="15.2"/>
    <n v="0"/>
    <x v="0"/>
    <n v="1"/>
  </r>
  <r>
    <d v="2033-03-14T00:00:00"/>
    <x v="6"/>
    <n v="10.199999999999999"/>
    <n v="13.3"/>
    <x v="0"/>
    <n v="1"/>
  </r>
  <r>
    <d v="2033-03-15T00:00:00"/>
    <x v="10"/>
    <n v="20.399999999999999"/>
    <n v="4.5999999999999996"/>
    <x v="0"/>
    <n v="1"/>
  </r>
  <r>
    <d v="2033-03-16T00:00:00"/>
    <x v="10"/>
    <n v="13.6"/>
    <n v="8"/>
    <x v="0"/>
    <n v="1"/>
  </r>
  <r>
    <d v="2033-03-17T00:00:00"/>
    <x v="11"/>
    <n v="11"/>
    <n v="11.6"/>
    <x v="0"/>
    <n v="1"/>
  </r>
  <r>
    <d v="2033-03-18T00:00:00"/>
    <x v="12"/>
    <n v="14.1"/>
    <n v="0"/>
    <x v="0"/>
    <n v="1"/>
  </r>
  <r>
    <d v="2033-03-19T00:00:00"/>
    <x v="6"/>
    <n v="19.2"/>
    <n v="0"/>
    <x v="0"/>
    <n v="1"/>
  </r>
  <r>
    <d v="2033-03-20T00:00:00"/>
    <x v="6"/>
    <n v="20.7"/>
    <n v="0"/>
    <x v="0"/>
    <n v="1"/>
  </r>
  <r>
    <d v="2033-03-21T00:00:00"/>
    <x v="13"/>
    <n v="29.5"/>
    <n v="2.1"/>
    <x v="0"/>
    <n v="1"/>
  </r>
  <r>
    <d v="2033-03-22T00:00:00"/>
    <x v="7"/>
    <n v="24.4"/>
    <n v="10.1"/>
    <x v="0"/>
    <n v="1"/>
  </r>
  <r>
    <d v="2033-03-23T00:00:00"/>
    <x v="14"/>
    <n v="15.6"/>
    <n v="6.6"/>
    <x v="0"/>
    <n v="1"/>
  </r>
  <r>
    <d v="2033-03-24T00:00:00"/>
    <x v="5"/>
    <n v="22.7"/>
    <n v="2.9"/>
    <x v="0"/>
    <n v="1"/>
  </r>
  <r>
    <d v="2033-03-25T00:00:00"/>
    <x v="11"/>
    <n v="15.1"/>
    <n v="0"/>
    <x v="0"/>
    <n v="1"/>
  </r>
  <r>
    <d v="2033-03-26T00:00:00"/>
    <x v="15"/>
    <n v="14.1"/>
    <n v="0.8"/>
    <x v="0"/>
    <n v="1"/>
  </r>
  <r>
    <d v="2033-03-27T00:00:00"/>
    <x v="3"/>
    <n v="24.9"/>
    <n v="2.2000000000000002"/>
    <x v="0"/>
    <n v="1"/>
  </r>
  <r>
    <d v="2033-03-28T00:00:00"/>
    <x v="16"/>
    <n v="14.8"/>
    <n v="0"/>
    <x v="0"/>
    <n v="1"/>
  </r>
  <r>
    <d v="2033-03-29T00:00:00"/>
    <x v="10"/>
    <n v="18.8"/>
    <n v="0"/>
    <x v="0"/>
    <n v="1"/>
  </r>
  <r>
    <d v="2033-03-30T00:00:00"/>
    <x v="11"/>
    <n v="29.3"/>
    <n v="8"/>
    <x v="0"/>
    <n v="1"/>
  </r>
  <r>
    <d v="2033-03-31T00:00:00"/>
    <x v="17"/>
    <n v="29.4"/>
    <n v="2.4"/>
    <x v="0"/>
    <n v="1"/>
  </r>
  <r>
    <d v="2033-04-01T00:00:00"/>
    <x v="18"/>
    <n v="16.8"/>
    <n v="2.9"/>
    <x v="0"/>
    <n v="1"/>
  </r>
  <r>
    <d v="2033-04-02T00:00:00"/>
    <x v="8"/>
    <n v="21.4"/>
    <n v="6.3"/>
    <x v="0"/>
    <n v="1"/>
  </r>
  <r>
    <d v="2033-04-03T00:00:00"/>
    <x v="3"/>
    <n v="23.9"/>
    <n v="0"/>
    <x v="0"/>
    <n v="1"/>
  </r>
  <r>
    <d v="2033-04-04T00:00:00"/>
    <x v="8"/>
    <n v="26.7"/>
    <n v="0"/>
    <x v="0"/>
    <n v="1"/>
  </r>
  <r>
    <d v="2033-04-05T00:00:00"/>
    <x v="3"/>
    <n v="12.4"/>
    <n v="0"/>
    <x v="0"/>
    <n v="1"/>
  </r>
  <r>
    <d v="2033-04-06T00:00:00"/>
    <x v="8"/>
    <n v="10.4"/>
    <n v="10.7"/>
    <x v="0"/>
    <n v="1"/>
  </r>
  <r>
    <d v="2033-04-07T00:00:00"/>
    <x v="5"/>
    <n v="17.899999999999999"/>
    <n v="0"/>
    <x v="0"/>
    <n v="1"/>
  </r>
  <r>
    <d v="2033-04-08T00:00:00"/>
    <x v="16"/>
    <n v="17.399999999999999"/>
    <n v="1.6"/>
    <x v="0"/>
    <n v="1"/>
  </r>
  <r>
    <d v="2033-04-09T00:00:00"/>
    <x v="7"/>
    <n v="29.4"/>
    <n v="21.7"/>
    <x v="0"/>
    <n v="1"/>
  </r>
  <r>
    <d v="2033-04-10T00:00:00"/>
    <x v="15"/>
    <n v="22.9"/>
    <n v="26.9"/>
    <x v="0"/>
    <n v="1"/>
  </r>
  <r>
    <d v="2033-04-11T00:00:00"/>
    <x v="15"/>
    <n v="18.899999999999999"/>
    <n v="11.3"/>
    <x v="0"/>
    <n v="1"/>
  </r>
  <r>
    <d v="2033-04-12T00:00:00"/>
    <x v="1"/>
    <n v="23.5"/>
    <n v="0"/>
    <x v="0"/>
    <n v="1"/>
  </r>
  <r>
    <d v="2033-04-13T00:00:00"/>
    <x v="14"/>
    <n v="13.4"/>
    <n v="14.2"/>
    <x v="0"/>
    <n v="1"/>
  </r>
  <r>
    <d v="2033-04-14T00:00:00"/>
    <x v="16"/>
    <n v="18.899999999999999"/>
    <n v="1.5"/>
    <x v="0"/>
    <n v="1"/>
  </r>
  <r>
    <d v="2033-04-15T00:00:00"/>
    <x v="13"/>
    <n v="13.5"/>
    <n v="1.4"/>
    <x v="0"/>
    <n v="1"/>
  </r>
  <r>
    <d v="2033-04-16T00:00:00"/>
    <x v="1"/>
    <n v="17.7"/>
    <n v="5.9"/>
    <x v="0"/>
    <n v="1"/>
  </r>
  <r>
    <d v="2033-04-17T00:00:00"/>
    <x v="7"/>
    <n v="24.7"/>
    <n v="0"/>
    <x v="0"/>
    <n v="1"/>
  </r>
  <r>
    <d v="2033-04-18T00:00:00"/>
    <x v="14"/>
    <n v="25.6"/>
    <n v="1.9"/>
    <x v="0"/>
    <n v="1"/>
  </r>
  <r>
    <d v="2033-04-19T00:00:00"/>
    <x v="18"/>
    <n v="18.399999999999999"/>
    <n v="0"/>
    <x v="0"/>
    <n v="1"/>
  </r>
  <r>
    <d v="2033-04-20T00:00:00"/>
    <x v="19"/>
    <n v="27"/>
    <n v="0"/>
    <x v="0"/>
    <n v="1"/>
  </r>
  <r>
    <d v="2033-04-21T00:00:00"/>
    <x v="6"/>
    <n v="16"/>
    <n v="0"/>
    <x v="0"/>
    <n v="1"/>
  </r>
  <r>
    <d v="2033-04-22T00:00:00"/>
    <x v="3"/>
    <n v="18.600000000000001"/>
    <n v="7.4"/>
    <x v="0"/>
    <n v="1"/>
  </r>
  <r>
    <d v="2033-04-23T00:00:00"/>
    <x v="6"/>
    <n v="12.7"/>
    <n v="30.8"/>
    <x v="0"/>
    <n v="1"/>
  </r>
  <r>
    <d v="2033-04-24T00:00:00"/>
    <x v="15"/>
    <n v="14.5"/>
    <n v="0"/>
    <x v="0"/>
    <n v="1"/>
  </r>
  <r>
    <d v="2033-04-25T00:00:00"/>
    <x v="20"/>
    <n v="12.2"/>
    <n v="3.5"/>
    <x v="0"/>
    <n v="1"/>
  </r>
  <r>
    <d v="2033-04-26T00:00:00"/>
    <x v="21"/>
    <n v="19.899999999999999"/>
    <n v="0"/>
    <x v="0"/>
    <n v="1"/>
  </r>
  <r>
    <d v="2033-04-27T00:00:00"/>
    <x v="22"/>
    <n v="28.1"/>
    <n v="5.3"/>
    <x v="0"/>
    <n v="1"/>
  </r>
  <r>
    <d v="2033-04-28T00:00:00"/>
    <x v="6"/>
    <n v="27.7"/>
    <n v="45.3"/>
    <x v="0"/>
    <n v="1"/>
  </r>
  <r>
    <d v="2033-04-29T00:00:00"/>
    <x v="1"/>
    <n v="14.6"/>
    <n v="5.2"/>
    <x v="0"/>
    <n v="1"/>
  </r>
  <r>
    <d v="2033-04-30T00:00:00"/>
    <x v="14"/>
    <n v="10.8"/>
    <n v="0"/>
    <x v="0"/>
    <n v="1"/>
  </r>
  <r>
    <d v="2033-05-01T00:00:00"/>
    <x v="23"/>
    <n v="12.4"/>
    <n v="3.2"/>
    <x v="0"/>
    <n v="1"/>
  </r>
  <r>
    <d v="2033-05-02T00:00:00"/>
    <x v="6"/>
    <n v="25.2"/>
    <n v="0"/>
    <x v="0"/>
    <n v="1"/>
  </r>
  <r>
    <d v="2033-05-03T00:00:00"/>
    <x v="6"/>
    <n v="28.9"/>
    <n v="0"/>
    <x v="0"/>
    <n v="1"/>
  </r>
  <r>
    <d v="2033-05-04T00:00:00"/>
    <x v="15"/>
    <n v="13.2"/>
    <n v="23.3"/>
    <x v="0"/>
    <n v="1"/>
  </r>
  <r>
    <d v="2033-05-05T00:00:00"/>
    <x v="6"/>
    <n v="27.9"/>
    <n v="0"/>
    <x v="0"/>
    <n v="1"/>
  </r>
  <r>
    <d v="2033-05-06T00:00:00"/>
    <x v="3"/>
    <n v="10.9"/>
    <n v="3.5"/>
    <x v="0"/>
    <n v="1"/>
  </r>
  <r>
    <d v="2033-05-07T00:00:00"/>
    <x v="11"/>
    <n v="25.5"/>
    <n v="20"/>
    <x v="0"/>
    <n v="1"/>
  </r>
  <r>
    <d v="2033-05-08T00:00:00"/>
    <x v="5"/>
    <n v="26"/>
    <n v="0"/>
    <x v="0"/>
    <n v="1"/>
  </r>
  <r>
    <d v="2033-05-09T00:00:00"/>
    <x v="21"/>
    <n v="25.8"/>
    <n v="0.1"/>
    <x v="0"/>
    <n v="1"/>
  </r>
  <r>
    <d v="2033-05-10T00:00:00"/>
    <x v="10"/>
    <n v="17.5"/>
    <n v="0.5"/>
    <x v="0"/>
    <n v="1"/>
  </r>
  <r>
    <d v="2033-05-11T00:00:00"/>
    <x v="6"/>
    <n v="17.8"/>
    <n v="3.3"/>
    <x v="0"/>
    <n v="1"/>
  </r>
  <r>
    <d v="2033-05-12T00:00:00"/>
    <x v="6"/>
    <n v="17.5"/>
    <n v="0"/>
    <x v="0"/>
    <n v="1"/>
  </r>
  <r>
    <d v="2033-05-13T00:00:00"/>
    <x v="9"/>
    <n v="16.100000000000001"/>
    <n v="0"/>
    <x v="0"/>
    <n v="1"/>
  </r>
  <r>
    <d v="2033-05-14T00:00:00"/>
    <x v="1"/>
    <n v="11.8"/>
    <n v="7"/>
    <x v="0"/>
    <n v="1"/>
  </r>
  <r>
    <d v="2033-05-15T00:00:00"/>
    <x v="11"/>
    <n v="26.2"/>
    <n v="0"/>
    <x v="0"/>
    <n v="1"/>
  </r>
  <r>
    <d v="2033-05-16T00:00:00"/>
    <x v="2"/>
    <n v="28.8"/>
    <n v="2.9"/>
    <x v="0"/>
    <n v="1"/>
  </r>
  <r>
    <d v="2033-05-17T00:00:00"/>
    <x v="6"/>
    <n v="18.7"/>
    <n v="0"/>
    <x v="0"/>
    <n v="1"/>
  </r>
  <r>
    <d v="2033-05-18T00:00:00"/>
    <x v="14"/>
    <n v="10.3"/>
    <n v="9.1999999999999993"/>
    <x v="0"/>
    <n v="1"/>
  </r>
  <r>
    <d v="2033-05-19T00:00:00"/>
    <x v="2"/>
    <n v="29.8"/>
    <n v="3.4"/>
    <x v="0"/>
    <n v="1"/>
  </r>
  <r>
    <d v="2033-05-20T00:00:00"/>
    <x v="6"/>
    <n v="26.2"/>
    <n v="32.299999999999997"/>
    <x v="0"/>
    <n v="1"/>
  </r>
  <r>
    <d v="2033-05-21T00:00:00"/>
    <x v="15"/>
    <n v="13.8"/>
    <n v="15.9"/>
    <x v="0"/>
    <n v="1"/>
  </r>
  <r>
    <d v="2033-05-22T00:00:00"/>
    <x v="15"/>
    <n v="22.4"/>
    <n v="24.5"/>
    <x v="0"/>
    <n v="1"/>
  </r>
  <r>
    <d v="2033-05-23T00:00:00"/>
    <x v="15"/>
    <n v="24.5"/>
    <n v="0.9"/>
    <x v="0"/>
    <n v="1"/>
  </r>
  <r>
    <d v="2033-05-24T00:00:00"/>
    <x v="24"/>
    <n v="23.1"/>
    <n v="0.3"/>
    <x v="0"/>
    <n v="1"/>
  </r>
  <r>
    <d v="2033-05-25T00:00:00"/>
    <x v="21"/>
    <n v="29.8"/>
    <n v="0"/>
    <x v="0"/>
    <n v="1"/>
  </r>
  <r>
    <d v="2033-05-26T00:00:00"/>
    <x v="0"/>
    <n v="11.2"/>
    <n v="0"/>
    <x v="0"/>
    <n v="1"/>
  </r>
  <r>
    <d v="2033-05-27T00:00:00"/>
    <x v="15"/>
    <n v="18.7"/>
    <n v="0"/>
    <x v="0"/>
    <n v="1"/>
  </r>
  <r>
    <d v="2033-05-28T00:00:00"/>
    <x v="14"/>
    <n v="11.4"/>
    <n v="8.1"/>
    <x v="0"/>
    <n v="1"/>
  </r>
  <r>
    <d v="2033-05-29T00:00:00"/>
    <x v="9"/>
    <n v="21.3"/>
    <n v="13.4"/>
    <x v="0"/>
    <n v="1"/>
  </r>
  <r>
    <d v="2033-05-30T00:00:00"/>
    <x v="1"/>
    <n v="24.5"/>
    <n v="2.6"/>
    <x v="0"/>
    <n v="1"/>
  </r>
  <r>
    <d v="2033-05-31T00:00:00"/>
    <x v="15"/>
    <n v="20"/>
    <n v="13.2"/>
    <x v="0"/>
    <n v="1"/>
  </r>
  <r>
    <d v="2033-06-01T00:00:00"/>
    <x v="6"/>
    <n v="28.4"/>
    <n v="12"/>
    <x v="0"/>
    <n v="1"/>
  </r>
  <r>
    <d v="2033-06-02T00:00:00"/>
    <x v="7"/>
    <n v="14.8"/>
    <n v="10.1"/>
    <x v="0"/>
    <n v="1"/>
  </r>
  <r>
    <d v="2033-06-03T00:00:00"/>
    <x v="25"/>
    <n v="27.9"/>
    <n v="0.6"/>
    <x v="0"/>
    <n v="1"/>
  </r>
  <r>
    <d v="2033-06-04T00:00:00"/>
    <x v="8"/>
    <n v="19.899999999999999"/>
    <n v="9.8000000000000007"/>
    <x v="0"/>
    <n v="1"/>
  </r>
  <r>
    <d v="2033-06-05T00:00:00"/>
    <x v="15"/>
    <n v="22.5"/>
    <n v="0"/>
    <x v="0"/>
    <n v="1"/>
  </r>
  <r>
    <d v="2033-06-06T00:00:00"/>
    <x v="4"/>
    <n v="21.6"/>
    <n v="4.9000000000000004"/>
    <x v="0"/>
    <n v="1"/>
  </r>
  <r>
    <d v="2033-06-07T00:00:00"/>
    <x v="6"/>
    <n v="28.1"/>
    <n v="0"/>
    <x v="0"/>
    <n v="1"/>
  </r>
  <r>
    <d v="2033-06-08T00:00:00"/>
    <x v="8"/>
    <n v="21.5"/>
    <n v="8.6"/>
    <x v="0"/>
    <n v="1"/>
  </r>
  <r>
    <d v="2033-06-09T00:00:00"/>
    <x v="10"/>
    <n v="22.7"/>
    <n v="0.1"/>
    <x v="0"/>
    <n v="1"/>
  </r>
  <r>
    <d v="2033-06-10T00:00:00"/>
    <x v="6"/>
    <n v="27.4"/>
    <n v="21.8"/>
    <x v="0"/>
    <n v="1"/>
  </r>
  <r>
    <d v="2033-06-11T00:00:00"/>
    <x v="15"/>
    <n v="18.3"/>
    <n v="17.3"/>
    <x v="0"/>
    <n v="1"/>
  </r>
  <r>
    <d v="2033-06-12T00:00:00"/>
    <x v="15"/>
    <n v="29"/>
    <n v="27.3"/>
    <x v="0"/>
    <n v="1"/>
  </r>
  <r>
    <d v="2033-06-13T00:00:00"/>
    <x v="14"/>
    <n v="18.100000000000001"/>
    <n v="0"/>
    <x v="0"/>
    <n v="1"/>
  </r>
  <r>
    <d v="2033-06-14T00:00:00"/>
    <x v="16"/>
    <n v="16.399999999999999"/>
    <n v="1.1000000000000001"/>
    <x v="0"/>
    <n v="1"/>
  </r>
  <r>
    <d v="2033-06-15T00:00:00"/>
    <x v="2"/>
    <n v="21.8"/>
    <n v="0"/>
    <x v="0"/>
    <n v="1"/>
  </r>
  <r>
    <d v="2033-06-16T00:00:00"/>
    <x v="25"/>
    <n v="27.2"/>
    <n v="0"/>
    <x v="0"/>
    <n v="1"/>
  </r>
  <r>
    <d v="2033-06-17T00:00:00"/>
    <x v="18"/>
    <n v="21.2"/>
    <n v="0"/>
    <x v="0"/>
    <n v="1"/>
  </r>
  <r>
    <d v="2033-06-18T00:00:00"/>
    <x v="15"/>
    <n v="17.7"/>
    <n v="13.9"/>
    <x v="0"/>
    <n v="1"/>
  </r>
  <r>
    <d v="2033-06-19T00:00:00"/>
    <x v="18"/>
    <n v="10.6"/>
    <n v="6.9"/>
    <x v="0"/>
    <n v="1"/>
  </r>
  <r>
    <d v="2033-06-20T00:00:00"/>
    <x v="23"/>
    <n v="10.4"/>
    <n v="1.1000000000000001"/>
    <x v="0"/>
    <n v="1"/>
  </r>
  <r>
    <d v="2033-06-21T00:00:00"/>
    <x v="6"/>
    <n v="15.8"/>
    <n v="7.1"/>
    <x v="0"/>
    <n v="1"/>
  </r>
  <r>
    <d v="2033-06-22T00:00:00"/>
    <x v="5"/>
    <n v="19.899999999999999"/>
    <n v="10.8"/>
    <x v="0"/>
    <n v="1"/>
  </r>
  <r>
    <d v="2033-06-23T00:00:00"/>
    <x v="7"/>
    <n v="13"/>
    <n v="0"/>
    <x v="0"/>
    <n v="1"/>
  </r>
  <r>
    <d v="2033-06-24T00:00:00"/>
    <x v="3"/>
    <n v="28.1"/>
    <n v="15"/>
    <x v="0"/>
    <n v="1"/>
  </r>
  <r>
    <d v="2033-06-25T00:00:00"/>
    <x v="8"/>
    <n v="22.5"/>
    <n v="8.6"/>
    <x v="0"/>
    <n v="1"/>
  </r>
  <r>
    <d v="2033-06-26T00:00:00"/>
    <x v="15"/>
    <n v="14"/>
    <n v="36.1"/>
    <x v="0"/>
    <n v="1"/>
  </r>
  <r>
    <d v="2033-06-27T00:00:00"/>
    <x v="6"/>
    <n v="10.6"/>
    <n v="18.399999999999999"/>
    <x v="0"/>
    <n v="1"/>
  </r>
  <r>
    <d v="2033-06-28T00:00:00"/>
    <x v="19"/>
    <n v="22.3"/>
    <n v="0"/>
    <x v="0"/>
    <n v="1"/>
  </r>
  <r>
    <d v="2033-06-29T00:00:00"/>
    <x v="15"/>
    <n v="14.5"/>
    <n v="26"/>
    <x v="0"/>
    <n v="1"/>
  </r>
  <r>
    <d v="2033-06-30T00:00:00"/>
    <x v="1"/>
    <n v="21"/>
    <n v="1.7"/>
    <x v="0"/>
    <n v="1"/>
  </r>
  <r>
    <d v="2033-07-01T00:00:00"/>
    <x v="0"/>
    <n v="17.7"/>
    <n v="0.4"/>
    <x v="0"/>
    <n v="1"/>
  </r>
  <r>
    <d v="2033-07-02T00:00:00"/>
    <x v="3"/>
    <n v="24.3"/>
    <n v="9.6999999999999993"/>
    <x v="0"/>
    <n v="1"/>
  </r>
  <r>
    <d v="2033-07-03T00:00:00"/>
    <x v="11"/>
    <n v="18.8"/>
    <n v="6.4"/>
    <x v="0"/>
    <n v="1"/>
  </r>
  <r>
    <d v="2033-07-04T00:00:00"/>
    <x v="9"/>
    <n v="15.9"/>
    <n v="5.2"/>
    <x v="0"/>
    <n v="1"/>
  </r>
  <r>
    <d v="2033-07-05T00:00:00"/>
    <x v="3"/>
    <n v="26.1"/>
    <n v="0"/>
    <x v="0"/>
    <n v="1"/>
  </r>
  <r>
    <d v="2033-07-06T00:00:00"/>
    <x v="15"/>
    <n v="29.4"/>
    <n v="8.8000000000000007"/>
    <x v="0"/>
    <n v="1"/>
  </r>
  <r>
    <d v="2033-07-07T00:00:00"/>
    <x v="9"/>
    <n v="10.5"/>
    <n v="14.5"/>
    <x v="0"/>
    <n v="1"/>
  </r>
  <r>
    <d v="2033-07-08T00:00:00"/>
    <x v="26"/>
    <n v="18.100000000000001"/>
    <n v="0"/>
    <x v="0"/>
    <n v="1"/>
  </r>
  <r>
    <d v="2033-07-09T00:00:00"/>
    <x v="11"/>
    <n v="20.6"/>
    <n v="0"/>
    <x v="0"/>
    <n v="1"/>
  </r>
  <r>
    <d v="2033-07-10T00:00:00"/>
    <x v="11"/>
    <n v="17.100000000000001"/>
    <n v="0"/>
    <x v="0"/>
    <n v="1"/>
  </r>
  <r>
    <d v="2033-07-11T00:00:00"/>
    <x v="18"/>
    <n v="17"/>
    <n v="0.3"/>
    <x v="0"/>
    <n v="1"/>
  </r>
  <r>
    <d v="2033-07-12T00:00:00"/>
    <x v="19"/>
    <n v="14.7"/>
    <n v="2.2999999999999998"/>
    <x v="0"/>
    <n v="1"/>
  </r>
  <r>
    <d v="2033-07-13T00:00:00"/>
    <x v="11"/>
    <n v="21.7"/>
    <n v="0"/>
    <x v="0"/>
    <n v="1"/>
  </r>
  <r>
    <d v="2033-07-14T00:00:00"/>
    <x v="12"/>
    <n v="12.5"/>
    <n v="0"/>
    <x v="0"/>
    <n v="1"/>
  </r>
  <r>
    <d v="2033-07-15T00:00:00"/>
    <x v="4"/>
    <n v="17.8"/>
    <n v="4.0999999999999996"/>
    <x v="0"/>
    <n v="1"/>
  </r>
  <r>
    <d v="2033-07-16T00:00:00"/>
    <x v="6"/>
    <n v="28.9"/>
    <n v="38.700000000000003"/>
    <x v="0"/>
    <n v="1"/>
  </r>
  <r>
    <d v="2033-07-17T00:00:00"/>
    <x v="7"/>
    <n v="21"/>
    <n v="3.5"/>
    <x v="0"/>
    <n v="1"/>
  </r>
  <r>
    <d v="2033-07-18T00:00:00"/>
    <x v="17"/>
    <n v="13"/>
    <n v="0.1"/>
    <x v="0"/>
    <n v="1"/>
  </r>
  <r>
    <d v="2033-07-19T00:00:00"/>
    <x v="6"/>
    <n v="23.1"/>
    <n v="0"/>
    <x v="0"/>
    <n v="1"/>
  </r>
  <r>
    <d v="2033-07-20T00:00:00"/>
    <x v="11"/>
    <n v="28.5"/>
    <n v="0"/>
    <x v="0"/>
    <n v="1"/>
  </r>
  <r>
    <d v="2033-07-21T00:00:00"/>
    <x v="11"/>
    <n v="12.8"/>
    <n v="0"/>
    <x v="0"/>
    <n v="1"/>
  </r>
  <r>
    <d v="2033-07-22T00:00:00"/>
    <x v="27"/>
    <n v="26.8"/>
    <n v="0"/>
    <x v="0"/>
    <n v="1"/>
  </r>
  <r>
    <d v="2033-07-23T00:00:00"/>
    <x v="6"/>
    <n v="15.1"/>
    <n v="24.8"/>
    <x v="0"/>
    <n v="1"/>
  </r>
  <r>
    <d v="2033-07-24T00:00:00"/>
    <x v="14"/>
    <n v="14.4"/>
    <n v="13.5"/>
    <x v="0"/>
    <n v="1"/>
  </r>
  <r>
    <d v="2033-07-25T00:00:00"/>
    <x v="7"/>
    <n v="29.2"/>
    <n v="15.7"/>
    <x v="0"/>
    <n v="1"/>
  </r>
  <r>
    <d v="2033-07-26T00:00:00"/>
    <x v="6"/>
    <n v="28.9"/>
    <n v="47.2"/>
    <x v="0"/>
    <n v="1"/>
  </r>
  <r>
    <d v="2033-07-27T00:00:00"/>
    <x v="16"/>
    <n v="18.399999999999999"/>
    <n v="3.9"/>
    <x v="0"/>
    <n v="1"/>
  </r>
  <r>
    <d v="2033-07-28T00:00:00"/>
    <x v="13"/>
    <n v="26.2"/>
    <n v="4"/>
    <x v="0"/>
    <n v="1"/>
  </r>
  <r>
    <d v="2033-07-29T00:00:00"/>
    <x v="6"/>
    <n v="14.3"/>
    <n v="45.1"/>
    <x v="0"/>
    <n v="1"/>
  </r>
  <r>
    <d v="2033-07-30T00:00:00"/>
    <x v="3"/>
    <n v="14.5"/>
    <n v="0"/>
    <x v="0"/>
    <n v="1"/>
  </r>
  <r>
    <d v="2033-07-31T00:00:00"/>
    <x v="6"/>
    <n v="18.600000000000001"/>
    <n v="5.5"/>
    <x v="0"/>
    <n v="1"/>
  </r>
  <r>
    <d v="2033-08-01T00:00:00"/>
    <x v="3"/>
    <n v="26.3"/>
    <n v="14.5"/>
    <x v="0"/>
    <n v="1"/>
  </r>
  <r>
    <d v="2033-08-02T00:00:00"/>
    <x v="28"/>
    <n v="25.9"/>
    <n v="0.7"/>
    <x v="0"/>
    <n v="1"/>
  </r>
  <r>
    <d v="2033-08-03T00:00:00"/>
    <x v="8"/>
    <n v="29.8"/>
    <n v="0"/>
    <x v="0"/>
    <n v="1"/>
  </r>
  <r>
    <d v="2033-08-04T00:00:00"/>
    <x v="6"/>
    <n v="18.3"/>
    <n v="18.7"/>
    <x v="0"/>
    <n v="1"/>
  </r>
  <r>
    <d v="2033-08-05T00:00:00"/>
    <x v="8"/>
    <n v="24.5"/>
    <n v="6.7"/>
    <x v="0"/>
    <n v="1"/>
  </r>
  <r>
    <d v="2033-08-06T00:00:00"/>
    <x v="15"/>
    <n v="18.7"/>
    <n v="0"/>
    <x v="0"/>
    <n v="1"/>
  </r>
  <r>
    <d v="2033-08-07T00:00:00"/>
    <x v="15"/>
    <n v="29.2"/>
    <n v="34.9"/>
    <x v="0"/>
    <n v="1"/>
  </r>
  <r>
    <d v="2033-08-08T00:00:00"/>
    <x v="5"/>
    <n v="21.4"/>
    <n v="10.7"/>
    <x v="0"/>
    <n v="1"/>
  </r>
  <r>
    <d v="2033-08-09T00:00:00"/>
    <x v="11"/>
    <n v="25.6"/>
    <n v="3.1"/>
    <x v="0"/>
    <n v="1"/>
  </r>
  <r>
    <d v="2033-08-10T00:00:00"/>
    <x v="11"/>
    <n v="15.7"/>
    <n v="5.0999999999999996"/>
    <x v="0"/>
    <n v="1"/>
  </r>
  <r>
    <d v="2033-08-11T00:00:00"/>
    <x v="2"/>
    <n v="27.3"/>
    <n v="11"/>
    <x v="0"/>
    <n v="1"/>
  </r>
  <r>
    <d v="2033-08-12T00:00:00"/>
    <x v="21"/>
    <n v="28.4"/>
    <n v="2.7"/>
    <x v="0"/>
    <n v="1"/>
  </r>
  <r>
    <d v="2033-08-13T00:00:00"/>
    <x v="7"/>
    <n v="22"/>
    <n v="3.3"/>
    <x v="0"/>
    <n v="1"/>
  </r>
  <r>
    <d v="2033-08-14T00:00:00"/>
    <x v="4"/>
    <n v="19.399999999999999"/>
    <n v="0"/>
    <x v="0"/>
    <n v="1"/>
  </r>
  <r>
    <d v="2033-08-15T00:00:00"/>
    <x v="11"/>
    <n v="22.7"/>
    <n v="14.8"/>
    <x v="0"/>
    <n v="1"/>
  </r>
  <r>
    <d v="2033-08-16T00:00:00"/>
    <x v="3"/>
    <n v="22.6"/>
    <n v="16.5"/>
    <x v="0"/>
    <n v="1"/>
  </r>
  <r>
    <d v="2033-08-17T00:00:00"/>
    <x v="13"/>
    <n v="26.1"/>
    <n v="0"/>
    <x v="0"/>
    <n v="1"/>
  </r>
  <r>
    <d v="2033-08-18T00:00:00"/>
    <x v="11"/>
    <n v="27.6"/>
    <n v="6.7"/>
    <x v="0"/>
    <n v="1"/>
  </r>
  <r>
    <d v="2033-08-19T00:00:00"/>
    <x v="8"/>
    <n v="13.2"/>
    <n v="0"/>
    <x v="0"/>
    <n v="1"/>
  </r>
  <r>
    <d v="2033-08-20T00:00:00"/>
    <x v="17"/>
    <n v="22"/>
    <n v="0"/>
    <x v="0"/>
    <n v="1"/>
  </r>
  <r>
    <d v="2033-08-21T00:00:00"/>
    <x v="5"/>
    <n v="10.8"/>
    <n v="7.6"/>
    <x v="0"/>
    <n v="1"/>
  </r>
  <r>
    <d v="2033-08-22T00:00:00"/>
    <x v="6"/>
    <n v="15.6"/>
    <n v="38.4"/>
    <x v="0"/>
    <n v="1"/>
  </r>
  <r>
    <d v="2033-08-23T00:00:00"/>
    <x v="22"/>
    <n v="11.7"/>
    <n v="0.5"/>
    <x v="0"/>
    <n v="1"/>
  </r>
  <r>
    <d v="2033-08-24T00:00:00"/>
    <x v="6"/>
    <n v="27.2"/>
    <n v="8.3000000000000007"/>
    <x v="0"/>
    <n v="1"/>
  </r>
  <r>
    <d v="2033-08-25T00:00:00"/>
    <x v="6"/>
    <n v="24.7"/>
    <n v="28.9"/>
    <x v="0"/>
    <n v="1"/>
  </r>
  <r>
    <d v="2033-08-26T00:00:00"/>
    <x v="7"/>
    <n v="18.2"/>
    <n v="12.5"/>
    <x v="0"/>
    <n v="1"/>
  </r>
  <r>
    <d v="2033-08-27T00:00:00"/>
    <x v="7"/>
    <n v="14.6"/>
    <n v="17.899999999999999"/>
    <x v="0"/>
    <n v="1"/>
  </r>
  <r>
    <d v="2033-08-28T00:00:00"/>
    <x v="7"/>
    <n v="16.5"/>
    <n v="13.9"/>
    <x v="0"/>
    <n v="1"/>
  </r>
  <r>
    <d v="2033-08-29T00:00:00"/>
    <x v="14"/>
    <n v="29.4"/>
    <n v="0"/>
    <x v="0"/>
    <n v="1"/>
  </r>
  <r>
    <d v="2033-08-30T00:00:00"/>
    <x v="6"/>
    <n v="17.899999999999999"/>
    <n v="0"/>
    <x v="0"/>
    <n v="1"/>
  </r>
  <r>
    <d v="2033-08-31T00:00:00"/>
    <x v="13"/>
    <n v="29.8"/>
    <n v="0"/>
    <x v="0"/>
    <n v="1"/>
  </r>
  <r>
    <d v="2033-09-01T00:00:00"/>
    <x v="0"/>
    <n v="18.7"/>
    <n v="0"/>
    <x v="0"/>
    <n v="1"/>
  </r>
  <r>
    <d v="2033-09-02T00:00:00"/>
    <x v="8"/>
    <n v="24.3"/>
    <n v="7.8"/>
    <x v="0"/>
    <n v="1"/>
  </r>
  <r>
    <d v="2033-09-03T00:00:00"/>
    <x v="9"/>
    <n v="29.3"/>
    <n v="4.5999999999999996"/>
    <x v="0"/>
    <n v="1"/>
  </r>
  <r>
    <d v="2033-09-04T00:00:00"/>
    <x v="3"/>
    <n v="18.399999999999999"/>
    <n v="0"/>
    <x v="0"/>
    <n v="1"/>
  </r>
  <r>
    <d v="2033-09-05T00:00:00"/>
    <x v="3"/>
    <n v="10.3"/>
    <n v="16"/>
    <x v="0"/>
    <n v="1"/>
  </r>
  <r>
    <d v="2033-09-06T00:00:00"/>
    <x v="6"/>
    <n v="27.5"/>
    <n v="0"/>
    <x v="0"/>
    <n v="1"/>
  </r>
  <r>
    <d v="2033-09-07T00:00:00"/>
    <x v="3"/>
    <n v="20.6"/>
    <n v="15.7"/>
    <x v="0"/>
    <n v="1"/>
  </r>
  <r>
    <d v="2033-09-08T00:00:00"/>
    <x v="7"/>
    <n v="21.3"/>
    <n v="0"/>
    <x v="0"/>
    <n v="1"/>
  </r>
  <r>
    <d v="2033-09-09T00:00:00"/>
    <x v="15"/>
    <n v="26.2"/>
    <n v="0"/>
    <x v="0"/>
    <n v="1"/>
  </r>
  <r>
    <d v="2033-09-10T00:00:00"/>
    <x v="6"/>
    <n v="23.9"/>
    <n v="0"/>
    <x v="0"/>
    <n v="1"/>
  </r>
  <r>
    <d v="2033-09-11T00:00:00"/>
    <x v="23"/>
    <n v="26.6"/>
    <n v="1.6"/>
    <x v="0"/>
    <n v="1"/>
  </r>
  <r>
    <d v="2033-09-12T00:00:00"/>
    <x v="6"/>
    <n v="18.600000000000001"/>
    <n v="20.399999999999999"/>
    <x v="0"/>
    <n v="1"/>
  </r>
  <r>
    <d v="2033-09-13T00:00:00"/>
    <x v="14"/>
    <n v="22.3"/>
    <n v="1.7"/>
    <x v="0"/>
    <n v="1"/>
  </r>
  <r>
    <d v="2033-09-14T00:00:00"/>
    <x v="13"/>
    <n v="18.399999999999999"/>
    <n v="3.9"/>
    <x v="0"/>
    <n v="1"/>
  </r>
  <r>
    <d v="2033-09-15T00:00:00"/>
    <x v="23"/>
    <n v="28"/>
    <n v="4.4000000000000004"/>
    <x v="0"/>
    <n v="1"/>
  </r>
  <r>
    <d v="2033-09-16T00:00:00"/>
    <x v="6"/>
    <n v="10.9"/>
    <n v="32.9"/>
    <x v="0"/>
    <n v="1"/>
  </r>
  <r>
    <d v="2033-09-17T00:00:00"/>
    <x v="15"/>
    <n v="25.1"/>
    <n v="33.299999999999997"/>
    <x v="0"/>
    <n v="1"/>
  </r>
  <r>
    <d v="2033-09-18T00:00:00"/>
    <x v="24"/>
    <n v="10.7"/>
    <n v="0.3"/>
    <x v="0"/>
    <n v="1"/>
  </r>
  <r>
    <d v="2033-09-19T00:00:00"/>
    <x v="6"/>
    <n v="26.1"/>
    <n v="31"/>
    <x v="0"/>
    <n v="1"/>
  </r>
  <r>
    <d v="2033-09-20T00:00:00"/>
    <x v="7"/>
    <n v="15.2"/>
    <n v="12.7"/>
    <x v="0"/>
    <n v="1"/>
  </r>
  <r>
    <d v="2033-09-21T00:00:00"/>
    <x v="10"/>
    <n v="28.8"/>
    <n v="4.3"/>
    <x v="0"/>
    <n v="1"/>
  </r>
  <r>
    <d v="2033-09-22T00:00:00"/>
    <x v="22"/>
    <n v="10.3"/>
    <n v="0"/>
    <x v="0"/>
    <n v="1"/>
  </r>
  <r>
    <d v="2033-09-23T00:00:00"/>
    <x v="2"/>
    <n v="14.9"/>
    <n v="0.1"/>
    <x v="0"/>
    <n v="1"/>
  </r>
  <r>
    <d v="2033-09-24T00:00:00"/>
    <x v="6"/>
    <n v="11.3"/>
    <n v="0"/>
    <x v="0"/>
    <n v="1"/>
  </r>
  <r>
    <d v="2033-09-25T00:00:00"/>
    <x v="6"/>
    <n v="20.8"/>
    <n v="34.9"/>
    <x v="0"/>
    <n v="1"/>
  </r>
  <r>
    <d v="2033-09-26T00:00:00"/>
    <x v="15"/>
    <n v="18.2"/>
    <n v="0"/>
    <x v="0"/>
    <n v="1"/>
  </r>
  <r>
    <d v="2033-09-27T00:00:00"/>
    <x v="13"/>
    <n v="12.7"/>
    <n v="5.3"/>
    <x v="0"/>
    <n v="1"/>
  </r>
  <r>
    <d v="2033-09-28T00:00:00"/>
    <x v="10"/>
    <n v="21.4"/>
    <n v="8.3000000000000007"/>
    <x v="0"/>
    <n v="1"/>
  </r>
  <r>
    <d v="2033-09-29T00:00:00"/>
    <x v="2"/>
    <n v="21.3"/>
    <n v="11.8"/>
    <x v="0"/>
    <n v="1"/>
  </r>
  <r>
    <d v="2033-09-30T00:00:00"/>
    <x v="13"/>
    <n v="20.7"/>
    <n v="3.9"/>
    <x v="0"/>
    <n v="1"/>
  </r>
  <r>
    <d v="2033-10-01T00:00:00"/>
    <x v="16"/>
    <n v="19.7"/>
    <n v="0"/>
    <x v="0"/>
    <n v="1"/>
  </r>
  <r>
    <d v="2033-10-02T00:00:00"/>
    <x v="7"/>
    <n v="27.2"/>
    <n v="17.600000000000001"/>
    <x v="0"/>
    <n v="1"/>
  </r>
  <r>
    <d v="2033-10-03T00:00:00"/>
    <x v="21"/>
    <n v="16.600000000000001"/>
    <n v="1.7"/>
    <x v="0"/>
    <n v="1"/>
  </r>
  <r>
    <d v="2033-10-04T00:00:00"/>
    <x v="7"/>
    <n v="22.3"/>
    <n v="0"/>
    <x v="0"/>
    <n v="1"/>
  </r>
  <r>
    <d v="2033-10-05T00:00:00"/>
    <x v="6"/>
    <n v="18"/>
    <n v="40.799999999999997"/>
    <x v="0"/>
    <n v="1"/>
  </r>
  <r>
    <d v="2033-10-06T00:00:00"/>
    <x v="20"/>
    <n v="21.8"/>
    <n v="0"/>
    <x v="0"/>
    <n v="1"/>
  </r>
  <r>
    <d v="2033-10-07T00:00:00"/>
    <x v="2"/>
    <n v="22.2"/>
    <n v="11.2"/>
    <x v="0"/>
    <n v="1"/>
  </r>
  <r>
    <d v="2033-10-08T00:00:00"/>
    <x v="2"/>
    <n v="20"/>
    <n v="0"/>
    <x v="0"/>
    <n v="1"/>
  </r>
  <r>
    <d v="2033-10-09T00:00:00"/>
    <x v="28"/>
    <n v="29.4"/>
    <n v="0.7"/>
    <x v="0"/>
    <n v="1"/>
  </r>
  <r>
    <d v="2033-10-10T00:00:00"/>
    <x v="6"/>
    <n v="23.6"/>
    <n v="0"/>
    <x v="0"/>
    <n v="1"/>
  </r>
  <r>
    <d v="2033-10-11T00:00:00"/>
    <x v="3"/>
    <n v="16.3"/>
    <n v="22"/>
    <x v="0"/>
    <n v="1"/>
  </r>
  <r>
    <d v="2033-10-12T00:00:00"/>
    <x v="11"/>
    <n v="15"/>
    <n v="0"/>
    <x v="0"/>
    <n v="1"/>
  </r>
  <r>
    <d v="2033-10-13T00:00:00"/>
    <x v="10"/>
    <n v="10.8"/>
    <n v="0"/>
    <x v="0"/>
    <n v="1"/>
  </r>
  <r>
    <d v="2033-10-14T00:00:00"/>
    <x v="15"/>
    <n v="10.5"/>
    <n v="0"/>
    <x v="0"/>
    <n v="1"/>
  </r>
  <r>
    <d v="2033-10-15T00:00:00"/>
    <x v="1"/>
    <n v="20.3"/>
    <n v="0"/>
    <x v="0"/>
    <n v="1"/>
  </r>
  <r>
    <d v="2033-10-16T00:00:00"/>
    <x v="6"/>
    <n v="13.1"/>
    <n v="50.4"/>
    <x v="0"/>
    <n v="1"/>
  </r>
  <r>
    <d v="2033-10-17T00:00:00"/>
    <x v="8"/>
    <n v="24.8"/>
    <n v="7.9"/>
    <x v="0"/>
    <n v="1"/>
  </r>
  <r>
    <d v="2033-10-18T00:00:00"/>
    <x v="7"/>
    <n v="23.6"/>
    <n v="0.8"/>
    <x v="0"/>
    <n v="1"/>
  </r>
  <r>
    <d v="2033-10-19T00:00:00"/>
    <x v="13"/>
    <n v="17.899999999999999"/>
    <n v="0"/>
    <x v="0"/>
    <n v="1"/>
  </r>
  <r>
    <d v="2033-10-20T00:00:00"/>
    <x v="8"/>
    <n v="23.2"/>
    <n v="3"/>
    <x v="0"/>
    <n v="1"/>
  </r>
  <r>
    <d v="2033-10-21T00:00:00"/>
    <x v="4"/>
    <n v="21.8"/>
    <n v="2"/>
    <x v="0"/>
    <n v="1"/>
  </r>
  <r>
    <d v="2033-10-22T00:00:00"/>
    <x v="22"/>
    <n v="22.2"/>
    <n v="3.1"/>
    <x v="0"/>
    <n v="1"/>
  </r>
  <r>
    <d v="2033-10-23T00:00:00"/>
    <x v="11"/>
    <n v="29"/>
    <n v="16.399999999999999"/>
    <x v="0"/>
    <n v="1"/>
  </r>
  <r>
    <d v="2033-10-24T00:00:00"/>
    <x v="20"/>
    <n v="24.6"/>
    <n v="1.7"/>
    <x v="0"/>
    <n v="1"/>
  </r>
  <r>
    <d v="2033-10-25T00:00:00"/>
    <x v="8"/>
    <n v="23.4"/>
    <n v="0.6"/>
    <x v="0"/>
    <n v="1"/>
  </r>
  <r>
    <d v="2033-10-26T00:00:00"/>
    <x v="11"/>
    <n v="21"/>
    <n v="0"/>
    <x v="0"/>
    <n v="1"/>
  </r>
  <r>
    <d v="2033-10-27T00:00:00"/>
    <x v="1"/>
    <n v="22"/>
    <n v="0"/>
    <x v="0"/>
    <n v="1"/>
  </r>
  <r>
    <d v="2033-10-28T00:00:00"/>
    <x v="5"/>
    <n v="29.9"/>
    <n v="8"/>
    <x v="0"/>
    <n v="1"/>
  </r>
  <r>
    <d v="2033-10-29T00:00:00"/>
    <x v="3"/>
    <n v="27.2"/>
    <n v="19.2"/>
    <x v="0"/>
    <n v="1"/>
  </r>
  <r>
    <d v="2033-10-30T00:00:00"/>
    <x v="15"/>
    <n v="10.9"/>
    <n v="9"/>
    <x v="0"/>
    <n v="1"/>
  </r>
  <r>
    <d v="2033-10-31T00:00:00"/>
    <x v="5"/>
    <n v="22.6"/>
    <n v="5.9"/>
    <x v="0"/>
    <n v="1"/>
  </r>
  <r>
    <d v="2033-11-01T00:00:00"/>
    <x v="19"/>
    <n v="12"/>
    <n v="3.9"/>
    <x v="0"/>
    <n v="1"/>
  </r>
  <r>
    <d v="2033-11-02T00:00:00"/>
    <x v="11"/>
    <n v="19.5"/>
    <n v="14.2"/>
    <x v="0"/>
    <n v="1"/>
  </r>
  <r>
    <d v="2033-11-03T00:00:00"/>
    <x v="6"/>
    <n v="27"/>
    <n v="10.9"/>
    <x v="0"/>
    <n v="1"/>
  </r>
  <r>
    <d v="2033-11-04T00:00:00"/>
    <x v="18"/>
    <n v="10.7"/>
    <n v="5.6"/>
    <x v="0"/>
    <n v="1"/>
  </r>
  <r>
    <d v="2033-11-05T00:00:00"/>
    <x v="15"/>
    <n v="29.1"/>
    <n v="0"/>
    <x v="0"/>
    <n v="1"/>
  </r>
  <r>
    <d v="2033-11-06T00:00:00"/>
    <x v="23"/>
    <n v="25.3"/>
    <n v="0"/>
    <x v="0"/>
    <n v="1"/>
  </r>
  <r>
    <d v="2033-11-07T00:00:00"/>
    <x v="2"/>
    <n v="13.3"/>
    <n v="4.4000000000000004"/>
    <x v="0"/>
    <n v="1"/>
  </r>
  <r>
    <d v="2033-11-08T00:00:00"/>
    <x v="3"/>
    <n v="16.899999999999999"/>
    <n v="0"/>
    <x v="0"/>
    <n v="1"/>
  </r>
  <r>
    <d v="2033-11-09T00:00:00"/>
    <x v="11"/>
    <n v="26.4"/>
    <n v="6.8"/>
    <x v="0"/>
    <n v="1"/>
  </r>
  <r>
    <d v="2033-11-10T00:00:00"/>
    <x v="10"/>
    <n v="29.7"/>
    <n v="0"/>
    <x v="0"/>
    <n v="1"/>
  </r>
  <r>
    <d v="2033-11-11T00:00:00"/>
    <x v="3"/>
    <n v="17.600000000000001"/>
    <n v="8.6999999999999993"/>
    <x v="0"/>
    <n v="1"/>
  </r>
  <r>
    <d v="2033-11-12T00:00:00"/>
    <x v="13"/>
    <n v="13.2"/>
    <n v="3.3"/>
    <x v="0"/>
    <n v="1"/>
  </r>
  <r>
    <d v="2033-11-13T00:00:00"/>
    <x v="11"/>
    <n v="21.2"/>
    <n v="0"/>
    <x v="0"/>
    <n v="1"/>
  </r>
  <r>
    <d v="2033-11-14T00:00:00"/>
    <x v="11"/>
    <n v="23"/>
    <n v="7.7"/>
    <x v="0"/>
    <n v="1"/>
  </r>
  <r>
    <d v="2033-11-15T00:00:00"/>
    <x v="7"/>
    <n v="23"/>
    <n v="0"/>
    <x v="0"/>
    <n v="1"/>
  </r>
  <r>
    <d v="2033-11-16T00:00:00"/>
    <x v="7"/>
    <n v="23.4"/>
    <n v="0"/>
    <x v="0"/>
    <n v="1"/>
  </r>
  <r>
    <d v="2033-11-17T00:00:00"/>
    <x v="3"/>
    <n v="28.7"/>
    <n v="3.3"/>
    <x v="0"/>
    <n v="1"/>
  </r>
  <r>
    <d v="2033-11-18T00:00:00"/>
    <x v="22"/>
    <n v="23.6"/>
    <n v="4.3"/>
    <x v="0"/>
    <n v="1"/>
  </r>
  <r>
    <d v="2033-11-19T00:00:00"/>
    <x v="2"/>
    <n v="10.199999999999999"/>
    <n v="8.6999999999999993"/>
    <x v="0"/>
    <n v="1"/>
  </r>
  <r>
    <d v="2033-11-20T00:00:00"/>
    <x v="5"/>
    <n v="13.8"/>
    <n v="0"/>
    <x v="0"/>
    <n v="1"/>
  </r>
  <r>
    <d v="2033-11-21T00:00:00"/>
    <x v="4"/>
    <n v="27.7"/>
    <n v="0"/>
    <x v="0"/>
    <n v="1"/>
  </r>
  <r>
    <d v="2033-11-22T00:00:00"/>
    <x v="3"/>
    <n v="13.3"/>
    <n v="7.2"/>
    <x v="0"/>
    <n v="1"/>
  </r>
  <r>
    <d v="2033-11-23T00:00:00"/>
    <x v="7"/>
    <n v="26"/>
    <n v="0.7"/>
    <x v="0"/>
    <n v="1"/>
  </r>
  <r>
    <d v="2033-11-24T00:00:00"/>
    <x v="2"/>
    <n v="16.3"/>
    <n v="11"/>
    <x v="0"/>
    <n v="1"/>
  </r>
  <r>
    <d v="2033-11-25T00:00:00"/>
    <x v="11"/>
    <n v="23.5"/>
    <n v="15.5"/>
    <x v="0"/>
    <n v="1"/>
  </r>
  <r>
    <d v="2033-11-26T00:00:00"/>
    <x v="23"/>
    <n v="15.7"/>
    <n v="0"/>
    <x v="0"/>
    <n v="1"/>
  </r>
  <r>
    <d v="2033-11-27T00:00:00"/>
    <x v="22"/>
    <n v="26"/>
    <n v="6.4"/>
    <x v="0"/>
    <n v="1"/>
  </r>
  <r>
    <d v="2033-11-28T00:00:00"/>
    <x v="15"/>
    <n v="22.7"/>
    <n v="0"/>
    <x v="0"/>
    <n v="1"/>
  </r>
  <r>
    <d v="2033-11-29T00:00:00"/>
    <x v="5"/>
    <n v="26.2"/>
    <n v="5.7"/>
    <x v="0"/>
    <n v="1"/>
  </r>
  <r>
    <d v="2033-11-30T00:00:00"/>
    <x v="18"/>
    <n v="14.1"/>
    <n v="0"/>
    <x v="0"/>
    <n v="1"/>
  </r>
  <r>
    <d v="2033-12-01T00:00:00"/>
    <x v="7"/>
    <n v="23.6"/>
    <n v="19.7"/>
    <x v="0"/>
    <n v="1"/>
  </r>
  <r>
    <d v="2033-12-02T00:00:00"/>
    <x v="15"/>
    <n v="25.2"/>
    <n v="37.200000000000003"/>
    <x v="0"/>
    <n v="1"/>
  </r>
  <r>
    <d v="2033-12-03T00:00:00"/>
    <x v="9"/>
    <n v="23"/>
    <n v="0"/>
    <x v="0"/>
    <n v="1"/>
  </r>
  <r>
    <d v="2033-12-04T00:00:00"/>
    <x v="2"/>
    <n v="29.7"/>
    <n v="6.8"/>
    <x v="0"/>
    <n v="1"/>
  </r>
  <r>
    <d v="2033-12-05T00:00:00"/>
    <x v="5"/>
    <n v="17.2"/>
    <n v="3.5"/>
    <x v="0"/>
    <n v="1"/>
  </r>
  <r>
    <d v="2033-12-06T00:00:00"/>
    <x v="5"/>
    <n v="21.7"/>
    <n v="2.5"/>
    <x v="0"/>
    <n v="1"/>
  </r>
  <r>
    <d v="2033-12-07T00:00:00"/>
    <x v="7"/>
    <n v="25.8"/>
    <n v="3.8"/>
    <x v="0"/>
    <n v="1"/>
  </r>
  <r>
    <d v="2033-12-08T00:00:00"/>
    <x v="22"/>
    <n v="12.9"/>
    <n v="1.6"/>
    <x v="0"/>
    <n v="1"/>
  </r>
  <r>
    <d v="2033-12-09T00:00:00"/>
    <x v="12"/>
    <n v="18.2"/>
    <n v="0"/>
    <x v="0"/>
    <n v="1"/>
  </r>
  <r>
    <d v="2033-12-10T00:00:00"/>
    <x v="6"/>
    <n v="20"/>
    <n v="25.7"/>
    <x v="0"/>
    <n v="1"/>
  </r>
  <r>
    <d v="2033-12-11T00:00:00"/>
    <x v="15"/>
    <n v="17.100000000000001"/>
    <n v="33"/>
    <x v="0"/>
    <n v="1"/>
  </r>
  <r>
    <d v="2033-12-12T00:00:00"/>
    <x v="1"/>
    <n v="23.2"/>
    <n v="2.2999999999999998"/>
    <x v="0"/>
    <n v="1"/>
  </r>
  <r>
    <d v="2033-12-13T00:00:00"/>
    <x v="11"/>
    <n v="23.1"/>
    <n v="2.2000000000000002"/>
    <x v="0"/>
    <n v="1"/>
  </r>
  <r>
    <d v="2033-12-14T00:00:00"/>
    <x v="6"/>
    <n v="22.4"/>
    <n v="33.5"/>
    <x v="0"/>
    <n v="1"/>
  </r>
  <r>
    <d v="2033-12-15T00:00:00"/>
    <x v="29"/>
    <n v="25.4"/>
    <n v="0.9"/>
    <x v="0"/>
    <n v="1"/>
  </r>
  <r>
    <d v="2033-12-16T00:00:00"/>
    <x v="6"/>
    <n v="15.4"/>
    <n v="1.6"/>
    <x v="0"/>
    <n v="1"/>
  </r>
  <r>
    <d v="2033-12-17T00:00:00"/>
    <x v="21"/>
    <n v="23.5"/>
    <n v="0.6"/>
    <x v="0"/>
    <n v="1"/>
  </r>
  <r>
    <d v="2033-12-18T00:00:00"/>
    <x v="11"/>
    <n v="10.3"/>
    <n v="15.4"/>
    <x v="0"/>
    <n v="1"/>
  </r>
  <r>
    <d v="2033-12-19T00:00:00"/>
    <x v="6"/>
    <n v="15.5"/>
    <n v="20.2"/>
    <x v="0"/>
    <n v="1"/>
  </r>
  <r>
    <d v="2033-12-20T00:00:00"/>
    <x v="20"/>
    <n v="20.7"/>
    <n v="3"/>
    <x v="0"/>
    <n v="1"/>
  </r>
  <r>
    <d v="2033-12-21T00:00:00"/>
    <x v="9"/>
    <n v="12.7"/>
    <n v="14.4"/>
    <x v="0"/>
    <n v="1"/>
  </r>
  <r>
    <d v="2033-12-22T00:00:00"/>
    <x v="19"/>
    <n v="22.8"/>
    <n v="3.3"/>
    <x v="0"/>
    <n v="1"/>
  </r>
  <r>
    <d v="2033-12-23T00:00:00"/>
    <x v="26"/>
    <n v="20.5"/>
    <n v="0"/>
    <x v="0"/>
    <n v="1"/>
  </r>
  <r>
    <d v="2033-12-24T00:00:00"/>
    <x v="18"/>
    <n v="13.1"/>
    <n v="5.9"/>
    <x v="0"/>
    <n v="1"/>
  </r>
  <r>
    <d v="2033-12-25T00:00:00"/>
    <x v="17"/>
    <n v="29"/>
    <n v="1"/>
    <x v="0"/>
    <n v="1"/>
  </r>
  <r>
    <d v="2033-12-26T00:00:00"/>
    <x v="15"/>
    <n v="15.4"/>
    <n v="0"/>
    <x v="0"/>
    <n v="1"/>
  </r>
  <r>
    <d v="2033-12-27T00:00:00"/>
    <x v="6"/>
    <n v="20.3"/>
    <n v="10.7"/>
    <x v="0"/>
    <n v="1"/>
  </r>
  <r>
    <d v="2033-12-28T00:00:00"/>
    <x v="6"/>
    <n v="15"/>
    <n v="0"/>
    <x v="0"/>
    <n v="1"/>
  </r>
  <r>
    <d v="2033-12-29T00:00:00"/>
    <x v="14"/>
    <n v="16.600000000000001"/>
    <n v="0"/>
    <x v="0"/>
    <n v="1"/>
  </r>
  <r>
    <d v="2033-12-30T00:00:00"/>
    <x v="7"/>
    <n v="28.6"/>
    <n v="0"/>
    <x v="0"/>
    <n v="1"/>
  </r>
  <r>
    <d v="2033-12-31T00:00:00"/>
    <x v="13"/>
    <n v="11.4"/>
    <n v="3.6"/>
    <x v="0"/>
    <n v="1"/>
  </r>
  <r>
    <d v="2034-01-01T00:00:00"/>
    <x v="5"/>
    <n v="15.5"/>
    <n v="1"/>
    <x v="1"/>
    <n v="1"/>
  </r>
  <r>
    <d v="2034-01-02T00:00:00"/>
    <x v="2"/>
    <n v="18.3"/>
    <n v="0.7"/>
    <x v="1"/>
    <n v="1"/>
  </r>
  <r>
    <d v="2034-01-03T00:00:00"/>
    <x v="15"/>
    <n v="14.9"/>
    <n v="6.1"/>
    <x v="1"/>
    <n v="1"/>
  </r>
  <r>
    <d v="2034-01-04T00:00:00"/>
    <x v="7"/>
    <n v="29.7"/>
    <n v="13.3"/>
    <x v="1"/>
    <n v="1"/>
  </r>
  <r>
    <d v="2034-01-05T00:00:00"/>
    <x v="3"/>
    <n v="28.9"/>
    <n v="13.8"/>
    <x v="1"/>
    <n v="1"/>
  </r>
  <r>
    <d v="2034-01-06T00:00:00"/>
    <x v="13"/>
    <n v="24.3"/>
    <n v="0"/>
    <x v="1"/>
    <n v="1"/>
  </r>
  <r>
    <d v="2034-01-07T00:00:00"/>
    <x v="6"/>
    <n v="24"/>
    <n v="19.7"/>
    <x v="1"/>
    <n v="1"/>
  </r>
  <r>
    <d v="2034-01-08T00:00:00"/>
    <x v="11"/>
    <n v="11.8"/>
    <n v="13.3"/>
    <x v="1"/>
    <n v="1"/>
  </r>
  <r>
    <d v="2034-01-09T00:00:00"/>
    <x v="6"/>
    <n v="26.5"/>
    <n v="19.7"/>
    <x v="1"/>
    <n v="1"/>
  </r>
  <r>
    <d v="2034-01-10T00:00:00"/>
    <x v="22"/>
    <n v="12.4"/>
    <n v="5.0999999999999996"/>
    <x v="1"/>
    <n v="1"/>
  </r>
  <r>
    <d v="2034-01-11T00:00:00"/>
    <x v="6"/>
    <n v="21.9"/>
    <n v="6.6"/>
    <x v="1"/>
    <n v="1"/>
  </r>
  <r>
    <d v="2034-01-12T00:00:00"/>
    <x v="6"/>
    <n v="20.3"/>
    <n v="0"/>
    <x v="1"/>
    <n v="1"/>
  </r>
  <r>
    <d v="2034-01-13T00:00:00"/>
    <x v="28"/>
    <n v="27.7"/>
    <n v="0.3"/>
    <x v="1"/>
    <n v="1"/>
  </r>
  <r>
    <d v="2034-01-14T00:00:00"/>
    <x v="15"/>
    <n v="28.5"/>
    <n v="30"/>
    <x v="1"/>
    <n v="1"/>
  </r>
  <r>
    <d v="2034-01-15T00:00:00"/>
    <x v="17"/>
    <n v="28.7"/>
    <n v="1.9"/>
    <x v="1"/>
    <n v="1"/>
  </r>
  <r>
    <d v="2034-01-16T00:00:00"/>
    <x v="0"/>
    <n v="10.9"/>
    <n v="0"/>
    <x v="1"/>
    <n v="1"/>
  </r>
  <r>
    <d v="2034-01-17T00:00:00"/>
    <x v="5"/>
    <n v="13.7"/>
    <n v="0"/>
    <x v="1"/>
    <n v="1"/>
  </r>
  <r>
    <d v="2034-01-18T00:00:00"/>
    <x v="7"/>
    <n v="28.2"/>
    <n v="0"/>
    <x v="1"/>
    <n v="1"/>
  </r>
  <r>
    <d v="2034-01-19T00:00:00"/>
    <x v="15"/>
    <n v="20.100000000000001"/>
    <n v="0"/>
    <x v="1"/>
    <n v="1"/>
  </r>
  <r>
    <d v="2034-01-20T00:00:00"/>
    <x v="7"/>
    <n v="20.6"/>
    <n v="0"/>
    <x v="1"/>
    <n v="1"/>
  </r>
  <r>
    <d v="2034-01-21T00:00:00"/>
    <x v="9"/>
    <n v="15.5"/>
    <n v="16.8"/>
    <x v="1"/>
    <n v="1"/>
  </r>
  <r>
    <d v="2034-01-22T00:00:00"/>
    <x v="8"/>
    <n v="22.2"/>
    <n v="2.4"/>
    <x v="1"/>
    <n v="1"/>
  </r>
  <r>
    <d v="2034-01-23T00:00:00"/>
    <x v="9"/>
    <n v="15"/>
    <n v="4.0999999999999996"/>
    <x v="1"/>
    <n v="1"/>
  </r>
  <r>
    <d v="2034-01-24T00:00:00"/>
    <x v="15"/>
    <n v="18.399999999999999"/>
    <n v="30.4"/>
    <x v="1"/>
    <n v="1"/>
  </r>
  <r>
    <d v="2034-01-25T00:00:00"/>
    <x v="28"/>
    <n v="29.3"/>
    <n v="0.4"/>
    <x v="1"/>
    <n v="1"/>
  </r>
  <r>
    <d v="2034-01-26T00:00:00"/>
    <x v="19"/>
    <n v="23.9"/>
    <n v="3.3"/>
    <x v="1"/>
    <n v="1"/>
  </r>
  <r>
    <d v="2034-01-27T00:00:00"/>
    <x v="16"/>
    <n v="29.8"/>
    <n v="3.3"/>
    <x v="1"/>
    <n v="1"/>
  </r>
  <r>
    <d v="2034-01-28T00:00:00"/>
    <x v="6"/>
    <n v="29.1"/>
    <n v="23"/>
    <x v="1"/>
    <n v="1"/>
  </r>
  <r>
    <d v="2034-01-29T00:00:00"/>
    <x v="7"/>
    <n v="22.5"/>
    <n v="17.2"/>
    <x v="1"/>
    <n v="1"/>
  </r>
  <r>
    <d v="2034-01-30T00:00:00"/>
    <x v="15"/>
    <n v="15.3"/>
    <n v="21.5"/>
    <x v="1"/>
    <n v="1"/>
  </r>
  <r>
    <d v="2034-01-31T00:00:00"/>
    <x v="6"/>
    <n v="13.8"/>
    <n v="40.4"/>
    <x v="1"/>
    <n v="1"/>
  </r>
  <r>
    <d v="2034-02-01T00:00:00"/>
    <x v="3"/>
    <n v="12.3"/>
    <n v="0"/>
    <x v="1"/>
    <n v="1"/>
  </r>
  <r>
    <d v="2034-02-02T00:00:00"/>
    <x v="1"/>
    <n v="18.5"/>
    <n v="4.2"/>
    <x v="1"/>
    <n v="1"/>
  </r>
  <r>
    <d v="2034-02-03T00:00:00"/>
    <x v="16"/>
    <n v="10.3"/>
    <n v="3.2"/>
    <x v="1"/>
    <n v="1"/>
  </r>
  <r>
    <d v="2034-02-04T00:00:00"/>
    <x v="15"/>
    <n v="24.9"/>
    <n v="12.1"/>
    <x v="1"/>
    <n v="1"/>
  </r>
  <r>
    <d v="2034-02-05T00:00:00"/>
    <x v="6"/>
    <n v="26.4"/>
    <n v="0"/>
    <x v="1"/>
    <n v="1"/>
  </r>
  <r>
    <d v="2034-02-06T00:00:00"/>
    <x v="3"/>
    <n v="11.8"/>
    <n v="0"/>
    <x v="1"/>
    <n v="1"/>
  </r>
  <r>
    <d v="2034-02-07T00:00:00"/>
    <x v="2"/>
    <n v="11"/>
    <n v="7.5"/>
    <x v="1"/>
    <n v="1"/>
  </r>
  <r>
    <d v="2034-02-08T00:00:00"/>
    <x v="6"/>
    <n v="15.4"/>
    <n v="5.2"/>
    <x v="1"/>
    <n v="1"/>
  </r>
  <r>
    <d v="2034-02-09T00:00:00"/>
    <x v="23"/>
    <n v="25.7"/>
    <n v="5.8"/>
    <x v="1"/>
    <n v="1"/>
  </r>
  <r>
    <d v="2034-02-10T00:00:00"/>
    <x v="9"/>
    <n v="14.8"/>
    <n v="0"/>
    <x v="1"/>
    <n v="1"/>
  </r>
  <r>
    <d v="2034-02-11T00:00:00"/>
    <x v="27"/>
    <n v="21.5"/>
    <n v="0.8"/>
    <x v="1"/>
    <n v="1"/>
  </r>
  <r>
    <d v="2034-02-12T00:00:00"/>
    <x v="15"/>
    <n v="26.2"/>
    <n v="8.9"/>
    <x v="1"/>
    <n v="1"/>
  </r>
  <r>
    <d v="2034-02-13T00:00:00"/>
    <x v="0"/>
    <n v="20.6"/>
    <n v="0.1"/>
    <x v="1"/>
    <n v="1"/>
  </r>
  <r>
    <d v="2034-02-14T00:00:00"/>
    <x v="6"/>
    <n v="14.1"/>
    <n v="20.9"/>
    <x v="1"/>
    <n v="1"/>
  </r>
  <r>
    <d v="2034-02-15T00:00:00"/>
    <x v="20"/>
    <n v="20.8"/>
    <n v="0.7"/>
    <x v="1"/>
    <n v="1"/>
  </r>
  <r>
    <d v="2034-02-16T00:00:00"/>
    <x v="14"/>
    <n v="17.600000000000001"/>
    <n v="10.5"/>
    <x v="1"/>
    <n v="1"/>
  </r>
  <r>
    <d v="2034-02-17T00:00:00"/>
    <x v="6"/>
    <n v="16.8"/>
    <n v="38.9"/>
    <x v="1"/>
    <n v="1"/>
  </r>
  <r>
    <d v="2034-02-18T00:00:00"/>
    <x v="0"/>
    <n v="23.1"/>
    <n v="0"/>
    <x v="1"/>
    <n v="1"/>
  </r>
  <r>
    <d v="2034-02-19T00:00:00"/>
    <x v="23"/>
    <n v="16.3"/>
    <n v="3.4"/>
    <x v="1"/>
    <n v="1"/>
  </r>
  <r>
    <d v="2034-02-20T00:00:00"/>
    <x v="3"/>
    <n v="15.7"/>
    <n v="10.9"/>
    <x v="1"/>
    <n v="1"/>
  </r>
  <r>
    <d v="2034-02-21T00:00:00"/>
    <x v="14"/>
    <n v="29.3"/>
    <n v="2.1"/>
    <x v="1"/>
    <n v="1"/>
  </r>
  <r>
    <d v="2034-02-22T00:00:00"/>
    <x v="18"/>
    <n v="24"/>
    <n v="7.3"/>
    <x v="1"/>
    <n v="1"/>
  </r>
  <r>
    <d v="2034-02-23T00:00:00"/>
    <x v="2"/>
    <n v="27"/>
    <n v="0.6"/>
    <x v="1"/>
    <n v="1"/>
  </r>
  <r>
    <d v="2034-02-24T00:00:00"/>
    <x v="6"/>
    <n v="26.3"/>
    <n v="1.2"/>
    <x v="1"/>
    <n v="1"/>
  </r>
  <r>
    <d v="2034-02-25T00:00:00"/>
    <x v="11"/>
    <n v="26.3"/>
    <n v="8.1999999999999993"/>
    <x v="1"/>
    <n v="1"/>
  </r>
  <r>
    <d v="2034-02-26T00:00:00"/>
    <x v="2"/>
    <n v="25.2"/>
    <n v="4.7"/>
    <x v="1"/>
    <n v="1"/>
  </r>
  <r>
    <d v="2034-02-27T00:00:00"/>
    <x v="6"/>
    <n v="22.1"/>
    <n v="0"/>
    <x v="1"/>
    <n v="1"/>
  </r>
  <r>
    <d v="2034-02-28T00:00:00"/>
    <x v="6"/>
    <n v="11.9"/>
    <n v="41.6"/>
    <x v="1"/>
    <n v="1"/>
  </r>
  <r>
    <d v="2034-03-01T00:00:00"/>
    <x v="9"/>
    <n v="19.600000000000001"/>
    <n v="0"/>
    <x v="1"/>
    <n v="1"/>
  </r>
  <r>
    <d v="2034-03-02T00:00:00"/>
    <x v="23"/>
    <n v="15.9"/>
    <n v="0"/>
    <x v="1"/>
    <n v="1"/>
  </r>
  <r>
    <d v="2034-03-03T00:00:00"/>
    <x v="8"/>
    <n v="24.3"/>
    <n v="1.7"/>
    <x v="1"/>
    <n v="1"/>
  </r>
  <r>
    <d v="2034-03-04T00:00:00"/>
    <x v="10"/>
    <n v="20"/>
    <n v="0"/>
    <x v="1"/>
    <n v="1"/>
  </r>
  <r>
    <d v="2034-03-05T00:00:00"/>
    <x v="6"/>
    <n v="14.2"/>
    <n v="32.200000000000003"/>
    <x v="1"/>
    <n v="1"/>
  </r>
  <r>
    <d v="2034-03-06T00:00:00"/>
    <x v="3"/>
    <n v="20.5"/>
    <n v="18.3"/>
    <x v="1"/>
    <n v="1"/>
  </r>
  <r>
    <d v="2034-03-07T00:00:00"/>
    <x v="6"/>
    <n v="22.4"/>
    <n v="0"/>
    <x v="1"/>
    <n v="1"/>
  </r>
  <r>
    <d v="2034-03-08T00:00:00"/>
    <x v="18"/>
    <n v="19.100000000000001"/>
    <n v="0"/>
    <x v="1"/>
    <n v="1"/>
  </r>
  <r>
    <d v="2034-03-09T00:00:00"/>
    <x v="11"/>
    <n v="20.399999999999999"/>
    <n v="4.3"/>
    <x v="1"/>
    <n v="1"/>
  </r>
  <r>
    <d v="2034-03-10T00:00:00"/>
    <x v="15"/>
    <n v="29.8"/>
    <n v="0"/>
    <x v="1"/>
    <n v="1"/>
  </r>
  <r>
    <d v="2034-03-11T00:00:00"/>
    <x v="29"/>
    <n v="13.7"/>
    <n v="0.7"/>
    <x v="1"/>
    <n v="1"/>
  </r>
  <r>
    <d v="2034-03-12T00:00:00"/>
    <x v="4"/>
    <n v="20.2"/>
    <n v="3.7"/>
    <x v="1"/>
    <n v="1"/>
  </r>
  <r>
    <d v="2034-03-13T00:00:00"/>
    <x v="7"/>
    <n v="18.2"/>
    <n v="1.6"/>
    <x v="1"/>
    <n v="1"/>
  </r>
  <r>
    <d v="2034-03-14T00:00:00"/>
    <x v="9"/>
    <n v="14.2"/>
    <n v="2"/>
    <x v="1"/>
    <n v="1"/>
  </r>
  <r>
    <d v="2034-03-15T00:00:00"/>
    <x v="11"/>
    <n v="11.2"/>
    <n v="14.3"/>
    <x v="1"/>
    <n v="1"/>
  </r>
  <r>
    <d v="2034-03-16T00:00:00"/>
    <x v="28"/>
    <n v="13.9"/>
    <n v="0.2"/>
    <x v="1"/>
    <n v="1"/>
  </r>
  <r>
    <d v="2034-03-17T00:00:00"/>
    <x v="7"/>
    <n v="22.6"/>
    <n v="15.1"/>
    <x v="1"/>
    <n v="1"/>
  </r>
  <r>
    <d v="2034-03-18T00:00:00"/>
    <x v="11"/>
    <n v="29.8"/>
    <n v="0"/>
    <x v="1"/>
    <n v="1"/>
  </r>
  <r>
    <d v="2034-03-19T00:00:00"/>
    <x v="16"/>
    <n v="12.7"/>
    <n v="2.6"/>
    <x v="1"/>
    <n v="1"/>
  </r>
  <r>
    <d v="2034-03-20T00:00:00"/>
    <x v="23"/>
    <n v="14.4"/>
    <n v="0"/>
    <x v="1"/>
    <n v="1"/>
  </r>
  <r>
    <d v="2034-03-21T00:00:00"/>
    <x v="29"/>
    <n v="18.399999999999999"/>
    <n v="0.2"/>
    <x v="1"/>
    <n v="1"/>
  </r>
  <r>
    <d v="2034-03-22T00:00:00"/>
    <x v="5"/>
    <n v="27.2"/>
    <n v="9.6"/>
    <x v="1"/>
    <n v="1"/>
  </r>
  <r>
    <d v="2034-03-23T00:00:00"/>
    <x v="18"/>
    <n v="12.5"/>
    <n v="8.8000000000000007"/>
    <x v="1"/>
    <n v="1"/>
  </r>
  <r>
    <d v="2034-03-24T00:00:00"/>
    <x v="22"/>
    <n v="22.6"/>
    <n v="3.5"/>
    <x v="1"/>
    <n v="1"/>
  </r>
  <r>
    <d v="2034-03-25T00:00:00"/>
    <x v="3"/>
    <n v="21.8"/>
    <n v="6.5"/>
    <x v="1"/>
    <n v="1"/>
  </r>
  <r>
    <d v="2034-03-26T00:00:00"/>
    <x v="19"/>
    <n v="17.2"/>
    <n v="0"/>
    <x v="1"/>
    <n v="1"/>
  </r>
  <r>
    <d v="2034-03-27T00:00:00"/>
    <x v="9"/>
    <n v="13.4"/>
    <n v="14.1"/>
    <x v="1"/>
    <n v="1"/>
  </r>
  <r>
    <d v="2034-03-28T00:00:00"/>
    <x v="5"/>
    <n v="13.8"/>
    <n v="9.9"/>
    <x v="1"/>
    <n v="1"/>
  </r>
  <r>
    <d v="2034-03-29T00:00:00"/>
    <x v="20"/>
    <n v="10.6"/>
    <n v="1.2"/>
    <x v="1"/>
    <n v="1"/>
  </r>
  <r>
    <d v="2034-03-30T00:00:00"/>
    <x v="12"/>
    <n v="28.8"/>
    <n v="0.1"/>
    <x v="1"/>
    <n v="1"/>
  </r>
  <r>
    <d v="2034-03-31T00:00:00"/>
    <x v="24"/>
    <n v="16.899999999999999"/>
    <n v="0.7"/>
    <x v="1"/>
    <n v="1"/>
  </r>
  <r>
    <d v="2034-04-01T00:00:00"/>
    <x v="14"/>
    <n v="11.2"/>
    <n v="4.8"/>
    <x v="1"/>
    <n v="1"/>
  </r>
  <r>
    <d v="2034-04-02T00:00:00"/>
    <x v="6"/>
    <n v="13.9"/>
    <n v="23"/>
    <x v="1"/>
    <n v="1"/>
  </r>
  <r>
    <d v="2034-04-03T00:00:00"/>
    <x v="7"/>
    <n v="25.3"/>
    <n v="21.9"/>
    <x v="1"/>
    <n v="1"/>
  </r>
  <r>
    <d v="2034-04-04T00:00:00"/>
    <x v="6"/>
    <n v="14.7"/>
    <n v="0"/>
    <x v="1"/>
    <n v="1"/>
  </r>
  <r>
    <d v="2034-04-05T00:00:00"/>
    <x v="8"/>
    <n v="20.3"/>
    <n v="5.3"/>
    <x v="1"/>
    <n v="1"/>
  </r>
  <r>
    <d v="2034-04-06T00:00:00"/>
    <x v="11"/>
    <n v="25"/>
    <n v="3.8"/>
    <x v="1"/>
    <n v="1"/>
  </r>
  <r>
    <d v="2034-04-07T00:00:00"/>
    <x v="14"/>
    <n v="19.600000000000001"/>
    <n v="0.6"/>
    <x v="1"/>
    <n v="1"/>
  </r>
  <r>
    <d v="2034-04-08T00:00:00"/>
    <x v="8"/>
    <n v="10.8"/>
    <n v="0"/>
    <x v="1"/>
    <n v="1"/>
  </r>
  <r>
    <d v="2034-04-09T00:00:00"/>
    <x v="17"/>
    <n v="17.100000000000001"/>
    <n v="0.7"/>
    <x v="1"/>
    <n v="1"/>
  </r>
  <r>
    <d v="2034-04-10T00:00:00"/>
    <x v="10"/>
    <n v="15.1"/>
    <n v="0"/>
    <x v="1"/>
    <n v="1"/>
  </r>
  <r>
    <d v="2034-04-11T00:00:00"/>
    <x v="14"/>
    <n v="26.4"/>
    <n v="1.9"/>
    <x v="1"/>
    <n v="1"/>
  </r>
  <r>
    <d v="2034-04-12T00:00:00"/>
    <x v="6"/>
    <n v="11.6"/>
    <n v="14.4"/>
    <x v="1"/>
    <n v="1"/>
  </r>
  <r>
    <d v="2034-04-13T00:00:00"/>
    <x v="6"/>
    <n v="16.600000000000001"/>
    <n v="40.6"/>
    <x v="1"/>
    <n v="1"/>
  </r>
  <r>
    <d v="2034-04-14T00:00:00"/>
    <x v="15"/>
    <n v="19.5"/>
    <n v="24.9"/>
    <x v="1"/>
    <n v="1"/>
  </r>
  <r>
    <d v="2034-04-15T00:00:00"/>
    <x v="13"/>
    <n v="24.9"/>
    <n v="6.5"/>
    <x v="1"/>
    <n v="1"/>
  </r>
  <r>
    <d v="2034-04-16T00:00:00"/>
    <x v="19"/>
    <n v="19.3"/>
    <n v="0.8"/>
    <x v="1"/>
    <n v="1"/>
  </r>
  <r>
    <d v="2034-04-17T00:00:00"/>
    <x v="13"/>
    <n v="26.2"/>
    <n v="2.8"/>
    <x v="1"/>
    <n v="1"/>
  </r>
  <r>
    <d v="2034-04-18T00:00:00"/>
    <x v="3"/>
    <n v="28.1"/>
    <n v="0.6"/>
    <x v="1"/>
    <n v="1"/>
  </r>
  <r>
    <d v="2034-04-19T00:00:00"/>
    <x v="10"/>
    <n v="17"/>
    <n v="4.8"/>
    <x v="1"/>
    <n v="1"/>
  </r>
  <r>
    <d v="2034-04-20T00:00:00"/>
    <x v="13"/>
    <n v="28.5"/>
    <n v="7.1"/>
    <x v="1"/>
    <n v="1"/>
  </r>
  <r>
    <d v="2034-04-21T00:00:00"/>
    <x v="1"/>
    <n v="14.2"/>
    <n v="2.1"/>
    <x v="1"/>
    <n v="1"/>
  </r>
  <r>
    <d v="2034-04-22T00:00:00"/>
    <x v="3"/>
    <n v="24.9"/>
    <n v="8.3000000000000007"/>
    <x v="1"/>
    <n v="1"/>
  </r>
  <r>
    <d v="2034-04-23T00:00:00"/>
    <x v="13"/>
    <n v="19.100000000000001"/>
    <n v="3.4"/>
    <x v="1"/>
    <n v="1"/>
  </r>
  <r>
    <d v="2034-04-24T00:00:00"/>
    <x v="6"/>
    <n v="14.9"/>
    <n v="23.1"/>
    <x v="1"/>
    <n v="1"/>
  </r>
  <r>
    <d v="2034-04-25T00:00:00"/>
    <x v="23"/>
    <n v="16.899999999999999"/>
    <n v="6.8"/>
    <x v="1"/>
    <n v="1"/>
  </r>
  <r>
    <d v="2034-04-26T00:00:00"/>
    <x v="8"/>
    <n v="15.9"/>
    <n v="6.8"/>
    <x v="1"/>
    <n v="1"/>
  </r>
  <r>
    <d v="2034-04-27T00:00:00"/>
    <x v="25"/>
    <n v="26.3"/>
    <n v="0.7"/>
    <x v="1"/>
    <n v="1"/>
  </r>
  <r>
    <d v="2034-04-28T00:00:00"/>
    <x v="6"/>
    <n v="12.2"/>
    <n v="0"/>
    <x v="1"/>
    <n v="1"/>
  </r>
  <r>
    <d v="2034-04-29T00:00:00"/>
    <x v="3"/>
    <n v="27.5"/>
    <n v="0"/>
    <x v="1"/>
    <n v="1"/>
  </r>
  <r>
    <d v="2034-04-30T00:00:00"/>
    <x v="17"/>
    <n v="23"/>
    <n v="0"/>
    <x v="1"/>
    <n v="1"/>
  </r>
  <r>
    <d v="2034-05-01T00:00:00"/>
    <x v="15"/>
    <n v="17.899999999999999"/>
    <n v="36.799999999999997"/>
    <x v="1"/>
    <n v="1"/>
  </r>
  <r>
    <d v="2034-05-02T00:00:00"/>
    <x v="15"/>
    <n v="27.3"/>
    <n v="0"/>
    <x v="1"/>
    <n v="1"/>
  </r>
  <r>
    <d v="2034-05-03T00:00:00"/>
    <x v="0"/>
    <n v="19.3"/>
    <n v="0.4"/>
    <x v="1"/>
    <n v="1"/>
  </r>
  <r>
    <d v="2034-05-04T00:00:00"/>
    <x v="10"/>
    <n v="25.5"/>
    <n v="0"/>
    <x v="1"/>
    <n v="1"/>
  </r>
  <r>
    <d v="2034-05-05T00:00:00"/>
    <x v="2"/>
    <n v="13.7"/>
    <n v="11.7"/>
    <x v="1"/>
    <n v="1"/>
  </r>
  <r>
    <d v="2034-05-06T00:00:00"/>
    <x v="15"/>
    <n v="18.399999999999999"/>
    <n v="0"/>
    <x v="1"/>
    <n v="1"/>
  </r>
  <r>
    <d v="2034-05-07T00:00:00"/>
    <x v="14"/>
    <n v="11.1"/>
    <n v="0"/>
    <x v="1"/>
    <n v="1"/>
  </r>
  <r>
    <d v="2034-05-08T00:00:00"/>
    <x v="8"/>
    <n v="28"/>
    <n v="0"/>
    <x v="1"/>
    <n v="1"/>
  </r>
  <r>
    <d v="2034-05-09T00:00:00"/>
    <x v="2"/>
    <n v="16.2"/>
    <n v="13.7"/>
    <x v="1"/>
    <n v="1"/>
  </r>
  <r>
    <d v="2034-05-10T00:00:00"/>
    <x v="15"/>
    <n v="12.1"/>
    <n v="37.200000000000003"/>
    <x v="1"/>
    <n v="1"/>
  </r>
  <r>
    <d v="2034-05-11T00:00:00"/>
    <x v="16"/>
    <n v="21.4"/>
    <n v="3.1"/>
    <x v="1"/>
    <n v="1"/>
  </r>
  <r>
    <d v="2034-05-12T00:00:00"/>
    <x v="6"/>
    <n v="11.2"/>
    <n v="0"/>
    <x v="1"/>
    <n v="1"/>
  </r>
  <r>
    <d v="2034-05-13T00:00:00"/>
    <x v="24"/>
    <n v="18.399999999999999"/>
    <n v="0.2"/>
    <x v="1"/>
    <n v="1"/>
  </r>
  <r>
    <d v="2034-05-14T00:00:00"/>
    <x v="8"/>
    <n v="13.7"/>
    <n v="0"/>
    <x v="1"/>
    <n v="1"/>
  </r>
  <r>
    <d v="2034-05-15T00:00:00"/>
    <x v="15"/>
    <n v="10.4"/>
    <n v="15.6"/>
    <x v="1"/>
    <n v="1"/>
  </r>
  <r>
    <d v="2034-05-16T00:00:00"/>
    <x v="27"/>
    <n v="21.8"/>
    <n v="0"/>
    <x v="1"/>
    <n v="1"/>
  </r>
  <r>
    <d v="2034-05-17T00:00:00"/>
    <x v="3"/>
    <n v="11"/>
    <n v="0.4"/>
    <x v="1"/>
    <n v="1"/>
  </r>
  <r>
    <d v="2034-05-18T00:00:00"/>
    <x v="6"/>
    <n v="19"/>
    <n v="21.9"/>
    <x v="1"/>
    <n v="1"/>
  </r>
  <r>
    <d v="2034-05-19T00:00:00"/>
    <x v="6"/>
    <n v="12.5"/>
    <n v="0"/>
    <x v="1"/>
    <n v="1"/>
  </r>
  <r>
    <d v="2034-05-20T00:00:00"/>
    <x v="11"/>
    <n v="13.6"/>
    <n v="12.6"/>
    <x v="1"/>
    <n v="1"/>
  </r>
  <r>
    <d v="2034-05-21T00:00:00"/>
    <x v="6"/>
    <n v="20.2"/>
    <n v="17.899999999999999"/>
    <x v="1"/>
    <n v="1"/>
  </r>
  <r>
    <d v="2034-05-22T00:00:00"/>
    <x v="6"/>
    <n v="28.7"/>
    <n v="0"/>
    <x v="1"/>
    <n v="1"/>
  </r>
  <r>
    <d v="2034-05-23T00:00:00"/>
    <x v="16"/>
    <n v="13.4"/>
    <n v="4.8"/>
    <x v="1"/>
    <n v="1"/>
  </r>
  <r>
    <d v="2034-05-24T00:00:00"/>
    <x v="11"/>
    <n v="12"/>
    <n v="8.9"/>
    <x v="1"/>
    <n v="1"/>
  </r>
  <r>
    <d v="2034-05-25T00:00:00"/>
    <x v="7"/>
    <n v="28.9"/>
    <n v="13.9"/>
    <x v="1"/>
    <n v="1"/>
  </r>
  <r>
    <d v="2034-05-26T00:00:00"/>
    <x v="18"/>
    <n v="25.2"/>
    <n v="0"/>
    <x v="1"/>
    <n v="1"/>
  </r>
  <r>
    <d v="2034-05-27T00:00:00"/>
    <x v="7"/>
    <n v="18.600000000000001"/>
    <n v="1.8"/>
    <x v="1"/>
    <n v="1"/>
  </r>
  <r>
    <d v="2034-05-28T00:00:00"/>
    <x v="22"/>
    <n v="20"/>
    <n v="2.4"/>
    <x v="1"/>
    <n v="1"/>
  </r>
  <r>
    <d v="2034-05-29T00:00:00"/>
    <x v="5"/>
    <n v="14.3"/>
    <n v="3.9"/>
    <x v="1"/>
    <n v="1"/>
  </r>
  <r>
    <d v="2034-05-30T00:00:00"/>
    <x v="6"/>
    <n v="28.8"/>
    <n v="25.1"/>
    <x v="1"/>
    <n v="1"/>
  </r>
  <r>
    <d v="2034-05-31T00:00:00"/>
    <x v="15"/>
    <n v="26.8"/>
    <n v="10.8"/>
    <x v="1"/>
    <n v="1"/>
  </r>
  <r>
    <d v="2034-06-01T00:00:00"/>
    <x v="15"/>
    <n v="20.399999999999999"/>
    <n v="0"/>
    <x v="1"/>
    <n v="1"/>
  </r>
  <r>
    <d v="2034-06-02T00:00:00"/>
    <x v="18"/>
    <n v="14.1"/>
    <n v="4.5"/>
    <x v="1"/>
    <n v="1"/>
  </r>
  <r>
    <d v="2034-06-03T00:00:00"/>
    <x v="10"/>
    <n v="28.1"/>
    <n v="6.3"/>
    <x v="1"/>
    <n v="1"/>
  </r>
  <r>
    <d v="2034-06-04T00:00:00"/>
    <x v="9"/>
    <n v="15.7"/>
    <n v="11.5"/>
    <x v="1"/>
    <n v="1"/>
  </r>
  <r>
    <d v="2034-06-05T00:00:00"/>
    <x v="25"/>
    <n v="27.7"/>
    <n v="0.6"/>
    <x v="1"/>
    <n v="1"/>
  </r>
  <r>
    <d v="2034-06-06T00:00:00"/>
    <x v="3"/>
    <n v="22.9"/>
    <n v="22.6"/>
    <x v="1"/>
    <n v="1"/>
  </r>
  <r>
    <d v="2034-06-07T00:00:00"/>
    <x v="9"/>
    <n v="10.3"/>
    <n v="0"/>
    <x v="1"/>
    <n v="1"/>
  </r>
  <r>
    <d v="2034-06-08T00:00:00"/>
    <x v="19"/>
    <n v="28.4"/>
    <n v="4"/>
    <x v="1"/>
    <n v="1"/>
  </r>
  <r>
    <d v="2034-06-09T00:00:00"/>
    <x v="14"/>
    <n v="18.7"/>
    <n v="15"/>
    <x v="1"/>
    <n v="1"/>
  </r>
  <r>
    <d v="2034-06-10T00:00:00"/>
    <x v="15"/>
    <n v="13.7"/>
    <n v="9.4"/>
    <x v="1"/>
    <n v="1"/>
  </r>
  <r>
    <d v="2034-06-11T00:00:00"/>
    <x v="10"/>
    <n v="16.3"/>
    <n v="3.6"/>
    <x v="1"/>
    <n v="1"/>
  </r>
  <r>
    <d v="2034-06-12T00:00:00"/>
    <x v="23"/>
    <n v="14"/>
    <n v="0"/>
    <x v="1"/>
    <n v="1"/>
  </r>
  <r>
    <d v="2034-06-13T00:00:00"/>
    <x v="11"/>
    <n v="26"/>
    <n v="5.5"/>
    <x v="1"/>
    <n v="1"/>
  </r>
  <r>
    <d v="2034-06-14T00:00:00"/>
    <x v="15"/>
    <n v="27"/>
    <n v="38.6"/>
    <x v="1"/>
    <n v="1"/>
  </r>
  <r>
    <d v="2034-06-15T00:00:00"/>
    <x v="6"/>
    <n v="26.6"/>
    <n v="49.7"/>
    <x v="1"/>
    <n v="1"/>
  </r>
  <r>
    <d v="2034-06-16T00:00:00"/>
    <x v="15"/>
    <n v="20.9"/>
    <n v="30"/>
    <x v="1"/>
    <n v="1"/>
  </r>
  <r>
    <d v="2034-06-17T00:00:00"/>
    <x v="18"/>
    <n v="28.5"/>
    <n v="5.3"/>
    <x v="1"/>
    <n v="1"/>
  </r>
  <r>
    <d v="2034-06-18T00:00:00"/>
    <x v="1"/>
    <n v="10.4"/>
    <n v="0"/>
    <x v="1"/>
    <n v="1"/>
  </r>
  <r>
    <d v="2034-06-19T00:00:00"/>
    <x v="14"/>
    <n v="25.9"/>
    <n v="9.1999999999999993"/>
    <x v="1"/>
    <n v="1"/>
  </r>
  <r>
    <d v="2034-06-20T00:00:00"/>
    <x v="7"/>
    <n v="24.6"/>
    <n v="11"/>
    <x v="1"/>
    <n v="1"/>
  </r>
  <r>
    <d v="2034-06-21T00:00:00"/>
    <x v="12"/>
    <n v="22"/>
    <n v="0"/>
    <x v="1"/>
    <n v="1"/>
  </r>
  <r>
    <d v="2034-06-22T00:00:00"/>
    <x v="4"/>
    <n v="16.8"/>
    <n v="2.4"/>
    <x v="1"/>
    <n v="1"/>
  </r>
  <r>
    <d v="2034-06-23T00:00:00"/>
    <x v="6"/>
    <n v="21.7"/>
    <n v="44.1"/>
    <x v="1"/>
    <n v="1"/>
  </r>
  <r>
    <d v="2034-06-24T00:00:00"/>
    <x v="8"/>
    <n v="28.9"/>
    <n v="0"/>
    <x v="1"/>
    <n v="1"/>
  </r>
  <r>
    <d v="2034-06-25T00:00:00"/>
    <x v="9"/>
    <n v="26.6"/>
    <n v="0.4"/>
    <x v="1"/>
    <n v="1"/>
  </r>
  <r>
    <d v="2034-06-26T00:00:00"/>
    <x v="11"/>
    <n v="28"/>
    <n v="16.7"/>
    <x v="1"/>
    <n v="1"/>
  </r>
  <r>
    <d v="2034-06-27T00:00:00"/>
    <x v="13"/>
    <n v="27.5"/>
    <n v="0"/>
    <x v="1"/>
    <n v="1"/>
  </r>
  <r>
    <d v="2034-06-28T00:00:00"/>
    <x v="18"/>
    <n v="18.2"/>
    <n v="0"/>
    <x v="1"/>
    <n v="1"/>
  </r>
  <r>
    <d v="2034-06-29T00:00:00"/>
    <x v="14"/>
    <n v="25.1"/>
    <n v="0"/>
    <x v="1"/>
    <n v="1"/>
  </r>
  <r>
    <d v="2034-06-30T00:00:00"/>
    <x v="0"/>
    <n v="10.1"/>
    <n v="0.2"/>
    <x v="1"/>
    <n v="1"/>
  </r>
  <r>
    <d v="2034-07-01T00:00:00"/>
    <x v="11"/>
    <n v="13.1"/>
    <n v="7.9"/>
    <x v="1"/>
    <n v="1"/>
  </r>
  <r>
    <d v="2034-07-02T00:00:00"/>
    <x v="5"/>
    <n v="22.9"/>
    <n v="0"/>
    <x v="1"/>
    <n v="1"/>
  </r>
  <r>
    <d v="2034-07-03T00:00:00"/>
    <x v="5"/>
    <n v="26.3"/>
    <n v="4"/>
    <x v="1"/>
    <n v="1"/>
  </r>
  <r>
    <d v="2034-07-04T00:00:00"/>
    <x v="15"/>
    <n v="11.3"/>
    <n v="19.8"/>
    <x v="1"/>
    <n v="1"/>
  </r>
  <r>
    <d v="2034-07-05T00:00:00"/>
    <x v="6"/>
    <n v="30"/>
    <n v="0"/>
    <x v="1"/>
    <n v="1"/>
  </r>
  <r>
    <d v="2034-07-06T00:00:00"/>
    <x v="18"/>
    <n v="20.399999999999999"/>
    <n v="0"/>
    <x v="1"/>
    <n v="1"/>
  </r>
  <r>
    <d v="2034-07-07T00:00:00"/>
    <x v="3"/>
    <n v="24.5"/>
    <n v="8.6999999999999993"/>
    <x v="1"/>
    <n v="1"/>
  </r>
  <r>
    <d v="2034-07-08T00:00:00"/>
    <x v="7"/>
    <n v="17"/>
    <n v="2.7"/>
    <x v="1"/>
    <n v="1"/>
  </r>
  <r>
    <d v="2034-07-09T00:00:00"/>
    <x v="15"/>
    <n v="21"/>
    <n v="5.6"/>
    <x v="1"/>
    <n v="1"/>
  </r>
  <r>
    <d v="2034-07-10T00:00:00"/>
    <x v="15"/>
    <n v="20.7"/>
    <n v="0"/>
    <x v="1"/>
    <n v="1"/>
  </r>
  <r>
    <d v="2034-07-11T00:00:00"/>
    <x v="8"/>
    <n v="26.7"/>
    <n v="9.8000000000000007"/>
    <x v="1"/>
    <n v="1"/>
  </r>
  <r>
    <d v="2034-07-12T00:00:00"/>
    <x v="26"/>
    <n v="10.199999999999999"/>
    <n v="0.1"/>
    <x v="1"/>
    <n v="1"/>
  </r>
  <r>
    <d v="2034-07-13T00:00:00"/>
    <x v="6"/>
    <n v="15.7"/>
    <n v="5.8"/>
    <x v="1"/>
    <n v="1"/>
  </r>
  <r>
    <d v="2034-07-14T00:00:00"/>
    <x v="29"/>
    <n v="15.9"/>
    <n v="2.2000000000000002"/>
    <x v="1"/>
    <n v="1"/>
  </r>
  <r>
    <d v="2034-07-15T00:00:00"/>
    <x v="15"/>
    <n v="21"/>
    <n v="13.1"/>
    <x v="1"/>
    <n v="1"/>
  </r>
  <r>
    <d v="2034-07-16T00:00:00"/>
    <x v="5"/>
    <n v="10.9"/>
    <n v="8.1"/>
    <x v="1"/>
    <n v="1"/>
  </r>
  <r>
    <d v="2034-07-17T00:00:00"/>
    <x v="18"/>
    <n v="20.9"/>
    <n v="5.9"/>
    <x v="1"/>
    <n v="1"/>
  </r>
  <r>
    <d v="2034-07-18T00:00:00"/>
    <x v="15"/>
    <n v="21.8"/>
    <n v="15.9"/>
    <x v="1"/>
    <n v="1"/>
  </r>
  <r>
    <d v="2034-07-19T00:00:00"/>
    <x v="11"/>
    <n v="11.9"/>
    <n v="18.100000000000001"/>
    <x v="1"/>
    <n v="1"/>
  </r>
  <r>
    <d v="2034-07-20T00:00:00"/>
    <x v="9"/>
    <n v="12.9"/>
    <n v="0"/>
    <x v="1"/>
    <n v="1"/>
  </r>
  <r>
    <d v="2034-07-21T00:00:00"/>
    <x v="15"/>
    <n v="14.9"/>
    <n v="4.8"/>
    <x v="1"/>
    <n v="1"/>
  </r>
  <r>
    <d v="2034-07-22T00:00:00"/>
    <x v="6"/>
    <n v="29.5"/>
    <n v="0"/>
    <x v="1"/>
    <n v="1"/>
  </r>
  <r>
    <d v="2034-07-23T00:00:00"/>
    <x v="15"/>
    <n v="18.100000000000001"/>
    <n v="0"/>
    <x v="1"/>
    <n v="1"/>
  </r>
  <r>
    <d v="2034-07-24T00:00:00"/>
    <x v="2"/>
    <n v="10.8"/>
    <n v="11.8"/>
    <x v="1"/>
    <n v="1"/>
  </r>
  <r>
    <d v="2034-07-25T00:00:00"/>
    <x v="5"/>
    <n v="13.5"/>
    <n v="5.4"/>
    <x v="1"/>
    <n v="1"/>
  </r>
  <r>
    <d v="2034-07-26T00:00:00"/>
    <x v="18"/>
    <n v="15.9"/>
    <n v="0"/>
    <x v="1"/>
    <n v="1"/>
  </r>
  <r>
    <d v="2034-07-27T00:00:00"/>
    <x v="22"/>
    <n v="23.1"/>
    <n v="0"/>
    <x v="1"/>
    <n v="1"/>
  </r>
  <r>
    <d v="2034-07-28T00:00:00"/>
    <x v="12"/>
    <n v="26.7"/>
    <n v="0"/>
    <x v="1"/>
    <n v="1"/>
  </r>
  <r>
    <d v="2034-07-29T00:00:00"/>
    <x v="6"/>
    <n v="26"/>
    <n v="29.1"/>
    <x v="1"/>
    <n v="1"/>
  </r>
  <r>
    <d v="2034-07-30T00:00:00"/>
    <x v="14"/>
    <n v="23.6"/>
    <n v="9.1"/>
    <x v="1"/>
    <n v="1"/>
  </r>
  <r>
    <d v="2034-07-31T00:00:00"/>
    <x v="22"/>
    <n v="29.8"/>
    <n v="5.7"/>
    <x v="1"/>
    <n v="1"/>
  </r>
  <r>
    <d v="2034-08-01T00:00:00"/>
    <x v="15"/>
    <n v="18.600000000000001"/>
    <n v="0"/>
    <x v="1"/>
    <n v="1"/>
  </r>
  <r>
    <d v="2034-08-02T00:00:00"/>
    <x v="11"/>
    <n v="17.600000000000001"/>
    <n v="2.4"/>
    <x v="1"/>
    <n v="1"/>
  </r>
  <r>
    <d v="2034-08-03T00:00:00"/>
    <x v="11"/>
    <n v="12.6"/>
    <n v="9.1999999999999993"/>
    <x v="1"/>
    <n v="1"/>
  </r>
  <r>
    <d v="2034-08-04T00:00:00"/>
    <x v="13"/>
    <n v="25.4"/>
    <n v="5.4"/>
    <x v="1"/>
    <n v="1"/>
  </r>
  <r>
    <d v="2034-08-05T00:00:00"/>
    <x v="16"/>
    <n v="12.8"/>
    <n v="3.6"/>
    <x v="1"/>
    <n v="1"/>
  </r>
  <r>
    <d v="2034-08-06T00:00:00"/>
    <x v="7"/>
    <n v="18.7"/>
    <n v="0"/>
    <x v="1"/>
    <n v="1"/>
  </r>
  <r>
    <d v="2034-08-07T00:00:00"/>
    <x v="29"/>
    <n v="22.3"/>
    <n v="0"/>
    <x v="1"/>
    <n v="1"/>
  </r>
  <r>
    <d v="2034-08-08T00:00:00"/>
    <x v="14"/>
    <n v="26.4"/>
    <n v="0.5"/>
    <x v="1"/>
    <n v="1"/>
  </r>
  <r>
    <d v="2034-08-09T00:00:00"/>
    <x v="3"/>
    <n v="28.5"/>
    <n v="3.2"/>
    <x v="1"/>
    <n v="1"/>
  </r>
  <r>
    <d v="2034-08-10T00:00:00"/>
    <x v="13"/>
    <n v="16.8"/>
    <n v="5.5"/>
    <x v="1"/>
    <n v="1"/>
  </r>
  <r>
    <d v="2034-08-11T00:00:00"/>
    <x v="23"/>
    <n v="24.7"/>
    <n v="0.8"/>
    <x v="1"/>
    <n v="1"/>
  </r>
  <r>
    <d v="2034-08-12T00:00:00"/>
    <x v="5"/>
    <n v="29.6"/>
    <n v="0"/>
    <x v="1"/>
    <n v="1"/>
  </r>
  <r>
    <d v="2034-08-13T00:00:00"/>
    <x v="6"/>
    <n v="23.3"/>
    <n v="29.4"/>
    <x v="1"/>
    <n v="1"/>
  </r>
  <r>
    <d v="2034-08-14T00:00:00"/>
    <x v="5"/>
    <n v="28.8"/>
    <n v="11.5"/>
    <x v="1"/>
    <n v="1"/>
  </r>
  <r>
    <d v="2034-08-15T00:00:00"/>
    <x v="5"/>
    <n v="26.5"/>
    <n v="0"/>
    <x v="1"/>
    <n v="1"/>
  </r>
  <r>
    <d v="2034-08-16T00:00:00"/>
    <x v="19"/>
    <n v="17.100000000000001"/>
    <n v="3.6"/>
    <x v="1"/>
    <n v="1"/>
  </r>
  <r>
    <d v="2034-08-17T00:00:00"/>
    <x v="5"/>
    <n v="17.8"/>
    <n v="7"/>
    <x v="1"/>
    <n v="1"/>
  </r>
  <r>
    <d v="2034-08-18T00:00:00"/>
    <x v="23"/>
    <n v="24.7"/>
    <n v="1.5"/>
    <x v="1"/>
    <n v="1"/>
  </r>
  <r>
    <d v="2034-08-19T00:00:00"/>
    <x v="15"/>
    <n v="25.1"/>
    <n v="0"/>
    <x v="1"/>
    <n v="1"/>
  </r>
  <r>
    <d v="2034-08-20T00:00:00"/>
    <x v="28"/>
    <n v="27"/>
    <n v="0"/>
    <x v="1"/>
    <n v="1"/>
  </r>
  <r>
    <d v="2034-08-21T00:00:00"/>
    <x v="14"/>
    <n v="18.2"/>
    <n v="13.9"/>
    <x v="1"/>
    <n v="1"/>
  </r>
  <r>
    <d v="2034-08-22T00:00:00"/>
    <x v="11"/>
    <n v="10.8"/>
    <n v="7.9"/>
    <x v="1"/>
    <n v="1"/>
  </r>
  <r>
    <d v="2034-08-23T00:00:00"/>
    <x v="3"/>
    <n v="27.9"/>
    <n v="9.9"/>
    <x v="1"/>
    <n v="1"/>
  </r>
  <r>
    <d v="2034-08-24T00:00:00"/>
    <x v="20"/>
    <n v="14.1"/>
    <n v="0.7"/>
    <x v="1"/>
    <n v="1"/>
  </r>
  <r>
    <d v="2034-08-25T00:00:00"/>
    <x v="14"/>
    <n v="17.5"/>
    <n v="3.2"/>
    <x v="1"/>
    <n v="1"/>
  </r>
  <r>
    <d v="2034-08-26T00:00:00"/>
    <x v="6"/>
    <n v="14.3"/>
    <n v="0"/>
    <x v="1"/>
    <n v="1"/>
  </r>
  <r>
    <d v="2034-08-27T00:00:00"/>
    <x v="16"/>
    <n v="15.4"/>
    <n v="0"/>
    <x v="1"/>
    <n v="1"/>
  </r>
  <r>
    <d v="2034-08-28T00:00:00"/>
    <x v="15"/>
    <n v="17.5"/>
    <n v="0"/>
    <x v="1"/>
    <n v="1"/>
  </r>
  <r>
    <d v="2034-08-29T00:00:00"/>
    <x v="9"/>
    <n v="11.6"/>
    <n v="4.0999999999999996"/>
    <x v="1"/>
    <n v="1"/>
  </r>
  <r>
    <d v="2034-08-30T00:00:00"/>
    <x v="5"/>
    <n v="27.9"/>
    <n v="10.3"/>
    <x v="1"/>
    <n v="1"/>
  </r>
  <r>
    <d v="2034-08-31T00:00:00"/>
    <x v="15"/>
    <n v="11.8"/>
    <n v="20.2"/>
    <x v="1"/>
    <n v="1"/>
  </r>
  <r>
    <d v="2034-09-01T00:00:00"/>
    <x v="3"/>
    <n v="12"/>
    <n v="8.5"/>
    <x v="1"/>
    <n v="1"/>
  </r>
  <r>
    <d v="2034-09-02T00:00:00"/>
    <x v="6"/>
    <n v="11.8"/>
    <n v="7.8"/>
    <x v="1"/>
    <n v="1"/>
  </r>
  <r>
    <d v="2034-09-03T00:00:00"/>
    <x v="13"/>
    <n v="22.2"/>
    <n v="0"/>
    <x v="1"/>
    <n v="1"/>
  </r>
  <r>
    <d v="2034-09-04T00:00:00"/>
    <x v="3"/>
    <n v="13.3"/>
    <n v="3.8"/>
    <x v="1"/>
    <n v="1"/>
  </r>
  <r>
    <d v="2034-09-05T00:00:00"/>
    <x v="9"/>
    <n v="24.6"/>
    <n v="2.1"/>
    <x v="1"/>
    <n v="1"/>
  </r>
  <r>
    <d v="2034-09-06T00:00:00"/>
    <x v="15"/>
    <n v="15.7"/>
    <n v="0"/>
    <x v="1"/>
    <n v="1"/>
  </r>
  <r>
    <d v="2034-09-07T00:00:00"/>
    <x v="14"/>
    <n v="26.7"/>
    <n v="16.2"/>
    <x v="1"/>
    <n v="1"/>
  </r>
  <r>
    <d v="2034-09-08T00:00:00"/>
    <x v="11"/>
    <n v="28.1"/>
    <n v="1.1000000000000001"/>
    <x v="1"/>
    <n v="1"/>
  </r>
  <r>
    <d v="2034-09-09T00:00:00"/>
    <x v="6"/>
    <n v="29.1"/>
    <n v="3"/>
    <x v="1"/>
    <n v="1"/>
  </r>
  <r>
    <d v="2034-09-10T00:00:00"/>
    <x v="3"/>
    <n v="26.2"/>
    <n v="0"/>
    <x v="1"/>
    <n v="1"/>
  </r>
  <r>
    <d v="2034-09-11T00:00:00"/>
    <x v="27"/>
    <n v="23.3"/>
    <n v="0"/>
    <x v="1"/>
    <n v="1"/>
  </r>
  <r>
    <d v="2034-09-12T00:00:00"/>
    <x v="15"/>
    <n v="21.7"/>
    <n v="10.4"/>
    <x v="1"/>
    <n v="1"/>
  </r>
  <r>
    <d v="2034-09-13T00:00:00"/>
    <x v="14"/>
    <n v="18.8"/>
    <n v="15.6"/>
    <x v="1"/>
    <n v="1"/>
  </r>
  <r>
    <d v="2034-09-14T00:00:00"/>
    <x v="11"/>
    <n v="25.4"/>
    <n v="7.4"/>
    <x v="1"/>
    <n v="1"/>
  </r>
  <r>
    <d v="2034-09-15T00:00:00"/>
    <x v="7"/>
    <n v="21.1"/>
    <n v="1"/>
    <x v="1"/>
    <n v="1"/>
  </r>
  <r>
    <d v="2034-09-16T00:00:00"/>
    <x v="7"/>
    <n v="25.1"/>
    <n v="20"/>
    <x v="1"/>
    <n v="1"/>
  </r>
  <r>
    <d v="2034-09-17T00:00:00"/>
    <x v="3"/>
    <n v="17.600000000000001"/>
    <n v="0"/>
    <x v="1"/>
    <n v="1"/>
  </r>
  <r>
    <d v="2034-09-18T00:00:00"/>
    <x v="11"/>
    <n v="21.2"/>
    <n v="3.4"/>
    <x v="1"/>
    <n v="1"/>
  </r>
  <r>
    <d v="2034-09-19T00:00:00"/>
    <x v="3"/>
    <n v="26.4"/>
    <n v="14.7"/>
    <x v="1"/>
    <n v="1"/>
  </r>
  <r>
    <d v="2034-09-20T00:00:00"/>
    <x v="1"/>
    <n v="13.5"/>
    <n v="0"/>
    <x v="1"/>
    <n v="1"/>
  </r>
  <r>
    <d v="2034-09-21T00:00:00"/>
    <x v="18"/>
    <n v="25.1"/>
    <n v="0"/>
    <x v="1"/>
    <n v="1"/>
  </r>
  <r>
    <d v="2034-09-22T00:00:00"/>
    <x v="7"/>
    <n v="10.4"/>
    <n v="11"/>
    <x v="1"/>
    <n v="1"/>
  </r>
  <r>
    <d v="2034-09-23T00:00:00"/>
    <x v="11"/>
    <n v="24.3"/>
    <n v="4.9000000000000004"/>
    <x v="1"/>
    <n v="1"/>
  </r>
  <r>
    <d v="2034-09-24T00:00:00"/>
    <x v="8"/>
    <n v="18.7"/>
    <n v="6.2"/>
    <x v="1"/>
    <n v="1"/>
  </r>
  <r>
    <d v="2034-09-25T00:00:00"/>
    <x v="29"/>
    <n v="14.1"/>
    <n v="0"/>
    <x v="1"/>
    <n v="1"/>
  </r>
  <r>
    <d v="2034-09-26T00:00:00"/>
    <x v="19"/>
    <n v="24.2"/>
    <n v="0"/>
    <x v="1"/>
    <n v="1"/>
  </r>
  <r>
    <d v="2034-09-27T00:00:00"/>
    <x v="18"/>
    <n v="26.4"/>
    <n v="0"/>
    <x v="1"/>
    <n v="1"/>
  </r>
  <r>
    <d v="2034-09-28T00:00:00"/>
    <x v="6"/>
    <n v="24.5"/>
    <n v="4"/>
    <x v="1"/>
    <n v="1"/>
  </r>
  <r>
    <d v="2034-09-29T00:00:00"/>
    <x v="10"/>
    <n v="25.5"/>
    <n v="2.9"/>
    <x v="1"/>
    <n v="1"/>
  </r>
  <r>
    <d v="2034-09-30T00:00:00"/>
    <x v="7"/>
    <n v="11.8"/>
    <n v="13.5"/>
    <x v="1"/>
    <n v="1"/>
  </r>
  <r>
    <d v="2034-10-01T00:00:00"/>
    <x v="18"/>
    <n v="14.3"/>
    <n v="5.4"/>
    <x v="1"/>
    <n v="1"/>
  </r>
  <r>
    <d v="2034-10-02T00:00:00"/>
    <x v="5"/>
    <n v="12.4"/>
    <n v="1.2"/>
    <x v="1"/>
    <n v="1"/>
  </r>
  <r>
    <d v="2034-10-03T00:00:00"/>
    <x v="15"/>
    <n v="29.3"/>
    <n v="19.8"/>
    <x v="1"/>
    <n v="1"/>
  </r>
  <r>
    <d v="2034-10-04T00:00:00"/>
    <x v="3"/>
    <n v="29.4"/>
    <n v="0"/>
    <x v="1"/>
    <n v="1"/>
  </r>
  <r>
    <d v="2034-10-05T00:00:00"/>
    <x v="9"/>
    <n v="29.8"/>
    <n v="16"/>
    <x v="1"/>
    <n v="1"/>
  </r>
  <r>
    <d v="2034-10-06T00:00:00"/>
    <x v="15"/>
    <n v="29.9"/>
    <n v="13.3"/>
    <x v="1"/>
    <n v="1"/>
  </r>
  <r>
    <d v="2034-10-07T00:00:00"/>
    <x v="5"/>
    <n v="11.6"/>
    <n v="9.6999999999999993"/>
    <x v="1"/>
    <n v="1"/>
  </r>
  <r>
    <d v="2034-10-08T00:00:00"/>
    <x v="7"/>
    <n v="10.199999999999999"/>
    <n v="0"/>
    <x v="1"/>
    <n v="1"/>
  </r>
  <r>
    <d v="2034-10-09T00:00:00"/>
    <x v="5"/>
    <n v="10.7"/>
    <n v="11.9"/>
    <x v="1"/>
    <n v="1"/>
  </r>
  <r>
    <d v="2034-10-10T00:00:00"/>
    <x v="26"/>
    <n v="11.7"/>
    <n v="0.1"/>
    <x v="1"/>
    <n v="1"/>
  </r>
  <r>
    <d v="2034-10-11T00:00:00"/>
    <x v="14"/>
    <n v="29.4"/>
    <n v="9.6"/>
    <x v="1"/>
    <n v="1"/>
  </r>
  <r>
    <d v="2034-10-12T00:00:00"/>
    <x v="16"/>
    <n v="29.1"/>
    <n v="2.6"/>
    <x v="1"/>
    <n v="1"/>
  </r>
  <r>
    <d v="2034-10-13T00:00:00"/>
    <x v="6"/>
    <n v="20.5"/>
    <n v="30.1"/>
    <x v="1"/>
    <n v="1"/>
  </r>
  <r>
    <d v="2034-10-14T00:00:00"/>
    <x v="3"/>
    <n v="26.2"/>
    <n v="19"/>
    <x v="1"/>
    <n v="1"/>
  </r>
  <r>
    <d v="2034-10-15T00:00:00"/>
    <x v="11"/>
    <n v="22.6"/>
    <n v="0"/>
    <x v="1"/>
    <n v="1"/>
  </r>
  <r>
    <d v="2034-10-16T00:00:00"/>
    <x v="10"/>
    <n v="17.7"/>
    <n v="0"/>
    <x v="1"/>
    <n v="1"/>
  </r>
  <r>
    <d v="2034-10-17T00:00:00"/>
    <x v="15"/>
    <n v="21.2"/>
    <n v="0"/>
    <x v="1"/>
    <n v="1"/>
  </r>
  <r>
    <d v="2034-10-18T00:00:00"/>
    <x v="29"/>
    <n v="10.3"/>
    <n v="0.2"/>
    <x v="1"/>
    <n v="1"/>
  </r>
  <r>
    <d v="2034-10-19T00:00:00"/>
    <x v="21"/>
    <n v="10.1"/>
    <n v="2.1"/>
    <x v="1"/>
    <n v="1"/>
  </r>
  <r>
    <d v="2034-10-20T00:00:00"/>
    <x v="4"/>
    <n v="23.4"/>
    <n v="3.9"/>
    <x v="1"/>
    <n v="1"/>
  </r>
  <r>
    <d v="2034-10-21T00:00:00"/>
    <x v="27"/>
    <n v="11.7"/>
    <n v="0"/>
    <x v="1"/>
    <n v="1"/>
  </r>
  <r>
    <d v="2034-10-22T00:00:00"/>
    <x v="1"/>
    <n v="26"/>
    <n v="2.1"/>
    <x v="1"/>
    <n v="1"/>
  </r>
  <r>
    <d v="2034-10-23T00:00:00"/>
    <x v="26"/>
    <n v="29.5"/>
    <n v="0.4"/>
    <x v="1"/>
    <n v="1"/>
  </r>
  <r>
    <d v="2034-10-24T00:00:00"/>
    <x v="10"/>
    <n v="13"/>
    <n v="4.4000000000000004"/>
    <x v="1"/>
    <n v="1"/>
  </r>
  <r>
    <d v="2034-10-25T00:00:00"/>
    <x v="5"/>
    <n v="17.100000000000001"/>
    <n v="3.8"/>
    <x v="1"/>
    <n v="1"/>
  </r>
  <r>
    <d v="2034-10-26T00:00:00"/>
    <x v="23"/>
    <n v="12.6"/>
    <n v="0.2"/>
    <x v="1"/>
    <n v="1"/>
  </r>
  <r>
    <d v="2034-10-27T00:00:00"/>
    <x v="6"/>
    <n v="23.6"/>
    <n v="24.1"/>
    <x v="1"/>
    <n v="1"/>
  </r>
  <r>
    <d v="2034-10-28T00:00:00"/>
    <x v="7"/>
    <n v="14.9"/>
    <n v="14.2"/>
    <x v="1"/>
    <n v="1"/>
  </r>
  <r>
    <d v="2034-10-29T00:00:00"/>
    <x v="8"/>
    <n v="17"/>
    <n v="0"/>
    <x v="1"/>
    <n v="1"/>
  </r>
  <r>
    <d v="2034-10-30T00:00:00"/>
    <x v="7"/>
    <n v="12.8"/>
    <n v="0"/>
    <x v="1"/>
    <n v="1"/>
  </r>
  <r>
    <d v="2034-10-31T00:00:00"/>
    <x v="9"/>
    <n v="17.5"/>
    <n v="0"/>
    <x v="1"/>
    <n v="1"/>
  </r>
  <r>
    <d v="2034-11-01T00:00:00"/>
    <x v="6"/>
    <n v="13.9"/>
    <n v="15.3"/>
    <x v="1"/>
    <n v="1"/>
  </r>
  <r>
    <d v="2034-11-02T00:00:00"/>
    <x v="15"/>
    <n v="25.9"/>
    <n v="14.5"/>
    <x v="1"/>
    <n v="1"/>
  </r>
  <r>
    <d v="2034-11-03T00:00:00"/>
    <x v="13"/>
    <n v="12.1"/>
    <n v="0"/>
    <x v="1"/>
    <n v="1"/>
  </r>
  <r>
    <d v="2034-11-04T00:00:00"/>
    <x v="3"/>
    <n v="25.8"/>
    <n v="12.3"/>
    <x v="1"/>
    <n v="1"/>
  </r>
  <r>
    <d v="2034-11-05T00:00:00"/>
    <x v="5"/>
    <n v="29.1"/>
    <n v="0"/>
    <x v="1"/>
    <n v="1"/>
  </r>
  <r>
    <d v="2034-11-06T00:00:00"/>
    <x v="6"/>
    <n v="13.2"/>
    <n v="0"/>
    <x v="1"/>
    <n v="1"/>
  </r>
  <r>
    <d v="2034-11-07T00:00:00"/>
    <x v="3"/>
    <n v="29.4"/>
    <n v="12.8"/>
    <x v="1"/>
    <n v="1"/>
  </r>
  <r>
    <d v="2034-11-08T00:00:00"/>
    <x v="11"/>
    <n v="21"/>
    <n v="0"/>
    <x v="1"/>
    <n v="1"/>
  </r>
  <r>
    <d v="2034-11-09T00:00:00"/>
    <x v="2"/>
    <n v="22.7"/>
    <n v="12.4"/>
    <x v="1"/>
    <n v="1"/>
  </r>
  <r>
    <d v="2034-11-10T00:00:00"/>
    <x v="6"/>
    <n v="25.1"/>
    <n v="43.4"/>
    <x v="1"/>
    <n v="1"/>
  </r>
  <r>
    <d v="2034-11-11T00:00:00"/>
    <x v="6"/>
    <n v="26.8"/>
    <n v="26.9"/>
    <x v="1"/>
    <n v="1"/>
  </r>
  <r>
    <d v="2034-11-12T00:00:00"/>
    <x v="25"/>
    <n v="15.9"/>
    <n v="0.5"/>
    <x v="1"/>
    <n v="1"/>
  </r>
  <r>
    <d v="2034-11-13T00:00:00"/>
    <x v="14"/>
    <n v="27.6"/>
    <n v="0"/>
    <x v="1"/>
    <n v="1"/>
  </r>
  <r>
    <d v="2034-11-14T00:00:00"/>
    <x v="21"/>
    <n v="20.8"/>
    <n v="0"/>
    <x v="1"/>
    <n v="1"/>
  </r>
  <r>
    <d v="2034-11-15T00:00:00"/>
    <x v="2"/>
    <n v="23.9"/>
    <n v="9.9"/>
    <x v="1"/>
    <n v="1"/>
  </r>
  <r>
    <d v="2034-11-16T00:00:00"/>
    <x v="23"/>
    <n v="24.8"/>
    <n v="4.7"/>
    <x v="1"/>
    <n v="1"/>
  </r>
  <r>
    <d v="2034-11-17T00:00:00"/>
    <x v="15"/>
    <n v="16.3"/>
    <n v="0"/>
    <x v="1"/>
    <n v="1"/>
  </r>
  <r>
    <d v="2034-11-18T00:00:00"/>
    <x v="14"/>
    <n v="20.100000000000001"/>
    <n v="0"/>
    <x v="1"/>
    <n v="1"/>
  </r>
  <r>
    <d v="2034-11-19T00:00:00"/>
    <x v="18"/>
    <n v="25.9"/>
    <n v="8.9"/>
    <x v="1"/>
    <n v="1"/>
  </r>
  <r>
    <d v="2034-11-20T00:00:00"/>
    <x v="15"/>
    <n v="27.3"/>
    <n v="15.8"/>
    <x v="1"/>
    <n v="1"/>
  </r>
  <r>
    <d v="2034-11-21T00:00:00"/>
    <x v="2"/>
    <n v="19.100000000000001"/>
    <n v="6.3"/>
    <x v="1"/>
    <n v="1"/>
  </r>
  <r>
    <d v="2034-11-22T00:00:00"/>
    <x v="6"/>
    <n v="16.899999999999999"/>
    <n v="0"/>
    <x v="1"/>
    <n v="1"/>
  </r>
  <r>
    <d v="2034-11-23T00:00:00"/>
    <x v="3"/>
    <n v="13.4"/>
    <n v="20.100000000000001"/>
    <x v="1"/>
    <n v="1"/>
  </r>
  <r>
    <d v="2034-11-24T00:00:00"/>
    <x v="20"/>
    <n v="24.8"/>
    <n v="0.4"/>
    <x v="1"/>
    <n v="1"/>
  </r>
  <r>
    <d v="2034-11-25T00:00:00"/>
    <x v="13"/>
    <n v="28.4"/>
    <n v="1.6"/>
    <x v="1"/>
    <n v="1"/>
  </r>
  <r>
    <d v="2034-11-26T00:00:00"/>
    <x v="19"/>
    <n v="25.3"/>
    <n v="1.8"/>
    <x v="1"/>
    <n v="1"/>
  </r>
  <r>
    <d v="2034-11-27T00:00:00"/>
    <x v="14"/>
    <n v="25.9"/>
    <n v="1.6"/>
    <x v="1"/>
    <n v="1"/>
  </r>
  <r>
    <d v="2034-11-28T00:00:00"/>
    <x v="2"/>
    <n v="12.2"/>
    <n v="0.8"/>
    <x v="1"/>
    <n v="1"/>
  </r>
  <r>
    <d v="2034-11-29T00:00:00"/>
    <x v="29"/>
    <n v="22.8"/>
    <n v="2.2999999999999998"/>
    <x v="1"/>
    <n v="1"/>
  </r>
  <r>
    <d v="2034-11-30T00:00:00"/>
    <x v="15"/>
    <n v="12.7"/>
    <n v="0"/>
    <x v="1"/>
    <n v="1"/>
  </r>
  <r>
    <d v="2034-12-01T00:00:00"/>
    <x v="22"/>
    <n v="13"/>
    <n v="5.0999999999999996"/>
    <x v="1"/>
    <n v="1"/>
  </r>
  <r>
    <d v="2034-12-02T00:00:00"/>
    <x v="6"/>
    <n v="13.5"/>
    <n v="4.9000000000000004"/>
    <x v="1"/>
    <n v="1"/>
  </r>
  <r>
    <d v="2034-12-03T00:00:00"/>
    <x v="9"/>
    <n v="17.8"/>
    <n v="5"/>
    <x v="1"/>
    <n v="1"/>
  </r>
  <r>
    <d v="2034-12-04T00:00:00"/>
    <x v="6"/>
    <n v="21.5"/>
    <n v="47.1"/>
    <x v="1"/>
    <n v="1"/>
  </r>
  <r>
    <d v="2034-12-05T00:00:00"/>
    <x v="4"/>
    <n v="20.5"/>
    <n v="0.1"/>
    <x v="1"/>
    <n v="1"/>
  </r>
  <r>
    <d v="2034-12-06T00:00:00"/>
    <x v="9"/>
    <n v="14.4"/>
    <n v="0"/>
    <x v="1"/>
    <n v="1"/>
  </r>
  <r>
    <d v="2034-12-07T00:00:00"/>
    <x v="11"/>
    <n v="12.3"/>
    <n v="0"/>
    <x v="1"/>
    <n v="1"/>
  </r>
  <r>
    <d v="2034-12-08T00:00:00"/>
    <x v="9"/>
    <n v="26.5"/>
    <n v="14"/>
    <x v="1"/>
    <n v="1"/>
  </r>
  <r>
    <d v="2034-12-09T00:00:00"/>
    <x v="9"/>
    <n v="17.7"/>
    <n v="0"/>
    <x v="1"/>
    <n v="1"/>
  </r>
  <r>
    <d v="2034-12-10T00:00:00"/>
    <x v="22"/>
    <n v="15.7"/>
    <n v="1"/>
    <x v="1"/>
    <n v="1"/>
  </r>
  <r>
    <d v="2034-12-11T00:00:00"/>
    <x v="16"/>
    <n v="16.2"/>
    <n v="0"/>
    <x v="1"/>
    <n v="1"/>
  </r>
  <r>
    <d v="2034-12-12T00:00:00"/>
    <x v="17"/>
    <n v="18.600000000000001"/>
    <n v="1.4"/>
    <x v="1"/>
    <n v="1"/>
  </r>
  <r>
    <d v="2034-12-13T00:00:00"/>
    <x v="14"/>
    <n v="23.9"/>
    <n v="4"/>
    <x v="1"/>
    <n v="1"/>
  </r>
  <r>
    <d v="2034-12-14T00:00:00"/>
    <x v="6"/>
    <n v="15.8"/>
    <n v="50.3"/>
    <x v="1"/>
    <n v="1"/>
  </r>
  <r>
    <d v="2034-12-15T00:00:00"/>
    <x v="8"/>
    <n v="26.2"/>
    <n v="8.5"/>
    <x v="1"/>
    <n v="1"/>
  </r>
  <r>
    <d v="2034-12-16T00:00:00"/>
    <x v="6"/>
    <n v="23.1"/>
    <n v="0"/>
    <x v="1"/>
    <n v="1"/>
  </r>
  <r>
    <d v="2034-12-17T00:00:00"/>
    <x v="17"/>
    <n v="10.8"/>
    <n v="0"/>
    <x v="1"/>
    <n v="1"/>
  </r>
  <r>
    <d v="2034-12-18T00:00:00"/>
    <x v="14"/>
    <n v="21.2"/>
    <n v="16.100000000000001"/>
    <x v="1"/>
    <n v="1"/>
  </r>
  <r>
    <d v="2034-12-19T00:00:00"/>
    <x v="3"/>
    <n v="26.3"/>
    <n v="21.1"/>
    <x v="1"/>
    <n v="1"/>
  </r>
  <r>
    <d v="2034-12-20T00:00:00"/>
    <x v="3"/>
    <n v="22.8"/>
    <n v="22.7"/>
    <x v="1"/>
    <n v="1"/>
  </r>
  <r>
    <d v="2034-12-21T00:00:00"/>
    <x v="14"/>
    <n v="24"/>
    <n v="11.5"/>
    <x v="1"/>
    <n v="1"/>
  </r>
  <r>
    <d v="2034-12-22T00:00:00"/>
    <x v="10"/>
    <n v="16.8"/>
    <n v="2"/>
    <x v="1"/>
    <n v="1"/>
  </r>
  <r>
    <d v="2034-12-23T00:00:00"/>
    <x v="9"/>
    <n v="12.5"/>
    <n v="4.7"/>
    <x v="1"/>
    <n v="1"/>
  </r>
  <r>
    <d v="2034-12-24T00:00:00"/>
    <x v="6"/>
    <n v="15"/>
    <n v="1.7"/>
    <x v="1"/>
    <n v="1"/>
  </r>
  <r>
    <d v="2034-12-25T00:00:00"/>
    <x v="14"/>
    <n v="16.2"/>
    <n v="0"/>
    <x v="1"/>
    <n v="1"/>
  </r>
  <r>
    <d v="2034-12-26T00:00:00"/>
    <x v="3"/>
    <n v="29.3"/>
    <n v="0"/>
    <x v="1"/>
    <n v="1"/>
  </r>
  <r>
    <d v="2034-12-27T00:00:00"/>
    <x v="28"/>
    <n v="26.4"/>
    <n v="0.2"/>
    <x v="1"/>
    <n v="1"/>
  </r>
  <r>
    <d v="2034-12-28T00:00:00"/>
    <x v="14"/>
    <n v="23"/>
    <n v="0"/>
    <x v="1"/>
    <n v="1"/>
  </r>
  <r>
    <d v="2034-12-29T00:00:00"/>
    <x v="7"/>
    <n v="25.4"/>
    <n v="1.2"/>
    <x v="1"/>
    <n v="1"/>
  </r>
  <r>
    <d v="2034-12-30T00:00:00"/>
    <x v="6"/>
    <n v="24.5"/>
    <n v="22.5"/>
    <x v="1"/>
    <n v="1"/>
  </r>
  <r>
    <d v="2034-12-31T00:00:00"/>
    <x v="15"/>
    <n v="19"/>
    <n v="18.899999999999999"/>
    <x v="1"/>
    <n v="1"/>
  </r>
  <r>
    <d v="2035-01-01T00:00:00"/>
    <x v="15"/>
    <n v="10"/>
    <n v="7.6"/>
    <x v="2"/>
    <n v="1"/>
  </r>
  <r>
    <d v="2035-01-02T00:00:00"/>
    <x v="6"/>
    <n v="10.4"/>
    <n v="20.6"/>
    <x v="2"/>
    <n v="1"/>
  </r>
  <r>
    <d v="2035-01-03T00:00:00"/>
    <x v="17"/>
    <n v="10.5"/>
    <n v="0"/>
    <x v="2"/>
    <n v="1"/>
  </r>
  <r>
    <d v="2035-01-04T00:00:00"/>
    <x v="2"/>
    <n v="12.1"/>
    <n v="8.8000000000000007"/>
    <x v="2"/>
    <n v="1"/>
  </r>
  <r>
    <d v="2035-01-05T00:00:00"/>
    <x v="6"/>
    <n v="20.5"/>
    <n v="0"/>
    <x v="2"/>
    <n v="1"/>
  </r>
  <r>
    <d v="2035-01-06T00:00:00"/>
    <x v="9"/>
    <n v="13.1"/>
    <n v="0"/>
    <x v="2"/>
    <n v="1"/>
  </r>
  <r>
    <d v="2035-01-07T00:00:00"/>
    <x v="22"/>
    <n v="29.8"/>
    <n v="1.1000000000000001"/>
    <x v="2"/>
    <n v="1"/>
  </r>
  <r>
    <d v="2035-01-08T00:00:00"/>
    <x v="11"/>
    <n v="17.100000000000001"/>
    <n v="5.5"/>
    <x v="2"/>
    <n v="1"/>
  </r>
  <r>
    <d v="2035-01-09T00:00:00"/>
    <x v="10"/>
    <n v="29.1"/>
    <n v="0.4"/>
    <x v="2"/>
    <n v="1"/>
  </r>
  <r>
    <d v="2035-01-10T00:00:00"/>
    <x v="14"/>
    <n v="10.9"/>
    <n v="0"/>
    <x v="2"/>
    <n v="1"/>
  </r>
  <r>
    <d v="2035-01-11T00:00:00"/>
    <x v="28"/>
    <n v="27.4"/>
    <n v="0.3"/>
    <x v="2"/>
    <n v="1"/>
  </r>
  <r>
    <d v="2035-01-12T00:00:00"/>
    <x v="15"/>
    <n v="16.3"/>
    <n v="9.8000000000000007"/>
    <x v="2"/>
    <n v="1"/>
  </r>
  <r>
    <d v="2035-01-13T00:00:00"/>
    <x v="3"/>
    <n v="14.7"/>
    <n v="0"/>
    <x v="2"/>
    <n v="1"/>
  </r>
  <r>
    <d v="2035-01-14T00:00:00"/>
    <x v="8"/>
    <n v="17.2"/>
    <n v="2"/>
    <x v="2"/>
    <n v="1"/>
  </r>
  <r>
    <d v="2035-01-15T00:00:00"/>
    <x v="11"/>
    <n v="24.2"/>
    <n v="9.9"/>
    <x v="2"/>
    <n v="1"/>
  </r>
  <r>
    <d v="2035-01-16T00:00:00"/>
    <x v="9"/>
    <n v="22.3"/>
    <n v="0"/>
    <x v="2"/>
    <n v="1"/>
  </r>
  <r>
    <d v="2035-01-17T00:00:00"/>
    <x v="25"/>
    <n v="26.7"/>
    <n v="0.6"/>
    <x v="2"/>
    <n v="1"/>
  </r>
  <r>
    <d v="2035-01-18T00:00:00"/>
    <x v="8"/>
    <n v="10.9"/>
    <n v="3.8"/>
    <x v="2"/>
    <n v="1"/>
  </r>
  <r>
    <d v="2035-01-19T00:00:00"/>
    <x v="17"/>
    <n v="23.7"/>
    <n v="0"/>
    <x v="2"/>
    <n v="1"/>
  </r>
  <r>
    <d v="2035-01-20T00:00:00"/>
    <x v="6"/>
    <n v="16"/>
    <n v="22.3"/>
    <x v="2"/>
    <n v="1"/>
  </r>
  <r>
    <d v="2035-01-21T00:00:00"/>
    <x v="6"/>
    <n v="19.399999999999999"/>
    <n v="41.6"/>
    <x v="2"/>
    <n v="1"/>
  </r>
  <r>
    <d v="2035-01-22T00:00:00"/>
    <x v="7"/>
    <n v="26.7"/>
    <n v="10"/>
    <x v="2"/>
    <n v="1"/>
  </r>
  <r>
    <d v="2035-01-23T00:00:00"/>
    <x v="15"/>
    <n v="20.8"/>
    <n v="0"/>
    <x v="2"/>
    <n v="1"/>
  </r>
  <r>
    <d v="2035-01-24T00:00:00"/>
    <x v="6"/>
    <n v="25.6"/>
    <n v="0"/>
    <x v="2"/>
    <n v="1"/>
  </r>
  <r>
    <d v="2035-01-25T00:00:00"/>
    <x v="14"/>
    <n v="18.3"/>
    <n v="0.5"/>
    <x v="2"/>
    <n v="1"/>
  </r>
  <r>
    <d v="2035-01-26T00:00:00"/>
    <x v="5"/>
    <n v="27.4"/>
    <n v="4.2"/>
    <x v="2"/>
    <n v="1"/>
  </r>
  <r>
    <d v="2035-01-27T00:00:00"/>
    <x v="19"/>
    <n v="16.100000000000001"/>
    <n v="3.4"/>
    <x v="2"/>
    <n v="1"/>
  </r>
  <r>
    <d v="2035-01-28T00:00:00"/>
    <x v="10"/>
    <n v="27.5"/>
    <n v="8"/>
    <x v="2"/>
    <n v="1"/>
  </r>
  <r>
    <d v="2035-01-29T00:00:00"/>
    <x v="5"/>
    <n v="28.4"/>
    <n v="10.199999999999999"/>
    <x v="2"/>
    <n v="1"/>
  </r>
  <r>
    <d v="2035-01-30T00:00:00"/>
    <x v="9"/>
    <n v="16.100000000000001"/>
    <n v="4"/>
    <x v="2"/>
    <n v="1"/>
  </r>
  <r>
    <d v="2035-01-31T00:00:00"/>
    <x v="19"/>
    <n v="28.4"/>
    <n v="2.6"/>
    <x v="2"/>
    <n v="1"/>
  </r>
  <r>
    <d v="2035-02-01T00:00:00"/>
    <x v="10"/>
    <n v="29.3"/>
    <n v="0"/>
    <x v="2"/>
    <n v="1"/>
  </r>
  <r>
    <d v="2035-02-02T00:00:00"/>
    <x v="9"/>
    <n v="19.7"/>
    <n v="16.2"/>
    <x v="2"/>
    <n v="1"/>
  </r>
  <r>
    <d v="2035-02-03T00:00:00"/>
    <x v="27"/>
    <n v="11.5"/>
    <n v="0.3"/>
    <x v="2"/>
    <n v="1"/>
  </r>
  <r>
    <d v="2035-02-04T00:00:00"/>
    <x v="15"/>
    <n v="19.5"/>
    <n v="0"/>
    <x v="2"/>
    <n v="1"/>
  </r>
  <r>
    <d v="2035-02-05T00:00:00"/>
    <x v="16"/>
    <n v="22.7"/>
    <n v="0.7"/>
    <x v="2"/>
    <n v="1"/>
  </r>
  <r>
    <d v="2035-02-06T00:00:00"/>
    <x v="3"/>
    <n v="19.7"/>
    <n v="7.3"/>
    <x v="2"/>
    <n v="1"/>
  </r>
  <r>
    <d v="2035-02-07T00:00:00"/>
    <x v="22"/>
    <n v="19.399999999999999"/>
    <n v="0.4"/>
    <x v="2"/>
    <n v="1"/>
  </r>
  <r>
    <d v="2035-02-08T00:00:00"/>
    <x v="19"/>
    <n v="13.8"/>
    <n v="1.1000000000000001"/>
    <x v="2"/>
    <n v="1"/>
  </r>
  <r>
    <d v="2035-02-09T00:00:00"/>
    <x v="9"/>
    <n v="19.600000000000001"/>
    <n v="2.2999999999999998"/>
    <x v="2"/>
    <n v="1"/>
  </r>
  <r>
    <d v="2035-02-10T00:00:00"/>
    <x v="15"/>
    <n v="22.6"/>
    <n v="13.3"/>
    <x v="2"/>
    <n v="1"/>
  </r>
  <r>
    <d v="2035-02-11T00:00:00"/>
    <x v="2"/>
    <n v="18.2"/>
    <n v="7.6"/>
    <x v="2"/>
    <n v="1"/>
  </r>
  <r>
    <d v="2035-02-12T00:00:00"/>
    <x v="15"/>
    <n v="27.3"/>
    <n v="38.4"/>
    <x v="2"/>
    <n v="1"/>
  </r>
  <r>
    <d v="2035-02-13T00:00:00"/>
    <x v="15"/>
    <n v="14.7"/>
    <n v="31.8"/>
    <x v="2"/>
    <n v="1"/>
  </r>
  <r>
    <d v="2035-02-14T00:00:00"/>
    <x v="18"/>
    <n v="20.6"/>
    <n v="5.9"/>
    <x v="2"/>
    <n v="1"/>
  </r>
  <r>
    <d v="2035-02-15T00:00:00"/>
    <x v="6"/>
    <n v="12.6"/>
    <n v="14.4"/>
    <x v="2"/>
    <n v="1"/>
  </r>
  <r>
    <d v="2035-02-16T00:00:00"/>
    <x v="7"/>
    <n v="14.5"/>
    <n v="0"/>
    <x v="2"/>
    <n v="1"/>
  </r>
  <r>
    <d v="2035-02-17T00:00:00"/>
    <x v="6"/>
    <n v="24.7"/>
    <n v="36"/>
    <x v="2"/>
    <n v="1"/>
  </r>
  <r>
    <d v="2035-02-18T00:00:00"/>
    <x v="15"/>
    <n v="17.899999999999999"/>
    <n v="24.9"/>
    <x v="2"/>
    <n v="1"/>
  </r>
  <r>
    <d v="2035-02-19T00:00:00"/>
    <x v="10"/>
    <n v="20.2"/>
    <n v="2.9"/>
    <x v="2"/>
    <n v="1"/>
  </r>
  <r>
    <d v="2035-02-20T00:00:00"/>
    <x v="4"/>
    <n v="13.4"/>
    <n v="1.7"/>
    <x v="2"/>
    <n v="1"/>
  </r>
  <r>
    <d v="2035-02-21T00:00:00"/>
    <x v="13"/>
    <n v="12.2"/>
    <n v="6"/>
    <x v="2"/>
    <n v="1"/>
  </r>
  <r>
    <d v="2035-02-22T00:00:00"/>
    <x v="26"/>
    <n v="29.8"/>
    <n v="0.4"/>
    <x v="2"/>
    <n v="1"/>
  </r>
  <r>
    <d v="2035-02-23T00:00:00"/>
    <x v="15"/>
    <n v="16.100000000000001"/>
    <n v="28.7"/>
    <x v="2"/>
    <n v="1"/>
  </r>
  <r>
    <d v="2035-02-24T00:00:00"/>
    <x v="6"/>
    <n v="18.8"/>
    <n v="0"/>
    <x v="2"/>
    <n v="1"/>
  </r>
  <r>
    <d v="2035-02-25T00:00:00"/>
    <x v="11"/>
    <n v="17.100000000000001"/>
    <n v="0"/>
    <x v="2"/>
    <n v="1"/>
  </r>
  <r>
    <d v="2035-02-26T00:00:00"/>
    <x v="5"/>
    <n v="11.7"/>
    <n v="7.7"/>
    <x v="2"/>
    <n v="1"/>
  </r>
  <r>
    <d v="2035-02-27T00:00:00"/>
    <x v="14"/>
    <n v="25.4"/>
    <n v="14.2"/>
    <x v="2"/>
    <n v="1"/>
  </r>
  <r>
    <d v="2035-02-28T00:00:00"/>
    <x v="18"/>
    <n v="12.6"/>
    <n v="9"/>
    <x v="2"/>
    <n v="1"/>
  </r>
  <r>
    <d v="2035-03-01T00:00:00"/>
    <x v="6"/>
    <n v="15.8"/>
    <n v="0"/>
    <x v="2"/>
    <n v="1"/>
  </r>
  <r>
    <d v="2035-03-02T00:00:00"/>
    <x v="14"/>
    <n v="24.7"/>
    <n v="13.9"/>
    <x v="2"/>
    <n v="1"/>
  </r>
  <r>
    <d v="2035-03-03T00:00:00"/>
    <x v="23"/>
    <n v="26.7"/>
    <n v="0"/>
    <x v="2"/>
    <n v="1"/>
  </r>
  <r>
    <d v="2035-03-04T00:00:00"/>
    <x v="15"/>
    <n v="21.2"/>
    <n v="5.3"/>
    <x v="2"/>
    <n v="1"/>
  </r>
  <r>
    <d v="2035-03-05T00:00:00"/>
    <x v="2"/>
    <n v="10.4"/>
    <n v="8.6"/>
    <x v="2"/>
    <n v="1"/>
  </r>
  <r>
    <d v="2035-03-06T00:00:00"/>
    <x v="22"/>
    <n v="25.1"/>
    <n v="3.3"/>
    <x v="2"/>
    <n v="1"/>
  </r>
  <r>
    <d v="2035-03-07T00:00:00"/>
    <x v="15"/>
    <n v="27.8"/>
    <n v="20.9"/>
    <x v="2"/>
    <n v="1"/>
  </r>
  <r>
    <d v="2035-03-08T00:00:00"/>
    <x v="7"/>
    <n v="26.1"/>
    <n v="0"/>
    <x v="2"/>
    <n v="1"/>
  </r>
  <r>
    <d v="2035-03-09T00:00:00"/>
    <x v="9"/>
    <n v="18.3"/>
    <n v="7.8"/>
    <x v="2"/>
    <n v="1"/>
  </r>
  <r>
    <d v="2035-03-10T00:00:00"/>
    <x v="7"/>
    <n v="16.3"/>
    <n v="0"/>
    <x v="2"/>
    <n v="1"/>
  </r>
  <r>
    <d v="2035-03-11T00:00:00"/>
    <x v="7"/>
    <n v="17.2"/>
    <n v="12.5"/>
    <x v="2"/>
    <n v="1"/>
  </r>
  <r>
    <d v="2035-03-12T00:00:00"/>
    <x v="20"/>
    <n v="22.1"/>
    <n v="3.7"/>
    <x v="2"/>
    <n v="1"/>
  </r>
  <r>
    <d v="2035-03-13T00:00:00"/>
    <x v="19"/>
    <n v="18.8"/>
    <n v="0"/>
    <x v="2"/>
    <n v="1"/>
  </r>
  <r>
    <d v="2035-03-14T00:00:00"/>
    <x v="14"/>
    <n v="12.3"/>
    <n v="7.1"/>
    <x v="2"/>
    <n v="1"/>
  </r>
  <r>
    <d v="2035-03-15T00:00:00"/>
    <x v="6"/>
    <n v="27.5"/>
    <n v="34.299999999999997"/>
    <x v="2"/>
    <n v="1"/>
  </r>
  <r>
    <d v="2035-03-16T00:00:00"/>
    <x v="14"/>
    <n v="23.1"/>
    <n v="0"/>
    <x v="2"/>
    <n v="1"/>
  </r>
  <r>
    <d v="2035-03-17T00:00:00"/>
    <x v="7"/>
    <n v="21.3"/>
    <n v="0"/>
    <x v="2"/>
    <n v="1"/>
  </r>
  <r>
    <d v="2035-03-18T00:00:00"/>
    <x v="22"/>
    <n v="13.8"/>
    <n v="5.9"/>
    <x v="2"/>
    <n v="1"/>
  </r>
  <r>
    <d v="2035-03-19T00:00:00"/>
    <x v="9"/>
    <n v="20"/>
    <n v="16"/>
    <x v="2"/>
    <n v="1"/>
  </r>
  <r>
    <d v="2035-03-20T00:00:00"/>
    <x v="8"/>
    <n v="23.9"/>
    <n v="0"/>
    <x v="2"/>
    <n v="1"/>
  </r>
  <r>
    <d v="2035-03-21T00:00:00"/>
    <x v="25"/>
    <n v="15.3"/>
    <n v="0.1"/>
    <x v="2"/>
    <n v="1"/>
  </r>
  <r>
    <d v="2035-03-22T00:00:00"/>
    <x v="10"/>
    <n v="16.600000000000001"/>
    <n v="0"/>
    <x v="2"/>
    <n v="1"/>
  </r>
  <r>
    <d v="2035-03-23T00:00:00"/>
    <x v="23"/>
    <n v="20.8"/>
    <n v="2"/>
    <x v="2"/>
    <n v="1"/>
  </r>
  <r>
    <d v="2035-03-24T00:00:00"/>
    <x v="7"/>
    <n v="10.8"/>
    <n v="12.3"/>
    <x v="2"/>
    <n v="1"/>
  </r>
  <r>
    <d v="2035-03-25T00:00:00"/>
    <x v="7"/>
    <n v="12.5"/>
    <n v="18.399999999999999"/>
    <x v="2"/>
    <n v="1"/>
  </r>
  <r>
    <d v="2035-03-26T00:00:00"/>
    <x v="5"/>
    <n v="24"/>
    <n v="4.9000000000000004"/>
    <x v="2"/>
    <n v="1"/>
  </r>
  <r>
    <d v="2035-03-27T00:00:00"/>
    <x v="6"/>
    <n v="21.4"/>
    <n v="11.1"/>
    <x v="2"/>
    <n v="1"/>
  </r>
  <r>
    <d v="2035-03-28T00:00:00"/>
    <x v="18"/>
    <n v="18.3"/>
    <n v="0"/>
    <x v="2"/>
    <n v="1"/>
  </r>
  <r>
    <d v="2035-03-29T00:00:00"/>
    <x v="11"/>
    <n v="10.5"/>
    <n v="3.9"/>
    <x v="2"/>
    <n v="1"/>
  </r>
  <r>
    <d v="2035-03-30T00:00:00"/>
    <x v="6"/>
    <n v="11.7"/>
    <n v="0"/>
    <x v="2"/>
    <n v="1"/>
  </r>
  <r>
    <d v="2035-03-31T00:00:00"/>
    <x v="3"/>
    <n v="26.8"/>
    <n v="0"/>
    <x v="2"/>
    <n v="1"/>
  </r>
  <r>
    <d v="2035-04-01T00:00:00"/>
    <x v="6"/>
    <n v="22.1"/>
    <n v="33.799999999999997"/>
    <x v="2"/>
    <n v="1"/>
  </r>
  <r>
    <d v="2035-04-02T00:00:00"/>
    <x v="28"/>
    <n v="17.100000000000001"/>
    <n v="0"/>
    <x v="2"/>
    <n v="1"/>
  </r>
  <r>
    <d v="2035-04-03T00:00:00"/>
    <x v="9"/>
    <n v="12.1"/>
    <n v="14.4"/>
    <x v="2"/>
    <n v="1"/>
  </r>
  <r>
    <d v="2035-04-04T00:00:00"/>
    <x v="15"/>
    <n v="28.6"/>
    <n v="23.2"/>
    <x v="2"/>
    <n v="1"/>
  </r>
  <r>
    <d v="2035-04-05T00:00:00"/>
    <x v="2"/>
    <n v="21.2"/>
    <n v="1.5"/>
    <x v="2"/>
    <n v="1"/>
  </r>
  <r>
    <d v="2035-04-06T00:00:00"/>
    <x v="5"/>
    <n v="17.2"/>
    <n v="2.4"/>
    <x v="2"/>
    <n v="1"/>
  </r>
  <r>
    <d v="2035-04-07T00:00:00"/>
    <x v="6"/>
    <n v="22.3"/>
    <n v="0"/>
    <x v="2"/>
    <n v="1"/>
  </r>
  <r>
    <d v="2035-04-08T00:00:00"/>
    <x v="11"/>
    <n v="13.2"/>
    <n v="3.6"/>
    <x v="2"/>
    <n v="1"/>
  </r>
  <r>
    <d v="2035-04-09T00:00:00"/>
    <x v="14"/>
    <n v="13.6"/>
    <n v="13.4"/>
    <x v="2"/>
    <n v="1"/>
  </r>
  <r>
    <d v="2035-04-10T00:00:00"/>
    <x v="8"/>
    <n v="15.7"/>
    <n v="0"/>
    <x v="2"/>
    <n v="1"/>
  </r>
  <r>
    <d v="2035-04-11T00:00:00"/>
    <x v="5"/>
    <n v="24.8"/>
    <n v="0"/>
    <x v="2"/>
    <n v="1"/>
  </r>
  <r>
    <d v="2035-04-12T00:00:00"/>
    <x v="6"/>
    <n v="25.1"/>
    <n v="5.0999999999999996"/>
    <x v="2"/>
    <n v="1"/>
  </r>
  <r>
    <d v="2035-04-13T00:00:00"/>
    <x v="15"/>
    <n v="14.2"/>
    <n v="23.5"/>
    <x v="2"/>
    <n v="1"/>
  </r>
  <r>
    <d v="2035-04-14T00:00:00"/>
    <x v="10"/>
    <n v="21.1"/>
    <n v="1.4"/>
    <x v="2"/>
    <n v="1"/>
  </r>
  <r>
    <d v="2035-04-15T00:00:00"/>
    <x v="6"/>
    <n v="25.4"/>
    <n v="28"/>
    <x v="2"/>
    <n v="1"/>
  </r>
  <r>
    <d v="2035-04-16T00:00:00"/>
    <x v="6"/>
    <n v="24.7"/>
    <n v="5.7"/>
    <x v="2"/>
    <n v="1"/>
  </r>
  <r>
    <d v="2035-04-17T00:00:00"/>
    <x v="9"/>
    <n v="19.8"/>
    <n v="0"/>
    <x v="2"/>
    <n v="1"/>
  </r>
  <r>
    <d v="2035-04-18T00:00:00"/>
    <x v="23"/>
    <n v="28.4"/>
    <n v="2.9"/>
    <x v="2"/>
    <n v="1"/>
  </r>
  <r>
    <d v="2035-04-19T00:00:00"/>
    <x v="7"/>
    <n v="26.5"/>
    <n v="0"/>
    <x v="2"/>
    <n v="1"/>
  </r>
  <r>
    <d v="2035-04-20T00:00:00"/>
    <x v="6"/>
    <n v="14.1"/>
    <n v="13.1"/>
    <x v="2"/>
    <n v="1"/>
  </r>
  <r>
    <d v="2035-04-21T00:00:00"/>
    <x v="24"/>
    <n v="15.9"/>
    <n v="0.5"/>
    <x v="2"/>
    <n v="1"/>
  </r>
  <r>
    <d v="2035-04-22T00:00:00"/>
    <x v="15"/>
    <n v="28.2"/>
    <n v="26.9"/>
    <x v="2"/>
    <n v="1"/>
  </r>
  <r>
    <d v="2035-04-23T00:00:00"/>
    <x v="24"/>
    <n v="17.100000000000001"/>
    <n v="0.5"/>
    <x v="2"/>
    <n v="1"/>
  </r>
  <r>
    <d v="2035-04-24T00:00:00"/>
    <x v="15"/>
    <n v="27"/>
    <n v="0"/>
    <x v="2"/>
    <n v="1"/>
  </r>
  <r>
    <d v="2035-04-25T00:00:00"/>
    <x v="14"/>
    <n v="24.1"/>
    <n v="0"/>
    <x v="2"/>
    <n v="1"/>
  </r>
  <r>
    <d v="2035-04-26T00:00:00"/>
    <x v="8"/>
    <n v="10.4"/>
    <n v="7.2"/>
    <x v="2"/>
    <n v="1"/>
  </r>
  <r>
    <d v="2035-04-27T00:00:00"/>
    <x v="9"/>
    <n v="27.2"/>
    <n v="15.1"/>
    <x v="2"/>
    <n v="1"/>
  </r>
  <r>
    <d v="2035-04-28T00:00:00"/>
    <x v="18"/>
    <n v="22.1"/>
    <n v="0"/>
    <x v="2"/>
    <n v="1"/>
  </r>
  <r>
    <d v="2035-04-29T00:00:00"/>
    <x v="10"/>
    <n v="13.3"/>
    <n v="8.5"/>
    <x v="2"/>
    <n v="1"/>
  </r>
  <r>
    <d v="2035-04-30T00:00:00"/>
    <x v="8"/>
    <n v="26.4"/>
    <n v="0"/>
    <x v="2"/>
    <n v="1"/>
  </r>
  <r>
    <d v="2035-05-01T00:00:00"/>
    <x v="21"/>
    <n v="25.8"/>
    <n v="2.9"/>
    <x v="2"/>
    <n v="1"/>
  </r>
  <r>
    <d v="2035-05-02T00:00:00"/>
    <x v="11"/>
    <n v="23"/>
    <n v="3.8"/>
    <x v="2"/>
    <n v="1"/>
  </r>
  <r>
    <d v="2035-05-03T00:00:00"/>
    <x v="9"/>
    <n v="22.7"/>
    <n v="0"/>
    <x v="2"/>
    <n v="1"/>
  </r>
  <r>
    <d v="2035-05-04T00:00:00"/>
    <x v="22"/>
    <n v="26.2"/>
    <n v="5.0999999999999996"/>
    <x v="2"/>
    <n v="1"/>
  </r>
  <r>
    <d v="2035-05-05T00:00:00"/>
    <x v="10"/>
    <n v="16.600000000000001"/>
    <n v="0"/>
    <x v="2"/>
    <n v="1"/>
  </r>
  <r>
    <d v="2035-05-06T00:00:00"/>
    <x v="19"/>
    <n v="23.9"/>
    <n v="0"/>
    <x v="2"/>
    <n v="1"/>
  </r>
  <r>
    <d v="2035-05-07T00:00:00"/>
    <x v="3"/>
    <n v="10.6"/>
    <n v="21.3"/>
    <x v="2"/>
    <n v="1"/>
  </r>
  <r>
    <d v="2035-05-08T00:00:00"/>
    <x v="6"/>
    <n v="22.8"/>
    <n v="24.6"/>
    <x v="2"/>
    <n v="1"/>
  </r>
  <r>
    <d v="2035-05-09T00:00:00"/>
    <x v="1"/>
    <n v="26.8"/>
    <n v="7.5"/>
    <x v="2"/>
    <n v="1"/>
  </r>
  <r>
    <d v="2035-05-10T00:00:00"/>
    <x v="15"/>
    <n v="21.3"/>
    <n v="37.700000000000003"/>
    <x v="2"/>
    <n v="1"/>
  </r>
  <r>
    <d v="2035-05-11T00:00:00"/>
    <x v="8"/>
    <n v="20.3"/>
    <n v="11"/>
    <x v="2"/>
    <n v="1"/>
  </r>
  <r>
    <d v="2035-05-12T00:00:00"/>
    <x v="15"/>
    <n v="25.6"/>
    <n v="20.100000000000001"/>
    <x v="2"/>
    <n v="1"/>
  </r>
  <r>
    <d v="2035-05-13T00:00:00"/>
    <x v="9"/>
    <n v="25.1"/>
    <n v="14.7"/>
    <x v="2"/>
    <n v="1"/>
  </r>
  <r>
    <d v="2035-05-14T00:00:00"/>
    <x v="3"/>
    <n v="24.3"/>
    <n v="24.3"/>
    <x v="2"/>
    <n v="1"/>
  </r>
  <r>
    <d v="2035-05-15T00:00:00"/>
    <x v="10"/>
    <n v="12.9"/>
    <n v="2.7"/>
    <x v="2"/>
    <n v="1"/>
  </r>
  <r>
    <d v="2035-05-16T00:00:00"/>
    <x v="15"/>
    <n v="16.7"/>
    <n v="27.7"/>
    <x v="2"/>
    <n v="1"/>
  </r>
  <r>
    <d v="2035-05-17T00:00:00"/>
    <x v="6"/>
    <n v="16.2"/>
    <n v="20.5"/>
    <x v="2"/>
    <n v="1"/>
  </r>
  <r>
    <d v="2035-05-18T00:00:00"/>
    <x v="8"/>
    <n v="19.5"/>
    <n v="5.0999999999999996"/>
    <x v="2"/>
    <n v="1"/>
  </r>
  <r>
    <d v="2035-05-19T00:00:00"/>
    <x v="6"/>
    <n v="22.9"/>
    <n v="6.6"/>
    <x v="2"/>
    <n v="1"/>
  </r>
  <r>
    <d v="2035-05-20T00:00:00"/>
    <x v="15"/>
    <n v="25.9"/>
    <n v="4.4000000000000004"/>
    <x v="2"/>
    <n v="1"/>
  </r>
  <r>
    <d v="2035-05-21T00:00:00"/>
    <x v="14"/>
    <n v="20.3"/>
    <n v="4.5999999999999996"/>
    <x v="2"/>
    <n v="1"/>
  </r>
  <r>
    <d v="2035-05-22T00:00:00"/>
    <x v="24"/>
    <n v="11.3"/>
    <n v="0.3"/>
    <x v="2"/>
    <n v="1"/>
  </r>
  <r>
    <d v="2035-05-23T00:00:00"/>
    <x v="6"/>
    <n v="27.4"/>
    <n v="29.9"/>
    <x v="2"/>
    <n v="1"/>
  </r>
  <r>
    <d v="2035-05-24T00:00:00"/>
    <x v="15"/>
    <n v="29.2"/>
    <n v="0"/>
    <x v="2"/>
    <n v="1"/>
  </r>
  <r>
    <d v="2035-05-25T00:00:00"/>
    <x v="0"/>
    <n v="27.4"/>
    <n v="0"/>
    <x v="2"/>
    <n v="1"/>
  </r>
  <r>
    <d v="2035-05-26T00:00:00"/>
    <x v="15"/>
    <n v="10.1"/>
    <n v="8.1"/>
    <x v="2"/>
    <n v="1"/>
  </r>
  <r>
    <d v="2035-05-27T00:00:00"/>
    <x v="1"/>
    <n v="12.9"/>
    <n v="5.9"/>
    <x v="2"/>
    <n v="1"/>
  </r>
  <r>
    <d v="2035-05-28T00:00:00"/>
    <x v="10"/>
    <n v="18.7"/>
    <n v="0"/>
    <x v="2"/>
    <n v="1"/>
  </r>
  <r>
    <d v="2035-05-29T00:00:00"/>
    <x v="28"/>
    <n v="17.8"/>
    <n v="0.3"/>
    <x v="2"/>
    <n v="1"/>
  </r>
  <r>
    <d v="2035-05-30T00:00:00"/>
    <x v="6"/>
    <n v="24.7"/>
    <n v="42.9"/>
    <x v="2"/>
    <n v="1"/>
  </r>
  <r>
    <d v="2035-05-31T00:00:00"/>
    <x v="6"/>
    <n v="28.7"/>
    <n v="33.799999999999997"/>
    <x v="2"/>
    <n v="1"/>
  </r>
  <r>
    <d v="2035-06-01T00:00:00"/>
    <x v="14"/>
    <n v="12.3"/>
    <n v="1.7"/>
    <x v="2"/>
    <n v="1"/>
  </r>
  <r>
    <d v="2035-06-02T00:00:00"/>
    <x v="15"/>
    <n v="22.9"/>
    <n v="0"/>
    <x v="2"/>
    <n v="1"/>
  </r>
  <r>
    <d v="2035-06-03T00:00:00"/>
    <x v="13"/>
    <n v="20"/>
    <n v="3"/>
    <x v="2"/>
    <n v="1"/>
  </r>
  <r>
    <d v="2035-06-04T00:00:00"/>
    <x v="6"/>
    <n v="27.3"/>
    <n v="0"/>
    <x v="2"/>
    <n v="1"/>
  </r>
  <r>
    <d v="2035-06-05T00:00:00"/>
    <x v="9"/>
    <n v="29.9"/>
    <n v="7.7"/>
    <x v="2"/>
    <n v="1"/>
  </r>
  <r>
    <d v="2035-06-06T00:00:00"/>
    <x v="8"/>
    <n v="27.5"/>
    <n v="2.7"/>
    <x v="2"/>
    <n v="1"/>
  </r>
  <r>
    <d v="2035-06-07T00:00:00"/>
    <x v="14"/>
    <n v="16.5"/>
    <n v="13.3"/>
    <x v="2"/>
    <n v="1"/>
  </r>
  <r>
    <d v="2035-06-08T00:00:00"/>
    <x v="1"/>
    <n v="23.5"/>
    <n v="5.9"/>
    <x v="2"/>
    <n v="1"/>
  </r>
  <r>
    <d v="2035-06-09T00:00:00"/>
    <x v="1"/>
    <n v="21.5"/>
    <n v="4.0999999999999996"/>
    <x v="2"/>
    <n v="1"/>
  </r>
  <r>
    <d v="2035-06-10T00:00:00"/>
    <x v="11"/>
    <n v="10.3"/>
    <n v="15.6"/>
    <x v="2"/>
    <n v="1"/>
  </r>
  <r>
    <d v="2035-06-11T00:00:00"/>
    <x v="6"/>
    <n v="15"/>
    <n v="0"/>
    <x v="2"/>
    <n v="1"/>
  </r>
  <r>
    <d v="2035-06-12T00:00:00"/>
    <x v="2"/>
    <n v="23.3"/>
    <n v="5.3"/>
    <x v="2"/>
    <n v="1"/>
  </r>
  <r>
    <d v="2035-06-13T00:00:00"/>
    <x v="11"/>
    <n v="10.5"/>
    <n v="14.4"/>
    <x v="2"/>
    <n v="1"/>
  </r>
  <r>
    <d v="2035-06-14T00:00:00"/>
    <x v="6"/>
    <n v="18.5"/>
    <n v="0"/>
    <x v="2"/>
    <n v="1"/>
  </r>
  <r>
    <d v="2035-06-15T00:00:00"/>
    <x v="10"/>
    <n v="20.2"/>
    <n v="5.4"/>
    <x v="2"/>
    <n v="1"/>
  </r>
  <r>
    <d v="2035-06-16T00:00:00"/>
    <x v="19"/>
    <n v="29"/>
    <n v="4.2"/>
    <x v="2"/>
    <n v="1"/>
  </r>
  <r>
    <d v="2035-06-17T00:00:00"/>
    <x v="11"/>
    <n v="12.1"/>
    <n v="18.100000000000001"/>
    <x v="2"/>
    <n v="1"/>
  </r>
  <r>
    <d v="2035-06-18T00:00:00"/>
    <x v="9"/>
    <n v="14.1"/>
    <n v="5.6"/>
    <x v="2"/>
    <n v="1"/>
  </r>
  <r>
    <d v="2035-06-19T00:00:00"/>
    <x v="6"/>
    <n v="19.5"/>
    <n v="2.7"/>
    <x v="2"/>
    <n v="1"/>
  </r>
  <r>
    <d v="2035-06-20T00:00:00"/>
    <x v="23"/>
    <n v="28.7"/>
    <n v="0.3"/>
    <x v="2"/>
    <n v="1"/>
  </r>
  <r>
    <d v="2035-06-21T00:00:00"/>
    <x v="15"/>
    <n v="20.3"/>
    <n v="15"/>
    <x v="2"/>
    <n v="1"/>
  </r>
  <r>
    <d v="2035-06-22T00:00:00"/>
    <x v="3"/>
    <n v="25.9"/>
    <n v="4.7"/>
    <x v="2"/>
    <n v="1"/>
  </r>
  <r>
    <d v="2035-06-23T00:00:00"/>
    <x v="3"/>
    <n v="25.3"/>
    <n v="0"/>
    <x v="2"/>
    <n v="1"/>
  </r>
  <r>
    <d v="2035-06-24T00:00:00"/>
    <x v="16"/>
    <n v="22.8"/>
    <n v="0.6"/>
    <x v="2"/>
    <n v="1"/>
  </r>
  <r>
    <d v="2035-06-25T00:00:00"/>
    <x v="18"/>
    <n v="28.4"/>
    <n v="2.2999999999999998"/>
    <x v="2"/>
    <n v="1"/>
  </r>
  <r>
    <d v="2035-06-26T00:00:00"/>
    <x v="18"/>
    <n v="29.7"/>
    <n v="0"/>
    <x v="2"/>
    <n v="1"/>
  </r>
  <r>
    <d v="2035-06-27T00:00:00"/>
    <x v="11"/>
    <n v="11.7"/>
    <n v="6.4"/>
    <x v="2"/>
    <n v="1"/>
  </r>
  <r>
    <d v="2035-06-28T00:00:00"/>
    <x v="18"/>
    <n v="12.8"/>
    <n v="6.9"/>
    <x v="2"/>
    <n v="1"/>
  </r>
  <r>
    <d v="2035-06-29T00:00:00"/>
    <x v="6"/>
    <n v="11"/>
    <n v="0"/>
    <x v="2"/>
    <n v="1"/>
  </r>
  <r>
    <d v="2035-06-30T00:00:00"/>
    <x v="29"/>
    <n v="14.7"/>
    <n v="0.5"/>
    <x v="2"/>
    <n v="1"/>
  </r>
  <r>
    <d v="2035-07-01T00:00:00"/>
    <x v="22"/>
    <n v="13.2"/>
    <n v="2.5"/>
    <x v="2"/>
    <n v="1"/>
  </r>
  <r>
    <d v="2035-07-02T00:00:00"/>
    <x v="22"/>
    <n v="28"/>
    <n v="3.8"/>
    <x v="2"/>
    <n v="1"/>
  </r>
  <r>
    <d v="2035-07-03T00:00:00"/>
    <x v="7"/>
    <n v="27.5"/>
    <n v="10.3"/>
    <x v="2"/>
    <n v="1"/>
  </r>
  <r>
    <d v="2035-07-04T00:00:00"/>
    <x v="22"/>
    <n v="12.1"/>
    <n v="4.7"/>
    <x v="2"/>
    <n v="1"/>
  </r>
  <r>
    <d v="2035-07-05T00:00:00"/>
    <x v="11"/>
    <n v="24.7"/>
    <n v="7.2"/>
    <x v="2"/>
    <n v="1"/>
  </r>
  <r>
    <d v="2035-07-06T00:00:00"/>
    <x v="21"/>
    <n v="27.1"/>
    <n v="2.6"/>
    <x v="2"/>
    <n v="1"/>
  </r>
  <r>
    <d v="2035-07-07T00:00:00"/>
    <x v="3"/>
    <n v="28.7"/>
    <n v="3"/>
    <x v="2"/>
    <n v="1"/>
  </r>
  <r>
    <d v="2035-07-08T00:00:00"/>
    <x v="6"/>
    <n v="15"/>
    <n v="21.4"/>
    <x v="2"/>
    <n v="1"/>
  </r>
  <r>
    <d v="2035-07-09T00:00:00"/>
    <x v="7"/>
    <n v="11.6"/>
    <n v="3.7"/>
    <x v="2"/>
    <n v="1"/>
  </r>
  <r>
    <d v="2035-07-10T00:00:00"/>
    <x v="6"/>
    <n v="13.1"/>
    <n v="0"/>
    <x v="2"/>
    <n v="1"/>
  </r>
  <r>
    <d v="2035-07-11T00:00:00"/>
    <x v="22"/>
    <n v="25.5"/>
    <n v="0"/>
    <x v="2"/>
    <n v="1"/>
  </r>
  <r>
    <d v="2035-07-12T00:00:00"/>
    <x v="24"/>
    <n v="19.399999999999999"/>
    <n v="0.7"/>
    <x v="2"/>
    <n v="1"/>
  </r>
  <r>
    <d v="2035-07-13T00:00:00"/>
    <x v="3"/>
    <n v="27.3"/>
    <n v="2.6"/>
    <x v="2"/>
    <n v="1"/>
  </r>
  <r>
    <d v="2035-07-14T00:00:00"/>
    <x v="6"/>
    <n v="21"/>
    <n v="27.8"/>
    <x v="2"/>
    <n v="1"/>
  </r>
  <r>
    <d v="2035-07-15T00:00:00"/>
    <x v="10"/>
    <n v="11.5"/>
    <n v="0"/>
    <x v="2"/>
    <n v="1"/>
  </r>
  <r>
    <d v="2035-07-16T00:00:00"/>
    <x v="17"/>
    <n v="13.6"/>
    <n v="2.7"/>
    <x v="2"/>
    <n v="1"/>
  </r>
  <r>
    <d v="2035-07-17T00:00:00"/>
    <x v="4"/>
    <n v="17.8"/>
    <n v="0.3"/>
    <x v="2"/>
    <n v="1"/>
  </r>
  <r>
    <d v="2035-07-18T00:00:00"/>
    <x v="4"/>
    <n v="10.8"/>
    <n v="0"/>
    <x v="2"/>
    <n v="1"/>
  </r>
  <r>
    <d v="2035-07-19T00:00:00"/>
    <x v="6"/>
    <n v="23"/>
    <n v="3.3"/>
    <x v="2"/>
    <n v="1"/>
  </r>
  <r>
    <d v="2035-07-20T00:00:00"/>
    <x v="7"/>
    <n v="14"/>
    <n v="18.100000000000001"/>
    <x v="2"/>
    <n v="1"/>
  </r>
  <r>
    <d v="2035-07-21T00:00:00"/>
    <x v="22"/>
    <n v="10.7"/>
    <n v="0.4"/>
    <x v="2"/>
    <n v="1"/>
  </r>
  <r>
    <d v="2035-07-22T00:00:00"/>
    <x v="9"/>
    <n v="24.7"/>
    <n v="9.1"/>
    <x v="2"/>
    <n v="1"/>
  </r>
  <r>
    <d v="2035-07-23T00:00:00"/>
    <x v="15"/>
    <n v="12.2"/>
    <n v="18.600000000000001"/>
    <x v="2"/>
    <n v="1"/>
  </r>
  <r>
    <d v="2035-07-24T00:00:00"/>
    <x v="2"/>
    <n v="23.8"/>
    <n v="7.7"/>
    <x v="2"/>
    <n v="1"/>
  </r>
  <r>
    <d v="2035-07-25T00:00:00"/>
    <x v="8"/>
    <n v="18.5"/>
    <n v="0"/>
    <x v="2"/>
    <n v="1"/>
  </r>
  <r>
    <d v="2035-07-26T00:00:00"/>
    <x v="13"/>
    <n v="24.6"/>
    <n v="0.4"/>
    <x v="2"/>
    <n v="1"/>
  </r>
  <r>
    <d v="2035-07-27T00:00:00"/>
    <x v="15"/>
    <n v="24.6"/>
    <n v="10.4"/>
    <x v="2"/>
    <n v="1"/>
  </r>
  <r>
    <d v="2035-07-28T00:00:00"/>
    <x v="8"/>
    <n v="25.4"/>
    <n v="11.2"/>
    <x v="2"/>
    <n v="1"/>
  </r>
  <r>
    <d v="2035-07-29T00:00:00"/>
    <x v="7"/>
    <n v="13.1"/>
    <n v="22.2"/>
    <x v="2"/>
    <n v="1"/>
  </r>
  <r>
    <d v="2035-07-30T00:00:00"/>
    <x v="6"/>
    <n v="10.1"/>
    <n v="11.6"/>
    <x v="2"/>
    <n v="1"/>
  </r>
  <r>
    <d v="2035-07-31T00:00:00"/>
    <x v="11"/>
    <n v="25"/>
    <n v="0"/>
    <x v="2"/>
    <n v="1"/>
  </r>
  <r>
    <d v="2035-08-01T00:00:00"/>
    <x v="14"/>
    <n v="20.9"/>
    <n v="11.4"/>
    <x v="2"/>
    <n v="1"/>
  </r>
  <r>
    <d v="2035-08-02T00:00:00"/>
    <x v="10"/>
    <n v="27.6"/>
    <n v="2.5"/>
    <x v="2"/>
    <n v="1"/>
  </r>
  <r>
    <d v="2035-08-03T00:00:00"/>
    <x v="6"/>
    <n v="22.8"/>
    <n v="0"/>
    <x v="2"/>
    <n v="1"/>
  </r>
  <r>
    <d v="2035-08-04T00:00:00"/>
    <x v="5"/>
    <n v="12"/>
    <n v="0"/>
    <x v="2"/>
    <n v="1"/>
  </r>
  <r>
    <d v="2035-08-05T00:00:00"/>
    <x v="19"/>
    <n v="16.8"/>
    <n v="4.9000000000000004"/>
    <x v="2"/>
    <n v="1"/>
  </r>
  <r>
    <d v="2035-08-06T00:00:00"/>
    <x v="16"/>
    <n v="12.9"/>
    <n v="3"/>
    <x v="2"/>
    <n v="1"/>
  </r>
  <r>
    <d v="2035-08-07T00:00:00"/>
    <x v="6"/>
    <n v="18"/>
    <n v="13.6"/>
    <x v="2"/>
    <n v="1"/>
  </r>
  <r>
    <d v="2035-08-08T00:00:00"/>
    <x v="15"/>
    <n v="26"/>
    <n v="30.4"/>
    <x v="2"/>
    <n v="1"/>
  </r>
  <r>
    <d v="2035-08-09T00:00:00"/>
    <x v="11"/>
    <n v="21.3"/>
    <n v="0"/>
    <x v="2"/>
    <n v="1"/>
  </r>
  <r>
    <d v="2035-08-10T00:00:00"/>
    <x v="7"/>
    <n v="15.7"/>
    <n v="5.9"/>
    <x v="2"/>
    <n v="1"/>
  </r>
  <r>
    <d v="2035-08-11T00:00:00"/>
    <x v="6"/>
    <n v="19.100000000000001"/>
    <n v="0"/>
    <x v="2"/>
    <n v="1"/>
  </r>
  <r>
    <d v="2035-08-12T00:00:00"/>
    <x v="15"/>
    <n v="24.6"/>
    <n v="12.3"/>
    <x v="2"/>
    <n v="1"/>
  </r>
  <r>
    <d v="2035-08-13T00:00:00"/>
    <x v="6"/>
    <n v="18.7"/>
    <n v="17.8"/>
    <x v="2"/>
    <n v="1"/>
  </r>
  <r>
    <d v="2035-08-14T00:00:00"/>
    <x v="5"/>
    <n v="13.2"/>
    <n v="3.2"/>
    <x v="2"/>
    <n v="1"/>
  </r>
  <r>
    <d v="2035-08-15T00:00:00"/>
    <x v="8"/>
    <n v="24.8"/>
    <n v="2.2999999999999998"/>
    <x v="2"/>
    <n v="1"/>
  </r>
  <r>
    <d v="2035-08-16T00:00:00"/>
    <x v="11"/>
    <n v="19.3"/>
    <n v="1.8"/>
    <x v="2"/>
    <n v="1"/>
  </r>
  <r>
    <d v="2035-08-17T00:00:00"/>
    <x v="14"/>
    <n v="22.7"/>
    <n v="0"/>
    <x v="2"/>
    <n v="1"/>
  </r>
  <r>
    <d v="2035-08-18T00:00:00"/>
    <x v="7"/>
    <n v="15.2"/>
    <n v="0"/>
    <x v="2"/>
    <n v="1"/>
  </r>
  <r>
    <d v="2035-08-19T00:00:00"/>
    <x v="19"/>
    <n v="28.6"/>
    <n v="0.2"/>
    <x v="2"/>
    <n v="1"/>
  </r>
  <r>
    <d v="2035-08-20T00:00:00"/>
    <x v="3"/>
    <n v="17.899999999999999"/>
    <n v="18.600000000000001"/>
    <x v="2"/>
    <n v="1"/>
  </r>
  <r>
    <d v="2035-08-21T00:00:00"/>
    <x v="27"/>
    <n v="11.6"/>
    <n v="0"/>
    <x v="2"/>
    <n v="1"/>
  </r>
  <r>
    <d v="2035-08-22T00:00:00"/>
    <x v="17"/>
    <n v="19"/>
    <n v="2.2000000000000002"/>
    <x v="2"/>
    <n v="1"/>
  </r>
  <r>
    <d v="2035-08-23T00:00:00"/>
    <x v="8"/>
    <n v="17.600000000000001"/>
    <n v="7.2"/>
    <x v="2"/>
    <n v="1"/>
  </r>
  <r>
    <d v="2035-08-24T00:00:00"/>
    <x v="3"/>
    <n v="12.1"/>
    <n v="7.2"/>
    <x v="2"/>
    <n v="1"/>
  </r>
  <r>
    <d v="2035-08-25T00:00:00"/>
    <x v="9"/>
    <n v="28.3"/>
    <n v="1.8"/>
    <x v="2"/>
    <n v="1"/>
  </r>
  <r>
    <d v="2035-08-26T00:00:00"/>
    <x v="14"/>
    <n v="13.3"/>
    <n v="0"/>
    <x v="2"/>
    <n v="1"/>
  </r>
  <r>
    <d v="2035-08-27T00:00:00"/>
    <x v="7"/>
    <n v="21"/>
    <n v="4.2"/>
    <x v="2"/>
    <n v="1"/>
  </r>
  <r>
    <d v="2035-08-28T00:00:00"/>
    <x v="6"/>
    <n v="12"/>
    <n v="2.2000000000000002"/>
    <x v="2"/>
    <n v="1"/>
  </r>
  <r>
    <d v="2035-08-29T00:00:00"/>
    <x v="15"/>
    <n v="12.1"/>
    <n v="0"/>
    <x v="2"/>
    <n v="1"/>
  </r>
  <r>
    <d v="2035-08-30T00:00:00"/>
    <x v="7"/>
    <n v="15.8"/>
    <n v="17.2"/>
    <x v="2"/>
    <n v="1"/>
  </r>
  <r>
    <d v="2035-08-31T00:00:00"/>
    <x v="8"/>
    <n v="25.7"/>
    <n v="5.9"/>
    <x v="2"/>
    <n v="1"/>
  </r>
  <r>
    <d v="2035-09-01T00:00:00"/>
    <x v="6"/>
    <n v="20.5"/>
    <n v="26"/>
    <x v="2"/>
    <n v="1"/>
  </r>
  <r>
    <d v="2035-09-02T00:00:00"/>
    <x v="9"/>
    <n v="23.5"/>
    <n v="15.3"/>
    <x v="2"/>
    <n v="1"/>
  </r>
  <r>
    <d v="2035-09-03T00:00:00"/>
    <x v="8"/>
    <n v="21.7"/>
    <n v="1.2"/>
    <x v="2"/>
    <n v="1"/>
  </r>
  <r>
    <d v="2035-09-04T00:00:00"/>
    <x v="6"/>
    <n v="29.8"/>
    <n v="0"/>
    <x v="2"/>
    <n v="1"/>
  </r>
  <r>
    <d v="2035-09-05T00:00:00"/>
    <x v="3"/>
    <n v="27.1"/>
    <n v="0"/>
    <x v="2"/>
    <n v="1"/>
  </r>
  <r>
    <d v="2035-09-06T00:00:00"/>
    <x v="8"/>
    <n v="27.3"/>
    <n v="0"/>
    <x v="2"/>
    <n v="1"/>
  </r>
  <r>
    <d v="2035-09-07T00:00:00"/>
    <x v="15"/>
    <n v="15.5"/>
    <n v="27.6"/>
    <x v="2"/>
    <n v="1"/>
  </r>
  <r>
    <d v="2035-09-08T00:00:00"/>
    <x v="9"/>
    <n v="27.9"/>
    <n v="5.0999999999999996"/>
    <x v="2"/>
    <n v="1"/>
  </r>
  <r>
    <d v="2035-09-09T00:00:00"/>
    <x v="6"/>
    <n v="19.7"/>
    <n v="21.4"/>
    <x v="2"/>
    <n v="1"/>
  </r>
  <r>
    <d v="2035-09-10T00:00:00"/>
    <x v="6"/>
    <n v="27.8"/>
    <n v="27.6"/>
    <x v="2"/>
    <n v="1"/>
  </r>
  <r>
    <d v="2035-09-11T00:00:00"/>
    <x v="18"/>
    <n v="12.3"/>
    <n v="2.9"/>
    <x v="2"/>
    <n v="1"/>
  </r>
  <r>
    <d v="2035-09-12T00:00:00"/>
    <x v="14"/>
    <n v="12.8"/>
    <n v="8.8000000000000007"/>
    <x v="2"/>
    <n v="1"/>
  </r>
  <r>
    <d v="2035-09-13T00:00:00"/>
    <x v="6"/>
    <n v="15"/>
    <n v="0"/>
    <x v="2"/>
    <n v="1"/>
  </r>
  <r>
    <d v="2035-09-14T00:00:00"/>
    <x v="19"/>
    <n v="27.6"/>
    <n v="4.7"/>
    <x v="2"/>
    <n v="1"/>
  </r>
  <r>
    <d v="2035-09-15T00:00:00"/>
    <x v="6"/>
    <n v="19.600000000000001"/>
    <n v="0"/>
    <x v="2"/>
    <n v="1"/>
  </r>
  <r>
    <d v="2035-09-16T00:00:00"/>
    <x v="26"/>
    <n v="16"/>
    <n v="0.4"/>
    <x v="2"/>
    <n v="1"/>
  </r>
  <r>
    <d v="2035-09-17T00:00:00"/>
    <x v="6"/>
    <n v="10.3"/>
    <n v="0"/>
    <x v="2"/>
    <n v="1"/>
  </r>
  <r>
    <d v="2035-09-18T00:00:00"/>
    <x v="14"/>
    <n v="20.2"/>
    <n v="13.9"/>
    <x v="2"/>
    <n v="1"/>
  </r>
  <r>
    <d v="2035-09-19T00:00:00"/>
    <x v="22"/>
    <n v="26.4"/>
    <n v="6.8"/>
    <x v="2"/>
    <n v="1"/>
  </r>
  <r>
    <d v="2035-09-20T00:00:00"/>
    <x v="13"/>
    <n v="20.6"/>
    <n v="0"/>
    <x v="2"/>
    <n v="1"/>
  </r>
  <r>
    <d v="2035-09-21T00:00:00"/>
    <x v="15"/>
    <n v="12.3"/>
    <n v="0.2"/>
    <x v="2"/>
    <n v="1"/>
  </r>
  <r>
    <d v="2035-09-22T00:00:00"/>
    <x v="15"/>
    <n v="11.2"/>
    <n v="36.200000000000003"/>
    <x v="2"/>
    <n v="1"/>
  </r>
  <r>
    <d v="2035-09-23T00:00:00"/>
    <x v="4"/>
    <n v="22.6"/>
    <n v="2.4"/>
    <x v="2"/>
    <n v="1"/>
  </r>
  <r>
    <d v="2035-09-24T00:00:00"/>
    <x v="21"/>
    <n v="16.399999999999999"/>
    <n v="0.1"/>
    <x v="2"/>
    <n v="1"/>
  </r>
  <r>
    <d v="2035-09-25T00:00:00"/>
    <x v="23"/>
    <n v="23.4"/>
    <n v="0"/>
    <x v="2"/>
    <n v="1"/>
  </r>
  <r>
    <d v="2035-09-26T00:00:00"/>
    <x v="19"/>
    <n v="20.2"/>
    <n v="0.3"/>
    <x v="2"/>
    <n v="1"/>
  </r>
  <r>
    <d v="2035-09-27T00:00:00"/>
    <x v="7"/>
    <n v="17.600000000000001"/>
    <n v="15"/>
    <x v="2"/>
    <n v="1"/>
  </r>
  <r>
    <d v="2035-09-28T00:00:00"/>
    <x v="6"/>
    <n v="21.7"/>
    <n v="33.299999999999997"/>
    <x v="2"/>
    <n v="1"/>
  </r>
  <r>
    <d v="2035-09-29T00:00:00"/>
    <x v="6"/>
    <n v="18.399999999999999"/>
    <n v="19.3"/>
    <x v="2"/>
    <n v="1"/>
  </r>
  <r>
    <d v="2035-09-30T00:00:00"/>
    <x v="3"/>
    <n v="20.100000000000001"/>
    <n v="15.4"/>
    <x v="2"/>
    <n v="1"/>
  </r>
  <r>
    <d v="2035-10-01T00:00:00"/>
    <x v="14"/>
    <n v="16.5"/>
    <n v="14.7"/>
    <x v="2"/>
    <n v="1"/>
  </r>
  <r>
    <d v="2035-10-02T00:00:00"/>
    <x v="6"/>
    <n v="12.3"/>
    <n v="30.2"/>
    <x v="2"/>
    <n v="1"/>
  </r>
  <r>
    <d v="2035-10-03T00:00:00"/>
    <x v="6"/>
    <n v="29.6"/>
    <n v="42.8"/>
    <x v="2"/>
    <n v="1"/>
  </r>
  <r>
    <d v="2035-10-04T00:00:00"/>
    <x v="8"/>
    <n v="26.6"/>
    <n v="9.1999999999999993"/>
    <x v="2"/>
    <n v="1"/>
  </r>
  <r>
    <d v="2035-10-05T00:00:00"/>
    <x v="14"/>
    <n v="26.7"/>
    <n v="4"/>
    <x v="2"/>
    <n v="1"/>
  </r>
  <r>
    <d v="2035-10-06T00:00:00"/>
    <x v="11"/>
    <n v="23.6"/>
    <n v="0"/>
    <x v="2"/>
    <n v="1"/>
  </r>
  <r>
    <d v="2035-10-07T00:00:00"/>
    <x v="21"/>
    <n v="13.6"/>
    <n v="2.8"/>
    <x v="2"/>
    <n v="1"/>
  </r>
  <r>
    <d v="2035-10-08T00:00:00"/>
    <x v="1"/>
    <n v="13.8"/>
    <n v="6.5"/>
    <x v="2"/>
    <n v="1"/>
  </r>
  <r>
    <d v="2035-10-09T00:00:00"/>
    <x v="2"/>
    <n v="12.3"/>
    <n v="0"/>
    <x v="2"/>
    <n v="1"/>
  </r>
  <r>
    <d v="2035-10-10T00:00:00"/>
    <x v="3"/>
    <n v="12.3"/>
    <n v="0"/>
    <x v="2"/>
    <n v="1"/>
  </r>
  <r>
    <d v="2035-10-11T00:00:00"/>
    <x v="14"/>
    <n v="22.7"/>
    <n v="10.3"/>
    <x v="2"/>
    <n v="1"/>
  </r>
  <r>
    <d v="2035-10-12T00:00:00"/>
    <x v="6"/>
    <n v="19"/>
    <n v="0"/>
    <x v="2"/>
    <n v="1"/>
  </r>
  <r>
    <d v="2035-10-13T00:00:00"/>
    <x v="4"/>
    <n v="23.4"/>
    <n v="0"/>
    <x v="2"/>
    <n v="1"/>
  </r>
  <r>
    <d v="2035-10-14T00:00:00"/>
    <x v="11"/>
    <n v="28.2"/>
    <n v="0"/>
    <x v="2"/>
    <n v="1"/>
  </r>
  <r>
    <d v="2035-10-15T00:00:00"/>
    <x v="11"/>
    <n v="20.100000000000001"/>
    <n v="9.6999999999999993"/>
    <x v="2"/>
    <n v="1"/>
  </r>
  <r>
    <d v="2035-10-16T00:00:00"/>
    <x v="13"/>
    <n v="29.6"/>
    <n v="0"/>
    <x v="2"/>
    <n v="1"/>
  </r>
  <r>
    <d v="2035-10-17T00:00:00"/>
    <x v="3"/>
    <n v="25.8"/>
    <n v="0"/>
    <x v="2"/>
    <n v="1"/>
  </r>
  <r>
    <d v="2035-10-18T00:00:00"/>
    <x v="6"/>
    <n v="19.600000000000001"/>
    <n v="18.5"/>
    <x v="2"/>
    <n v="1"/>
  </r>
  <r>
    <d v="2035-10-19T00:00:00"/>
    <x v="15"/>
    <n v="21.5"/>
    <n v="3"/>
    <x v="2"/>
    <n v="1"/>
  </r>
  <r>
    <d v="2035-10-20T00:00:00"/>
    <x v="11"/>
    <n v="24.2"/>
    <n v="17.399999999999999"/>
    <x v="2"/>
    <n v="1"/>
  </r>
  <r>
    <d v="2035-10-21T00:00:00"/>
    <x v="23"/>
    <n v="12"/>
    <n v="0"/>
    <x v="2"/>
    <n v="1"/>
  </r>
  <r>
    <d v="2035-10-22T00:00:00"/>
    <x v="29"/>
    <n v="23"/>
    <n v="0"/>
    <x v="2"/>
    <n v="1"/>
  </r>
  <r>
    <d v="2035-10-23T00:00:00"/>
    <x v="15"/>
    <n v="19.8"/>
    <n v="29.2"/>
    <x v="2"/>
    <n v="1"/>
  </r>
  <r>
    <d v="2035-10-24T00:00:00"/>
    <x v="1"/>
    <n v="14.9"/>
    <n v="0.8"/>
    <x v="2"/>
    <n v="1"/>
  </r>
  <r>
    <d v="2035-10-25T00:00:00"/>
    <x v="11"/>
    <n v="17.899999999999999"/>
    <n v="10.3"/>
    <x v="2"/>
    <n v="1"/>
  </r>
  <r>
    <d v="2035-10-26T00:00:00"/>
    <x v="3"/>
    <n v="26"/>
    <n v="0"/>
    <x v="2"/>
    <n v="1"/>
  </r>
  <r>
    <d v="2035-10-27T00:00:00"/>
    <x v="8"/>
    <n v="21.5"/>
    <n v="9.3000000000000007"/>
    <x v="2"/>
    <n v="1"/>
  </r>
  <r>
    <d v="2035-10-28T00:00:00"/>
    <x v="15"/>
    <n v="29.9"/>
    <n v="2.4"/>
    <x v="2"/>
    <n v="1"/>
  </r>
  <r>
    <d v="2035-10-29T00:00:00"/>
    <x v="6"/>
    <n v="12.3"/>
    <n v="35.1"/>
    <x v="2"/>
    <n v="1"/>
  </r>
  <r>
    <d v="2035-10-30T00:00:00"/>
    <x v="13"/>
    <n v="21.7"/>
    <n v="3.9"/>
    <x v="2"/>
    <n v="1"/>
  </r>
  <r>
    <d v="2035-10-31T00:00:00"/>
    <x v="6"/>
    <n v="10.7"/>
    <n v="0"/>
    <x v="2"/>
    <n v="1"/>
  </r>
  <r>
    <d v="2035-11-01T00:00:00"/>
    <x v="1"/>
    <n v="21.5"/>
    <n v="0"/>
    <x v="2"/>
    <n v="1"/>
  </r>
  <r>
    <d v="2035-11-02T00:00:00"/>
    <x v="6"/>
    <n v="26"/>
    <n v="33.799999999999997"/>
    <x v="2"/>
    <n v="1"/>
  </r>
  <r>
    <d v="2035-11-03T00:00:00"/>
    <x v="11"/>
    <n v="24.4"/>
    <n v="15.4"/>
    <x v="2"/>
    <n v="1"/>
  </r>
  <r>
    <d v="2035-11-04T00:00:00"/>
    <x v="1"/>
    <n v="20.8"/>
    <n v="0"/>
    <x v="2"/>
    <n v="1"/>
  </r>
  <r>
    <d v="2035-11-05T00:00:00"/>
    <x v="9"/>
    <n v="18.2"/>
    <n v="15.7"/>
    <x v="2"/>
    <n v="1"/>
  </r>
  <r>
    <d v="2035-11-06T00:00:00"/>
    <x v="13"/>
    <n v="25.6"/>
    <n v="7"/>
    <x v="2"/>
    <n v="1"/>
  </r>
  <r>
    <d v="2035-11-07T00:00:00"/>
    <x v="7"/>
    <n v="25.2"/>
    <n v="0"/>
    <x v="2"/>
    <n v="1"/>
  </r>
  <r>
    <d v="2035-11-08T00:00:00"/>
    <x v="8"/>
    <n v="19.5"/>
    <n v="5.3"/>
    <x v="2"/>
    <n v="1"/>
  </r>
  <r>
    <d v="2035-11-09T00:00:00"/>
    <x v="20"/>
    <n v="15.2"/>
    <n v="2.1"/>
    <x v="2"/>
    <n v="1"/>
  </r>
  <r>
    <d v="2035-11-10T00:00:00"/>
    <x v="11"/>
    <n v="21.3"/>
    <n v="11.4"/>
    <x v="2"/>
    <n v="1"/>
  </r>
  <r>
    <d v="2035-11-11T00:00:00"/>
    <x v="11"/>
    <n v="21.8"/>
    <n v="17.399999999999999"/>
    <x v="2"/>
    <n v="1"/>
  </r>
  <r>
    <d v="2035-11-12T00:00:00"/>
    <x v="12"/>
    <n v="27.7"/>
    <n v="0.5"/>
    <x v="2"/>
    <n v="1"/>
  </r>
  <r>
    <d v="2035-11-13T00:00:00"/>
    <x v="6"/>
    <n v="28.5"/>
    <n v="46"/>
    <x v="2"/>
    <n v="1"/>
  </r>
  <r>
    <d v="2035-11-14T00:00:00"/>
    <x v="23"/>
    <n v="25.7"/>
    <n v="0"/>
    <x v="2"/>
    <n v="1"/>
  </r>
  <r>
    <d v="2035-11-15T00:00:00"/>
    <x v="6"/>
    <n v="18"/>
    <n v="0.5"/>
    <x v="2"/>
    <n v="1"/>
  </r>
  <r>
    <d v="2035-11-16T00:00:00"/>
    <x v="2"/>
    <n v="29.5"/>
    <n v="0"/>
    <x v="2"/>
    <n v="1"/>
  </r>
  <r>
    <d v="2035-11-17T00:00:00"/>
    <x v="14"/>
    <n v="21"/>
    <n v="10.3"/>
    <x v="2"/>
    <n v="1"/>
  </r>
  <r>
    <d v="2035-11-18T00:00:00"/>
    <x v="16"/>
    <n v="11.4"/>
    <n v="3.2"/>
    <x v="2"/>
    <n v="1"/>
  </r>
  <r>
    <d v="2035-11-19T00:00:00"/>
    <x v="6"/>
    <n v="12.7"/>
    <n v="0"/>
    <x v="2"/>
    <n v="1"/>
  </r>
  <r>
    <d v="2035-11-20T00:00:00"/>
    <x v="1"/>
    <n v="14.1"/>
    <n v="6.2"/>
    <x v="2"/>
    <n v="1"/>
  </r>
  <r>
    <d v="2035-11-21T00:00:00"/>
    <x v="6"/>
    <n v="29.5"/>
    <n v="29.9"/>
    <x v="2"/>
    <n v="1"/>
  </r>
  <r>
    <d v="2035-11-22T00:00:00"/>
    <x v="18"/>
    <n v="18.399999999999999"/>
    <n v="0"/>
    <x v="2"/>
    <n v="1"/>
  </r>
  <r>
    <d v="2035-11-23T00:00:00"/>
    <x v="6"/>
    <n v="29.6"/>
    <n v="43.9"/>
    <x v="2"/>
    <n v="1"/>
  </r>
  <r>
    <d v="2035-11-24T00:00:00"/>
    <x v="11"/>
    <n v="22.6"/>
    <n v="14.6"/>
    <x v="2"/>
    <n v="1"/>
  </r>
  <r>
    <d v="2035-11-25T00:00:00"/>
    <x v="10"/>
    <n v="13.2"/>
    <n v="6.7"/>
    <x v="2"/>
    <n v="1"/>
  </r>
  <r>
    <d v="2035-11-26T00:00:00"/>
    <x v="2"/>
    <n v="10.4"/>
    <n v="8.5"/>
    <x v="2"/>
    <n v="1"/>
  </r>
  <r>
    <d v="2035-11-27T00:00:00"/>
    <x v="9"/>
    <n v="16.899999999999999"/>
    <n v="16.399999999999999"/>
    <x v="2"/>
    <n v="1"/>
  </r>
  <r>
    <d v="2035-11-28T00:00:00"/>
    <x v="11"/>
    <n v="19.399999999999999"/>
    <n v="0"/>
    <x v="2"/>
    <n v="1"/>
  </r>
  <r>
    <d v="2035-11-29T00:00:00"/>
    <x v="20"/>
    <n v="16.899999999999999"/>
    <n v="1"/>
    <x v="2"/>
    <n v="1"/>
  </r>
  <r>
    <d v="2035-11-30T00:00:00"/>
    <x v="6"/>
    <n v="18.399999999999999"/>
    <n v="0"/>
    <x v="2"/>
    <n v="1"/>
  </r>
  <r>
    <d v="2035-12-01T00:00:00"/>
    <x v="11"/>
    <n v="13.4"/>
    <n v="12.8"/>
    <x v="2"/>
    <n v="1"/>
  </r>
  <r>
    <d v="2035-12-02T00:00:00"/>
    <x v="3"/>
    <n v="28.8"/>
    <n v="0"/>
    <x v="2"/>
    <n v="1"/>
  </r>
  <r>
    <d v="2035-12-03T00:00:00"/>
    <x v="9"/>
    <n v="19.5"/>
    <n v="1.3"/>
    <x v="2"/>
    <n v="1"/>
  </r>
  <r>
    <d v="2035-12-04T00:00:00"/>
    <x v="7"/>
    <n v="29"/>
    <n v="14"/>
    <x v="2"/>
    <n v="1"/>
  </r>
  <r>
    <d v="2035-12-05T00:00:00"/>
    <x v="6"/>
    <n v="29.6"/>
    <n v="28.7"/>
    <x v="2"/>
    <n v="1"/>
  </r>
  <r>
    <d v="2035-12-06T00:00:00"/>
    <x v="2"/>
    <n v="26.5"/>
    <n v="0"/>
    <x v="2"/>
    <n v="1"/>
  </r>
  <r>
    <d v="2035-12-07T00:00:00"/>
    <x v="14"/>
    <n v="24.8"/>
    <n v="12.1"/>
    <x v="2"/>
    <n v="1"/>
  </r>
  <r>
    <d v="2035-12-08T00:00:00"/>
    <x v="6"/>
    <n v="20"/>
    <n v="14.7"/>
    <x v="2"/>
    <n v="1"/>
  </r>
  <r>
    <d v="2035-12-09T00:00:00"/>
    <x v="15"/>
    <n v="16.899999999999999"/>
    <n v="38.299999999999997"/>
    <x v="2"/>
    <n v="1"/>
  </r>
  <r>
    <d v="2035-12-10T00:00:00"/>
    <x v="6"/>
    <n v="11.5"/>
    <n v="24.7"/>
    <x v="2"/>
    <n v="1"/>
  </r>
  <r>
    <d v="2035-12-11T00:00:00"/>
    <x v="9"/>
    <n v="11.4"/>
    <n v="0"/>
    <x v="2"/>
    <n v="1"/>
  </r>
  <r>
    <d v="2035-12-12T00:00:00"/>
    <x v="2"/>
    <n v="28.5"/>
    <n v="0"/>
    <x v="2"/>
    <n v="1"/>
  </r>
  <r>
    <d v="2035-12-13T00:00:00"/>
    <x v="18"/>
    <n v="27.9"/>
    <n v="0.7"/>
    <x v="2"/>
    <n v="1"/>
  </r>
  <r>
    <d v="2035-12-14T00:00:00"/>
    <x v="3"/>
    <n v="26.7"/>
    <n v="15.5"/>
    <x v="2"/>
    <n v="1"/>
  </r>
  <r>
    <d v="2035-12-15T00:00:00"/>
    <x v="14"/>
    <n v="28.3"/>
    <n v="6.8"/>
    <x v="2"/>
    <n v="1"/>
  </r>
  <r>
    <d v="2035-12-16T00:00:00"/>
    <x v="6"/>
    <n v="28.9"/>
    <n v="0"/>
    <x v="2"/>
    <n v="1"/>
  </r>
  <r>
    <d v="2035-12-17T00:00:00"/>
    <x v="16"/>
    <n v="21.6"/>
    <n v="4"/>
    <x v="2"/>
    <n v="1"/>
  </r>
  <r>
    <d v="2035-12-18T00:00:00"/>
    <x v="19"/>
    <n v="16.5"/>
    <n v="4.2"/>
    <x v="2"/>
    <n v="1"/>
  </r>
  <r>
    <d v="2035-12-19T00:00:00"/>
    <x v="9"/>
    <n v="24.6"/>
    <n v="10.6"/>
    <x v="2"/>
    <n v="1"/>
  </r>
  <r>
    <d v="2035-12-20T00:00:00"/>
    <x v="6"/>
    <n v="28.9"/>
    <n v="40.799999999999997"/>
    <x v="2"/>
    <n v="1"/>
  </r>
  <r>
    <d v="2035-12-21T00:00:00"/>
    <x v="6"/>
    <n v="22.1"/>
    <n v="10"/>
    <x v="2"/>
    <n v="1"/>
  </r>
  <r>
    <d v="2035-12-22T00:00:00"/>
    <x v="17"/>
    <n v="29.3"/>
    <n v="0"/>
    <x v="2"/>
    <n v="1"/>
  </r>
  <r>
    <d v="2035-12-23T00:00:00"/>
    <x v="14"/>
    <n v="18.8"/>
    <n v="4.7"/>
    <x v="2"/>
    <n v="1"/>
  </r>
  <r>
    <d v="2035-12-24T00:00:00"/>
    <x v="15"/>
    <n v="26.5"/>
    <n v="7.3"/>
    <x v="2"/>
    <n v="1"/>
  </r>
  <r>
    <d v="2035-12-25T00:00:00"/>
    <x v="7"/>
    <n v="24"/>
    <n v="0"/>
    <x v="2"/>
    <n v="1"/>
  </r>
  <r>
    <d v="2035-12-26T00:00:00"/>
    <x v="15"/>
    <n v="21"/>
    <n v="12.2"/>
    <x v="2"/>
    <n v="1"/>
  </r>
  <r>
    <d v="2035-12-27T00:00:00"/>
    <x v="13"/>
    <n v="28.1"/>
    <n v="6.7"/>
    <x v="2"/>
    <n v="1"/>
  </r>
  <r>
    <d v="2035-12-28T00:00:00"/>
    <x v="10"/>
    <n v="23.3"/>
    <n v="4.8"/>
    <x v="2"/>
    <n v="1"/>
  </r>
  <r>
    <d v="2035-12-29T00:00:00"/>
    <x v="13"/>
    <n v="14.3"/>
    <n v="1.5"/>
    <x v="2"/>
    <n v="1"/>
  </r>
  <r>
    <d v="2035-12-30T00:00:00"/>
    <x v="21"/>
    <n v="12.6"/>
    <n v="1.1000000000000001"/>
    <x v="2"/>
    <n v="1"/>
  </r>
  <r>
    <d v="2035-12-31T00:00:00"/>
    <x v="15"/>
    <n v="18.100000000000001"/>
    <n v="0"/>
    <x v="2"/>
    <n v="1"/>
  </r>
  <r>
    <d v="2036-01-01T00:00:00"/>
    <x v="11"/>
    <n v="19"/>
    <n v="11"/>
    <x v="3"/>
    <n v="1"/>
  </r>
  <r>
    <d v="2036-01-02T00:00:00"/>
    <x v="10"/>
    <n v="13.1"/>
    <n v="0"/>
    <x v="3"/>
    <n v="1"/>
  </r>
  <r>
    <d v="2036-01-03T00:00:00"/>
    <x v="9"/>
    <n v="17.3"/>
    <n v="1.1000000000000001"/>
    <x v="3"/>
    <n v="1"/>
  </r>
  <r>
    <d v="2036-01-04T00:00:00"/>
    <x v="13"/>
    <n v="23.7"/>
    <n v="5.9"/>
    <x v="3"/>
    <n v="1"/>
  </r>
  <r>
    <d v="2036-01-05T00:00:00"/>
    <x v="29"/>
    <n v="26.3"/>
    <n v="0"/>
    <x v="3"/>
    <n v="1"/>
  </r>
  <r>
    <d v="2036-01-06T00:00:00"/>
    <x v="11"/>
    <n v="16.399999999999999"/>
    <n v="0"/>
    <x v="3"/>
    <n v="1"/>
  </r>
  <r>
    <d v="2036-01-07T00:00:00"/>
    <x v="5"/>
    <n v="13"/>
    <n v="0"/>
    <x v="3"/>
    <n v="1"/>
  </r>
  <r>
    <d v="2036-01-08T00:00:00"/>
    <x v="7"/>
    <n v="28.6"/>
    <n v="1"/>
    <x v="3"/>
    <n v="1"/>
  </r>
  <r>
    <d v="2036-01-09T00:00:00"/>
    <x v="6"/>
    <n v="11.1"/>
    <n v="2.4"/>
    <x v="3"/>
    <n v="1"/>
  </r>
  <r>
    <d v="2036-01-10T00:00:00"/>
    <x v="20"/>
    <n v="12.9"/>
    <n v="2.9"/>
    <x v="3"/>
    <n v="1"/>
  </r>
  <r>
    <d v="2036-01-11T00:00:00"/>
    <x v="26"/>
    <n v="28.4"/>
    <n v="0.9"/>
    <x v="3"/>
    <n v="1"/>
  </r>
  <r>
    <d v="2036-01-12T00:00:00"/>
    <x v="15"/>
    <n v="21.8"/>
    <n v="3.4"/>
    <x v="3"/>
    <n v="1"/>
  </r>
  <r>
    <d v="2036-01-13T00:00:00"/>
    <x v="2"/>
    <n v="20.8"/>
    <n v="11.8"/>
    <x v="3"/>
    <n v="1"/>
  </r>
  <r>
    <d v="2036-01-14T00:00:00"/>
    <x v="9"/>
    <n v="17.399999999999999"/>
    <n v="0"/>
    <x v="3"/>
    <n v="1"/>
  </r>
  <r>
    <d v="2036-01-15T00:00:00"/>
    <x v="2"/>
    <n v="24.8"/>
    <n v="0"/>
    <x v="3"/>
    <n v="1"/>
  </r>
  <r>
    <d v="2036-01-16T00:00:00"/>
    <x v="5"/>
    <n v="12.9"/>
    <n v="0"/>
    <x v="3"/>
    <n v="1"/>
  </r>
  <r>
    <d v="2036-01-17T00:00:00"/>
    <x v="13"/>
    <n v="25.9"/>
    <n v="0"/>
    <x v="3"/>
    <n v="1"/>
  </r>
  <r>
    <d v="2036-01-18T00:00:00"/>
    <x v="6"/>
    <n v="11.5"/>
    <n v="23.2"/>
    <x v="3"/>
    <n v="1"/>
  </r>
  <r>
    <d v="2036-01-19T00:00:00"/>
    <x v="16"/>
    <n v="25.5"/>
    <n v="0"/>
    <x v="3"/>
    <n v="1"/>
  </r>
  <r>
    <d v="2036-01-20T00:00:00"/>
    <x v="29"/>
    <n v="22.6"/>
    <n v="2.2000000000000002"/>
    <x v="3"/>
    <n v="1"/>
  </r>
  <r>
    <d v="2036-01-21T00:00:00"/>
    <x v="6"/>
    <n v="14.2"/>
    <n v="0"/>
    <x v="3"/>
    <n v="1"/>
  </r>
  <r>
    <d v="2036-01-22T00:00:00"/>
    <x v="9"/>
    <n v="26.9"/>
    <n v="9.1999999999999993"/>
    <x v="3"/>
    <n v="1"/>
  </r>
  <r>
    <d v="2036-01-23T00:00:00"/>
    <x v="15"/>
    <n v="30"/>
    <n v="32.299999999999997"/>
    <x v="3"/>
    <n v="1"/>
  </r>
  <r>
    <d v="2036-01-24T00:00:00"/>
    <x v="23"/>
    <n v="16.2"/>
    <n v="5.2"/>
    <x v="3"/>
    <n v="1"/>
  </r>
  <r>
    <d v="2036-01-25T00:00:00"/>
    <x v="7"/>
    <n v="12.2"/>
    <n v="0"/>
    <x v="3"/>
    <n v="1"/>
  </r>
  <r>
    <d v="2036-01-26T00:00:00"/>
    <x v="11"/>
    <n v="28.7"/>
    <n v="0.5"/>
    <x v="3"/>
    <n v="1"/>
  </r>
  <r>
    <d v="2036-01-27T00:00:00"/>
    <x v="2"/>
    <n v="23.3"/>
    <n v="11.1"/>
    <x v="3"/>
    <n v="1"/>
  </r>
  <r>
    <d v="2036-01-28T00:00:00"/>
    <x v="11"/>
    <n v="30"/>
    <n v="16.100000000000001"/>
    <x v="3"/>
    <n v="1"/>
  </r>
  <r>
    <d v="2036-01-29T00:00:00"/>
    <x v="14"/>
    <n v="16"/>
    <n v="9.8000000000000007"/>
    <x v="3"/>
    <n v="1"/>
  </r>
  <r>
    <d v="2036-01-30T00:00:00"/>
    <x v="16"/>
    <n v="21.6"/>
    <n v="3.4"/>
    <x v="3"/>
    <n v="1"/>
  </r>
  <r>
    <d v="2036-01-31T00:00:00"/>
    <x v="15"/>
    <n v="27.9"/>
    <n v="4.8"/>
    <x v="3"/>
    <n v="1"/>
  </r>
  <r>
    <d v="2036-02-01T00:00:00"/>
    <x v="9"/>
    <n v="17.5"/>
    <n v="14.7"/>
    <x v="3"/>
    <n v="1"/>
  </r>
  <r>
    <d v="2036-02-02T00:00:00"/>
    <x v="3"/>
    <n v="20.7"/>
    <n v="0"/>
    <x v="3"/>
    <n v="1"/>
  </r>
  <r>
    <d v="2036-02-03T00:00:00"/>
    <x v="6"/>
    <n v="10.8"/>
    <n v="36.4"/>
    <x v="3"/>
    <n v="1"/>
  </r>
  <r>
    <d v="2036-02-04T00:00:00"/>
    <x v="15"/>
    <n v="27.6"/>
    <n v="32.799999999999997"/>
    <x v="3"/>
    <n v="1"/>
  </r>
  <r>
    <d v="2036-02-05T00:00:00"/>
    <x v="7"/>
    <n v="10.8"/>
    <n v="11.6"/>
    <x v="3"/>
    <n v="1"/>
  </r>
  <r>
    <d v="2036-02-06T00:00:00"/>
    <x v="13"/>
    <n v="13.7"/>
    <n v="0"/>
    <x v="3"/>
    <n v="1"/>
  </r>
  <r>
    <d v="2036-02-07T00:00:00"/>
    <x v="14"/>
    <n v="19.5"/>
    <n v="0"/>
    <x v="3"/>
    <n v="1"/>
  </r>
  <r>
    <d v="2036-02-08T00:00:00"/>
    <x v="5"/>
    <n v="21.6"/>
    <n v="11.6"/>
    <x v="3"/>
    <n v="1"/>
  </r>
  <r>
    <d v="2036-02-09T00:00:00"/>
    <x v="13"/>
    <n v="21.6"/>
    <n v="2.7"/>
    <x v="3"/>
    <n v="1"/>
  </r>
  <r>
    <d v="2036-02-10T00:00:00"/>
    <x v="20"/>
    <n v="16.100000000000001"/>
    <n v="0"/>
    <x v="3"/>
    <n v="1"/>
  </r>
  <r>
    <d v="2036-02-11T00:00:00"/>
    <x v="2"/>
    <n v="29.4"/>
    <n v="12.5"/>
    <x v="3"/>
    <n v="1"/>
  </r>
  <r>
    <d v="2036-02-12T00:00:00"/>
    <x v="22"/>
    <n v="17.8"/>
    <n v="5.9"/>
    <x v="3"/>
    <n v="1"/>
  </r>
  <r>
    <d v="2036-02-13T00:00:00"/>
    <x v="15"/>
    <n v="26.1"/>
    <n v="14.8"/>
    <x v="3"/>
    <n v="1"/>
  </r>
  <r>
    <d v="2036-02-14T00:00:00"/>
    <x v="6"/>
    <n v="13.8"/>
    <n v="0"/>
    <x v="3"/>
    <n v="1"/>
  </r>
  <r>
    <d v="2036-02-15T00:00:00"/>
    <x v="8"/>
    <n v="16.100000000000001"/>
    <n v="6.2"/>
    <x v="3"/>
    <n v="1"/>
  </r>
  <r>
    <d v="2036-02-16T00:00:00"/>
    <x v="6"/>
    <n v="23.2"/>
    <n v="45.8"/>
    <x v="3"/>
    <n v="1"/>
  </r>
  <r>
    <d v="2036-02-17T00:00:00"/>
    <x v="8"/>
    <n v="18.899999999999999"/>
    <n v="0"/>
    <x v="3"/>
    <n v="1"/>
  </r>
  <r>
    <d v="2036-02-18T00:00:00"/>
    <x v="15"/>
    <n v="28.9"/>
    <n v="34.1"/>
    <x v="3"/>
    <n v="1"/>
  </r>
  <r>
    <d v="2036-02-19T00:00:00"/>
    <x v="6"/>
    <n v="19.3"/>
    <n v="49.6"/>
    <x v="3"/>
    <n v="1"/>
  </r>
  <r>
    <d v="2036-02-20T00:00:00"/>
    <x v="14"/>
    <n v="23.9"/>
    <n v="11.7"/>
    <x v="3"/>
    <n v="1"/>
  </r>
  <r>
    <d v="2036-02-21T00:00:00"/>
    <x v="9"/>
    <n v="28.6"/>
    <n v="11.5"/>
    <x v="3"/>
    <n v="1"/>
  </r>
  <r>
    <d v="2036-02-22T00:00:00"/>
    <x v="22"/>
    <n v="14.5"/>
    <n v="0.3"/>
    <x v="3"/>
    <n v="1"/>
  </r>
  <r>
    <d v="2036-02-23T00:00:00"/>
    <x v="6"/>
    <n v="13"/>
    <n v="0"/>
    <x v="3"/>
    <n v="1"/>
  </r>
  <r>
    <d v="2036-02-24T00:00:00"/>
    <x v="15"/>
    <n v="16.2"/>
    <n v="9.1999999999999993"/>
    <x v="3"/>
    <n v="1"/>
  </r>
  <r>
    <d v="2036-02-25T00:00:00"/>
    <x v="11"/>
    <n v="27.1"/>
    <n v="6.3"/>
    <x v="3"/>
    <n v="1"/>
  </r>
  <r>
    <d v="2036-02-26T00:00:00"/>
    <x v="6"/>
    <n v="15.6"/>
    <n v="28"/>
    <x v="3"/>
    <n v="1"/>
  </r>
  <r>
    <d v="2036-02-27T00:00:00"/>
    <x v="22"/>
    <n v="28.9"/>
    <n v="6.8"/>
    <x v="3"/>
    <n v="1"/>
  </r>
  <r>
    <d v="2036-02-28T00:00:00"/>
    <x v="2"/>
    <n v="13.8"/>
    <n v="11.9"/>
    <x v="3"/>
    <n v="1"/>
  </r>
  <r>
    <d v="2036-02-29T00:00:00"/>
    <x v="2"/>
    <n v="17.8"/>
    <n v="1.5"/>
    <x v="3"/>
    <n v="1"/>
  </r>
  <r>
    <d v="2036-03-01T00:00:00"/>
    <x v="18"/>
    <n v="25.1"/>
    <n v="0"/>
    <x v="3"/>
    <n v="1"/>
  </r>
  <r>
    <d v="2036-03-02T00:00:00"/>
    <x v="18"/>
    <n v="29.5"/>
    <n v="0"/>
    <x v="3"/>
    <n v="1"/>
  </r>
  <r>
    <d v="2036-03-03T00:00:00"/>
    <x v="22"/>
    <n v="16.100000000000001"/>
    <n v="7.1"/>
    <x v="3"/>
    <n v="1"/>
  </r>
  <r>
    <d v="2036-03-04T00:00:00"/>
    <x v="5"/>
    <n v="18"/>
    <n v="12"/>
    <x v="3"/>
    <n v="1"/>
  </r>
  <r>
    <d v="2036-03-05T00:00:00"/>
    <x v="6"/>
    <n v="12.2"/>
    <n v="26.8"/>
    <x v="3"/>
    <n v="1"/>
  </r>
  <r>
    <d v="2036-03-06T00:00:00"/>
    <x v="10"/>
    <n v="20.7"/>
    <n v="4.7"/>
    <x v="3"/>
    <n v="1"/>
  </r>
  <r>
    <d v="2036-03-07T00:00:00"/>
    <x v="6"/>
    <n v="20.100000000000001"/>
    <n v="47.4"/>
    <x v="3"/>
    <n v="1"/>
  </r>
  <r>
    <d v="2036-03-08T00:00:00"/>
    <x v="6"/>
    <n v="14.9"/>
    <n v="43.8"/>
    <x v="3"/>
    <n v="1"/>
  </r>
  <r>
    <d v="2036-03-09T00:00:00"/>
    <x v="6"/>
    <n v="19"/>
    <n v="0"/>
    <x v="3"/>
    <n v="1"/>
  </r>
  <r>
    <d v="2036-03-10T00:00:00"/>
    <x v="2"/>
    <n v="12.5"/>
    <n v="0"/>
    <x v="3"/>
    <n v="1"/>
  </r>
  <r>
    <d v="2036-03-11T00:00:00"/>
    <x v="9"/>
    <n v="15.2"/>
    <n v="13.9"/>
    <x v="3"/>
    <n v="1"/>
  </r>
  <r>
    <d v="2036-03-12T00:00:00"/>
    <x v="15"/>
    <n v="29.2"/>
    <n v="26.8"/>
    <x v="3"/>
    <n v="1"/>
  </r>
  <r>
    <d v="2036-03-13T00:00:00"/>
    <x v="2"/>
    <n v="13.9"/>
    <n v="1.1000000000000001"/>
    <x v="3"/>
    <n v="1"/>
  </r>
  <r>
    <d v="2036-03-14T00:00:00"/>
    <x v="11"/>
    <n v="11.4"/>
    <n v="0"/>
    <x v="3"/>
    <n v="1"/>
  </r>
  <r>
    <d v="2036-03-15T00:00:00"/>
    <x v="5"/>
    <n v="15.8"/>
    <n v="7"/>
    <x v="3"/>
    <n v="1"/>
  </r>
  <r>
    <d v="2036-03-16T00:00:00"/>
    <x v="6"/>
    <n v="10.199999999999999"/>
    <n v="43.3"/>
    <x v="3"/>
    <n v="1"/>
  </r>
  <r>
    <d v="2036-03-17T00:00:00"/>
    <x v="9"/>
    <n v="19.600000000000001"/>
    <n v="8.9"/>
    <x v="3"/>
    <n v="1"/>
  </r>
  <r>
    <d v="2036-03-18T00:00:00"/>
    <x v="2"/>
    <n v="15.5"/>
    <n v="10.1"/>
    <x v="3"/>
    <n v="1"/>
  </r>
  <r>
    <d v="2036-03-19T00:00:00"/>
    <x v="11"/>
    <n v="19.899999999999999"/>
    <n v="16.2"/>
    <x v="3"/>
    <n v="1"/>
  </r>
  <r>
    <d v="2036-03-20T00:00:00"/>
    <x v="14"/>
    <n v="10.7"/>
    <n v="2.8"/>
    <x v="3"/>
    <n v="1"/>
  </r>
  <r>
    <d v="2036-03-21T00:00:00"/>
    <x v="22"/>
    <n v="11.5"/>
    <n v="5.9"/>
    <x v="3"/>
    <n v="1"/>
  </r>
  <r>
    <d v="2036-03-22T00:00:00"/>
    <x v="10"/>
    <n v="28.4"/>
    <n v="1"/>
    <x v="3"/>
    <n v="1"/>
  </r>
  <r>
    <d v="2036-03-23T00:00:00"/>
    <x v="15"/>
    <n v="22.3"/>
    <n v="5.0999999999999996"/>
    <x v="3"/>
    <n v="1"/>
  </r>
  <r>
    <d v="2036-03-24T00:00:00"/>
    <x v="9"/>
    <n v="28.7"/>
    <n v="11.5"/>
    <x v="3"/>
    <n v="1"/>
  </r>
  <r>
    <d v="2036-03-25T00:00:00"/>
    <x v="2"/>
    <n v="19.100000000000001"/>
    <n v="0"/>
    <x v="3"/>
    <n v="1"/>
  </r>
  <r>
    <d v="2036-03-26T00:00:00"/>
    <x v="6"/>
    <n v="10.199999999999999"/>
    <n v="7.6"/>
    <x v="3"/>
    <n v="1"/>
  </r>
  <r>
    <d v="2036-03-27T00:00:00"/>
    <x v="6"/>
    <n v="18.399999999999999"/>
    <n v="0"/>
    <x v="3"/>
    <n v="1"/>
  </r>
  <r>
    <d v="2036-03-28T00:00:00"/>
    <x v="15"/>
    <n v="29.3"/>
    <n v="0"/>
    <x v="3"/>
    <n v="1"/>
  </r>
  <r>
    <d v="2036-03-29T00:00:00"/>
    <x v="13"/>
    <n v="26.7"/>
    <n v="5.7"/>
    <x v="3"/>
    <n v="1"/>
  </r>
  <r>
    <d v="2036-03-30T00:00:00"/>
    <x v="4"/>
    <n v="22.2"/>
    <n v="0.9"/>
    <x v="3"/>
    <n v="1"/>
  </r>
  <r>
    <d v="2036-03-31T00:00:00"/>
    <x v="9"/>
    <n v="25.5"/>
    <n v="5.8"/>
    <x v="3"/>
    <n v="1"/>
  </r>
  <r>
    <d v="2036-04-01T00:00:00"/>
    <x v="15"/>
    <n v="23.5"/>
    <n v="32"/>
    <x v="3"/>
    <n v="1"/>
  </r>
  <r>
    <d v="2036-04-02T00:00:00"/>
    <x v="1"/>
    <n v="28.4"/>
    <n v="5.7"/>
    <x v="3"/>
    <n v="1"/>
  </r>
  <r>
    <d v="2036-04-03T00:00:00"/>
    <x v="18"/>
    <n v="13.7"/>
    <n v="6"/>
    <x v="3"/>
    <n v="1"/>
  </r>
  <r>
    <d v="2036-04-04T00:00:00"/>
    <x v="5"/>
    <n v="22.1"/>
    <n v="11.7"/>
    <x v="3"/>
    <n v="1"/>
  </r>
  <r>
    <d v="2036-04-05T00:00:00"/>
    <x v="7"/>
    <n v="16.899999999999999"/>
    <n v="18.2"/>
    <x v="3"/>
    <n v="1"/>
  </r>
  <r>
    <d v="2036-04-06T00:00:00"/>
    <x v="18"/>
    <n v="28"/>
    <n v="0"/>
    <x v="3"/>
    <n v="1"/>
  </r>
  <r>
    <d v="2036-04-07T00:00:00"/>
    <x v="6"/>
    <n v="13.5"/>
    <n v="3.7"/>
    <x v="3"/>
    <n v="1"/>
  </r>
  <r>
    <d v="2036-04-08T00:00:00"/>
    <x v="15"/>
    <n v="13.4"/>
    <n v="22.5"/>
    <x v="3"/>
    <n v="1"/>
  </r>
  <r>
    <d v="2036-04-09T00:00:00"/>
    <x v="2"/>
    <n v="19.899999999999999"/>
    <n v="11.6"/>
    <x v="3"/>
    <n v="1"/>
  </r>
  <r>
    <d v="2036-04-10T00:00:00"/>
    <x v="3"/>
    <n v="24.2"/>
    <n v="11"/>
    <x v="3"/>
    <n v="1"/>
  </r>
  <r>
    <d v="2036-04-11T00:00:00"/>
    <x v="23"/>
    <n v="20.399999999999999"/>
    <n v="0"/>
    <x v="3"/>
    <n v="1"/>
  </r>
  <r>
    <d v="2036-04-12T00:00:00"/>
    <x v="23"/>
    <n v="16.600000000000001"/>
    <n v="3.9"/>
    <x v="3"/>
    <n v="1"/>
  </r>
  <r>
    <d v="2036-04-13T00:00:00"/>
    <x v="29"/>
    <n v="14.3"/>
    <n v="0"/>
    <x v="3"/>
    <n v="1"/>
  </r>
  <r>
    <d v="2036-04-14T00:00:00"/>
    <x v="22"/>
    <n v="24.4"/>
    <n v="4.4000000000000004"/>
    <x v="3"/>
    <n v="1"/>
  </r>
  <r>
    <d v="2036-04-15T00:00:00"/>
    <x v="6"/>
    <n v="26.7"/>
    <n v="30.4"/>
    <x v="3"/>
    <n v="1"/>
  </r>
  <r>
    <d v="2036-04-16T00:00:00"/>
    <x v="9"/>
    <n v="20.100000000000001"/>
    <n v="3.1"/>
    <x v="3"/>
    <n v="1"/>
  </r>
  <r>
    <d v="2036-04-17T00:00:00"/>
    <x v="2"/>
    <n v="13.5"/>
    <n v="6.9"/>
    <x v="3"/>
    <n v="1"/>
  </r>
  <r>
    <d v="2036-04-18T00:00:00"/>
    <x v="3"/>
    <n v="18.8"/>
    <n v="21.5"/>
    <x v="3"/>
    <n v="1"/>
  </r>
  <r>
    <d v="2036-04-19T00:00:00"/>
    <x v="15"/>
    <n v="18"/>
    <n v="13.9"/>
    <x v="3"/>
    <n v="1"/>
  </r>
  <r>
    <d v="2036-04-20T00:00:00"/>
    <x v="23"/>
    <n v="16.899999999999999"/>
    <n v="1.8"/>
    <x v="3"/>
    <n v="1"/>
  </r>
  <r>
    <d v="2036-04-21T00:00:00"/>
    <x v="2"/>
    <n v="23.7"/>
    <n v="13"/>
    <x v="3"/>
    <n v="1"/>
  </r>
  <r>
    <d v="2036-04-22T00:00:00"/>
    <x v="28"/>
    <n v="17.600000000000001"/>
    <n v="0.6"/>
    <x v="3"/>
    <n v="1"/>
  </r>
  <r>
    <d v="2036-04-23T00:00:00"/>
    <x v="3"/>
    <n v="29.1"/>
    <n v="8.3000000000000007"/>
    <x v="3"/>
    <n v="1"/>
  </r>
  <r>
    <d v="2036-04-24T00:00:00"/>
    <x v="5"/>
    <n v="26.8"/>
    <n v="11.2"/>
    <x v="3"/>
    <n v="1"/>
  </r>
  <r>
    <d v="2036-04-25T00:00:00"/>
    <x v="14"/>
    <n v="10.5"/>
    <n v="0"/>
    <x v="3"/>
    <n v="1"/>
  </r>
  <r>
    <d v="2036-04-26T00:00:00"/>
    <x v="7"/>
    <n v="13.5"/>
    <n v="0"/>
    <x v="3"/>
    <n v="1"/>
  </r>
  <r>
    <d v="2036-04-27T00:00:00"/>
    <x v="6"/>
    <n v="14"/>
    <n v="22"/>
    <x v="3"/>
    <n v="1"/>
  </r>
  <r>
    <d v="2036-04-28T00:00:00"/>
    <x v="7"/>
    <n v="26.7"/>
    <n v="8"/>
    <x v="3"/>
    <n v="1"/>
  </r>
  <r>
    <d v="2036-04-29T00:00:00"/>
    <x v="22"/>
    <n v="11.2"/>
    <n v="6.1"/>
    <x v="3"/>
    <n v="1"/>
  </r>
  <r>
    <d v="2036-04-30T00:00:00"/>
    <x v="23"/>
    <n v="24.7"/>
    <n v="0"/>
    <x v="3"/>
    <n v="1"/>
  </r>
  <r>
    <d v="2036-05-01T00:00:00"/>
    <x v="25"/>
    <n v="27.2"/>
    <n v="0.3"/>
    <x v="3"/>
    <n v="1"/>
  </r>
  <r>
    <d v="2036-05-02T00:00:00"/>
    <x v="26"/>
    <n v="11"/>
    <n v="0"/>
    <x v="3"/>
    <n v="1"/>
  </r>
  <r>
    <d v="2036-05-03T00:00:00"/>
    <x v="8"/>
    <n v="10.9"/>
    <n v="4.4000000000000004"/>
    <x v="3"/>
    <n v="1"/>
  </r>
  <r>
    <d v="2036-05-04T00:00:00"/>
    <x v="3"/>
    <n v="27.4"/>
    <n v="6"/>
    <x v="3"/>
    <n v="1"/>
  </r>
  <r>
    <d v="2036-05-05T00:00:00"/>
    <x v="2"/>
    <n v="20"/>
    <n v="7.6"/>
    <x v="3"/>
    <n v="1"/>
  </r>
  <r>
    <d v="2036-05-06T00:00:00"/>
    <x v="14"/>
    <n v="23.5"/>
    <n v="2.5"/>
    <x v="3"/>
    <n v="1"/>
  </r>
  <r>
    <d v="2036-05-07T00:00:00"/>
    <x v="7"/>
    <n v="28.5"/>
    <n v="0"/>
    <x v="3"/>
    <n v="1"/>
  </r>
  <r>
    <d v="2036-05-08T00:00:00"/>
    <x v="23"/>
    <n v="10.8"/>
    <n v="5.8"/>
    <x v="3"/>
    <n v="1"/>
  </r>
  <r>
    <d v="2036-05-09T00:00:00"/>
    <x v="11"/>
    <n v="18.899999999999999"/>
    <n v="9.5"/>
    <x v="3"/>
    <n v="1"/>
  </r>
  <r>
    <d v="2036-05-10T00:00:00"/>
    <x v="9"/>
    <n v="24"/>
    <n v="4"/>
    <x v="3"/>
    <n v="1"/>
  </r>
  <r>
    <d v="2036-05-11T00:00:00"/>
    <x v="8"/>
    <n v="12.7"/>
    <n v="3"/>
    <x v="3"/>
    <n v="1"/>
  </r>
  <r>
    <d v="2036-05-12T00:00:00"/>
    <x v="3"/>
    <n v="13.4"/>
    <n v="6.2"/>
    <x v="3"/>
    <n v="1"/>
  </r>
  <r>
    <d v="2036-05-13T00:00:00"/>
    <x v="6"/>
    <n v="15.9"/>
    <n v="0"/>
    <x v="3"/>
    <n v="1"/>
  </r>
  <r>
    <d v="2036-05-14T00:00:00"/>
    <x v="7"/>
    <n v="19.399999999999999"/>
    <n v="21.2"/>
    <x v="3"/>
    <n v="1"/>
  </r>
  <r>
    <d v="2036-05-15T00:00:00"/>
    <x v="11"/>
    <n v="16.3"/>
    <n v="17.600000000000001"/>
    <x v="3"/>
    <n v="1"/>
  </r>
  <r>
    <d v="2036-05-16T00:00:00"/>
    <x v="7"/>
    <n v="28"/>
    <n v="20.399999999999999"/>
    <x v="3"/>
    <n v="1"/>
  </r>
  <r>
    <d v="2036-05-17T00:00:00"/>
    <x v="8"/>
    <n v="19"/>
    <n v="5.2"/>
    <x v="3"/>
    <n v="1"/>
  </r>
  <r>
    <d v="2036-05-18T00:00:00"/>
    <x v="23"/>
    <n v="24.1"/>
    <n v="4.8"/>
    <x v="3"/>
    <n v="1"/>
  </r>
  <r>
    <d v="2036-05-19T00:00:00"/>
    <x v="6"/>
    <n v="15.2"/>
    <n v="25.7"/>
    <x v="3"/>
    <n v="1"/>
  </r>
  <r>
    <d v="2036-05-20T00:00:00"/>
    <x v="7"/>
    <n v="16.3"/>
    <n v="21"/>
    <x v="3"/>
    <n v="1"/>
  </r>
  <r>
    <d v="2036-05-21T00:00:00"/>
    <x v="3"/>
    <n v="26.9"/>
    <n v="0"/>
    <x v="3"/>
    <n v="1"/>
  </r>
  <r>
    <d v="2036-05-22T00:00:00"/>
    <x v="5"/>
    <n v="25"/>
    <n v="0.5"/>
    <x v="3"/>
    <n v="1"/>
  </r>
  <r>
    <d v="2036-05-23T00:00:00"/>
    <x v="13"/>
    <n v="25.1"/>
    <n v="5.2"/>
    <x v="3"/>
    <n v="1"/>
  </r>
  <r>
    <d v="2036-05-24T00:00:00"/>
    <x v="8"/>
    <n v="29.2"/>
    <n v="7.1"/>
    <x v="3"/>
    <n v="1"/>
  </r>
  <r>
    <d v="2036-05-25T00:00:00"/>
    <x v="9"/>
    <n v="18.100000000000001"/>
    <n v="5.0999999999999996"/>
    <x v="3"/>
    <n v="1"/>
  </r>
  <r>
    <d v="2036-05-26T00:00:00"/>
    <x v="7"/>
    <n v="12.5"/>
    <n v="0"/>
    <x v="3"/>
    <n v="1"/>
  </r>
  <r>
    <d v="2036-05-27T00:00:00"/>
    <x v="7"/>
    <n v="19.100000000000001"/>
    <n v="0.3"/>
    <x v="3"/>
    <n v="1"/>
  </r>
  <r>
    <d v="2036-05-28T00:00:00"/>
    <x v="15"/>
    <n v="27.4"/>
    <n v="0"/>
    <x v="3"/>
    <n v="1"/>
  </r>
  <r>
    <d v="2036-05-29T00:00:00"/>
    <x v="3"/>
    <n v="21.1"/>
    <n v="10.4"/>
    <x v="3"/>
    <n v="1"/>
  </r>
  <r>
    <d v="2036-05-30T00:00:00"/>
    <x v="23"/>
    <n v="13.4"/>
    <n v="0"/>
    <x v="3"/>
    <n v="1"/>
  </r>
  <r>
    <d v="2036-05-31T00:00:00"/>
    <x v="1"/>
    <n v="11.9"/>
    <n v="7.3"/>
    <x v="3"/>
    <n v="1"/>
  </r>
  <r>
    <d v="2036-06-01T00:00:00"/>
    <x v="9"/>
    <n v="20.399999999999999"/>
    <n v="4.3"/>
    <x v="3"/>
    <n v="1"/>
  </r>
  <r>
    <d v="2036-06-02T00:00:00"/>
    <x v="3"/>
    <n v="29.5"/>
    <n v="18.600000000000001"/>
    <x v="3"/>
    <n v="1"/>
  </r>
  <r>
    <d v="2036-06-03T00:00:00"/>
    <x v="8"/>
    <n v="24.1"/>
    <n v="5"/>
    <x v="3"/>
    <n v="1"/>
  </r>
  <r>
    <d v="2036-06-04T00:00:00"/>
    <x v="10"/>
    <n v="11.5"/>
    <n v="3.6"/>
    <x v="3"/>
    <n v="1"/>
  </r>
  <r>
    <d v="2036-06-05T00:00:00"/>
    <x v="21"/>
    <n v="21.2"/>
    <n v="1.8"/>
    <x v="3"/>
    <n v="1"/>
  </r>
  <r>
    <d v="2036-06-06T00:00:00"/>
    <x v="6"/>
    <n v="22.2"/>
    <n v="40.299999999999997"/>
    <x v="3"/>
    <n v="1"/>
  </r>
  <r>
    <d v="2036-06-07T00:00:00"/>
    <x v="6"/>
    <n v="14.6"/>
    <n v="2.6"/>
    <x v="3"/>
    <n v="1"/>
  </r>
  <r>
    <d v="2036-06-08T00:00:00"/>
    <x v="9"/>
    <n v="23.3"/>
    <n v="8.1"/>
    <x v="3"/>
    <n v="1"/>
  </r>
  <r>
    <d v="2036-06-09T00:00:00"/>
    <x v="9"/>
    <n v="16.2"/>
    <n v="10.4"/>
    <x v="3"/>
    <n v="1"/>
  </r>
  <r>
    <d v="2036-06-10T00:00:00"/>
    <x v="6"/>
    <n v="25.9"/>
    <n v="0"/>
    <x v="3"/>
    <n v="1"/>
  </r>
  <r>
    <d v="2036-06-11T00:00:00"/>
    <x v="1"/>
    <n v="14.6"/>
    <n v="7"/>
    <x v="3"/>
    <n v="1"/>
  </r>
  <r>
    <d v="2036-06-12T00:00:00"/>
    <x v="14"/>
    <n v="15.1"/>
    <n v="11.7"/>
    <x v="3"/>
    <n v="1"/>
  </r>
  <r>
    <d v="2036-06-13T00:00:00"/>
    <x v="15"/>
    <n v="14.1"/>
    <n v="6.5"/>
    <x v="3"/>
    <n v="1"/>
  </r>
  <r>
    <d v="2036-06-14T00:00:00"/>
    <x v="23"/>
    <n v="22.1"/>
    <n v="1.8"/>
    <x v="3"/>
    <n v="1"/>
  </r>
  <r>
    <d v="2036-06-15T00:00:00"/>
    <x v="7"/>
    <n v="27.2"/>
    <n v="21.9"/>
    <x v="3"/>
    <n v="1"/>
  </r>
  <r>
    <d v="2036-06-16T00:00:00"/>
    <x v="2"/>
    <n v="10.8"/>
    <n v="0"/>
    <x v="3"/>
    <n v="1"/>
  </r>
  <r>
    <d v="2036-06-17T00:00:00"/>
    <x v="3"/>
    <n v="24.6"/>
    <n v="0"/>
    <x v="3"/>
    <n v="1"/>
  </r>
  <r>
    <d v="2036-06-18T00:00:00"/>
    <x v="6"/>
    <n v="27.8"/>
    <n v="26.3"/>
    <x v="3"/>
    <n v="1"/>
  </r>
  <r>
    <d v="2036-06-19T00:00:00"/>
    <x v="10"/>
    <n v="12.9"/>
    <n v="2.8"/>
    <x v="3"/>
    <n v="1"/>
  </r>
  <r>
    <d v="2036-06-20T00:00:00"/>
    <x v="9"/>
    <n v="13.9"/>
    <n v="0.6"/>
    <x v="3"/>
    <n v="1"/>
  </r>
  <r>
    <d v="2036-06-21T00:00:00"/>
    <x v="25"/>
    <n v="27.6"/>
    <n v="0.6"/>
    <x v="3"/>
    <n v="1"/>
  </r>
  <r>
    <d v="2036-06-22T00:00:00"/>
    <x v="7"/>
    <n v="18.600000000000001"/>
    <n v="21.5"/>
    <x v="3"/>
    <n v="1"/>
  </r>
  <r>
    <d v="2036-06-23T00:00:00"/>
    <x v="2"/>
    <n v="17.8"/>
    <n v="0"/>
    <x v="3"/>
    <n v="1"/>
  </r>
  <r>
    <d v="2036-06-24T00:00:00"/>
    <x v="11"/>
    <n v="20.8"/>
    <n v="8.5"/>
    <x v="3"/>
    <n v="1"/>
  </r>
  <r>
    <d v="2036-06-25T00:00:00"/>
    <x v="18"/>
    <n v="16.399999999999999"/>
    <n v="6.8"/>
    <x v="3"/>
    <n v="1"/>
  </r>
  <r>
    <d v="2036-06-26T00:00:00"/>
    <x v="23"/>
    <n v="14.6"/>
    <n v="0"/>
    <x v="3"/>
    <n v="1"/>
  </r>
  <r>
    <d v="2036-06-27T00:00:00"/>
    <x v="5"/>
    <n v="27.1"/>
    <n v="1.2"/>
    <x v="3"/>
    <n v="1"/>
  </r>
  <r>
    <d v="2036-06-28T00:00:00"/>
    <x v="6"/>
    <n v="18.3"/>
    <n v="3.7"/>
    <x v="3"/>
    <n v="1"/>
  </r>
  <r>
    <d v="2036-06-29T00:00:00"/>
    <x v="25"/>
    <n v="27.1"/>
    <n v="0.2"/>
    <x v="3"/>
    <n v="1"/>
  </r>
  <r>
    <d v="2036-06-30T00:00:00"/>
    <x v="11"/>
    <n v="12.9"/>
    <n v="10.199999999999999"/>
    <x v="3"/>
    <n v="1"/>
  </r>
  <r>
    <d v="2036-07-01T00:00:00"/>
    <x v="15"/>
    <n v="19.100000000000001"/>
    <n v="19.600000000000001"/>
    <x v="3"/>
    <n v="1"/>
  </r>
  <r>
    <d v="2036-07-02T00:00:00"/>
    <x v="2"/>
    <n v="19.2"/>
    <n v="3.6"/>
    <x v="3"/>
    <n v="1"/>
  </r>
  <r>
    <d v="2036-07-03T00:00:00"/>
    <x v="5"/>
    <n v="25.2"/>
    <n v="0"/>
    <x v="3"/>
    <n v="1"/>
  </r>
  <r>
    <d v="2036-07-04T00:00:00"/>
    <x v="11"/>
    <n v="13.5"/>
    <n v="6.3"/>
    <x v="3"/>
    <n v="1"/>
  </r>
  <r>
    <d v="2036-07-05T00:00:00"/>
    <x v="8"/>
    <n v="19.2"/>
    <n v="7.7"/>
    <x v="3"/>
    <n v="1"/>
  </r>
  <r>
    <d v="2036-07-06T00:00:00"/>
    <x v="10"/>
    <n v="24.1"/>
    <n v="7.8"/>
    <x v="3"/>
    <n v="1"/>
  </r>
  <r>
    <d v="2036-07-07T00:00:00"/>
    <x v="6"/>
    <n v="17.8"/>
    <n v="13.4"/>
    <x v="3"/>
    <n v="1"/>
  </r>
  <r>
    <d v="2036-07-08T00:00:00"/>
    <x v="3"/>
    <n v="24.7"/>
    <n v="21.1"/>
    <x v="3"/>
    <n v="1"/>
  </r>
  <r>
    <d v="2036-07-09T00:00:00"/>
    <x v="16"/>
    <n v="16.8"/>
    <n v="0"/>
    <x v="3"/>
    <n v="1"/>
  </r>
  <r>
    <d v="2036-07-10T00:00:00"/>
    <x v="1"/>
    <n v="10.7"/>
    <n v="3"/>
    <x v="3"/>
    <n v="1"/>
  </r>
  <r>
    <d v="2036-07-11T00:00:00"/>
    <x v="2"/>
    <n v="29.3"/>
    <n v="8.3000000000000007"/>
    <x v="3"/>
    <n v="1"/>
  </r>
  <r>
    <d v="2036-07-12T00:00:00"/>
    <x v="21"/>
    <n v="28.2"/>
    <n v="0"/>
    <x v="3"/>
    <n v="1"/>
  </r>
  <r>
    <d v="2036-07-13T00:00:00"/>
    <x v="6"/>
    <n v="17.3"/>
    <n v="33.6"/>
    <x v="3"/>
    <n v="1"/>
  </r>
  <r>
    <d v="2036-07-14T00:00:00"/>
    <x v="2"/>
    <n v="24.6"/>
    <n v="0"/>
    <x v="3"/>
    <n v="1"/>
  </r>
  <r>
    <d v="2036-07-15T00:00:00"/>
    <x v="8"/>
    <n v="12.6"/>
    <n v="0.6"/>
    <x v="3"/>
    <n v="1"/>
  </r>
  <r>
    <d v="2036-07-16T00:00:00"/>
    <x v="15"/>
    <n v="27.3"/>
    <n v="0"/>
    <x v="3"/>
    <n v="1"/>
  </r>
  <r>
    <d v="2036-07-17T00:00:00"/>
    <x v="4"/>
    <n v="14.4"/>
    <n v="2"/>
    <x v="3"/>
    <n v="1"/>
  </r>
  <r>
    <d v="2036-07-18T00:00:00"/>
    <x v="6"/>
    <n v="11.2"/>
    <n v="32.6"/>
    <x v="3"/>
    <n v="1"/>
  </r>
  <r>
    <d v="2036-07-19T00:00:00"/>
    <x v="15"/>
    <n v="11.4"/>
    <n v="5.5"/>
    <x v="3"/>
    <n v="1"/>
  </r>
  <r>
    <d v="2036-07-20T00:00:00"/>
    <x v="10"/>
    <n v="22.9"/>
    <n v="0"/>
    <x v="3"/>
    <n v="1"/>
  </r>
  <r>
    <d v="2036-07-21T00:00:00"/>
    <x v="3"/>
    <n v="14.3"/>
    <n v="13.2"/>
    <x v="3"/>
    <n v="1"/>
  </r>
  <r>
    <d v="2036-07-22T00:00:00"/>
    <x v="6"/>
    <n v="22.9"/>
    <n v="22.9"/>
    <x v="3"/>
    <n v="1"/>
  </r>
  <r>
    <d v="2036-07-23T00:00:00"/>
    <x v="7"/>
    <n v="11.8"/>
    <n v="0"/>
    <x v="3"/>
    <n v="1"/>
  </r>
  <r>
    <d v="2036-07-24T00:00:00"/>
    <x v="14"/>
    <n v="24.5"/>
    <n v="0"/>
    <x v="3"/>
    <n v="1"/>
  </r>
  <r>
    <d v="2036-07-25T00:00:00"/>
    <x v="11"/>
    <n v="25.5"/>
    <n v="19.3"/>
    <x v="3"/>
    <n v="1"/>
  </r>
  <r>
    <d v="2036-07-26T00:00:00"/>
    <x v="15"/>
    <n v="14.7"/>
    <n v="18.3"/>
    <x v="3"/>
    <n v="1"/>
  </r>
  <r>
    <d v="2036-07-27T00:00:00"/>
    <x v="11"/>
    <n v="28.7"/>
    <n v="0"/>
    <x v="3"/>
    <n v="1"/>
  </r>
  <r>
    <d v="2036-07-28T00:00:00"/>
    <x v="6"/>
    <n v="16.7"/>
    <n v="0"/>
    <x v="3"/>
    <n v="1"/>
  </r>
  <r>
    <d v="2036-07-29T00:00:00"/>
    <x v="11"/>
    <n v="17.399999999999999"/>
    <n v="13.7"/>
    <x v="3"/>
    <n v="1"/>
  </r>
  <r>
    <d v="2036-07-30T00:00:00"/>
    <x v="6"/>
    <n v="15.6"/>
    <n v="0"/>
    <x v="3"/>
    <n v="1"/>
  </r>
  <r>
    <d v="2036-07-31T00:00:00"/>
    <x v="15"/>
    <n v="21.7"/>
    <n v="0"/>
    <x v="3"/>
    <n v="1"/>
  </r>
  <r>
    <d v="2036-08-01T00:00:00"/>
    <x v="3"/>
    <n v="26"/>
    <n v="0"/>
    <x v="3"/>
    <n v="1"/>
  </r>
  <r>
    <d v="2036-08-02T00:00:00"/>
    <x v="18"/>
    <n v="24.5"/>
    <n v="9"/>
    <x v="3"/>
    <n v="1"/>
  </r>
  <r>
    <d v="2036-08-03T00:00:00"/>
    <x v="13"/>
    <n v="23.2"/>
    <n v="0"/>
    <x v="3"/>
    <n v="1"/>
  </r>
  <r>
    <d v="2036-08-04T00:00:00"/>
    <x v="20"/>
    <n v="17.600000000000001"/>
    <n v="0.8"/>
    <x v="3"/>
    <n v="1"/>
  </r>
  <r>
    <d v="2036-08-05T00:00:00"/>
    <x v="3"/>
    <n v="13.9"/>
    <n v="8.8000000000000007"/>
    <x v="3"/>
    <n v="1"/>
  </r>
  <r>
    <d v="2036-08-06T00:00:00"/>
    <x v="23"/>
    <n v="20.7"/>
    <n v="4.3"/>
    <x v="3"/>
    <n v="1"/>
  </r>
  <r>
    <d v="2036-08-07T00:00:00"/>
    <x v="1"/>
    <n v="10.1"/>
    <n v="1.7"/>
    <x v="3"/>
    <n v="1"/>
  </r>
  <r>
    <d v="2036-08-08T00:00:00"/>
    <x v="3"/>
    <n v="26.2"/>
    <n v="22.7"/>
    <x v="3"/>
    <n v="1"/>
  </r>
  <r>
    <d v="2036-08-09T00:00:00"/>
    <x v="15"/>
    <n v="27.6"/>
    <n v="13.8"/>
    <x v="3"/>
    <n v="1"/>
  </r>
  <r>
    <d v="2036-08-10T00:00:00"/>
    <x v="2"/>
    <n v="20.6"/>
    <n v="4.7"/>
    <x v="3"/>
    <n v="1"/>
  </r>
  <r>
    <d v="2036-08-11T00:00:00"/>
    <x v="5"/>
    <n v="21.4"/>
    <n v="5"/>
    <x v="3"/>
    <n v="1"/>
  </r>
  <r>
    <d v="2036-08-12T00:00:00"/>
    <x v="2"/>
    <n v="17.100000000000001"/>
    <n v="0"/>
    <x v="3"/>
    <n v="1"/>
  </r>
  <r>
    <d v="2036-08-13T00:00:00"/>
    <x v="6"/>
    <n v="19.5"/>
    <n v="20.5"/>
    <x v="3"/>
    <n v="1"/>
  </r>
  <r>
    <d v="2036-08-14T00:00:00"/>
    <x v="9"/>
    <n v="15.9"/>
    <n v="0"/>
    <x v="3"/>
    <n v="1"/>
  </r>
  <r>
    <d v="2036-08-15T00:00:00"/>
    <x v="6"/>
    <n v="21.1"/>
    <n v="46.8"/>
    <x v="3"/>
    <n v="1"/>
  </r>
  <r>
    <d v="2036-08-16T00:00:00"/>
    <x v="15"/>
    <n v="20.2"/>
    <n v="36.6"/>
    <x v="3"/>
    <n v="1"/>
  </r>
  <r>
    <d v="2036-08-17T00:00:00"/>
    <x v="8"/>
    <n v="25"/>
    <n v="7.8"/>
    <x v="3"/>
    <n v="1"/>
  </r>
  <r>
    <d v="2036-08-18T00:00:00"/>
    <x v="6"/>
    <n v="22.1"/>
    <n v="8.8000000000000007"/>
    <x v="3"/>
    <n v="1"/>
  </r>
  <r>
    <d v="2036-08-19T00:00:00"/>
    <x v="29"/>
    <n v="28.9"/>
    <n v="0.5"/>
    <x v="3"/>
    <n v="1"/>
  </r>
  <r>
    <d v="2036-08-20T00:00:00"/>
    <x v="7"/>
    <n v="19.600000000000001"/>
    <n v="0"/>
    <x v="3"/>
    <n v="1"/>
  </r>
  <r>
    <d v="2036-08-21T00:00:00"/>
    <x v="3"/>
    <n v="18"/>
    <n v="13.2"/>
    <x v="3"/>
    <n v="1"/>
  </r>
  <r>
    <d v="2036-08-22T00:00:00"/>
    <x v="8"/>
    <n v="28.3"/>
    <n v="0"/>
    <x v="3"/>
    <n v="1"/>
  </r>
  <r>
    <d v="2036-08-23T00:00:00"/>
    <x v="2"/>
    <n v="25.2"/>
    <n v="0"/>
    <x v="3"/>
    <n v="1"/>
  </r>
  <r>
    <d v="2036-08-24T00:00:00"/>
    <x v="6"/>
    <n v="22.5"/>
    <n v="0"/>
    <x v="3"/>
    <n v="1"/>
  </r>
  <r>
    <d v="2036-08-25T00:00:00"/>
    <x v="9"/>
    <n v="19.899999999999999"/>
    <n v="6.7"/>
    <x v="3"/>
    <n v="1"/>
  </r>
  <r>
    <d v="2036-08-26T00:00:00"/>
    <x v="7"/>
    <n v="10.8"/>
    <n v="19.600000000000001"/>
    <x v="3"/>
    <n v="1"/>
  </r>
  <r>
    <d v="2036-08-27T00:00:00"/>
    <x v="15"/>
    <n v="18.399999999999999"/>
    <n v="0.6"/>
    <x v="3"/>
    <n v="1"/>
  </r>
  <r>
    <d v="2036-08-28T00:00:00"/>
    <x v="22"/>
    <n v="27.6"/>
    <n v="3.7"/>
    <x v="3"/>
    <n v="1"/>
  </r>
  <r>
    <d v="2036-08-29T00:00:00"/>
    <x v="22"/>
    <n v="11.3"/>
    <n v="1.9"/>
    <x v="3"/>
    <n v="1"/>
  </r>
  <r>
    <d v="2036-08-30T00:00:00"/>
    <x v="22"/>
    <n v="28.7"/>
    <n v="0"/>
    <x v="3"/>
    <n v="1"/>
  </r>
  <r>
    <d v="2036-08-31T00:00:00"/>
    <x v="17"/>
    <n v="15"/>
    <n v="1.7"/>
    <x v="3"/>
    <n v="1"/>
  </r>
  <r>
    <d v="2036-09-01T00:00:00"/>
    <x v="3"/>
    <n v="15.1"/>
    <n v="13.5"/>
    <x v="3"/>
    <n v="1"/>
  </r>
  <r>
    <d v="2036-09-02T00:00:00"/>
    <x v="15"/>
    <n v="19.399999999999999"/>
    <n v="29.6"/>
    <x v="3"/>
    <n v="1"/>
  </r>
  <r>
    <d v="2036-09-03T00:00:00"/>
    <x v="3"/>
    <n v="21.9"/>
    <n v="1.6"/>
    <x v="3"/>
    <n v="1"/>
  </r>
  <r>
    <d v="2036-09-04T00:00:00"/>
    <x v="14"/>
    <n v="19.399999999999999"/>
    <n v="9.8000000000000007"/>
    <x v="3"/>
    <n v="1"/>
  </r>
  <r>
    <d v="2036-09-05T00:00:00"/>
    <x v="3"/>
    <n v="21.8"/>
    <n v="18.5"/>
    <x v="3"/>
    <n v="1"/>
  </r>
  <r>
    <d v="2036-09-06T00:00:00"/>
    <x v="13"/>
    <n v="29.3"/>
    <n v="2.8"/>
    <x v="3"/>
    <n v="1"/>
  </r>
  <r>
    <d v="2036-09-07T00:00:00"/>
    <x v="15"/>
    <n v="14.4"/>
    <n v="0"/>
    <x v="3"/>
    <n v="1"/>
  </r>
  <r>
    <d v="2036-09-08T00:00:00"/>
    <x v="6"/>
    <n v="14.5"/>
    <n v="0"/>
    <x v="3"/>
    <n v="1"/>
  </r>
  <r>
    <d v="2036-09-09T00:00:00"/>
    <x v="11"/>
    <n v="18.399999999999999"/>
    <n v="10.1"/>
    <x v="3"/>
    <n v="1"/>
  </r>
  <r>
    <d v="2036-09-10T00:00:00"/>
    <x v="14"/>
    <n v="29.8"/>
    <n v="0"/>
    <x v="3"/>
    <n v="1"/>
  </r>
  <r>
    <d v="2036-09-11T00:00:00"/>
    <x v="3"/>
    <n v="27.3"/>
    <n v="18.600000000000001"/>
    <x v="3"/>
    <n v="1"/>
  </r>
  <r>
    <d v="2036-09-12T00:00:00"/>
    <x v="5"/>
    <n v="22.7"/>
    <n v="0"/>
    <x v="3"/>
    <n v="1"/>
  </r>
  <r>
    <d v="2036-09-13T00:00:00"/>
    <x v="6"/>
    <n v="27.3"/>
    <n v="18.399999999999999"/>
    <x v="3"/>
    <n v="1"/>
  </r>
  <r>
    <d v="2036-09-14T00:00:00"/>
    <x v="14"/>
    <n v="12.9"/>
    <n v="0"/>
    <x v="3"/>
    <n v="1"/>
  </r>
  <r>
    <d v="2036-09-15T00:00:00"/>
    <x v="15"/>
    <n v="24.3"/>
    <n v="1.9"/>
    <x v="3"/>
    <n v="1"/>
  </r>
  <r>
    <d v="2036-09-16T00:00:00"/>
    <x v="14"/>
    <n v="20.6"/>
    <n v="14.6"/>
    <x v="3"/>
    <n v="1"/>
  </r>
  <r>
    <d v="2036-09-17T00:00:00"/>
    <x v="1"/>
    <n v="24.2"/>
    <n v="0"/>
    <x v="3"/>
    <n v="1"/>
  </r>
  <r>
    <d v="2036-09-18T00:00:00"/>
    <x v="6"/>
    <n v="15.2"/>
    <n v="0"/>
    <x v="3"/>
    <n v="1"/>
  </r>
  <r>
    <d v="2036-09-19T00:00:00"/>
    <x v="21"/>
    <n v="27.3"/>
    <n v="2.5"/>
    <x v="3"/>
    <n v="1"/>
  </r>
  <r>
    <d v="2036-09-20T00:00:00"/>
    <x v="21"/>
    <n v="28"/>
    <n v="0"/>
    <x v="3"/>
    <n v="1"/>
  </r>
  <r>
    <d v="2036-09-21T00:00:00"/>
    <x v="27"/>
    <n v="16.100000000000001"/>
    <n v="0"/>
    <x v="3"/>
    <n v="1"/>
  </r>
  <r>
    <d v="2036-09-22T00:00:00"/>
    <x v="15"/>
    <n v="18.8"/>
    <n v="16.899999999999999"/>
    <x v="3"/>
    <n v="1"/>
  </r>
  <r>
    <d v="2036-09-23T00:00:00"/>
    <x v="6"/>
    <n v="13.2"/>
    <n v="10.4"/>
    <x v="3"/>
    <n v="1"/>
  </r>
  <r>
    <d v="2036-09-24T00:00:00"/>
    <x v="1"/>
    <n v="17.899999999999999"/>
    <n v="3.5"/>
    <x v="3"/>
    <n v="1"/>
  </r>
  <r>
    <d v="2036-09-25T00:00:00"/>
    <x v="3"/>
    <n v="18.3"/>
    <n v="16.7"/>
    <x v="3"/>
    <n v="1"/>
  </r>
  <r>
    <d v="2036-09-26T00:00:00"/>
    <x v="13"/>
    <n v="25.7"/>
    <n v="2"/>
    <x v="3"/>
    <n v="1"/>
  </r>
  <r>
    <d v="2036-09-27T00:00:00"/>
    <x v="6"/>
    <n v="29.2"/>
    <n v="31.5"/>
    <x v="3"/>
    <n v="1"/>
  </r>
  <r>
    <d v="2036-09-28T00:00:00"/>
    <x v="3"/>
    <n v="21.5"/>
    <n v="0"/>
    <x v="3"/>
    <n v="1"/>
  </r>
  <r>
    <d v="2036-09-29T00:00:00"/>
    <x v="7"/>
    <n v="29.5"/>
    <n v="12.2"/>
    <x v="3"/>
    <n v="1"/>
  </r>
  <r>
    <d v="2036-09-30T00:00:00"/>
    <x v="3"/>
    <n v="17.7"/>
    <n v="10.1"/>
    <x v="3"/>
    <n v="1"/>
  </r>
  <r>
    <d v="2036-10-01T00:00:00"/>
    <x v="15"/>
    <n v="26.7"/>
    <n v="1.2"/>
    <x v="3"/>
    <n v="1"/>
  </r>
  <r>
    <d v="2036-10-02T00:00:00"/>
    <x v="6"/>
    <n v="13.3"/>
    <n v="0.5"/>
    <x v="3"/>
    <n v="1"/>
  </r>
  <r>
    <d v="2036-10-03T00:00:00"/>
    <x v="3"/>
    <n v="13.4"/>
    <n v="23.4"/>
    <x v="3"/>
    <n v="1"/>
  </r>
  <r>
    <d v="2036-10-04T00:00:00"/>
    <x v="7"/>
    <n v="22.1"/>
    <n v="17.7"/>
    <x v="3"/>
    <n v="1"/>
  </r>
  <r>
    <d v="2036-10-05T00:00:00"/>
    <x v="18"/>
    <n v="11.4"/>
    <n v="0"/>
    <x v="3"/>
    <n v="1"/>
  </r>
  <r>
    <d v="2036-10-06T00:00:00"/>
    <x v="11"/>
    <n v="26"/>
    <n v="4.9000000000000004"/>
    <x v="3"/>
    <n v="1"/>
  </r>
  <r>
    <d v="2036-10-07T00:00:00"/>
    <x v="11"/>
    <n v="27.8"/>
    <n v="6.7"/>
    <x v="3"/>
    <n v="1"/>
  </r>
  <r>
    <d v="2036-10-08T00:00:00"/>
    <x v="3"/>
    <n v="29.3"/>
    <n v="1.7"/>
    <x v="3"/>
    <n v="1"/>
  </r>
  <r>
    <d v="2036-10-09T00:00:00"/>
    <x v="19"/>
    <n v="24.7"/>
    <n v="2.5"/>
    <x v="3"/>
    <n v="1"/>
  </r>
  <r>
    <d v="2036-10-10T00:00:00"/>
    <x v="0"/>
    <n v="16.600000000000001"/>
    <n v="0.1"/>
    <x v="3"/>
    <n v="1"/>
  </r>
  <r>
    <d v="2036-10-11T00:00:00"/>
    <x v="14"/>
    <n v="27.5"/>
    <n v="0"/>
    <x v="3"/>
    <n v="1"/>
  </r>
  <r>
    <d v="2036-10-12T00:00:00"/>
    <x v="11"/>
    <n v="22.7"/>
    <n v="0"/>
    <x v="3"/>
    <n v="1"/>
  </r>
  <r>
    <d v="2036-10-13T00:00:00"/>
    <x v="8"/>
    <n v="20.100000000000001"/>
    <n v="10.5"/>
    <x v="3"/>
    <n v="1"/>
  </r>
  <r>
    <d v="2036-10-14T00:00:00"/>
    <x v="3"/>
    <n v="16.100000000000001"/>
    <n v="8.1"/>
    <x v="3"/>
    <n v="1"/>
  </r>
  <r>
    <d v="2036-10-15T00:00:00"/>
    <x v="3"/>
    <n v="13.9"/>
    <n v="0"/>
    <x v="3"/>
    <n v="1"/>
  </r>
  <r>
    <d v="2036-10-16T00:00:00"/>
    <x v="8"/>
    <n v="22.3"/>
    <n v="0"/>
    <x v="3"/>
    <n v="1"/>
  </r>
  <r>
    <d v="2036-10-17T00:00:00"/>
    <x v="22"/>
    <n v="13"/>
    <n v="0"/>
    <x v="3"/>
    <n v="1"/>
  </r>
  <r>
    <d v="2036-10-18T00:00:00"/>
    <x v="7"/>
    <n v="16.2"/>
    <n v="0"/>
    <x v="3"/>
    <n v="1"/>
  </r>
  <r>
    <d v="2036-10-19T00:00:00"/>
    <x v="10"/>
    <n v="24.8"/>
    <n v="0"/>
    <x v="3"/>
    <n v="1"/>
  </r>
  <r>
    <d v="2036-10-20T00:00:00"/>
    <x v="9"/>
    <n v="29.7"/>
    <n v="0"/>
    <x v="3"/>
    <n v="1"/>
  </r>
  <r>
    <d v="2036-10-21T00:00:00"/>
    <x v="6"/>
    <n v="17.600000000000001"/>
    <n v="14.7"/>
    <x v="3"/>
    <n v="1"/>
  </r>
  <r>
    <d v="2036-10-22T00:00:00"/>
    <x v="6"/>
    <n v="10.4"/>
    <n v="27.7"/>
    <x v="3"/>
    <n v="1"/>
  </r>
  <r>
    <d v="2036-10-23T00:00:00"/>
    <x v="11"/>
    <n v="17"/>
    <n v="1.1000000000000001"/>
    <x v="3"/>
    <n v="1"/>
  </r>
  <r>
    <d v="2036-10-24T00:00:00"/>
    <x v="14"/>
    <n v="15.7"/>
    <n v="5.9"/>
    <x v="3"/>
    <n v="1"/>
  </r>
  <r>
    <d v="2036-10-25T00:00:00"/>
    <x v="15"/>
    <n v="23.8"/>
    <n v="4.3"/>
    <x v="3"/>
    <n v="1"/>
  </r>
  <r>
    <d v="2036-10-26T00:00:00"/>
    <x v="7"/>
    <n v="16.2"/>
    <n v="8.6999999999999993"/>
    <x v="3"/>
    <n v="1"/>
  </r>
  <r>
    <d v="2036-10-27T00:00:00"/>
    <x v="1"/>
    <n v="23.3"/>
    <n v="5.8"/>
    <x v="3"/>
    <n v="1"/>
  </r>
  <r>
    <d v="2036-10-28T00:00:00"/>
    <x v="3"/>
    <n v="18.7"/>
    <n v="1.1000000000000001"/>
    <x v="3"/>
    <n v="1"/>
  </r>
  <r>
    <d v="2036-10-29T00:00:00"/>
    <x v="13"/>
    <n v="27.9"/>
    <n v="2.6"/>
    <x v="3"/>
    <n v="1"/>
  </r>
  <r>
    <d v="2036-10-30T00:00:00"/>
    <x v="14"/>
    <n v="19.8"/>
    <n v="0"/>
    <x v="3"/>
    <n v="1"/>
  </r>
  <r>
    <d v="2036-10-31T00:00:00"/>
    <x v="7"/>
    <n v="16.7"/>
    <n v="3.5"/>
    <x v="3"/>
    <n v="1"/>
  </r>
  <r>
    <d v="2036-11-01T00:00:00"/>
    <x v="19"/>
    <n v="28.6"/>
    <n v="0"/>
    <x v="3"/>
    <n v="1"/>
  </r>
  <r>
    <d v="2036-11-02T00:00:00"/>
    <x v="6"/>
    <n v="10.8"/>
    <n v="32.9"/>
    <x v="3"/>
    <n v="1"/>
  </r>
  <r>
    <d v="2036-11-03T00:00:00"/>
    <x v="14"/>
    <n v="12.8"/>
    <n v="0"/>
    <x v="3"/>
    <n v="1"/>
  </r>
  <r>
    <d v="2036-11-04T00:00:00"/>
    <x v="22"/>
    <n v="17.600000000000001"/>
    <n v="0"/>
    <x v="3"/>
    <n v="1"/>
  </r>
  <r>
    <d v="2036-11-05T00:00:00"/>
    <x v="18"/>
    <n v="24.1"/>
    <n v="0"/>
    <x v="3"/>
    <n v="1"/>
  </r>
  <r>
    <d v="2036-11-06T00:00:00"/>
    <x v="7"/>
    <n v="11.4"/>
    <n v="18.2"/>
    <x v="3"/>
    <n v="1"/>
  </r>
  <r>
    <d v="2036-11-07T00:00:00"/>
    <x v="5"/>
    <n v="21.9"/>
    <n v="5.4"/>
    <x v="3"/>
    <n v="1"/>
  </r>
  <r>
    <d v="2036-11-08T00:00:00"/>
    <x v="22"/>
    <n v="16.8"/>
    <n v="1.6"/>
    <x v="3"/>
    <n v="1"/>
  </r>
  <r>
    <d v="2036-11-09T00:00:00"/>
    <x v="2"/>
    <n v="26"/>
    <n v="0"/>
    <x v="3"/>
    <n v="1"/>
  </r>
  <r>
    <d v="2036-11-10T00:00:00"/>
    <x v="7"/>
    <n v="20.2"/>
    <n v="10"/>
    <x v="3"/>
    <n v="1"/>
  </r>
  <r>
    <d v="2036-11-11T00:00:00"/>
    <x v="15"/>
    <n v="20.3"/>
    <n v="37.799999999999997"/>
    <x v="3"/>
    <n v="1"/>
  </r>
  <r>
    <d v="2036-11-12T00:00:00"/>
    <x v="3"/>
    <n v="27.5"/>
    <n v="20.8"/>
    <x v="3"/>
    <n v="1"/>
  </r>
  <r>
    <d v="2036-11-13T00:00:00"/>
    <x v="15"/>
    <n v="24.2"/>
    <n v="2.9"/>
    <x v="3"/>
    <n v="1"/>
  </r>
  <r>
    <d v="2036-11-14T00:00:00"/>
    <x v="7"/>
    <n v="10.7"/>
    <n v="14.3"/>
    <x v="3"/>
    <n v="1"/>
  </r>
  <r>
    <d v="2036-11-15T00:00:00"/>
    <x v="15"/>
    <n v="17.3"/>
    <n v="0"/>
    <x v="3"/>
    <n v="1"/>
  </r>
  <r>
    <d v="2036-11-16T00:00:00"/>
    <x v="7"/>
    <n v="13.5"/>
    <n v="21.1"/>
    <x v="3"/>
    <n v="1"/>
  </r>
  <r>
    <d v="2036-11-17T00:00:00"/>
    <x v="2"/>
    <n v="13.6"/>
    <n v="6"/>
    <x v="3"/>
    <n v="1"/>
  </r>
  <r>
    <d v="2036-11-18T00:00:00"/>
    <x v="1"/>
    <n v="19.899999999999999"/>
    <n v="0"/>
    <x v="3"/>
    <n v="1"/>
  </r>
  <r>
    <d v="2036-11-19T00:00:00"/>
    <x v="14"/>
    <n v="13.1"/>
    <n v="10.199999999999999"/>
    <x v="3"/>
    <n v="1"/>
  </r>
  <r>
    <d v="2036-11-20T00:00:00"/>
    <x v="17"/>
    <n v="29.8"/>
    <n v="1.9"/>
    <x v="3"/>
    <n v="1"/>
  </r>
  <r>
    <d v="2036-11-21T00:00:00"/>
    <x v="24"/>
    <n v="23.7"/>
    <n v="0.3"/>
    <x v="3"/>
    <n v="1"/>
  </r>
  <r>
    <d v="2036-11-22T00:00:00"/>
    <x v="15"/>
    <n v="14"/>
    <n v="0"/>
    <x v="3"/>
    <n v="1"/>
  </r>
  <r>
    <d v="2036-11-23T00:00:00"/>
    <x v="26"/>
    <n v="19"/>
    <n v="0.5"/>
    <x v="3"/>
    <n v="1"/>
  </r>
  <r>
    <d v="2036-11-24T00:00:00"/>
    <x v="28"/>
    <n v="23.9"/>
    <n v="0.5"/>
    <x v="3"/>
    <n v="1"/>
  </r>
  <r>
    <d v="2036-11-25T00:00:00"/>
    <x v="15"/>
    <n v="12.8"/>
    <n v="26.7"/>
    <x v="3"/>
    <n v="1"/>
  </r>
  <r>
    <d v="2036-11-26T00:00:00"/>
    <x v="3"/>
    <n v="26.9"/>
    <n v="4.5"/>
    <x v="3"/>
    <n v="1"/>
  </r>
  <r>
    <d v="2036-11-27T00:00:00"/>
    <x v="22"/>
    <n v="10.6"/>
    <n v="0"/>
    <x v="3"/>
    <n v="1"/>
  </r>
  <r>
    <d v="2036-11-28T00:00:00"/>
    <x v="7"/>
    <n v="21.1"/>
    <n v="10.6"/>
    <x v="3"/>
    <n v="1"/>
  </r>
  <r>
    <d v="2036-11-29T00:00:00"/>
    <x v="2"/>
    <n v="11.7"/>
    <n v="9.9"/>
    <x v="3"/>
    <n v="1"/>
  </r>
  <r>
    <d v="2036-11-30T00:00:00"/>
    <x v="4"/>
    <n v="20.5"/>
    <n v="3.7"/>
    <x v="3"/>
    <n v="1"/>
  </r>
  <r>
    <d v="2036-12-01T00:00:00"/>
    <x v="15"/>
    <n v="27.4"/>
    <n v="10.4"/>
    <x v="3"/>
    <n v="1"/>
  </r>
  <r>
    <d v="2036-12-02T00:00:00"/>
    <x v="6"/>
    <n v="15.8"/>
    <n v="10.199999999999999"/>
    <x v="3"/>
    <n v="1"/>
  </r>
  <r>
    <d v="2036-12-03T00:00:00"/>
    <x v="15"/>
    <n v="19.600000000000001"/>
    <n v="0"/>
    <x v="3"/>
    <n v="1"/>
  </r>
  <r>
    <d v="2036-12-04T00:00:00"/>
    <x v="6"/>
    <n v="16.899999999999999"/>
    <n v="48.4"/>
    <x v="3"/>
    <n v="1"/>
  </r>
  <r>
    <d v="2036-12-05T00:00:00"/>
    <x v="15"/>
    <n v="12.2"/>
    <n v="0"/>
    <x v="3"/>
    <n v="1"/>
  </r>
  <r>
    <d v="2036-12-06T00:00:00"/>
    <x v="6"/>
    <n v="16.600000000000001"/>
    <n v="14.1"/>
    <x v="3"/>
    <n v="1"/>
  </r>
  <r>
    <d v="2036-12-07T00:00:00"/>
    <x v="7"/>
    <n v="27.6"/>
    <n v="0"/>
    <x v="3"/>
    <n v="1"/>
  </r>
  <r>
    <d v="2036-12-08T00:00:00"/>
    <x v="11"/>
    <n v="24.8"/>
    <n v="0"/>
    <x v="3"/>
    <n v="1"/>
  </r>
  <r>
    <d v="2036-12-09T00:00:00"/>
    <x v="6"/>
    <n v="23.1"/>
    <n v="29.8"/>
    <x v="3"/>
    <n v="1"/>
  </r>
  <r>
    <d v="2036-12-10T00:00:00"/>
    <x v="23"/>
    <n v="12.4"/>
    <n v="6.1"/>
    <x v="3"/>
    <n v="1"/>
  </r>
  <r>
    <d v="2036-12-11T00:00:00"/>
    <x v="15"/>
    <n v="13.9"/>
    <n v="21.5"/>
    <x v="3"/>
    <n v="1"/>
  </r>
  <r>
    <d v="2036-12-12T00:00:00"/>
    <x v="16"/>
    <n v="16.600000000000001"/>
    <n v="4.7"/>
    <x v="3"/>
    <n v="1"/>
  </r>
  <r>
    <d v="2036-12-13T00:00:00"/>
    <x v="9"/>
    <n v="17.7"/>
    <n v="14"/>
    <x v="3"/>
    <n v="1"/>
  </r>
  <r>
    <d v="2036-12-14T00:00:00"/>
    <x v="7"/>
    <n v="19"/>
    <n v="1.7"/>
    <x v="3"/>
    <n v="1"/>
  </r>
  <r>
    <d v="2036-12-15T00:00:00"/>
    <x v="3"/>
    <n v="29.9"/>
    <n v="0"/>
    <x v="3"/>
    <n v="1"/>
  </r>
  <r>
    <d v="2036-12-16T00:00:00"/>
    <x v="15"/>
    <n v="23.7"/>
    <n v="31.4"/>
    <x v="3"/>
    <n v="1"/>
  </r>
  <r>
    <d v="2036-12-17T00:00:00"/>
    <x v="6"/>
    <n v="25.4"/>
    <n v="0"/>
    <x v="3"/>
    <n v="1"/>
  </r>
  <r>
    <d v="2036-12-18T00:00:00"/>
    <x v="14"/>
    <n v="24.3"/>
    <n v="15.8"/>
    <x v="3"/>
    <n v="1"/>
  </r>
  <r>
    <d v="2036-12-19T00:00:00"/>
    <x v="3"/>
    <n v="10.8"/>
    <n v="0"/>
    <x v="3"/>
    <n v="1"/>
  </r>
  <r>
    <d v="2036-12-20T00:00:00"/>
    <x v="6"/>
    <n v="19"/>
    <n v="9.1"/>
    <x v="3"/>
    <n v="1"/>
  </r>
  <r>
    <d v="2036-12-21T00:00:00"/>
    <x v="11"/>
    <n v="27.8"/>
    <n v="15.2"/>
    <x v="3"/>
    <n v="1"/>
  </r>
  <r>
    <d v="2036-12-22T00:00:00"/>
    <x v="3"/>
    <n v="28.8"/>
    <n v="0"/>
    <x v="3"/>
    <n v="1"/>
  </r>
  <r>
    <d v="2036-12-23T00:00:00"/>
    <x v="1"/>
    <n v="12.6"/>
    <n v="0.8"/>
    <x v="3"/>
    <n v="1"/>
  </r>
  <r>
    <d v="2036-12-24T00:00:00"/>
    <x v="1"/>
    <n v="20.7"/>
    <n v="0"/>
    <x v="3"/>
    <n v="1"/>
  </r>
  <r>
    <d v="2036-12-25T00:00:00"/>
    <x v="15"/>
    <n v="19.399999999999999"/>
    <n v="19.3"/>
    <x v="3"/>
    <n v="1"/>
  </r>
  <r>
    <d v="2036-12-26T00:00:00"/>
    <x v="6"/>
    <n v="24.3"/>
    <n v="8.8000000000000007"/>
    <x v="3"/>
    <n v="1"/>
  </r>
  <r>
    <d v="2036-12-27T00:00:00"/>
    <x v="15"/>
    <n v="21.2"/>
    <n v="36"/>
    <x v="3"/>
    <n v="1"/>
  </r>
  <r>
    <d v="2036-12-28T00:00:00"/>
    <x v="1"/>
    <n v="28.4"/>
    <n v="0"/>
    <x v="3"/>
    <n v="1"/>
  </r>
  <r>
    <d v="2036-12-29T00:00:00"/>
    <x v="23"/>
    <n v="17.100000000000001"/>
    <n v="5.4"/>
    <x v="3"/>
    <n v="1"/>
  </r>
  <r>
    <d v="2036-12-30T00:00:00"/>
    <x v="6"/>
    <n v="24.4"/>
    <n v="23.8"/>
    <x v="3"/>
    <n v="1"/>
  </r>
  <r>
    <d v="2036-12-31T00:00:00"/>
    <x v="14"/>
    <n v="18.5"/>
    <n v="6"/>
    <x v="3"/>
    <n v="1"/>
  </r>
  <r>
    <d v="2037-01-01T00:00:00"/>
    <x v="15"/>
    <n v="24.1"/>
    <n v="21.5"/>
    <x v="4"/>
    <n v="1"/>
  </r>
  <r>
    <d v="2037-01-02T00:00:00"/>
    <x v="18"/>
    <n v="17.899999999999999"/>
    <n v="5.4"/>
    <x v="4"/>
    <n v="1"/>
  </r>
  <r>
    <d v="2037-01-03T00:00:00"/>
    <x v="18"/>
    <n v="15.8"/>
    <n v="7.4"/>
    <x v="4"/>
    <n v="1"/>
  </r>
  <r>
    <d v="2037-01-04T00:00:00"/>
    <x v="26"/>
    <n v="19.600000000000001"/>
    <n v="0.3"/>
    <x v="4"/>
    <n v="1"/>
  </r>
  <r>
    <d v="2037-01-05T00:00:00"/>
    <x v="15"/>
    <n v="17.7"/>
    <n v="0"/>
    <x v="4"/>
    <n v="1"/>
  </r>
  <r>
    <d v="2037-01-06T00:00:00"/>
    <x v="23"/>
    <n v="19.899999999999999"/>
    <n v="4.7"/>
    <x v="4"/>
    <n v="1"/>
  </r>
  <r>
    <d v="2037-01-07T00:00:00"/>
    <x v="1"/>
    <n v="10.6"/>
    <n v="4.8"/>
    <x v="4"/>
    <n v="1"/>
  </r>
  <r>
    <d v="2037-01-08T00:00:00"/>
    <x v="15"/>
    <n v="25.6"/>
    <n v="17.399999999999999"/>
    <x v="4"/>
    <n v="1"/>
  </r>
  <r>
    <d v="2037-01-09T00:00:00"/>
    <x v="5"/>
    <n v="22.4"/>
    <n v="7.7"/>
    <x v="4"/>
    <n v="1"/>
  </r>
  <r>
    <d v="2037-01-10T00:00:00"/>
    <x v="4"/>
    <n v="14.5"/>
    <n v="3.8"/>
    <x v="4"/>
    <n v="1"/>
  </r>
  <r>
    <d v="2037-01-11T00:00:00"/>
    <x v="5"/>
    <n v="15"/>
    <n v="4.2"/>
    <x v="4"/>
    <n v="1"/>
  </r>
  <r>
    <d v="2037-01-12T00:00:00"/>
    <x v="9"/>
    <n v="24"/>
    <n v="11.5"/>
    <x v="4"/>
    <n v="1"/>
  </r>
  <r>
    <d v="2037-01-13T00:00:00"/>
    <x v="19"/>
    <n v="20.7"/>
    <n v="2.9"/>
    <x v="4"/>
    <n v="1"/>
  </r>
  <r>
    <d v="2037-01-14T00:00:00"/>
    <x v="24"/>
    <n v="13.5"/>
    <n v="0.7"/>
    <x v="4"/>
    <n v="1"/>
  </r>
  <r>
    <d v="2037-01-15T00:00:00"/>
    <x v="15"/>
    <n v="23.7"/>
    <n v="13.1"/>
    <x v="4"/>
    <n v="1"/>
  </r>
  <r>
    <d v="2037-01-16T00:00:00"/>
    <x v="6"/>
    <n v="12.1"/>
    <n v="36"/>
    <x v="4"/>
    <n v="1"/>
  </r>
  <r>
    <d v="2037-01-17T00:00:00"/>
    <x v="9"/>
    <n v="21.8"/>
    <n v="10.9"/>
    <x v="4"/>
    <n v="1"/>
  </r>
  <r>
    <d v="2037-01-18T00:00:00"/>
    <x v="18"/>
    <n v="17.399999999999999"/>
    <n v="0"/>
    <x v="4"/>
    <n v="1"/>
  </r>
  <r>
    <d v="2037-01-19T00:00:00"/>
    <x v="2"/>
    <n v="15.6"/>
    <n v="0"/>
    <x v="4"/>
    <n v="1"/>
  </r>
  <r>
    <d v="2037-01-20T00:00:00"/>
    <x v="9"/>
    <n v="13.7"/>
    <n v="0"/>
    <x v="4"/>
    <n v="1"/>
  </r>
  <r>
    <d v="2037-01-21T00:00:00"/>
    <x v="6"/>
    <n v="24.7"/>
    <n v="16.2"/>
    <x v="4"/>
    <n v="1"/>
  </r>
  <r>
    <d v="2037-01-22T00:00:00"/>
    <x v="11"/>
    <n v="25.3"/>
    <n v="14.2"/>
    <x v="4"/>
    <n v="1"/>
  </r>
  <r>
    <d v="2037-01-23T00:00:00"/>
    <x v="11"/>
    <n v="18.399999999999999"/>
    <n v="0"/>
    <x v="4"/>
    <n v="1"/>
  </r>
  <r>
    <d v="2037-01-24T00:00:00"/>
    <x v="10"/>
    <n v="10.199999999999999"/>
    <n v="0"/>
    <x v="4"/>
    <n v="1"/>
  </r>
  <r>
    <d v="2037-01-25T00:00:00"/>
    <x v="29"/>
    <n v="26.9"/>
    <n v="0"/>
    <x v="4"/>
    <n v="1"/>
  </r>
  <r>
    <d v="2037-01-26T00:00:00"/>
    <x v="4"/>
    <n v="28.2"/>
    <n v="0"/>
    <x v="4"/>
    <n v="1"/>
  </r>
  <r>
    <d v="2037-01-27T00:00:00"/>
    <x v="3"/>
    <n v="15.9"/>
    <n v="0"/>
    <x v="4"/>
    <n v="1"/>
  </r>
  <r>
    <d v="2037-01-28T00:00:00"/>
    <x v="6"/>
    <n v="19.7"/>
    <n v="0"/>
    <x v="4"/>
    <n v="1"/>
  </r>
  <r>
    <d v="2037-01-29T00:00:00"/>
    <x v="3"/>
    <n v="16"/>
    <n v="0"/>
    <x v="4"/>
    <n v="1"/>
  </r>
  <r>
    <d v="2037-01-30T00:00:00"/>
    <x v="2"/>
    <n v="20.8"/>
    <n v="0"/>
    <x v="4"/>
    <n v="1"/>
  </r>
  <r>
    <d v="2037-01-31T00:00:00"/>
    <x v="19"/>
    <n v="12.5"/>
    <n v="0"/>
    <x v="4"/>
    <n v="1"/>
  </r>
  <r>
    <d v="2037-02-01T00:00:00"/>
    <x v="11"/>
    <n v="12.7"/>
    <n v="2.4"/>
    <x v="4"/>
    <n v="1"/>
  </r>
  <r>
    <d v="2037-02-02T00:00:00"/>
    <x v="14"/>
    <n v="23.5"/>
    <n v="11.5"/>
    <x v="4"/>
    <n v="1"/>
  </r>
  <r>
    <d v="2037-02-03T00:00:00"/>
    <x v="10"/>
    <n v="17.8"/>
    <n v="1.8"/>
    <x v="4"/>
    <n v="1"/>
  </r>
  <r>
    <d v="2037-02-04T00:00:00"/>
    <x v="7"/>
    <n v="11"/>
    <n v="0"/>
    <x v="4"/>
    <n v="1"/>
  </r>
  <r>
    <d v="2037-02-05T00:00:00"/>
    <x v="8"/>
    <n v="21.3"/>
    <n v="5.2"/>
    <x v="4"/>
    <n v="1"/>
  </r>
  <r>
    <d v="2037-02-06T00:00:00"/>
    <x v="3"/>
    <n v="19.600000000000001"/>
    <n v="8.1"/>
    <x v="4"/>
    <n v="1"/>
  </r>
  <r>
    <d v="2037-02-07T00:00:00"/>
    <x v="7"/>
    <n v="25.7"/>
    <n v="4.2"/>
    <x v="4"/>
    <n v="1"/>
  </r>
  <r>
    <d v="2037-02-08T00:00:00"/>
    <x v="6"/>
    <n v="20.9"/>
    <n v="28.6"/>
    <x v="4"/>
    <n v="1"/>
  </r>
  <r>
    <d v="2037-02-09T00:00:00"/>
    <x v="15"/>
    <n v="26.4"/>
    <n v="3.2"/>
    <x v="4"/>
    <n v="1"/>
  </r>
  <r>
    <d v="2037-02-10T00:00:00"/>
    <x v="15"/>
    <n v="26.5"/>
    <n v="13.1"/>
    <x v="4"/>
    <n v="1"/>
  </r>
  <r>
    <d v="2037-02-11T00:00:00"/>
    <x v="4"/>
    <n v="11.7"/>
    <n v="0"/>
    <x v="4"/>
    <n v="1"/>
  </r>
  <r>
    <d v="2037-02-12T00:00:00"/>
    <x v="8"/>
    <n v="24.7"/>
    <n v="0.3"/>
    <x v="4"/>
    <n v="1"/>
  </r>
  <r>
    <d v="2037-02-13T00:00:00"/>
    <x v="5"/>
    <n v="24.4"/>
    <n v="9.6"/>
    <x v="4"/>
    <n v="1"/>
  </r>
  <r>
    <d v="2037-02-14T00:00:00"/>
    <x v="15"/>
    <n v="19"/>
    <n v="28.8"/>
    <x v="4"/>
    <n v="1"/>
  </r>
  <r>
    <d v="2037-02-15T00:00:00"/>
    <x v="6"/>
    <n v="13.7"/>
    <n v="19.3"/>
    <x v="4"/>
    <n v="1"/>
  </r>
  <r>
    <d v="2037-02-16T00:00:00"/>
    <x v="6"/>
    <n v="28.9"/>
    <n v="20.399999999999999"/>
    <x v="4"/>
    <n v="1"/>
  </r>
  <r>
    <d v="2037-02-17T00:00:00"/>
    <x v="16"/>
    <n v="25.2"/>
    <n v="0"/>
    <x v="4"/>
    <n v="1"/>
  </r>
  <r>
    <d v="2037-02-18T00:00:00"/>
    <x v="7"/>
    <n v="15.4"/>
    <n v="9"/>
    <x v="4"/>
    <n v="1"/>
  </r>
  <r>
    <d v="2037-02-19T00:00:00"/>
    <x v="12"/>
    <n v="24.1"/>
    <n v="0.3"/>
    <x v="4"/>
    <n v="1"/>
  </r>
  <r>
    <d v="2037-02-20T00:00:00"/>
    <x v="18"/>
    <n v="27.7"/>
    <n v="0"/>
    <x v="4"/>
    <n v="1"/>
  </r>
  <r>
    <d v="2037-02-21T00:00:00"/>
    <x v="7"/>
    <n v="19.600000000000001"/>
    <n v="21.1"/>
    <x v="4"/>
    <n v="1"/>
  </r>
  <r>
    <d v="2037-02-22T00:00:00"/>
    <x v="19"/>
    <n v="29"/>
    <n v="3.2"/>
    <x v="4"/>
    <n v="1"/>
  </r>
  <r>
    <d v="2037-02-23T00:00:00"/>
    <x v="27"/>
    <n v="10.3"/>
    <n v="0.7"/>
    <x v="4"/>
    <n v="1"/>
  </r>
  <r>
    <d v="2037-02-24T00:00:00"/>
    <x v="6"/>
    <n v="11"/>
    <n v="40.200000000000003"/>
    <x v="4"/>
    <n v="1"/>
  </r>
  <r>
    <d v="2037-02-25T00:00:00"/>
    <x v="7"/>
    <n v="28.6"/>
    <n v="0.6"/>
    <x v="4"/>
    <n v="1"/>
  </r>
  <r>
    <d v="2037-02-26T00:00:00"/>
    <x v="13"/>
    <n v="22.5"/>
    <n v="1"/>
    <x v="4"/>
    <n v="1"/>
  </r>
  <r>
    <d v="2037-02-27T00:00:00"/>
    <x v="8"/>
    <n v="19.600000000000001"/>
    <n v="0"/>
    <x v="4"/>
    <n v="1"/>
  </r>
  <r>
    <d v="2037-02-28T00:00:00"/>
    <x v="24"/>
    <n v="19.899999999999999"/>
    <n v="0"/>
    <x v="4"/>
    <n v="1"/>
  </r>
  <r>
    <d v="2037-03-01T00:00:00"/>
    <x v="2"/>
    <n v="21.7"/>
    <n v="9.4"/>
    <x v="4"/>
    <n v="1"/>
  </r>
  <r>
    <d v="2037-03-02T00:00:00"/>
    <x v="8"/>
    <n v="15.3"/>
    <n v="0"/>
    <x v="4"/>
    <n v="1"/>
  </r>
  <r>
    <d v="2037-03-03T00:00:00"/>
    <x v="11"/>
    <n v="20.9"/>
    <n v="12.4"/>
    <x v="4"/>
    <n v="1"/>
  </r>
  <r>
    <d v="2037-03-04T00:00:00"/>
    <x v="1"/>
    <n v="17"/>
    <n v="0"/>
    <x v="4"/>
    <n v="1"/>
  </r>
  <r>
    <d v="2037-03-05T00:00:00"/>
    <x v="2"/>
    <n v="25.8"/>
    <n v="1.4"/>
    <x v="4"/>
    <n v="1"/>
  </r>
  <r>
    <d v="2037-03-06T00:00:00"/>
    <x v="23"/>
    <n v="19.100000000000001"/>
    <n v="2.5"/>
    <x v="4"/>
    <n v="1"/>
  </r>
  <r>
    <d v="2037-03-07T00:00:00"/>
    <x v="9"/>
    <n v="24.6"/>
    <n v="12.5"/>
    <x v="4"/>
    <n v="1"/>
  </r>
  <r>
    <d v="2037-03-08T00:00:00"/>
    <x v="11"/>
    <n v="22.6"/>
    <n v="15.4"/>
    <x v="4"/>
    <n v="1"/>
  </r>
  <r>
    <d v="2037-03-09T00:00:00"/>
    <x v="5"/>
    <n v="18.3"/>
    <n v="4.7"/>
    <x v="4"/>
    <n v="1"/>
  </r>
  <r>
    <d v="2037-03-10T00:00:00"/>
    <x v="3"/>
    <n v="25.5"/>
    <n v="0"/>
    <x v="4"/>
    <n v="1"/>
  </r>
  <r>
    <d v="2037-03-11T00:00:00"/>
    <x v="14"/>
    <n v="26.6"/>
    <n v="0"/>
    <x v="4"/>
    <n v="1"/>
  </r>
  <r>
    <d v="2037-03-12T00:00:00"/>
    <x v="3"/>
    <n v="19.8"/>
    <n v="14.9"/>
    <x v="4"/>
    <n v="1"/>
  </r>
  <r>
    <d v="2037-03-13T00:00:00"/>
    <x v="22"/>
    <n v="23.7"/>
    <n v="0.9"/>
    <x v="4"/>
    <n v="1"/>
  </r>
  <r>
    <d v="2037-03-14T00:00:00"/>
    <x v="20"/>
    <n v="23.5"/>
    <n v="1"/>
    <x v="4"/>
    <n v="1"/>
  </r>
  <r>
    <d v="2037-03-15T00:00:00"/>
    <x v="1"/>
    <n v="18.8"/>
    <n v="7.8"/>
    <x v="4"/>
    <n v="1"/>
  </r>
  <r>
    <d v="2037-03-16T00:00:00"/>
    <x v="2"/>
    <n v="18.7"/>
    <n v="10"/>
    <x v="4"/>
    <n v="1"/>
  </r>
  <r>
    <d v="2037-03-17T00:00:00"/>
    <x v="15"/>
    <n v="28.3"/>
    <n v="21.8"/>
    <x v="4"/>
    <n v="1"/>
  </r>
  <r>
    <d v="2037-03-18T00:00:00"/>
    <x v="18"/>
    <n v="10.6"/>
    <n v="6.4"/>
    <x v="4"/>
    <n v="1"/>
  </r>
  <r>
    <d v="2037-03-19T00:00:00"/>
    <x v="6"/>
    <n v="26.2"/>
    <n v="19.2"/>
    <x v="4"/>
    <n v="1"/>
  </r>
  <r>
    <d v="2037-03-20T00:00:00"/>
    <x v="9"/>
    <n v="25.3"/>
    <n v="8.6999999999999993"/>
    <x v="4"/>
    <n v="1"/>
  </r>
  <r>
    <d v="2037-03-21T00:00:00"/>
    <x v="18"/>
    <n v="21.6"/>
    <n v="1"/>
    <x v="4"/>
    <n v="1"/>
  </r>
  <r>
    <d v="2037-03-22T00:00:00"/>
    <x v="15"/>
    <n v="24.9"/>
    <n v="23.5"/>
    <x v="4"/>
    <n v="1"/>
  </r>
  <r>
    <d v="2037-03-23T00:00:00"/>
    <x v="11"/>
    <n v="27.7"/>
    <n v="11.5"/>
    <x v="4"/>
    <n v="1"/>
  </r>
  <r>
    <d v="2037-03-24T00:00:00"/>
    <x v="15"/>
    <n v="12.3"/>
    <n v="0"/>
    <x v="4"/>
    <n v="1"/>
  </r>
  <r>
    <d v="2037-03-25T00:00:00"/>
    <x v="16"/>
    <n v="10.199999999999999"/>
    <n v="0.8"/>
    <x v="4"/>
    <n v="1"/>
  </r>
  <r>
    <d v="2037-03-26T00:00:00"/>
    <x v="6"/>
    <n v="23.1"/>
    <n v="0"/>
    <x v="4"/>
    <n v="1"/>
  </r>
  <r>
    <d v="2037-03-27T00:00:00"/>
    <x v="14"/>
    <n v="11.3"/>
    <n v="0"/>
    <x v="4"/>
    <n v="1"/>
  </r>
  <r>
    <d v="2037-03-28T00:00:00"/>
    <x v="15"/>
    <n v="29.5"/>
    <n v="10.4"/>
    <x v="4"/>
    <n v="1"/>
  </r>
  <r>
    <d v="2037-03-29T00:00:00"/>
    <x v="11"/>
    <n v="19.7"/>
    <n v="0"/>
    <x v="4"/>
    <n v="1"/>
  </r>
  <r>
    <d v="2037-03-30T00:00:00"/>
    <x v="1"/>
    <n v="27.9"/>
    <n v="3.4"/>
    <x v="4"/>
    <n v="1"/>
  </r>
  <r>
    <d v="2037-03-31T00:00:00"/>
    <x v="6"/>
    <n v="17.399999999999999"/>
    <n v="34.200000000000003"/>
    <x v="4"/>
    <n v="1"/>
  </r>
  <r>
    <d v="2037-04-01T00:00:00"/>
    <x v="13"/>
    <n v="23"/>
    <n v="0"/>
    <x v="4"/>
    <n v="1"/>
  </r>
  <r>
    <d v="2037-04-02T00:00:00"/>
    <x v="17"/>
    <n v="27.6"/>
    <n v="0"/>
    <x v="4"/>
    <n v="1"/>
  </r>
  <r>
    <d v="2037-04-03T00:00:00"/>
    <x v="18"/>
    <n v="11.6"/>
    <n v="0"/>
    <x v="4"/>
    <n v="1"/>
  </r>
  <r>
    <d v="2037-04-04T00:00:00"/>
    <x v="16"/>
    <n v="24.2"/>
    <n v="5"/>
    <x v="4"/>
    <n v="1"/>
  </r>
  <r>
    <d v="2037-04-05T00:00:00"/>
    <x v="2"/>
    <n v="13.2"/>
    <n v="2.2999999999999998"/>
    <x v="4"/>
    <n v="1"/>
  </r>
  <r>
    <d v="2037-04-06T00:00:00"/>
    <x v="3"/>
    <n v="27"/>
    <n v="0.7"/>
    <x v="4"/>
    <n v="1"/>
  </r>
  <r>
    <d v="2037-04-07T00:00:00"/>
    <x v="2"/>
    <n v="23.9"/>
    <n v="6.2"/>
    <x v="4"/>
    <n v="1"/>
  </r>
  <r>
    <d v="2037-04-08T00:00:00"/>
    <x v="15"/>
    <n v="16.8"/>
    <n v="17.600000000000001"/>
    <x v="4"/>
    <n v="1"/>
  </r>
  <r>
    <d v="2037-04-09T00:00:00"/>
    <x v="15"/>
    <n v="28.5"/>
    <n v="15.2"/>
    <x v="4"/>
    <n v="1"/>
  </r>
  <r>
    <d v="2037-04-10T00:00:00"/>
    <x v="29"/>
    <n v="25.2"/>
    <n v="1.9"/>
    <x v="4"/>
    <n v="1"/>
  </r>
  <r>
    <d v="2037-04-11T00:00:00"/>
    <x v="6"/>
    <n v="24.9"/>
    <n v="6.8"/>
    <x v="4"/>
    <n v="1"/>
  </r>
  <r>
    <d v="2037-04-12T00:00:00"/>
    <x v="8"/>
    <n v="14.7"/>
    <n v="5.7"/>
    <x v="4"/>
    <n v="1"/>
  </r>
  <r>
    <d v="2037-04-13T00:00:00"/>
    <x v="6"/>
    <n v="12.2"/>
    <n v="14.1"/>
    <x v="4"/>
    <n v="1"/>
  </r>
  <r>
    <d v="2037-04-14T00:00:00"/>
    <x v="5"/>
    <n v="24.2"/>
    <n v="8"/>
    <x v="4"/>
    <n v="1"/>
  </r>
  <r>
    <d v="2037-04-15T00:00:00"/>
    <x v="18"/>
    <n v="28.7"/>
    <n v="0"/>
    <x v="4"/>
    <n v="1"/>
  </r>
  <r>
    <d v="2037-04-16T00:00:00"/>
    <x v="6"/>
    <n v="28.5"/>
    <n v="0"/>
    <x v="4"/>
    <n v="1"/>
  </r>
  <r>
    <d v="2037-04-17T00:00:00"/>
    <x v="3"/>
    <n v="29.3"/>
    <n v="23.3"/>
    <x v="4"/>
    <n v="1"/>
  </r>
  <r>
    <d v="2037-04-18T00:00:00"/>
    <x v="6"/>
    <n v="13.3"/>
    <n v="4.9000000000000004"/>
    <x v="4"/>
    <n v="1"/>
  </r>
  <r>
    <d v="2037-04-19T00:00:00"/>
    <x v="6"/>
    <n v="22.6"/>
    <n v="0.7"/>
    <x v="4"/>
    <n v="1"/>
  </r>
  <r>
    <d v="2037-04-20T00:00:00"/>
    <x v="16"/>
    <n v="19.3"/>
    <n v="3"/>
    <x v="4"/>
    <n v="1"/>
  </r>
  <r>
    <d v="2037-04-21T00:00:00"/>
    <x v="4"/>
    <n v="17.899999999999999"/>
    <n v="5.0999999999999996"/>
    <x v="4"/>
    <n v="1"/>
  </r>
  <r>
    <d v="2037-04-22T00:00:00"/>
    <x v="16"/>
    <n v="16.7"/>
    <n v="0.3"/>
    <x v="4"/>
    <n v="1"/>
  </r>
  <r>
    <d v="2037-04-23T00:00:00"/>
    <x v="16"/>
    <n v="22"/>
    <n v="0"/>
    <x v="4"/>
    <n v="1"/>
  </r>
  <r>
    <d v="2037-04-24T00:00:00"/>
    <x v="5"/>
    <n v="21.2"/>
    <n v="5.9"/>
    <x v="4"/>
    <n v="1"/>
  </r>
  <r>
    <d v="2037-04-25T00:00:00"/>
    <x v="7"/>
    <n v="20.6"/>
    <n v="4.5999999999999996"/>
    <x v="4"/>
    <n v="1"/>
  </r>
  <r>
    <d v="2037-04-26T00:00:00"/>
    <x v="15"/>
    <n v="29.4"/>
    <n v="9.1999999999999993"/>
    <x v="4"/>
    <n v="1"/>
  </r>
  <r>
    <d v="2037-04-27T00:00:00"/>
    <x v="3"/>
    <n v="21.3"/>
    <n v="0"/>
    <x v="4"/>
    <n v="1"/>
  </r>
  <r>
    <d v="2037-04-28T00:00:00"/>
    <x v="5"/>
    <n v="20.100000000000001"/>
    <n v="2.2000000000000002"/>
    <x v="4"/>
    <n v="1"/>
  </r>
  <r>
    <d v="2037-04-29T00:00:00"/>
    <x v="6"/>
    <n v="12.7"/>
    <n v="5.6"/>
    <x v="4"/>
    <n v="1"/>
  </r>
  <r>
    <d v="2037-04-30T00:00:00"/>
    <x v="7"/>
    <n v="28.9"/>
    <n v="0"/>
    <x v="4"/>
    <n v="1"/>
  </r>
  <r>
    <d v="2037-05-01T00:00:00"/>
    <x v="15"/>
    <n v="24.4"/>
    <n v="28.7"/>
    <x v="4"/>
    <n v="1"/>
  </r>
  <r>
    <d v="2037-05-02T00:00:00"/>
    <x v="6"/>
    <n v="10.8"/>
    <n v="0"/>
    <x v="4"/>
    <n v="1"/>
  </r>
  <r>
    <d v="2037-05-03T00:00:00"/>
    <x v="6"/>
    <n v="18.399999999999999"/>
    <n v="0"/>
    <x v="4"/>
    <n v="1"/>
  </r>
  <r>
    <d v="2037-05-04T00:00:00"/>
    <x v="15"/>
    <n v="23.3"/>
    <n v="10.7"/>
    <x v="4"/>
    <n v="1"/>
  </r>
  <r>
    <d v="2037-05-05T00:00:00"/>
    <x v="11"/>
    <n v="27.9"/>
    <n v="14.8"/>
    <x v="4"/>
    <n v="1"/>
  </r>
  <r>
    <d v="2037-05-06T00:00:00"/>
    <x v="8"/>
    <n v="24.7"/>
    <n v="9"/>
    <x v="4"/>
    <n v="1"/>
  </r>
  <r>
    <d v="2037-05-07T00:00:00"/>
    <x v="15"/>
    <n v="14.3"/>
    <n v="22"/>
    <x v="4"/>
    <n v="1"/>
  </r>
  <r>
    <d v="2037-05-08T00:00:00"/>
    <x v="29"/>
    <n v="26.2"/>
    <n v="2"/>
    <x v="4"/>
    <n v="1"/>
  </r>
  <r>
    <d v="2037-05-09T00:00:00"/>
    <x v="12"/>
    <n v="21.5"/>
    <n v="0.4"/>
    <x v="4"/>
    <n v="1"/>
  </r>
  <r>
    <d v="2037-05-10T00:00:00"/>
    <x v="6"/>
    <n v="12.8"/>
    <n v="0"/>
    <x v="4"/>
    <n v="1"/>
  </r>
  <r>
    <d v="2037-05-11T00:00:00"/>
    <x v="5"/>
    <n v="24.6"/>
    <n v="3"/>
    <x v="4"/>
    <n v="1"/>
  </r>
  <r>
    <d v="2037-05-12T00:00:00"/>
    <x v="23"/>
    <n v="22.6"/>
    <n v="1.6"/>
    <x v="4"/>
    <n v="1"/>
  </r>
  <r>
    <d v="2037-05-13T00:00:00"/>
    <x v="9"/>
    <n v="27.3"/>
    <n v="9.3000000000000007"/>
    <x v="4"/>
    <n v="1"/>
  </r>
  <r>
    <d v="2037-05-14T00:00:00"/>
    <x v="15"/>
    <n v="10.8"/>
    <n v="22.2"/>
    <x v="4"/>
    <n v="1"/>
  </r>
  <r>
    <d v="2037-05-15T00:00:00"/>
    <x v="13"/>
    <n v="12"/>
    <n v="5.3"/>
    <x v="4"/>
    <n v="1"/>
  </r>
  <r>
    <d v="2037-05-16T00:00:00"/>
    <x v="3"/>
    <n v="28.1"/>
    <n v="0"/>
    <x v="4"/>
    <n v="1"/>
  </r>
  <r>
    <d v="2037-05-17T00:00:00"/>
    <x v="7"/>
    <n v="16.100000000000001"/>
    <n v="9"/>
    <x v="4"/>
    <n v="1"/>
  </r>
  <r>
    <d v="2037-05-18T00:00:00"/>
    <x v="14"/>
    <n v="29"/>
    <n v="1.6"/>
    <x v="4"/>
    <n v="1"/>
  </r>
  <r>
    <d v="2037-05-19T00:00:00"/>
    <x v="7"/>
    <n v="23.6"/>
    <n v="16"/>
    <x v="4"/>
    <n v="1"/>
  </r>
  <r>
    <d v="2037-05-20T00:00:00"/>
    <x v="15"/>
    <n v="11.6"/>
    <n v="32"/>
    <x v="4"/>
    <n v="1"/>
  </r>
  <r>
    <d v="2037-05-21T00:00:00"/>
    <x v="11"/>
    <n v="15.9"/>
    <n v="5.5"/>
    <x v="4"/>
    <n v="1"/>
  </r>
  <r>
    <d v="2037-05-22T00:00:00"/>
    <x v="22"/>
    <n v="28.3"/>
    <n v="6"/>
    <x v="4"/>
    <n v="1"/>
  </r>
  <r>
    <d v="2037-05-23T00:00:00"/>
    <x v="8"/>
    <n v="16.600000000000001"/>
    <n v="11.3"/>
    <x v="4"/>
    <n v="1"/>
  </r>
  <r>
    <d v="2037-05-24T00:00:00"/>
    <x v="18"/>
    <n v="25.2"/>
    <n v="6.4"/>
    <x v="4"/>
    <n v="1"/>
  </r>
  <r>
    <d v="2037-05-25T00:00:00"/>
    <x v="6"/>
    <n v="29.5"/>
    <n v="26.1"/>
    <x v="4"/>
    <n v="1"/>
  </r>
  <r>
    <d v="2037-05-26T00:00:00"/>
    <x v="14"/>
    <n v="13.3"/>
    <n v="7.3"/>
    <x v="4"/>
    <n v="1"/>
  </r>
  <r>
    <d v="2037-05-27T00:00:00"/>
    <x v="13"/>
    <n v="19.5"/>
    <n v="3.4"/>
    <x v="4"/>
    <n v="1"/>
  </r>
  <r>
    <d v="2037-05-28T00:00:00"/>
    <x v="21"/>
    <n v="11.9"/>
    <n v="1.7"/>
    <x v="4"/>
    <n v="1"/>
  </r>
  <r>
    <d v="2037-05-29T00:00:00"/>
    <x v="10"/>
    <n v="29.5"/>
    <n v="5.0999999999999996"/>
    <x v="4"/>
    <n v="1"/>
  </r>
  <r>
    <d v="2037-05-30T00:00:00"/>
    <x v="15"/>
    <n v="25.1"/>
    <n v="0"/>
    <x v="4"/>
    <n v="1"/>
  </r>
  <r>
    <d v="2037-05-31T00:00:00"/>
    <x v="18"/>
    <n v="15.1"/>
    <n v="0"/>
    <x v="4"/>
    <n v="1"/>
  </r>
  <r>
    <d v="2037-06-01T00:00:00"/>
    <x v="29"/>
    <n v="19.7"/>
    <n v="1.7"/>
    <x v="4"/>
    <n v="1"/>
  </r>
  <r>
    <d v="2037-06-02T00:00:00"/>
    <x v="15"/>
    <n v="25.6"/>
    <n v="0"/>
    <x v="4"/>
    <n v="1"/>
  </r>
  <r>
    <d v="2037-06-03T00:00:00"/>
    <x v="7"/>
    <n v="25"/>
    <n v="18.8"/>
    <x v="4"/>
    <n v="1"/>
  </r>
  <r>
    <d v="2037-06-04T00:00:00"/>
    <x v="19"/>
    <n v="11.5"/>
    <n v="0"/>
    <x v="4"/>
    <n v="1"/>
  </r>
  <r>
    <d v="2037-06-05T00:00:00"/>
    <x v="6"/>
    <n v="23.8"/>
    <n v="7.3"/>
    <x v="4"/>
    <n v="1"/>
  </r>
  <r>
    <d v="2037-06-06T00:00:00"/>
    <x v="15"/>
    <n v="25.3"/>
    <n v="14.7"/>
    <x v="4"/>
    <n v="1"/>
  </r>
  <r>
    <d v="2037-06-07T00:00:00"/>
    <x v="6"/>
    <n v="22.6"/>
    <n v="42.2"/>
    <x v="4"/>
    <n v="1"/>
  </r>
  <r>
    <d v="2037-06-08T00:00:00"/>
    <x v="10"/>
    <n v="18.100000000000001"/>
    <n v="3.3"/>
    <x v="4"/>
    <n v="1"/>
  </r>
  <r>
    <d v="2037-06-09T00:00:00"/>
    <x v="15"/>
    <n v="17.8"/>
    <n v="0"/>
    <x v="4"/>
    <n v="1"/>
  </r>
  <r>
    <d v="2037-06-10T00:00:00"/>
    <x v="6"/>
    <n v="25.1"/>
    <n v="25.5"/>
    <x v="4"/>
    <n v="1"/>
  </r>
  <r>
    <d v="2037-06-11T00:00:00"/>
    <x v="14"/>
    <n v="12"/>
    <n v="0"/>
    <x v="4"/>
    <n v="1"/>
  </r>
  <r>
    <d v="2037-06-12T00:00:00"/>
    <x v="6"/>
    <n v="23.2"/>
    <n v="0"/>
    <x v="4"/>
    <n v="1"/>
  </r>
  <r>
    <d v="2037-06-13T00:00:00"/>
    <x v="2"/>
    <n v="16"/>
    <n v="7.9"/>
    <x v="4"/>
    <n v="1"/>
  </r>
  <r>
    <d v="2037-06-14T00:00:00"/>
    <x v="11"/>
    <n v="26.5"/>
    <n v="20.2"/>
    <x v="4"/>
    <n v="1"/>
  </r>
  <r>
    <d v="2037-06-15T00:00:00"/>
    <x v="25"/>
    <n v="28.9"/>
    <n v="0.3"/>
    <x v="4"/>
    <n v="1"/>
  </r>
  <r>
    <d v="2037-06-16T00:00:00"/>
    <x v="6"/>
    <n v="26.6"/>
    <n v="0"/>
    <x v="4"/>
    <n v="1"/>
  </r>
  <r>
    <d v="2037-06-17T00:00:00"/>
    <x v="3"/>
    <n v="13.1"/>
    <n v="19.899999999999999"/>
    <x v="4"/>
    <n v="1"/>
  </r>
  <r>
    <d v="2037-06-18T00:00:00"/>
    <x v="6"/>
    <n v="21.5"/>
    <n v="33.4"/>
    <x v="4"/>
    <n v="1"/>
  </r>
  <r>
    <d v="2037-06-19T00:00:00"/>
    <x v="27"/>
    <n v="25.7"/>
    <n v="0"/>
    <x v="4"/>
    <n v="1"/>
  </r>
  <r>
    <d v="2037-06-20T00:00:00"/>
    <x v="15"/>
    <n v="11.8"/>
    <n v="23"/>
    <x v="4"/>
    <n v="1"/>
  </r>
  <r>
    <d v="2037-06-21T00:00:00"/>
    <x v="21"/>
    <n v="12.6"/>
    <n v="0.7"/>
    <x v="4"/>
    <n v="1"/>
  </r>
  <r>
    <d v="2037-06-22T00:00:00"/>
    <x v="23"/>
    <n v="26.2"/>
    <n v="0.3"/>
    <x v="4"/>
    <n v="1"/>
  </r>
  <r>
    <d v="2037-06-23T00:00:00"/>
    <x v="4"/>
    <n v="29.1"/>
    <n v="5"/>
    <x v="4"/>
    <n v="1"/>
  </r>
  <r>
    <d v="2037-06-24T00:00:00"/>
    <x v="18"/>
    <n v="18.899999999999999"/>
    <n v="7.5"/>
    <x v="4"/>
    <n v="1"/>
  </r>
  <r>
    <d v="2037-06-25T00:00:00"/>
    <x v="7"/>
    <n v="10.5"/>
    <n v="7.3"/>
    <x v="4"/>
    <n v="1"/>
  </r>
  <r>
    <d v="2037-06-26T00:00:00"/>
    <x v="19"/>
    <n v="15.1"/>
    <n v="6"/>
    <x v="4"/>
    <n v="1"/>
  </r>
  <r>
    <d v="2037-06-27T00:00:00"/>
    <x v="3"/>
    <n v="27.8"/>
    <n v="8.3000000000000007"/>
    <x v="4"/>
    <n v="1"/>
  </r>
  <r>
    <d v="2037-06-28T00:00:00"/>
    <x v="12"/>
    <n v="11.7"/>
    <n v="0.4"/>
    <x v="4"/>
    <n v="1"/>
  </r>
  <r>
    <d v="2037-06-29T00:00:00"/>
    <x v="6"/>
    <n v="10.5"/>
    <n v="36.9"/>
    <x v="4"/>
    <n v="1"/>
  </r>
  <r>
    <d v="2037-06-30T00:00:00"/>
    <x v="1"/>
    <n v="21"/>
    <n v="7.1"/>
    <x v="4"/>
    <n v="1"/>
  </r>
  <r>
    <d v="2037-07-01T00:00:00"/>
    <x v="20"/>
    <n v="17.399999999999999"/>
    <n v="3.7"/>
    <x v="4"/>
    <n v="1"/>
  </r>
  <r>
    <d v="2037-07-02T00:00:00"/>
    <x v="14"/>
    <n v="21.9"/>
    <n v="7.6"/>
    <x v="4"/>
    <n v="1"/>
  </r>
  <r>
    <d v="2037-07-03T00:00:00"/>
    <x v="14"/>
    <n v="26"/>
    <n v="4.5999999999999996"/>
    <x v="4"/>
    <n v="1"/>
  </r>
  <r>
    <d v="2037-07-04T00:00:00"/>
    <x v="15"/>
    <n v="12.2"/>
    <n v="19.3"/>
    <x v="4"/>
    <n v="1"/>
  </r>
  <r>
    <d v="2037-07-05T00:00:00"/>
    <x v="4"/>
    <n v="22.4"/>
    <n v="0.3"/>
    <x v="4"/>
    <n v="1"/>
  </r>
  <r>
    <d v="2037-07-06T00:00:00"/>
    <x v="18"/>
    <n v="18.600000000000001"/>
    <n v="7.2"/>
    <x v="4"/>
    <n v="1"/>
  </r>
  <r>
    <d v="2037-07-07T00:00:00"/>
    <x v="6"/>
    <n v="17.100000000000001"/>
    <n v="0"/>
    <x v="4"/>
    <n v="1"/>
  </r>
  <r>
    <d v="2037-07-08T00:00:00"/>
    <x v="15"/>
    <n v="25.1"/>
    <n v="24.3"/>
    <x v="4"/>
    <n v="1"/>
  </r>
  <r>
    <d v="2037-07-09T00:00:00"/>
    <x v="7"/>
    <n v="10.4"/>
    <n v="22.2"/>
    <x v="4"/>
    <n v="1"/>
  </r>
  <r>
    <d v="2037-07-10T00:00:00"/>
    <x v="14"/>
    <n v="28.9"/>
    <n v="0"/>
    <x v="4"/>
    <n v="1"/>
  </r>
  <r>
    <d v="2037-07-11T00:00:00"/>
    <x v="27"/>
    <n v="24.1"/>
    <n v="0"/>
    <x v="4"/>
    <n v="1"/>
  </r>
  <r>
    <d v="2037-07-12T00:00:00"/>
    <x v="15"/>
    <n v="23.2"/>
    <n v="22.1"/>
    <x v="4"/>
    <n v="1"/>
  </r>
  <r>
    <d v="2037-07-13T00:00:00"/>
    <x v="9"/>
    <n v="24.1"/>
    <n v="9.3000000000000007"/>
    <x v="4"/>
    <n v="1"/>
  </r>
  <r>
    <d v="2037-07-14T00:00:00"/>
    <x v="6"/>
    <n v="14.6"/>
    <n v="0"/>
    <x v="4"/>
    <n v="1"/>
  </r>
  <r>
    <d v="2037-07-15T00:00:00"/>
    <x v="16"/>
    <n v="17.7"/>
    <n v="0"/>
    <x v="4"/>
    <n v="1"/>
  </r>
  <r>
    <d v="2037-07-16T00:00:00"/>
    <x v="2"/>
    <n v="20.100000000000001"/>
    <n v="11.5"/>
    <x v="4"/>
    <n v="1"/>
  </r>
  <r>
    <d v="2037-07-17T00:00:00"/>
    <x v="4"/>
    <n v="27.5"/>
    <n v="0"/>
    <x v="4"/>
    <n v="1"/>
  </r>
  <r>
    <d v="2037-07-18T00:00:00"/>
    <x v="3"/>
    <n v="10.9"/>
    <n v="9"/>
    <x v="4"/>
    <n v="1"/>
  </r>
  <r>
    <d v="2037-07-19T00:00:00"/>
    <x v="20"/>
    <n v="27.6"/>
    <n v="3.2"/>
    <x v="4"/>
    <n v="1"/>
  </r>
  <r>
    <d v="2037-07-20T00:00:00"/>
    <x v="15"/>
    <n v="24.5"/>
    <n v="15.3"/>
    <x v="4"/>
    <n v="1"/>
  </r>
  <r>
    <d v="2037-07-21T00:00:00"/>
    <x v="13"/>
    <n v="10.8"/>
    <n v="0"/>
    <x v="4"/>
    <n v="1"/>
  </r>
  <r>
    <d v="2037-07-22T00:00:00"/>
    <x v="15"/>
    <n v="28.7"/>
    <n v="27.2"/>
    <x v="4"/>
    <n v="1"/>
  </r>
  <r>
    <d v="2037-07-23T00:00:00"/>
    <x v="5"/>
    <n v="21.5"/>
    <n v="0.6"/>
    <x v="4"/>
    <n v="1"/>
  </r>
  <r>
    <d v="2037-07-24T00:00:00"/>
    <x v="20"/>
    <n v="20.100000000000001"/>
    <n v="0.8"/>
    <x v="4"/>
    <n v="1"/>
  </r>
  <r>
    <d v="2037-07-25T00:00:00"/>
    <x v="15"/>
    <n v="21.3"/>
    <n v="14.6"/>
    <x v="4"/>
    <n v="1"/>
  </r>
  <r>
    <d v="2037-07-26T00:00:00"/>
    <x v="23"/>
    <n v="20.2"/>
    <n v="6.9"/>
    <x v="4"/>
    <n v="1"/>
  </r>
  <r>
    <d v="2037-07-27T00:00:00"/>
    <x v="9"/>
    <n v="16.8"/>
    <n v="7.6"/>
    <x v="4"/>
    <n v="1"/>
  </r>
  <r>
    <d v="2037-07-28T00:00:00"/>
    <x v="2"/>
    <n v="26.5"/>
    <n v="2.5"/>
    <x v="4"/>
    <n v="1"/>
  </r>
  <r>
    <d v="2037-07-29T00:00:00"/>
    <x v="3"/>
    <n v="18.899999999999999"/>
    <n v="0"/>
    <x v="4"/>
    <n v="1"/>
  </r>
  <r>
    <d v="2037-07-30T00:00:00"/>
    <x v="16"/>
    <n v="22.9"/>
    <n v="1.2"/>
    <x v="4"/>
    <n v="1"/>
  </r>
  <r>
    <d v="2037-07-31T00:00:00"/>
    <x v="15"/>
    <n v="11.3"/>
    <n v="32.700000000000003"/>
    <x v="4"/>
    <n v="1"/>
  </r>
  <r>
    <d v="2037-08-01T00:00:00"/>
    <x v="9"/>
    <n v="13"/>
    <n v="1.7"/>
    <x v="4"/>
    <n v="1"/>
  </r>
  <r>
    <d v="2037-08-02T00:00:00"/>
    <x v="4"/>
    <n v="18.3"/>
    <n v="2.5"/>
    <x v="4"/>
    <n v="1"/>
  </r>
  <r>
    <d v="2037-08-03T00:00:00"/>
    <x v="3"/>
    <n v="10.199999999999999"/>
    <n v="14.3"/>
    <x v="4"/>
    <n v="1"/>
  </r>
  <r>
    <d v="2037-08-04T00:00:00"/>
    <x v="7"/>
    <n v="14.5"/>
    <n v="10.5"/>
    <x v="4"/>
    <n v="1"/>
  </r>
  <r>
    <d v="2037-08-05T00:00:00"/>
    <x v="10"/>
    <n v="12.3"/>
    <n v="7.4"/>
    <x v="4"/>
    <n v="1"/>
  </r>
  <r>
    <d v="2037-08-06T00:00:00"/>
    <x v="9"/>
    <n v="17"/>
    <n v="16.899999999999999"/>
    <x v="4"/>
    <n v="1"/>
  </r>
  <r>
    <d v="2037-08-07T00:00:00"/>
    <x v="1"/>
    <n v="17.5"/>
    <n v="0"/>
    <x v="4"/>
    <n v="1"/>
  </r>
  <r>
    <d v="2037-08-08T00:00:00"/>
    <x v="0"/>
    <n v="28.4"/>
    <n v="0"/>
    <x v="4"/>
    <n v="1"/>
  </r>
  <r>
    <d v="2037-08-09T00:00:00"/>
    <x v="15"/>
    <n v="13.1"/>
    <n v="36.6"/>
    <x v="4"/>
    <n v="1"/>
  </r>
  <r>
    <d v="2037-08-10T00:00:00"/>
    <x v="3"/>
    <n v="16.600000000000001"/>
    <n v="6.6"/>
    <x v="4"/>
    <n v="1"/>
  </r>
  <r>
    <d v="2037-08-11T00:00:00"/>
    <x v="15"/>
    <n v="20.2"/>
    <n v="0"/>
    <x v="4"/>
    <n v="1"/>
  </r>
  <r>
    <d v="2037-08-12T00:00:00"/>
    <x v="3"/>
    <n v="26.4"/>
    <n v="11.9"/>
    <x v="4"/>
    <n v="1"/>
  </r>
  <r>
    <d v="2037-08-13T00:00:00"/>
    <x v="6"/>
    <n v="11.8"/>
    <n v="0"/>
    <x v="4"/>
    <n v="1"/>
  </r>
  <r>
    <d v="2037-08-14T00:00:00"/>
    <x v="13"/>
    <n v="19.5"/>
    <n v="6.4"/>
    <x v="4"/>
    <n v="1"/>
  </r>
  <r>
    <d v="2037-08-15T00:00:00"/>
    <x v="15"/>
    <n v="12"/>
    <n v="13.3"/>
    <x v="4"/>
    <n v="1"/>
  </r>
  <r>
    <d v="2037-08-16T00:00:00"/>
    <x v="18"/>
    <n v="16.3"/>
    <n v="7.5"/>
    <x v="4"/>
    <n v="1"/>
  </r>
  <r>
    <d v="2037-08-17T00:00:00"/>
    <x v="13"/>
    <n v="22.8"/>
    <n v="2.7"/>
    <x v="4"/>
    <n v="1"/>
  </r>
  <r>
    <d v="2037-08-18T00:00:00"/>
    <x v="6"/>
    <n v="16.2"/>
    <n v="43.3"/>
    <x v="4"/>
    <n v="1"/>
  </r>
  <r>
    <d v="2037-08-19T00:00:00"/>
    <x v="20"/>
    <n v="11.5"/>
    <n v="3.1"/>
    <x v="4"/>
    <n v="1"/>
  </r>
  <r>
    <d v="2037-08-20T00:00:00"/>
    <x v="9"/>
    <n v="13.5"/>
    <n v="0"/>
    <x v="4"/>
    <n v="1"/>
  </r>
  <r>
    <d v="2037-08-21T00:00:00"/>
    <x v="13"/>
    <n v="16.2"/>
    <n v="6.4"/>
    <x v="4"/>
    <n v="1"/>
  </r>
  <r>
    <d v="2037-08-22T00:00:00"/>
    <x v="6"/>
    <n v="18.5"/>
    <n v="24.9"/>
    <x v="4"/>
    <n v="1"/>
  </r>
  <r>
    <d v="2037-08-23T00:00:00"/>
    <x v="15"/>
    <n v="10.9"/>
    <n v="0"/>
    <x v="4"/>
    <n v="1"/>
  </r>
  <r>
    <d v="2037-08-24T00:00:00"/>
    <x v="13"/>
    <n v="23.9"/>
    <n v="4.5"/>
    <x v="4"/>
    <n v="1"/>
  </r>
  <r>
    <d v="2037-08-25T00:00:00"/>
    <x v="7"/>
    <n v="20.2"/>
    <n v="0"/>
    <x v="4"/>
    <n v="1"/>
  </r>
  <r>
    <d v="2037-08-26T00:00:00"/>
    <x v="3"/>
    <n v="23.3"/>
    <n v="0"/>
    <x v="4"/>
    <n v="1"/>
  </r>
  <r>
    <d v="2037-08-27T00:00:00"/>
    <x v="9"/>
    <n v="26.3"/>
    <n v="2.2000000000000002"/>
    <x v="4"/>
    <n v="1"/>
  </r>
  <r>
    <d v="2037-08-28T00:00:00"/>
    <x v="9"/>
    <n v="20.3"/>
    <n v="16.600000000000001"/>
    <x v="4"/>
    <n v="1"/>
  </r>
  <r>
    <d v="2037-08-29T00:00:00"/>
    <x v="6"/>
    <n v="11.1"/>
    <n v="38"/>
    <x v="4"/>
    <n v="1"/>
  </r>
  <r>
    <d v="2037-08-30T00:00:00"/>
    <x v="1"/>
    <n v="10.7"/>
    <n v="1.2"/>
    <x v="4"/>
    <n v="1"/>
  </r>
  <r>
    <d v="2037-08-31T00:00:00"/>
    <x v="17"/>
    <n v="21.8"/>
    <n v="0"/>
    <x v="4"/>
    <n v="1"/>
  </r>
  <r>
    <d v="2037-09-01T00:00:00"/>
    <x v="3"/>
    <n v="29.7"/>
    <n v="2.5"/>
    <x v="4"/>
    <n v="1"/>
  </r>
  <r>
    <d v="2037-09-02T00:00:00"/>
    <x v="6"/>
    <n v="21.7"/>
    <n v="16.100000000000001"/>
    <x v="4"/>
    <n v="1"/>
  </r>
  <r>
    <d v="2037-09-03T00:00:00"/>
    <x v="6"/>
    <n v="26"/>
    <n v="47.6"/>
    <x v="4"/>
    <n v="1"/>
  </r>
  <r>
    <d v="2037-09-04T00:00:00"/>
    <x v="3"/>
    <n v="18"/>
    <n v="5.3"/>
    <x v="4"/>
    <n v="1"/>
  </r>
  <r>
    <d v="2037-09-05T00:00:00"/>
    <x v="20"/>
    <n v="15.8"/>
    <n v="3.6"/>
    <x v="4"/>
    <n v="1"/>
  </r>
  <r>
    <d v="2037-09-06T00:00:00"/>
    <x v="22"/>
    <n v="14.1"/>
    <n v="6.8"/>
    <x v="4"/>
    <n v="1"/>
  </r>
  <r>
    <d v="2037-09-07T00:00:00"/>
    <x v="20"/>
    <n v="22.3"/>
    <n v="1.8"/>
    <x v="4"/>
    <n v="1"/>
  </r>
  <r>
    <d v="2037-09-08T00:00:00"/>
    <x v="15"/>
    <n v="22.2"/>
    <n v="0"/>
    <x v="4"/>
    <n v="1"/>
  </r>
  <r>
    <d v="2037-09-09T00:00:00"/>
    <x v="2"/>
    <n v="23.8"/>
    <n v="0"/>
    <x v="4"/>
    <n v="1"/>
  </r>
  <r>
    <d v="2037-09-10T00:00:00"/>
    <x v="10"/>
    <n v="10"/>
    <n v="8.1"/>
    <x v="4"/>
    <n v="1"/>
  </r>
  <r>
    <d v="2037-09-11T00:00:00"/>
    <x v="20"/>
    <n v="23.8"/>
    <n v="0"/>
    <x v="4"/>
    <n v="1"/>
  </r>
  <r>
    <d v="2037-09-12T00:00:00"/>
    <x v="19"/>
    <n v="13.4"/>
    <n v="2.6"/>
    <x v="4"/>
    <n v="1"/>
  </r>
  <r>
    <d v="2037-09-13T00:00:00"/>
    <x v="20"/>
    <n v="17"/>
    <n v="1.5"/>
    <x v="4"/>
    <n v="1"/>
  </r>
  <r>
    <d v="2037-09-14T00:00:00"/>
    <x v="2"/>
    <n v="25.5"/>
    <n v="0"/>
    <x v="4"/>
    <n v="1"/>
  </r>
  <r>
    <d v="2037-09-15T00:00:00"/>
    <x v="10"/>
    <n v="19.7"/>
    <n v="0"/>
    <x v="4"/>
    <n v="1"/>
  </r>
  <r>
    <d v="2037-09-16T00:00:00"/>
    <x v="6"/>
    <n v="22.8"/>
    <n v="10.7"/>
    <x v="4"/>
    <n v="1"/>
  </r>
  <r>
    <d v="2037-09-17T00:00:00"/>
    <x v="12"/>
    <n v="25.5"/>
    <n v="0"/>
    <x v="4"/>
    <n v="1"/>
  </r>
  <r>
    <d v="2037-09-18T00:00:00"/>
    <x v="6"/>
    <n v="16.8"/>
    <n v="2.2000000000000002"/>
    <x v="4"/>
    <n v="1"/>
  </r>
  <r>
    <d v="2037-09-19T00:00:00"/>
    <x v="19"/>
    <n v="25.3"/>
    <n v="2.5"/>
    <x v="4"/>
    <n v="1"/>
  </r>
  <r>
    <d v="2037-09-20T00:00:00"/>
    <x v="21"/>
    <n v="26.3"/>
    <n v="0.4"/>
    <x v="4"/>
    <n v="1"/>
  </r>
  <r>
    <d v="2037-09-21T00:00:00"/>
    <x v="9"/>
    <n v="21.9"/>
    <n v="7"/>
    <x v="4"/>
    <n v="1"/>
  </r>
  <r>
    <d v="2037-09-22T00:00:00"/>
    <x v="9"/>
    <n v="11.2"/>
    <n v="0"/>
    <x v="4"/>
    <n v="1"/>
  </r>
  <r>
    <d v="2037-09-23T00:00:00"/>
    <x v="11"/>
    <n v="10.6"/>
    <n v="5.2"/>
    <x v="4"/>
    <n v="1"/>
  </r>
  <r>
    <d v="2037-09-24T00:00:00"/>
    <x v="8"/>
    <n v="17.7"/>
    <n v="1"/>
    <x v="4"/>
    <n v="1"/>
  </r>
  <r>
    <d v="2037-09-25T00:00:00"/>
    <x v="3"/>
    <n v="19.899999999999999"/>
    <n v="0"/>
    <x v="4"/>
    <n v="1"/>
  </r>
  <r>
    <d v="2037-09-26T00:00:00"/>
    <x v="6"/>
    <n v="25.1"/>
    <n v="42.1"/>
    <x v="4"/>
    <n v="1"/>
  </r>
  <r>
    <d v="2037-09-27T00:00:00"/>
    <x v="5"/>
    <n v="18.5"/>
    <n v="0.3"/>
    <x v="4"/>
    <n v="1"/>
  </r>
  <r>
    <d v="2037-09-28T00:00:00"/>
    <x v="6"/>
    <n v="25.5"/>
    <n v="25.3"/>
    <x v="4"/>
    <n v="1"/>
  </r>
  <r>
    <d v="2037-09-29T00:00:00"/>
    <x v="6"/>
    <n v="12.8"/>
    <n v="0"/>
    <x v="4"/>
    <n v="1"/>
  </r>
  <r>
    <d v="2037-09-30T00:00:00"/>
    <x v="15"/>
    <n v="23.6"/>
    <n v="34.299999999999997"/>
    <x v="4"/>
    <n v="1"/>
  </r>
  <r>
    <d v="2037-10-01T00:00:00"/>
    <x v="11"/>
    <n v="13.1"/>
    <n v="2"/>
    <x v="4"/>
    <n v="1"/>
  </r>
  <r>
    <d v="2037-10-02T00:00:00"/>
    <x v="19"/>
    <n v="23"/>
    <n v="0"/>
    <x v="4"/>
    <n v="1"/>
  </r>
  <r>
    <d v="2037-10-03T00:00:00"/>
    <x v="9"/>
    <n v="13"/>
    <n v="15.8"/>
    <x v="4"/>
    <n v="1"/>
  </r>
  <r>
    <d v="2037-10-04T00:00:00"/>
    <x v="5"/>
    <n v="19.5"/>
    <n v="8"/>
    <x v="4"/>
    <n v="1"/>
  </r>
  <r>
    <d v="2037-10-05T00:00:00"/>
    <x v="3"/>
    <n v="19.2"/>
    <n v="0"/>
    <x v="4"/>
    <n v="1"/>
  </r>
  <r>
    <d v="2037-10-06T00:00:00"/>
    <x v="1"/>
    <n v="28.3"/>
    <n v="1.1000000000000001"/>
    <x v="4"/>
    <n v="1"/>
  </r>
  <r>
    <d v="2037-10-07T00:00:00"/>
    <x v="6"/>
    <n v="18.100000000000001"/>
    <n v="0"/>
    <x v="4"/>
    <n v="1"/>
  </r>
  <r>
    <d v="2037-10-08T00:00:00"/>
    <x v="15"/>
    <n v="17.5"/>
    <n v="13.3"/>
    <x v="4"/>
    <n v="1"/>
  </r>
  <r>
    <d v="2037-10-09T00:00:00"/>
    <x v="2"/>
    <n v="26.7"/>
    <n v="12.9"/>
    <x v="4"/>
    <n v="1"/>
  </r>
  <r>
    <d v="2037-10-10T00:00:00"/>
    <x v="15"/>
    <n v="26.6"/>
    <n v="0"/>
    <x v="4"/>
    <n v="1"/>
  </r>
  <r>
    <d v="2037-10-11T00:00:00"/>
    <x v="18"/>
    <n v="12.2"/>
    <n v="1.8"/>
    <x v="4"/>
    <n v="1"/>
  </r>
  <r>
    <d v="2037-10-12T00:00:00"/>
    <x v="3"/>
    <n v="27.4"/>
    <n v="4.8"/>
    <x v="4"/>
    <n v="1"/>
  </r>
  <r>
    <d v="2037-10-13T00:00:00"/>
    <x v="9"/>
    <n v="24.9"/>
    <n v="1.6"/>
    <x v="4"/>
    <n v="1"/>
  </r>
  <r>
    <d v="2037-10-14T00:00:00"/>
    <x v="23"/>
    <n v="21.4"/>
    <n v="5.5"/>
    <x v="4"/>
    <n v="1"/>
  </r>
  <r>
    <d v="2037-10-15T00:00:00"/>
    <x v="25"/>
    <n v="14.1"/>
    <n v="0"/>
    <x v="4"/>
    <n v="1"/>
  </r>
  <r>
    <d v="2037-10-16T00:00:00"/>
    <x v="21"/>
    <n v="15.4"/>
    <n v="2.1"/>
    <x v="4"/>
    <n v="1"/>
  </r>
  <r>
    <d v="2037-10-17T00:00:00"/>
    <x v="9"/>
    <n v="27.7"/>
    <n v="0"/>
    <x v="4"/>
    <n v="1"/>
  </r>
  <r>
    <d v="2037-10-18T00:00:00"/>
    <x v="6"/>
    <n v="15.5"/>
    <n v="43.4"/>
    <x v="4"/>
    <n v="1"/>
  </r>
  <r>
    <d v="2037-10-19T00:00:00"/>
    <x v="3"/>
    <n v="26.8"/>
    <n v="0"/>
    <x v="4"/>
    <n v="1"/>
  </r>
  <r>
    <d v="2037-10-20T00:00:00"/>
    <x v="9"/>
    <n v="23.1"/>
    <n v="9.1"/>
    <x v="4"/>
    <n v="1"/>
  </r>
  <r>
    <d v="2037-10-21T00:00:00"/>
    <x v="2"/>
    <n v="22.8"/>
    <n v="12.9"/>
    <x v="4"/>
    <n v="1"/>
  </r>
  <r>
    <d v="2037-10-22T00:00:00"/>
    <x v="6"/>
    <n v="17.2"/>
    <n v="0"/>
    <x v="4"/>
    <n v="1"/>
  </r>
  <r>
    <d v="2037-10-23T00:00:00"/>
    <x v="6"/>
    <n v="29.3"/>
    <n v="6.1"/>
    <x v="4"/>
    <n v="1"/>
  </r>
  <r>
    <d v="2037-10-24T00:00:00"/>
    <x v="9"/>
    <n v="19.5"/>
    <n v="14.2"/>
    <x v="4"/>
    <n v="1"/>
  </r>
  <r>
    <d v="2037-10-25T00:00:00"/>
    <x v="15"/>
    <n v="28.1"/>
    <n v="9.4"/>
    <x v="4"/>
    <n v="1"/>
  </r>
  <r>
    <d v="2037-10-26T00:00:00"/>
    <x v="7"/>
    <n v="21.1"/>
    <n v="12"/>
    <x v="4"/>
    <n v="1"/>
  </r>
  <r>
    <d v="2037-10-27T00:00:00"/>
    <x v="3"/>
    <n v="23.8"/>
    <n v="13.3"/>
    <x v="4"/>
    <n v="1"/>
  </r>
  <r>
    <d v="2037-10-28T00:00:00"/>
    <x v="20"/>
    <n v="19.399999999999999"/>
    <n v="2.2000000000000002"/>
    <x v="4"/>
    <n v="1"/>
  </r>
  <r>
    <d v="2037-10-29T00:00:00"/>
    <x v="3"/>
    <n v="25.8"/>
    <n v="17.100000000000001"/>
    <x v="4"/>
    <n v="1"/>
  </r>
  <r>
    <d v="2037-10-30T00:00:00"/>
    <x v="3"/>
    <n v="30"/>
    <n v="6.3"/>
    <x v="4"/>
    <n v="1"/>
  </r>
  <r>
    <d v="2037-10-31T00:00:00"/>
    <x v="6"/>
    <n v="11"/>
    <n v="0"/>
    <x v="4"/>
    <n v="1"/>
  </r>
  <r>
    <d v="2037-11-01T00:00:00"/>
    <x v="15"/>
    <n v="27.2"/>
    <n v="0"/>
    <x v="4"/>
    <n v="1"/>
  </r>
  <r>
    <d v="2037-11-02T00:00:00"/>
    <x v="3"/>
    <n v="18.3"/>
    <n v="8.4"/>
    <x v="4"/>
    <n v="1"/>
  </r>
  <r>
    <d v="2037-11-03T00:00:00"/>
    <x v="21"/>
    <n v="14"/>
    <n v="2.5"/>
    <x v="4"/>
    <n v="1"/>
  </r>
  <r>
    <d v="2037-11-04T00:00:00"/>
    <x v="3"/>
    <n v="26.2"/>
    <n v="6.9"/>
    <x v="4"/>
    <n v="1"/>
  </r>
  <r>
    <d v="2037-11-05T00:00:00"/>
    <x v="11"/>
    <n v="25.5"/>
    <n v="8.4"/>
    <x v="4"/>
    <n v="1"/>
  </r>
  <r>
    <d v="2037-11-06T00:00:00"/>
    <x v="14"/>
    <n v="23.1"/>
    <n v="11.4"/>
    <x v="4"/>
    <n v="1"/>
  </r>
  <r>
    <d v="2037-11-07T00:00:00"/>
    <x v="8"/>
    <n v="21.3"/>
    <n v="2.8"/>
    <x v="4"/>
    <n v="1"/>
  </r>
  <r>
    <d v="2037-11-08T00:00:00"/>
    <x v="8"/>
    <n v="16.3"/>
    <n v="7.6"/>
    <x v="4"/>
    <n v="1"/>
  </r>
  <r>
    <d v="2037-11-09T00:00:00"/>
    <x v="10"/>
    <n v="23.7"/>
    <n v="7.6"/>
    <x v="4"/>
    <n v="1"/>
  </r>
  <r>
    <d v="2037-11-10T00:00:00"/>
    <x v="14"/>
    <n v="24.8"/>
    <n v="0"/>
    <x v="4"/>
    <n v="1"/>
  </r>
  <r>
    <d v="2037-11-11T00:00:00"/>
    <x v="29"/>
    <n v="21.7"/>
    <n v="1"/>
    <x v="4"/>
    <n v="1"/>
  </r>
  <r>
    <d v="2037-11-12T00:00:00"/>
    <x v="6"/>
    <n v="16.7"/>
    <n v="21"/>
    <x v="4"/>
    <n v="1"/>
  </r>
  <r>
    <d v="2037-11-13T00:00:00"/>
    <x v="19"/>
    <n v="22.3"/>
    <n v="0.1"/>
    <x v="4"/>
    <n v="1"/>
  </r>
  <r>
    <d v="2037-11-14T00:00:00"/>
    <x v="22"/>
    <n v="13.6"/>
    <n v="0"/>
    <x v="4"/>
    <n v="1"/>
  </r>
  <r>
    <d v="2037-11-15T00:00:00"/>
    <x v="21"/>
    <n v="11.8"/>
    <n v="2.1"/>
    <x v="4"/>
    <n v="1"/>
  </r>
  <r>
    <d v="2037-11-16T00:00:00"/>
    <x v="7"/>
    <n v="11.1"/>
    <n v="0"/>
    <x v="4"/>
    <n v="1"/>
  </r>
  <r>
    <d v="2037-11-17T00:00:00"/>
    <x v="9"/>
    <n v="11.2"/>
    <n v="15"/>
    <x v="4"/>
    <n v="1"/>
  </r>
  <r>
    <d v="2037-11-18T00:00:00"/>
    <x v="19"/>
    <n v="19.100000000000001"/>
    <n v="0"/>
    <x v="4"/>
    <n v="1"/>
  </r>
  <r>
    <d v="2037-11-19T00:00:00"/>
    <x v="6"/>
    <n v="11.1"/>
    <n v="46.3"/>
    <x v="4"/>
    <n v="1"/>
  </r>
  <r>
    <d v="2037-11-20T00:00:00"/>
    <x v="14"/>
    <n v="15.1"/>
    <n v="6.2"/>
    <x v="4"/>
    <n v="1"/>
  </r>
  <r>
    <d v="2037-11-21T00:00:00"/>
    <x v="11"/>
    <n v="21.7"/>
    <n v="0"/>
    <x v="4"/>
    <n v="1"/>
  </r>
  <r>
    <d v="2037-11-22T00:00:00"/>
    <x v="19"/>
    <n v="19.7"/>
    <n v="0.2"/>
    <x v="4"/>
    <n v="1"/>
  </r>
  <r>
    <d v="2037-11-23T00:00:00"/>
    <x v="3"/>
    <n v="17.5"/>
    <n v="2.2000000000000002"/>
    <x v="4"/>
    <n v="1"/>
  </r>
  <r>
    <d v="2037-11-24T00:00:00"/>
    <x v="2"/>
    <n v="18.8"/>
    <n v="11.3"/>
    <x v="4"/>
    <n v="1"/>
  </r>
  <r>
    <d v="2037-11-25T00:00:00"/>
    <x v="26"/>
    <n v="19.600000000000001"/>
    <n v="0.3"/>
    <x v="4"/>
    <n v="1"/>
  </r>
  <r>
    <d v="2037-11-26T00:00:00"/>
    <x v="7"/>
    <n v="24.4"/>
    <n v="22"/>
    <x v="4"/>
    <n v="1"/>
  </r>
  <r>
    <d v="2037-11-27T00:00:00"/>
    <x v="19"/>
    <n v="10.5"/>
    <n v="0.1"/>
    <x v="4"/>
    <n v="1"/>
  </r>
  <r>
    <d v="2037-11-28T00:00:00"/>
    <x v="5"/>
    <n v="23.5"/>
    <n v="0"/>
    <x v="4"/>
    <n v="1"/>
  </r>
  <r>
    <d v="2037-11-29T00:00:00"/>
    <x v="23"/>
    <n v="19.2"/>
    <n v="0"/>
    <x v="4"/>
    <n v="1"/>
  </r>
  <r>
    <d v="2037-11-30T00:00:00"/>
    <x v="2"/>
    <n v="11"/>
    <n v="0"/>
    <x v="4"/>
    <n v="1"/>
  </r>
  <r>
    <d v="2037-12-01T00:00:00"/>
    <x v="7"/>
    <n v="10.4"/>
    <n v="0"/>
    <x v="4"/>
    <n v="1"/>
  </r>
  <r>
    <d v="2037-12-02T00:00:00"/>
    <x v="3"/>
    <n v="11.9"/>
    <n v="9"/>
    <x v="4"/>
    <n v="1"/>
  </r>
  <r>
    <d v="2037-12-03T00:00:00"/>
    <x v="10"/>
    <n v="23.1"/>
    <n v="2"/>
    <x v="4"/>
    <n v="1"/>
  </r>
  <r>
    <d v="2037-12-04T00:00:00"/>
    <x v="15"/>
    <n v="18.600000000000001"/>
    <n v="17.2"/>
    <x v="4"/>
    <n v="1"/>
  </r>
  <r>
    <d v="2037-12-05T00:00:00"/>
    <x v="2"/>
    <n v="21.8"/>
    <n v="12.3"/>
    <x v="4"/>
    <n v="1"/>
  </r>
  <r>
    <d v="2037-12-06T00:00:00"/>
    <x v="10"/>
    <n v="27.7"/>
    <n v="7.4"/>
    <x v="4"/>
    <n v="1"/>
  </r>
  <r>
    <d v="2037-12-07T00:00:00"/>
    <x v="15"/>
    <n v="23.2"/>
    <n v="24"/>
    <x v="4"/>
    <n v="1"/>
  </r>
  <r>
    <d v="2037-12-08T00:00:00"/>
    <x v="15"/>
    <n v="25.8"/>
    <n v="16.100000000000001"/>
    <x v="4"/>
    <n v="1"/>
  </r>
  <r>
    <d v="2037-12-09T00:00:00"/>
    <x v="1"/>
    <n v="19.8"/>
    <n v="6.6"/>
    <x v="4"/>
    <n v="1"/>
  </r>
  <r>
    <d v="2037-12-10T00:00:00"/>
    <x v="14"/>
    <n v="11.2"/>
    <n v="7.5"/>
    <x v="4"/>
    <n v="1"/>
  </r>
  <r>
    <d v="2037-12-11T00:00:00"/>
    <x v="6"/>
    <n v="15.7"/>
    <n v="0"/>
    <x v="4"/>
    <n v="1"/>
  </r>
  <r>
    <d v="2037-12-12T00:00:00"/>
    <x v="26"/>
    <n v="23.6"/>
    <n v="0.6"/>
    <x v="4"/>
    <n v="1"/>
  </r>
  <r>
    <d v="2037-12-13T00:00:00"/>
    <x v="4"/>
    <n v="27.5"/>
    <n v="5.3"/>
    <x v="4"/>
    <n v="1"/>
  </r>
  <r>
    <d v="2037-12-14T00:00:00"/>
    <x v="1"/>
    <n v="17.3"/>
    <n v="0"/>
    <x v="4"/>
    <n v="1"/>
  </r>
  <r>
    <d v="2037-12-15T00:00:00"/>
    <x v="15"/>
    <n v="11.2"/>
    <n v="32.700000000000003"/>
    <x v="4"/>
    <n v="1"/>
  </r>
  <r>
    <d v="2037-12-16T00:00:00"/>
    <x v="7"/>
    <n v="17.8"/>
    <n v="0"/>
    <x v="4"/>
    <n v="1"/>
  </r>
  <r>
    <d v="2037-12-17T00:00:00"/>
    <x v="6"/>
    <n v="16.899999999999999"/>
    <n v="41.8"/>
    <x v="4"/>
    <n v="1"/>
  </r>
  <r>
    <d v="2037-12-18T00:00:00"/>
    <x v="7"/>
    <n v="18.3"/>
    <n v="0"/>
    <x v="4"/>
    <n v="1"/>
  </r>
  <r>
    <d v="2037-12-19T00:00:00"/>
    <x v="13"/>
    <n v="12.2"/>
    <n v="0"/>
    <x v="4"/>
    <n v="1"/>
  </r>
  <r>
    <d v="2037-12-20T00:00:00"/>
    <x v="9"/>
    <n v="21.2"/>
    <n v="0"/>
    <x v="4"/>
    <n v="1"/>
  </r>
  <r>
    <d v="2037-12-21T00:00:00"/>
    <x v="6"/>
    <n v="19.600000000000001"/>
    <n v="48.2"/>
    <x v="4"/>
    <n v="1"/>
  </r>
  <r>
    <d v="2037-12-22T00:00:00"/>
    <x v="5"/>
    <n v="15.6"/>
    <n v="0.6"/>
    <x v="4"/>
    <n v="1"/>
  </r>
  <r>
    <d v="2037-12-23T00:00:00"/>
    <x v="22"/>
    <n v="12.5"/>
    <n v="5.9"/>
    <x v="4"/>
    <n v="1"/>
  </r>
  <r>
    <d v="2037-12-24T00:00:00"/>
    <x v="8"/>
    <n v="29.3"/>
    <n v="0"/>
    <x v="4"/>
    <n v="1"/>
  </r>
  <r>
    <d v="2037-12-25T00:00:00"/>
    <x v="14"/>
    <n v="24.6"/>
    <n v="0"/>
    <x v="4"/>
    <n v="1"/>
  </r>
  <r>
    <d v="2037-12-26T00:00:00"/>
    <x v="5"/>
    <n v="21.2"/>
    <n v="3.1"/>
    <x v="4"/>
    <n v="1"/>
  </r>
  <r>
    <d v="2037-12-27T00:00:00"/>
    <x v="6"/>
    <n v="12.7"/>
    <n v="38.1"/>
    <x v="4"/>
    <n v="1"/>
  </r>
  <r>
    <d v="2037-12-28T00:00:00"/>
    <x v="19"/>
    <n v="20.6"/>
    <n v="5.2"/>
    <x v="4"/>
    <n v="1"/>
  </r>
  <r>
    <d v="2037-12-29T00:00:00"/>
    <x v="8"/>
    <n v="28.3"/>
    <n v="0"/>
    <x v="4"/>
    <n v="1"/>
  </r>
  <r>
    <d v="2037-12-30T00:00:00"/>
    <x v="15"/>
    <n v="15.1"/>
    <n v="22.6"/>
    <x v="4"/>
    <n v="1"/>
  </r>
  <r>
    <d v="2037-12-31T00:00:00"/>
    <x v="11"/>
    <n v="24.8"/>
    <n v="10.5"/>
    <x v="4"/>
    <n v="1"/>
  </r>
  <r>
    <d v="2038-01-01T00:00:00"/>
    <x v="17"/>
    <n v="16.899999999999999"/>
    <n v="1.2"/>
    <x v="5"/>
    <n v="1"/>
  </r>
  <r>
    <d v="2038-01-02T00:00:00"/>
    <x v="17"/>
    <n v="23.4"/>
    <n v="0"/>
    <x v="5"/>
    <n v="1"/>
  </r>
  <r>
    <d v="2038-01-03T00:00:00"/>
    <x v="3"/>
    <n v="10.5"/>
    <n v="22.2"/>
    <x v="5"/>
    <n v="1"/>
  </r>
  <r>
    <d v="2038-01-04T00:00:00"/>
    <x v="6"/>
    <n v="16.2"/>
    <n v="0"/>
    <x v="5"/>
    <n v="1"/>
  </r>
  <r>
    <d v="2038-01-05T00:00:00"/>
    <x v="12"/>
    <n v="29.7"/>
    <n v="0.3"/>
    <x v="5"/>
    <n v="1"/>
  </r>
  <r>
    <d v="2038-01-06T00:00:00"/>
    <x v="6"/>
    <n v="12.8"/>
    <n v="0"/>
    <x v="5"/>
    <n v="1"/>
  </r>
  <r>
    <d v="2038-01-07T00:00:00"/>
    <x v="4"/>
    <n v="19.100000000000001"/>
    <n v="1.7"/>
    <x v="5"/>
    <n v="1"/>
  </r>
  <r>
    <d v="2038-01-08T00:00:00"/>
    <x v="7"/>
    <n v="27.7"/>
    <n v="0"/>
    <x v="5"/>
    <n v="1"/>
  </r>
  <r>
    <d v="2038-01-09T00:00:00"/>
    <x v="10"/>
    <n v="22"/>
    <n v="5.9"/>
    <x v="5"/>
    <n v="1"/>
  </r>
  <r>
    <d v="2038-01-10T00:00:00"/>
    <x v="2"/>
    <n v="19.600000000000001"/>
    <n v="2.7"/>
    <x v="5"/>
    <n v="1"/>
  </r>
  <r>
    <d v="2038-01-11T00:00:00"/>
    <x v="4"/>
    <n v="16"/>
    <n v="0.3"/>
    <x v="5"/>
    <n v="1"/>
  </r>
  <r>
    <d v="2038-01-12T00:00:00"/>
    <x v="1"/>
    <n v="14"/>
    <n v="1.3"/>
    <x v="5"/>
    <n v="1"/>
  </r>
  <r>
    <d v="2038-01-13T00:00:00"/>
    <x v="11"/>
    <n v="29.5"/>
    <n v="3.3"/>
    <x v="5"/>
    <n v="1"/>
  </r>
  <r>
    <d v="2038-01-14T00:00:00"/>
    <x v="3"/>
    <n v="12.2"/>
    <n v="0"/>
    <x v="5"/>
    <n v="1"/>
  </r>
  <r>
    <d v="2038-01-15T00:00:00"/>
    <x v="7"/>
    <n v="15"/>
    <n v="7.4"/>
    <x v="5"/>
    <n v="1"/>
  </r>
  <r>
    <d v="2038-01-16T00:00:00"/>
    <x v="16"/>
    <n v="10.4"/>
    <n v="2"/>
    <x v="5"/>
    <n v="1"/>
  </r>
  <r>
    <d v="2038-01-17T00:00:00"/>
    <x v="15"/>
    <n v="18.600000000000001"/>
    <n v="4.5999999999999996"/>
    <x v="5"/>
    <n v="1"/>
  </r>
  <r>
    <d v="2038-01-18T00:00:00"/>
    <x v="14"/>
    <n v="23.7"/>
    <n v="7.2"/>
    <x v="5"/>
    <n v="1"/>
  </r>
  <r>
    <d v="2038-01-19T00:00:00"/>
    <x v="1"/>
    <n v="27.2"/>
    <n v="0"/>
    <x v="5"/>
    <n v="1"/>
  </r>
  <r>
    <d v="2038-01-20T00:00:00"/>
    <x v="11"/>
    <n v="11.3"/>
    <n v="18.8"/>
    <x v="5"/>
    <n v="1"/>
  </r>
  <r>
    <d v="2038-01-21T00:00:00"/>
    <x v="3"/>
    <n v="22.1"/>
    <n v="0"/>
    <x v="5"/>
    <n v="1"/>
  </r>
  <r>
    <d v="2038-01-22T00:00:00"/>
    <x v="8"/>
    <n v="11"/>
    <n v="0"/>
    <x v="5"/>
    <n v="1"/>
  </r>
  <r>
    <d v="2038-01-23T00:00:00"/>
    <x v="15"/>
    <n v="14.7"/>
    <n v="0"/>
    <x v="5"/>
    <n v="1"/>
  </r>
  <r>
    <d v="2038-01-24T00:00:00"/>
    <x v="15"/>
    <n v="10.4"/>
    <n v="14.4"/>
    <x v="5"/>
    <n v="1"/>
  </r>
  <r>
    <d v="2038-01-25T00:00:00"/>
    <x v="20"/>
    <n v="29.6"/>
    <n v="2.8"/>
    <x v="5"/>
    <n v="1"/>
  </r>
  <r>
    <d v="2038-01-26T00:00:00"/>
    <x v="14"/>
    <n v="11.3"/>
    <n v="7.2"/>
    <x v="5"/>
    <n v="1"/>
  </r>
  <r>
    <d v="2038-01-27T00:00:00"/>
    <x v="16"/>
    <n v="22.4"/>
    <n v="0"/>
    <x v="5"/>
    <n v="1"/>
  </r>
  <r>
    <d v="2038-01-28T00:00:00"/>
    <x v="15"/>
    <n v="19.600000000000001"/>
    <n v="28.7"/>
    <x v="5"/>
    <n v="1"/>
  </r>
  <r>
    <d v="2038-01-29T00:00:00"/>
    <x v="2"/>
    <n v="28.5"/>
    <n v="12.9"/>
    <x v="5"/>
    <n v="1"/>
  </r>
  <r>
    <d v="2038-01-30T00:00:00"/>
    <x v="20"/>
    <n v="10.9"/>
    <n v="0"/>
    <x v="5"/>
    <n v="1"/>
  </r>
  <r>
    <d v="2038-01-31T00:00:00"/>
    <x v="9"/>
    <n v="13.4"/>
    <n v="15.7"/>
    <x v="5"/>
    <n v="1"/>
  </r>
  <r>
    <d v="2038-02-01T00:00:00"/>
    <x v="15"/>
    <n v="27.3"/>
    <n v="0"/>
    <x v="5"/>
    <n v="1"/>
  </r>
  <r>
    <d v="2038-02-02T00:00:00"/>
    <x v="5"/>
    <n v="23.6"/>
    <n v="0"/>
    <x v="5"/>
    <n v="1"/>
  </r>
  <r>
    <d v="2038-02-03T00:00:00"/>
    <x v="3"/>
    <n v="26.5"/>
    <n v="20.3"/>
    <x v="5"/>
    <n v="1"/>
  </r>
  <r>
    <d v="2038-02-04T00:00:00"/>
    <x v="5"/>
    <n v="23.6"/>
    <n v="6.5"/>
    <x v="5"/>
    <n v="1"/>
  </r>
  <r>
    <d v="2038-02-05T00:00:00"/>
    <x v="7"/>
    <n v="22.4"/>
    <n v="13.3"/>
    <x v="5"/>
    <n v="1"/>
  </r>
  <r>
    <d v="2038-02-06T00:00:00"/>
    <x v="14"/>
    <n v="22"/>
    <n v="15.5"/>
    <x v="5"/>
    <n v="1"/>
  </r>
  <r>
    <d v="2038-02-07T00:00:00"/>
    <x v="23"/>
    <n v="10.8"/>
    <n v="0.4"/>
    <x v="5"/>
    <n v="1"/>
  </r>
  <r>
    <d v="2038-02-08T00:00:00"/>
    <x v="11"/>
    <n v="21.6"/>
    <n v="0"/>
    <x v="5"/>
    <n v="1"/>
  </r>
  <r>
    <d v="2038-02-09T00:00:00"/>
    <x v="4"/>
    <n v="10.1"/>
    <n v="0"/>
    <x v="5"/>
    <n v="1"/>
  </r>
  <r>
    <d v="2038-02-10T00:00:00"/>
    <x v="7"/>
    <n v="29"/>
    <n v="12.6"/>
    <x v="5"/>
    <n v="1"/>
  </r>
  <r>
    <d v="2038-02-11T00:00:00"/>
    <x v="4"/>
    <n v="16.399999999999999"/>
    <n v="3.7"/>
    <x v="5"/>
    <n v="1"/>
  </r>
  <r>
    <d v="2038-02-12T00:00:00"/>
    <x v="15"/>
    <n v="13.5"/>
    <n v="38.5"/>
    <x v="5"/>
    <n v="1"/>
  </r>
  <r>
    <d v="2038-02-13T00:00:00"/>
    <x v="10"/>
    <n v="18.100000000000001"/>
    <n v="3"/>
    <x v="5"/>
    <n v="1"/>
  </r>
  <r>
    <d v="2038-02-14T00:00:00"/>
    <x v="3"/>
    <n v="20.399999999999999"/>
    <n v="11.7"/>
    <x v="5"/>
    <n v="1"/>
  </r>
  <r>
    <d v="2038-02-15T00:00:00"/>
    <x v="11"/>
    <n v="29.6"/>
    <n v="0.9"/>
    <x v="5"/>
    <n v="1"/>
  </r>
  <r>
    <d v="2038-02-16T00:00:00"/>
    <x v="28"/>
    <n v="11.4"/>
    <n v="0.6"/>
    <x v="5"/>
    <n v="1"/>
  </r>
  <r>
    <d v="2038-02-17T00:00:00"/>
    <x v="7"/>
    <n v="28.8"/>
    <n v="14.1"/>
    <x v="5"/>
    <n v="1"/>
  </r>
  <r>
    <d v="2038-02-18T00:00:00"/>
    <x v="6"/>
    <n v="11.8"/>
    <n v="42.4"/>
    <x v="5"/>
    <n v="1"/>
  </r>
  <r>
    <d v="2038-02-19T00:00:00"/>
    <x v="3"/>
    <n v="11.5"/>
    <n v="10.1"/>
    <x v="5"/>
    <n v="1"/>
  </r>
  <r>
    <d v="2038-02-20T00:00:00"/>
    <x v="9"/>
    <n v="13.6"/>
    <n v="8.4"/>
    <x v="5"/>
    <n v="1"/>
  </r>
  <r>
    <d v="2038-02-21T00:00:00"/>
    <x v="27"/>
    <n v="14.1"/>
    <n v="0.7"/>
    <x v="5"/>
    <n v="1"/>
  </r>
  <r>
    <d v="2038-02-22T00:00:00"/>
    <x v="15"/>
    <n v="19.399999999999999"/>
    <n v="32.700000000000003"/>
    <x v="5"/>
    <n v="1"/>
  </r>
  <r>
    <d v="2038-02-23T00:00:00"/>
    <x v="29"/>
    <n v="28.5"/>
    <n v="0"/>
    <x v="5"/>
    <n v="1"/>
  </r>
  <r>
    <d v="2038-02-24T00:00:00"/>
    <x v="15"/>
    <n v="23.7"/>
    <n v="12.2"/>
    <x v="5"/>
    <n v="1"/>
  </r>
  <r>
    <d v="2038-02-25T00:00:00"/>
    <x v="16"/>
    <n v="21.7"/>
    <n v="0"/>
    <x v="5"/>
    <n v="1"/>
  </r>
  <r>
    <d v="2038-02-26T00:00:00"/>
    <x v="2"/>
    <n v="13.3"/>
    <n v="0"/>
    <x v="5"/>
    <n v="1"/>
  </r>
  <r>
    <d v="2038-02-27T00:00:00"/>
    <x v="5"/>
    <n v="14.4"/>
    <n v="0"/>
    <x v="5"/>
    <n v="1"/>
  </r>
  <r>
    <d v="2038-02-28T00:00:00"/>
    <x v="7"/>
    <n v="28.5"/>
    <n v="21.5"/>
    <x v="5"/>
    <n v="1"/>
  </r>
  <r>
    <d v="2038-03-01T00:00:00"/>
    <x v="15"/>
    <n v="20.5"/>
    <n v="0"/>
    <x v="5"/>
    <n v="1"/>
  </r>
  <r>
    <d v="2038-03-02T00:00:00"/>
    <x v="6"/>
    <n v="11.4"/>
    <n v="39"/>
    <x v="5"/>
    <n v="1"/>
  </r>
  <r>
    <d v="2038-03-03T00:00:00"/>
    <x v="5"/>
    <n v="12.5"/>
    <n v="0"/>
    <x v="5"/>
    <n v="1"/>
  </r>
  <r>
    <d v="2038-03-04T00:00:00"/>
    <x v="11"/>
    <n v="16.600000000000001"/>
    <n v="4.5999999999999996"/>
    <x v="5"/>
    <n v="1"/>
  </r>
  <r>
    <d v="2038-03-05T00:00:00"/>
    <x v="11"/>
    <n v="10.6"/>
    <n v="11.3"/>
    <x v="5"/>
    <n v="1"/>
  </r>
  <r>
    <d v="2038-03-06T00:00:00"/>
    <x v="3"/>
    <n v="27.9"/>
    <n v="16.100000000000001"/>
    <x v="5"/>
    <n v="1"/>
  </r>
  <r>
    <d v="2038-03-07T00:00:00"/>
    <x v="6"/>
    <n v="11.1"/>
    <n v="28.2"/>
    <x v="5"/>
    <n v="1"/>
  </r>
  <r>
    <d v="2038-03-08T00:00:00"/>
    <x v="3"/>
    <n v="21.5"/>
    <n v="12.8"/>
    <x v="5"/>
    <n v="1"/>
  </r>
  <r>
    <d v="2038-03-09T00:00:00"/>
    <x v="2"/>
    <n v="28.4"/>
    <n v="4.5999999999999996"/>
    <x v="5"/>
    <n v="1"/>
  </r>
  <r>
    <d v="2038-03-10T00:00:00"/>
    <x v="18"/>
    <n v="18.100000000000001"/>
    <n v="5.9"/>
    <x v="5"/>
    <n v="1"/>
  </r>
  <r>
    <d v="2038-03-11T00:00:00"/>
    <x v="16"/>
    <n v="25.3"/>
    <n v="0"/>
    <x v="5"/>
    <n v="1"/>
  </r>
  <r>
    <d v="2038-03-12T00:00:00"/>
    <x v="5"/>
    <n v="15.6"/>
    <n v="10.6"/>
    <x v="5"/>
    <n v="1"/>
  </r>
  <r>
    <d v="2038-03-13T00:00:00"/>
    <x v="15"/>
    <n v="19.899999999999999"/>
    <n v="0"/>
    <x v="5"/>
    <n v="1"/>
  </r>
  <r>
    <d v="2038-03-14T00:00:00"/>
    <x v="3"/>
    <n v="24.7"/>
    <n v="14.7"/>
    <x v="5"/>
    <n v="1"/>
  </r>
  <r>
    <d v="2038-03-15T00:00:00"/>
    <x v="19"/>
    <n v="21.9"/>
    <n v="5.6"/>
    <x v="5"/>
    <n v="1"/>
  </r>
  <r>
    <d v="2038-03-16T00:00:00"/>
    <x v="10"/>
    <n v="18"/>
    <n v="6.2"/>
    <x v="5"/>
    <n v="1"/>
  </r>
  <r>
    <d v="2038-03-17T00:00:00"/>
    <x v="25"/>
    <n v="24.5"/>
    <n v="0.6"/>
    <x v="5"/>
    <n v="1"/>
  </r>
  <r>
    <d v="2038-03-18T00:00:00"/>
    <x v="4"/>
    <n v="10.9"/>
    <n v="0"/>
    <x v="5"/>
    <n v="1"/>
  </r>
  <r>
    <d v="2038-03-19T00:00:00"/>
    <x v="22"/>
    <n v="11.3"/>
    <n v="2.7"/>
    <x v="5"/>
    <n v="1"/>
  </r>
  <r>
    <d v="2038-03-20T00:00:00"/>
    <x v="6"/>
    <n v="13.2"/>
    <n v="30"/>
    <x v="5"/>
    <n v="1"/>
  </r>
  <r>
    <d v="2038-03-21T00:00:00"/>
    <x v="4"/>
    <n v="18.7"/>
    <n v="4.7"/>
    <x v="5"/>
    <n v="1"/>
  </r>
  <r>
    <d v="2038-03-22T00:00:00"/>
    <x v="4"/>
    <n v="12.1"/>
    <n v="1.5"/>
    <x v="5"/>
    <n v="1"/>
  </r>
  <r>
    <d v="2038-03-23T00:00:00"/>
    <x v="11"/>
    <n v="11.9"/>
    <n v="1.3"/>
    <x v="5"/>
    <n v="1"/>
  </r>
  <r>
    <d v="2038-03-24T00:00:00"/>
    <x v="22"/>
    <n v="17.7"/>
    <n v="2.6"/>
    <x v="5"/>
    <n v="1"/>
  </r>
  <r>
    <d v="2038-03-25T00:00:00"/>
    <x v="17"/>
    <n v="25.9"/>
    <n v="0.8"/>
    <x v="5"/>
    <n v="1"/>
  </r>
  <r>
    <d v="2038-03-26T00:00:00"/>
    <x v="2"/>
    <n v="27.7"/>
    <n v="0"/>
    <x v="5"/>
    <n v="1"/>
  </r>
  <r>
    <d v="2038-03-27T00:00:00"/>
    <x v="9"/>
    <n v="13.3"/>
    <n v="13.3"/>
    <x v="5"/>
    <n v="1"/>
  </r>
  <r>
    <d v="2038-03-28T00:00:00"/>
    <x v="15"/>
    <n v="11.7"/>
    <n v="4.9000000000000004"/>
    <x v="5"/>
    <n v="1"/>
  </r>
  <r>
    <d v="2038-03-29T00:00:00"/>
    <x v="22"/>
    <n v="26.5"/>
    <n v="4.5"/>
    <x v="5"/>
    <n v="1"/>
  </r>
  <r>
    <d v="2038-03-30T00:00:00"/>
    <x v="23"/>
    <n v="18.7"/>
    <n v="2.2999999999999998"/>
    <x v="5"/>
    <n v="1"/>
  </r>
  <r>
    <d v="2038-03-31T00:00:00"/>
    <x v="18"/>
    <n v="11.7"/>
    <n v="6"/>
    <x v="5"/>
    <n v="1"/>
  </r>
  <r>
    <d v="2038-04-01T00:00:00"/>
    <x v="15"/>
    <n v="27.5"/>
    <n v="22.6"/>
    <x v="5"/>
    <n v="1"/>
  </r>
  <r>
    <d v="2038-04-02T00:00:00"/>
    <x v="23"/>
    <n v="27.4"/>
    <n v="0"/>
    <x v="5"/>
    <n v="1"/>
  </r>
  <r>
    <d v="2038-04-03T00:00:00"/>
    <x v="7"/>
    <n v="14.8"/>
    <n v="0"/>
    <x v="5"/>
    <n v="1"/>
  </r>
  <r>
    <d v="2038-04-04T00:00:00"/>
    <x v="13"/>
    <n v="26.2"/>
    <n v="0"/>
    <x v="5"/>
    <n v="1"/>
  </r>
  <r>
    <d v="2038-04-05T00:00:00"/>
    <x v="11"/>
    <n v="12.9"/>
    <n v="17.899999999999999"/>
    <x v="5"/>
    <n v="1"/>
  </r>
  <r>
    <d v="2038-04-06T00:00:00"/>
    <x v="21"/>
    <n v="12.5"/>
    <n v="0"/>
    <x v="5"/>
    <n v="1"/>
  </r>
  <r>
    <d v="2038-04-07T00:00:00"/>
    <x v="20"/>
    <n v="12.3"/>
    <n v="0"/>
    <x v="5"/>
    <n v="1"/>
  </r>
  <r>
    <d v="2038-04-08T00:00:00"/>
    <x v="1"/>
    <n v="19.399999999999999"/>
    <n v="0"/>
    <x v="5"/>
    <n v="1"/>
  </r>
  <r>
    <d v="2038-04-09T00:00:00"/>
    <x v="11"/>
    <n v="20.9"/>
    <n v="0"/>
    <x v="5"/>
    <n v="1"/>
  </r>
  <r>
    <d v="2038-04-10T00:00:00"/>
    <x v="5"/>
    <n v="10.4"/>
    <n v="0"/>
    <x v="5"/>
    <n v="1"/>
  </r>
  <r>
    <d v="2038-04-11T00:00:00"/>
    <x v="7"/>
    <n v="22.2"/>
    <n v="2.5"/>
    <x v="5"/>
    <n v="1"/>
  </r>
  <r>
    <d v="2038-04-12T00:00:00"/>
    <x v="6"/>
    <n v="16.8"/>
    <n v="0"/>
    <x v="5"/>
    <n v="1"/>
  </r>
  <r>
    <d v="2038-04-13T00:00:00"/>
    <x v="15"/>
    <n v="21.7"/>
    <n v="33.299999999999997"/>
    <x v="5"/>
    <n v="1"/>
  </r>
  <r>
    <d v="2038-04-14T00:00:00"/>
    <x v="7"/>
    <n v="10.199999999999999"/>
    <n v="16.600000000000001"/>
    <x v="5"/>
    <n v="1"/>
  </r>
  <r>
    <d v="2038-04-15T00:00:00"/>
    <x v="6"/>
    <n v="16.5"/>
    <n v="0"/>
    <x v="5"/>
    <n v="1"/>
  </r>
  <r>
    <d v="2038-04-16T00:00:00"/>
    <x v="12"/>
    <n v="29.1"/>
    <n v="0.5"/>
    <x v="5"/>
    <n v="1"/>
  </r>
  <r>
    <d v="2038-04-17T00:00:00"/>
    <x v="7"/>
    <n v="17.8"/>
    <n v="0"/>
    <x v="5"/>
    <n v="1"/>
  </r>
  <r>
    <d v="2038-04-18T00:00:00"/>
    <x v="6"/>
    <n v="10"/>
    <n v="0"/>
    <x v="5"/>
    <n v="1"/>
  </r>
  <r>
    <d v="2038-04-19T00:00:00"/>
    <x v="5"/>
    <n v="15.5"/>
    <n v="8.6"/>
    <x v="5"/>
    <n v="1"/>
  </r>
  <r>
    <d v="2038-04-20T00:00:00"/>
    <x v="6"/>
    <n v="15.3"/>
    <n v="21.4"/>
    <x v="5"/>
    <n v="1"/>
  </r>
  <r>
    <d v="2038-04-21T00:00:00"/>
    <x v="8"/>
    <n v="23.7"/>
    <n v="0"/>
    <x v="5"/>
    <n v="1"/>
  </r>
  <r>
    <d v="2038-04-22T00:00:00"/>
    <x v="7"/>
    <n v="26.1"/>
    <n v="12.5"/>
    <x v="5"/>
    <n v="1"/>
  </r>
  <r>
    <d v="2038-04-23T00:00:00"/>
    <x v="7"/>
    <n v="13.4"/>
    <n v="0"/>
    <x v="5"/>
    <n v="1"/>
  </r>
  <r>
    <d v="2038-04-24T00:00:00"/>
    <x v="1"/>
    <n v="17.8"/>
    <n v="3.7"/>
    <x v="5"/>
    <n v="1"/>
  </r>
  <r>
    <d v="2038-04-25T00:00:00"/>
    <x v="20"/>
    <n v="13"/>
    <n v="2.7"/>
    <x v="5"/>
    <n v="1"/>
  </r>
  <r>
    <d v="2038-04-26T00:00:00"/>
    <x v="3"/>
    <n v="28.2"/>
    <n v="0"/>
    <x v="5"/>
    <n v="1"/>
  </r>
  <r>
    <d v="2038-04-27T00:00:00"/>
    <x v="6"/>
    <n v="23"/>
    <n v="0"/>
    <x v="5"/>
    <n v="1"/>
  </r>
  <r>
    <d v="2038-04-28T00:00:00"/>
    <x v="3"/>
    <n v="21.5"/>
    <n v="0"/>
    <x v="5"/>
    <n v="1"/>
  </r>
  <r>
    <d v="2038-04-29T00:00:00"/>
    <x v="14"/>
    <n v="22.3"/>
    <n v="0"/>
    <x v="5"/>
    <n v="1"/>
  </r>
  <r>
    <d v="2038-04-30T00:00:00"/>
    <x v="6"/>
    <n v="28.2"/>
    <n v="0"/>
    <x v="5"/>
    <n v="1"/>
  </r>
  <r>
    <d v="2038-05-01T00:00:00"/>
    <x v="20"/>
    <n v="11.9"/>
    <n v="3.4"/>
    <x v="5"/>
    <n v="1"/>
  </r>
  <r>
    <d v="2038-05-02T00:00:00"/>
    <x v="14"/>
    <n v="20.9"/>
    <n v="7.5"/>
    <x v="5"/>
    <n v="1"/>
  </r>
  <r>
    <d v="2038-05-03T00:00:00"/>
    <x v="28"/>
    <n v="18.399999999999999"/>
    <n v="0.2"/>
    <x v="5"/>
    <n v="1"/>
  </r>
  <r>
    <d v="2038-05-04T00:00:00"/>
    <x v="6"/>
    <n v="27.8"/>
    <n v="35.9"/>
    <x v="5"/>
    <n v="1"/>
  </r>
  <r>
    <d v="2038-05-05T00:00:00"/>
    <x v="15"/>
    <n v="20.7"/>
    <n v="14.7"/>
    <x v="5"/>
    <n v="1"/>
  </r>
  <r>
    <d v="2038-05-06T00:00:00"/>
    <x v="1"/>
    <n v="13"/>
    <n v="0"/>
    <x v="5"/>
    <n v="1"/>
  </r>
  <r>
    <d v="2038-05-07T00:00:00"/>
    <x v="15"/>
    <n v="29.4"/>
    <n v="0"/>
    <x v="5"/>
    <n v="1"/>
  </r>
  <r>
    <d v="2038-05-08T00:00:00"/>
    <x v="2"/>
    <n v="19.8"/>
    <n v="13.9"/>
    <x v="5"/>
    <n v="1"/>
  </r>
  <r>
    <d v="2038-05-09T00:00:00"/>
    <x v="7"/>
    <n v="10.9"/>
    <n v="17"/>
    <x v="5"/>
    <n v="1"/>
  </r>
  <r>
    <d v="2038-05-10T00:00:00"/>
    <x v="6"/>
    <n v="27.3"/>
    <n v="15.8"/>
    <x v="5"/>
    <n v="1"/>
  </r>
  <r>
    <d v="2038-05-11T00:00:00"/>
    <x v="15"/>
    <n v="16.399999999999999"/>
    <n v="0"/>
    <x v="5"/>
    <n v="1"/>
  </r>
  <r>
    <d v="2038-05-12T00:00:00"/>
    <x v="11"/>
    <n v="28"/>
    <n v="9.6999999999999993"/>
    <x v="5"/>
    <n v="1"/>
  </r>
  <r>
    <d v="2038-05-13T00:00:00"/>
    <x v="3"/>
    <n v="17.399999999999999"/>
    <n v="6.6"/>
    <x v="5"/>
    <n v="1"/>
  </r>
  <r>
    <d v="2038-05-14T00:00:00"/>
    <x v="4"/>
    <n v="25.7"/>
    <n v="0.7"/>
    <x v="5"/>
    <n v="1"/>
  </r>
  <r>
    <d v="2038-05-15T00:00:00"/>
    <x v="15"/>
    <n v="20.100000000000001"/>
    <n v="11"/>
    <x v="5"/>
    <n v="1"/>
  </r>
  <r>
    <d v="2038-05-16T00:00:00"/>
    <x v="15"/>
    <n v="17.899999999999999"/>
    <n v="0"/>
    <x v="5"/>
    <n v="1"/>
  </r>
  <r>
    <d v="2038-05-17T00:00:00"/>
    <x v="7"/>
    <n v="10.7"/>
    <n v="6.4"/>
    <x v="5"/>
    <n v="1"/>
  </r>
  <r>
    <d v="2038-05-18T00:00:00"/>
    <x v="5"/>
    <n v="20.399999999999999"/>
    <n v="0"/>
    <x v="5"/>
    <n v="1"/>
  </r>
  <r>
    <d v="2038-05-19T00:00:00"/>
    <x v="8"/>
    <n v="25.4"/>
    <n v="1"/>
    <x v="5"/>
    <n v="1"/>
  </r>
  <r>
    <d v="2038-05-20T00:00:00"/>
    <x v="4"/>
    <n v="10.9"/>
    <n v="0.2"/>
    <x v="5"/>
    <n v="1"/>
  </r>
  <r>
    <d v="2038-05-21T00:00:00"/>
    <x v="23"/>
    <n v="18.5"/>
    <n v="0.5"/>
    <x v="5"/>
    <n v="1"/>
  </r>
  <r>
    <d v="2038-05-22T00:00:00"/>
    <x v="6"/>
    <n v="14.8"/>
    <n v="50.3"/>
    <x v="5"/>
    <n v="1"/>
  </r>
  <r>
    <d v="2038-05-23T00:00:00"/>
    <x v="14"/>
    <n v="28.5"/>
    <n v="0.7"/>
    <x v="5"/>
    <n v="1"/>
  </r>
  <r>
    <d v="2038-05-24T00:00:00"/>
    <x v="27"/>
    <n v="19.399999999999999"/>
    <n v="0"/>
    <x v="5"/>
    <n v="1"/>
  </r>
  <r>
    <d v="2038-05-25T00:00:00"/>
    <x v="19"/>
    <n v="20.7"/>
    <n v="4.7"/>
    <x v="5"/>
    <n v="1"/>
  </r>
  <r>
    <d v="2038-05-26T00:00:00"/>
    <x v="22"/>
    <n v="25.7"/>
    <n v="0"/>
    <x v="5"/>
    <n v="1"/>
  </r>
  <r>
    <d v="2038-05-27T00:00:00"/>
    <x v="15"/>
    <n v="21.4"/>
    <n v="0"/>
    <x v="5"/>
    <n v="1"/>
  </r>
  <r>
    <d v="2038-05-28T00:00:00"/>
    <x v="6"/>
    <n v="19.2"/>
    <n v="0"/>
    <x v="5"/>
    <n v="1"/>
  </r>
  <r>
    <d v="2038-05-29T00:00:00"/>
    <x v="14"/>
    <n v="19.399999999999999"/>
    <n v="14.2"/>
    <x v="5"/>
    <n v="1"/>
  </r>
  <r>
    <d v="2038-05-30T00:00:00"/>
    <x v="15"/>
    <n v="24.2"/>
    <n v="1.9"/>
    <x v="5"/>
    <n v="1"/>
  </r>
  <r>
    <d v="2038-05-31T00:00:00"/>
    <x v="3"/>
    <n v="27.7"/>
    <n v="19.5"/>
    <x v="5"/>
    <n v="1"/>
  </r>
  <r>
    <d v="2038-06-01T00:00:00"/>
    <x v="1"/>
    <n v="16.899999999999999"/>
    <n v="4.0999999999999996"/>
    <x v="5"/>
    <n v="1"/>
  </r>
  <r>
    <d v="2038-06-02T00:00:00"/>
    <x v="15"/>
    <n v="11.8"/>
    <n v="0"/>
    <x v="5"/>
    <n v="1"/>
  </r>
  <r>
    <d v="2038-06-03T00:00:00"/>
    <x v="8"/>
    <n v="15.7"/>
    <n v="9.4"/>
    <x v="5"/>
    <n v="1"/>
  </r>
  <r>
    <d v="2038-06-04T00:00:00"/>
    <x v="2"/>
    <n v="14.2"/>
    <n v="0"/>
    <x v="5"/>
    <n v="1"/>
  </r>
  <r>
    <d v="2038-06-05T00:00:00"/>
    <x v="11"/>
    <n v="18.100000000000001"/>
    <n v="13.1"/>
    <x v="5"/>
    <n v="1"/>
  </r>
  <r>
    <d v="2038-06-06T00:00:00"/>
    <x v="15"/>
    <n v="21.9"/>
    <n v="27.5"/>
    <x v="5"/>
    <n v="1"/>
  </r>
  <r>
    <d v="2038-06-07T00:00:00"/>
    <x v="6"/>
    <n v="28"/>
    <n v="2.1"/>
    <x v="5"/>
    <n v="1"/>
  </r>
  <r>
    <d v="2038-06-08T00:00:00"/>
    <x v="9"/>
    <n v="14.2"/>
    <n v="7"/>
    <x v="5"/>
    <n v="1"/>
  </r>
  <r>
    <d v="2038-06-09T00:00:00"/>
    <x v="9"/>
    <n v="11.1"/>
    <n v="0"/>
    <x v="5"/>
    <n v="1"/>
  </r>
  <r>
    <d v="2038-06-10T00:00:00"/>
    <x v="10"/>
    <n v="11.8"/>
    <n v="6"/>
    <x v="5"/>
    <n v="1"/>
  </r>
  <r>
    <d v="2038-06-11T00:00:00"/>
    <x v="29"/>
    <n v="26.8"/>
    <n v="0.9"/>
    <x v="5"/>
    <n v="1"/>
  </r>
  <r>
    <d v="2038-06-12T00:00:00"/>
    <x v="6"/>
    <n v="27.3"/>
    <n v="44.5"/>
    <x v="5"/>
    <n v="1"/>
  </r>
  <r>
    <d v="2038-06-13T00:00:00"/>
    <x v="4"/>
    <n v="14.3"/>
    <n v="3.7"/>
    <x v="5"/>
    <n v="1"/>
  </r>
  <r>
    <d v="2038-06-14T00:00:00"/>
    <x v="1"/>
    <n v="19.399999999999999"/>
    <n v="0"/>
    <x v="5"/>
    <n v="1"/>
  </r>
  <r>
    <d v="2038-06-15T00:00:00"/>
    <x v="15"/>
    <n v="26.5"/>
    <n v="0"/>
    <x v="5"/>
    <n v="1"/>
  </r>
  <r>
    <d v="2038-06-16T00:00:00"/>
    <x v="15"/>
    <n v="28.3"/>
    <n v="14.4"/>
    <x v="5"/>
    <n v="1"/>
  </r>
  <r>
    <d v="2038-06-17T00:00:00"/>
    <x v="23"/>
    <n v="19.8"/>
    <n v="0"/>
    <x v="5"/>
    <n v="1"/>
  </r>
  <r>
    <d v="2038-06-18T00:00:00"/>
    <x v="6"/>
    <n v="16"/>
    <n v="28.7"/>
    <x v="5"/>
    <n v="1"/>
  </r>
  <r>
    <d v="2038-06-19T00:00:00"/>
    <x v="15"/>
    <n v="14.5"/>
    <n v="12"/>
    <x v="5"/>
    <n v="1"/>
  </r>
  <r>
    <d v="2038-06-20T00:00:00"/>
    <x v="11"/>
    <n v="14.3"/>
    <n v="13"/>
    <x v="5"/>
    <n v="1"/>
  </r>
  <r>
    <d v="2038-06-21T00:00:00"/>
    <x v="14"/>
    <n v="12.7"/>
    <n v="10.7"/>
    <x v="5"/>
    <n v="1"/>
  </r>
  <r>
    <d v="2038-06-22T00:00:00"/>
    <x v="18"/>
    <n v="12.6"/>
    <n v="0"/>
    <x v="5"/>
    <n v="1"/>
  </r>
  <r>
    <d v="2038-06-23T00:00:00"/>
    <x v="22"/>
    <n v="19.899999999999999"/>
    <n v="6.6"/>
    <x v="5"/>
    <n v="1"/>
  </r>
  <r>
    <d v="2038-06-24T00:00:00"/>
    <x v="3"/>
    <n v="27.4"/>
    <n v="6.6"/>
    <x v="5"/>
    <n v="1"/>
  </r>
  <r>
    <d v="2038-06-25T00:00:00"/>
    <x v="15"/>
    <n v="27.4"/>
    <n v="0"/>
    <x v="5"/>
    <n v="1"/>
  </r>
  <r>
    <d v="2038-06-26T00:00:00"/>
    <x v="24"/>
    <n v="11.2"/>
    <n v="0.3"/>
    <x v="5"/>
    <n v="1"/>
  </r>
  <r>
    <d v="2038-06-27T00:00:00"/>
    <x v="7"/>
    <n v="19.899999999999999"/>
    <n v="19.399999999999999"/>
    <x v="5"/>
    <n v="1"/>
  </r>
  <r>
    <d v="2038-06-28T00:00:00"/>
    <x v="0"/>
    <n v="13"/>
    <n v="0.4"/>
    <x v="5"/>
    <n v="1"/>
  </r>
  <r>
    <d v="2038-06-29T00:00:00"/>
    <x v="14"/>
    <n v="25.4"/>
    <n v="12.4"/>
    <x v="5"/>
    <n v="1"/>
  </r>
  <r>
    <d v="2038-06-30T00:00:00"/>
    <x v="5"/>
    <n v="23.5"/>
    <n v="0.7"/>
    <x v="5"/>
    <n v="1"/>
  </r>
  <r>
    <d v="2038-07-01T00:00:00"/>
    <x v="18"/>
    <n v="16"/>
    <n v="0.1"/>
    <x v="5"/>
    <n v="1"/>
  </r>
  <r>
    <d v="2038-07-02T00:00:00"/>
    <x v="2"/>
    <n v="25"/>
    <n v="11.7"/>
    <x v="5"/>
    <n v="1"/>
  </r>
  <r>
    <d v="2038-07-03T00:00:00"/>
    <x v="27"/>
    <n v="22.2"/>
    <n v="0.9"/>
    <x v="5"/>
    <n v="1"/>
  </r>
  <r>
    <d v="2038-07-04T00:00:00"/>
    <x v="20"/>
    <n v="29.6"/>
    <n v="0"/>
    <x v="5"/>
    <n v="1"/>
  </r>
  <r>
    <d v="2038-07-05T00:00:00"/>
    <x v="6"/>
    <n v="10.1"/>
    <n v="0"/>
    <x v="5"/>
    <n v="1"/>
  </r>
  <r>
    <d v="2038-07-06T00:00:00"/>
    <x v="5"/>
    <n v="26.3"/>
    <n v="6.7"/>
    <x v="5"/>
    <n v="1"/>
  </r>
  <r>
    <d v="2038-07-07T00:00:00"/>
    <x v="6"/>
    <n v="27.3"/>
    <n v="15.3"/>
    <x v="5"/>
    <n v="1"/>
  </r>
  <r>
    <d v="2038-07-08T00:00:00"/>
    <x v="7"/>
    <n v="27.8"/>
    <n v="0"/>
    <x v="5"/>
    <n v="1"/>
  </r>
  <r>
    <d v="2038-07-09T00:00:00"/>
    <x v="2"/>
    <n v="16.7"/>
    <n v="4.9000000000000004"/>
    <x v="5"/>
    <n v="1"/>
  </r>
  <r>
    <d v="2038-07-10T00:00:00"/>
    <x v="11"/>
    <n v="15"/>
    <n v="9.4"/>
    <x v="5"/>
    <n v="1"/>
  </r>
  <r>
    <d v="2038-07-11T00:00:00"/>
    <x v="6"/>
    <n v="10.4"/>
    <n v="28.5"/>
    <x v="5"/>
    <n v="1"/>
  </r>
  <r>
    <d v="2038-07-12T00:00:00"/>
    <x v="11"/>
    <n v="18.100000000000001"/>
    <n v="9.6"/>
    <x v="5"/>
    <n v="1"/>
  </r>
  <r>
    <d v="2038-07-13T00:00:00"/>
    <x v="29"/>
    <n v="26.7"/>
    <n v="1.5"/>
    <x v="5"/>
    <n v="1"/>
  </r>
  <r>
    <d v="2038-07-14T00:00:00"/>
    <x v="9"/>
    <n v="22.9"/>
    <n v="8.9"/>
    <x v="5"/>
    <n v="1"/>
  </r>
  <r>
    <d v="2038-07-15T00:00:00"/>
    <x v="11"/>
    <n v="29.3"/>
    <n v="0"/>
    <x v="5"/>
    <n v="1"/>
  </r>
  <r>
    <d v="2038-07-16T00:00:00"/>
    <x v="3"/>
    <n v="26.4"/>
    <n v="3.2"/>
    <x v="5"/>
    <n v="1"/>
  </r>
  <r>
    <d v="2038-07-17T00:00:00"/>
    <x v="14"/>
    <n v="20"/>
    <n v="7.3"/>
    <x v="5"/>
    <n v="1"/>
  </r>
  <r>
    <d v="2038-07-18T00:00:00"/>
    <x v="7"/>
    <n v="17.100000000000001"/>
    <n v="0"/>
    <x v="5"/>
    <n v="1"/>
  </r>
  <r>
    <d v="2038-07-19T00:00:00"/>
    <x v="1"/>
    <n v="18.8"/>
    <n v="0"/>
    <x v="5"/>
    <n v="1"/>
  </r>
  <r>
    <d v="2038-07-20T00:00:00"/>
    <x v="9"/>
    <n v="12.6"/>
    <n v="4.4000000000000004"/>
    <x v="5"/>
    <n v="1"/>
  </r>
  <r>
    <d v="2038-07-21T00:00:00"/>
    <x v="18"/>
    <n v="24"/>
    <n v="0"/>
    <x v="5"/>
    <n v="1"/>
  </r>
  <r>
    <d v="2038-07-22T00:00:00"/>
    <x v="15"/>
    <n v="13.4"/>
    <n v="35.6"/>
    <x v="5"/>
    <n v="1"/>
  </r>
  <r>
    <d v="2038-07-23T00:00:00"/>
    <x v="6"/>
    <n v="25.7"/>
    <n v="21.1"/>
    <x v="5"/>
    <n v="1"/>
  </r>
  <r>
    <d v="2038-07-24T00:00:00"/>
    <x v="17"/>
    <n v="24.9"/>
    <n v="2"/>
    <x v="5"/>
    <n v="1"/>
  </r>
  <r>
    <d v="2038-07-25T00:00:00"/>
    <x v="7"/>
    <n v="12.5"/>
    <n v="0"/>
    <x v="5"/>
    <n v="1"/>
  </r>
  <r>
    <d v="2038-07-26T00:00:00"/>
    <x v="6"/>
    <n v="21.8"/>
    <n v="0"/>
    <x v="5"/>
    <n v="1"/>
  </r>
  <r>
    <d v="2038-07-27T00:00:00"/>
    <x v="1"/>
    <n v="15.8"/>
    <n v="6.7"/>
    <x v="5"/>
    <n v="1"/>
  </r>
  <r>
    <d v="2038-07-28T00:00:00"/>
    <x v="8"/>
    <n v="13.9"/>
    <n v="0"/>
    <x v="5"/>
    <n v="1"/>
  </r>
  <r>
    <d v="2038-07-29T00:00:00"/>
    <x v="16"/>
    <n v="12.2"/>
    <n v="4.4000000000000004"/>
    <x v="5"/>
    <n v="1"/>
  </r>
  <r>
    <d v="2038-07-30T00:00:00"/>
    <x v="7"/>
    <n v="12.2"/>
    <n v="0"/>
    <x v="5"/>
    <n v="1"/>
  </r>
  <r>
    <d v="2038-07-31T00:00:00"/>
    <x v="15"/>
    <n v="13.7"/>
    <n v="28"/>
    <x v="5"/>
    <n v="1"/>
  </r>
  <r>
    <d v="2038-08-01T00:00:00"/>
    <x v="13"/>
    <n v="27.9"/>
    <n v="0"/>
    <x v="5"/>
    <n v="1"/>
  </r>
  <r>
    <d v="2038-08-02T00:00:00"/>
    <x v="9"/>
    <n v="25.6"/>
    <n v="1.7"/>
    <x v="5"/>
    <n v="1"/>
  </r>
  <r>
    <d v="2038-08-03T00:00:00"/>
    <x v="10"/>
    <n v="11.7"/>
    <n v="4.5999999999999996"/>
    <x v="5"/>
    <n v="1"/>
  </r>
  <r>
    <d v="2038-08-04T00:00:00"/>
    <x v="4"/>
    <n v="27.3"/>
    <n v="0"/>
    <x v="5"/>
    <n v="1"/>
  </r>
  <r>
    <d v="2038-08-05T00:00:00"/>
    <x v="7"/>
    <n v="25.6"/>
    <n v="18.2"/>
    <x v="5"/>
    <n v="1"/>
  </r>
  <r>
    <d v="2038-08-06T00:00:00"/>
    <x v="24"/>
    <n v="23.6"/>
    <n v="0.1"/>
    <x v="5"/>
    <n v="1"/>
  </r>
  <r>
    <d v="2038-08-07T00:00:00"/>
    <x v="6"/>
    <n v="14.6"/>
    <n v="0"/>
    <x v="5"/>
    <n v="1"/>
  </r>
  <r>
    <d v="2038-08-08T00:00:00"/>
    <x v="5"/>
    <n v="17.399999999999999"/>
    <n v="7.8"/>
    <x v="5"/>
    <n v="1"/>
  </r>
  <r>
    <d v="2038-08-09T00:00:00"/>
    <x v="6"/>
    <n v="27.4"/>
    <n v="0"/>
    <x v="5"/>
    <n v="1"/>
  </r>
  <r>
    <d v="2038-08-10T00:00:00"/>
    <x v="15"/>
    <n v="15.2"/>
    <n v="5.9"/>
    <x v="5"/>
    <n v="1"/>
  </r>
  <r>
    <d v="2038-08-11T00:00:00"/>
    <x v="25"/>
    <n v="11.6"/>
    <n v="0"/>
    <x v="5"/>
    <n v="1"/>
  </r>
  <r>
    <d v="2038-08-12T00:00:00"/>
    <x v="22"/>
    <n v="10.8"/>
    <n v="1.6"/>
    <x v="5"/>
    <n v="1"/>
  </r>
  <r>
    <d v="2038-08-13T00:00:00"/>
    <x v="18"/>
    <n v="12"/>
    <n v="3.9"/>
    <x v="5"/>
    <n v="1"/>
  </r>
  <r>
    <d v="2038-08-14T00:00:00"/>
    <x v="22"/>
    <n v="14"/>
    <n v="5"/>
    <x v="5"/>
    <n v="1"/>
  </r>
  <r>
    <d v="2038-08-15T00:00:00"/>
    <x v="15"/>
    <n v="26.4"/>
    <n v="0"/>
    <x v="5"/>
    <n v="1"/>
  </r>
  <r>
    <d v="2038-08-16T00:00:00"/>
    <x v="11"/>
    <n v="23"/>
    <n v="20.100000000000001"/>
    <x v="5"/>
    <n v="1"/>
  </r>
  <r>
    <d v="2038-08-17T00:00:00"/>
    <x v="4"/>
    <n v="20.5"/>
    <n v="1.1000000000000001"/>
    <x v="5"/>
    <n v="1"/>
  </r>
  <r>
    <d v="2038-08-18T00:00:00"/>
    <x v="10"/>
    <n v="15.9"/>
    <n v="3.1"/>
    <x v="5"/>
    <n v="1"/>
  </r>
  <r>
    <d v="2038-08-19T00:00:00"/>
    <x v="6"/>
    <n v="20.8"/>
    <n v="6.9"/>
    <x v="5"/>
    <n v="1"/>
  </r>
  <r>
    <d v="2038-08-20T00:00:00"/>
    <x v="17"/>
    <n v="12.9"/>
    <n v="1.5"/>
    <x v="5"/>
    <n v="1"/>
  </r>
  <r>
    <d v="2038-08-21T00:00:00"/>
    <x v="15"/>
    <n v="11.6"/>
    <n v="15.8"/>
    <x v="5"/>
    <n v="1"/>
  </r>
  <r>
    <d v="2038-08-22T00:00:00"/>
    <x v="9"/>
    <n v="25.6"/>
    <n v="0"/>
    <x v="5"/>
    <n v="1"/>
  </r>
  <r>
    <d v="2038-08-23T00:00:00"/>
    <x v="3"/>
    <n v="15.7"/>
    <n v="6.7"/>
    <x v="5"/>
    <n v="1"/>
  </r>
  <r>
    <d v="2038-08-24T00:00:00"/>
    <x v="10"/>
    <n v="25.5"/>
    <n v="0"/>
    <x v="5"/>
    <n v="1"/>
  </r>
  <r>
    <d v="2038-08-25T00:00:00"/>
    <x v="18"/>
    <n v="19.5"/>
    <n v="3.4"/>
    <x v="5"/>
    <n v="1"/>
  </r>
  <r>
    <d v="2038-08-26T00:00:00"/>
    <x v="21"/>
    <n v="14.1"/>
    <n v="0"/>
    <x v="5"/>
    <n v="1"/>
  </r>
  <r>
    <d v="2038-08-27T00:00:00"/>
    <x v="2"/>
    <n v="26.4"/>
    <n v="0"/>
    <x v="5"/>
    <n v="1"/>
  </r>
  <r>
    <d v="2038-08-28T00:00:00"/>
    <x v="11"/>
    <n v="11.7"/>
    <n v="8.4"/>
    <x v="5"/>
    <n v="1"/>
  </r>
  <r>
    <d v="2038-08-29T00:00:00"/>
    <x v="21"/>
    <n v="28"/>
    <n v="0"/>
    <x v="5"/>
    <n v="1"/>
  </r>
  <r>
    <d v="2038-08-30T00:00:00"/>
    <x v="13"/>
    <n v="13"/>
    <n v="0.1"/>
    <x v="5"/>
    <n v="1"/>
  </r>
  <r>
    <d v="2038-08-31T00:00:00"/>
    <x v="7"/>
    <n v="10.8"/>
    <n v="11.3"/>
    <x v="5"/>
    <n v="1"/>
  </r>
  <r>
    <d v="2038-09-01T00:00:00"/>
    <x v="7"/>
    <n v="26.4"/>
    <n v="18.7"/>
    <x v="5"/>
    <n v="1"/>
  </r>
  <r>
    <d v="2038-09-02T00:00:00"/>
    <x v="15"/>
    <n v="26.7"/>
    <n v="3.9"/>
    <x v="5"/>
    <n v="1"/>
  </r>
  <r>
    <d v="2038-09-03T00:00:00"/>
    <x v="7"/>
    <n v="11.7"/>
    <n v="13"/>
    <x v="5"/>
    <n v="1"/>
  </r>
  <r>
    <d v="2038-09-04T00:00:00"/>
    <x v="26"/>
    <n v="12"/>
    <n v="0.4"/>
    <x v="5"/>
    <n v="1"/>
  </r>
  <r>
    <d v="2038-09-05T00:00:00"/>
    <x v="17"/>
    <n v="24.2"/>
    <n v="0.7"/>
    <x v="5"/>
    <n v="1"/>
  </r>
  <r>
    <d v="2038-09-06T00:00:00"/>
    <x v="22"/>
    <n v="27.3"/>
    <n v="3.7"/>
    <x v="5"/>
    <n v="1"/>
  </r>
  <r>
    <d v="2038-09-07T00:00:00"/>
    <x v="9"/>
    <n v="10.7"/>
    <n v="0"/>
    <x v="5"/>
    <n v="1"/>
  </r>
  <r>
    <d v="2038-09-08T00:00:00"/>
    <x v="4"/>
    <n v="11.1"/>
    <n v="0"/>
    <x v="5"/>
    <n v="1"/>
  </r>
  <r>
    <d v="2038-09-09T00:00:00"/>
    <x v="3"/>
    <n v="28.5"/>
    <n v="19.8"/>
    <x v="5"/>
    <n v="1"/>
  </r>
  <r>
    <d v="2038-09-10T00:00:00"/>
    <x v="15"/>
    <n v="10.1"/>
    <n v="0"/>
    <x v="5"/>
    <n v="1"/>
  </r>
  <r>
    <d v="2038-09-11T00:00:00"/>
    <x v="5"/>
    <n v="20.8"/>
    <n v="11.2"/>
    <x v="5"/>
    <n v="1"/>
  </r>
  <r>
    <d v="2038-09-12T00:00:00"/>
    <x v="3"/>
    <n v="16.600000000000001"/>
    <n v="0"/>
    <x v="5"/>
    <n v="1"/>
  </r>
  <r>
    <d v="2038-09-13T00:00:00"/>
    <x v="9"/>
    <n v="26.4"/>
    <n v="10"/>
    <x v="5"/>
    <n v="1"/>
  </r>
  <r>
    <d v="2038-09-14T00:00:00"/>
    <x v="18"/>
    <n v="15.1"/>
    <n v="0"/>
    <x v="5"/>
    <n v="1"/>
  </r>
  <r>
    <d v="2038-09-15T00:00:00"/>
    <x v="2"/>
    <n v="20.9"/>
    <n v="10.1"/>
    <x v="5"/>
    <n v="1"/>
  </r>
  <r>
    <d v="2038-09-16T00:00:00"/>
    <x v="9"/>
    <n v="27.3"/>
    <n v="5.3"/>
    <x v="5"/>
    <n v="1"/>
  </r>
  <r>
    <d v="2038-09-17T00:00:00"/>
    <x v="2"/>
    <n v="17.600000000000001"/>
    <n v="5.5"/>
    <x v="5"/>
    <n v="1"/>
  </r>
  <r>
    <d v="2038-09-18T00:00:00"/>
    <x v="15"/>
    <n v="27.8"/>
    <n v="0"/>
    <x v="5"/>
    <n v="1"/>
  </r>
  <r>
    <d v="2038-09-19T00:00:00"/>
    <x v="6"/>
    <n v="25.8"/>
    <n v="12.1"/>
    <x v="5"/>
    <n v="1"/>
  </r>
  <r>
    <d v="2038-09-20T00:00:00"/>
    <x v="22"/>
    <n v="18.100000000000001"/>
    <n v="1.1000000000000001"/>
    <x v="5"/>
    <n v="1"/>
  </r>
  <r>
    <d v="2038-09-21T00:00:00"/>
    <x v="8"/>
    <n v="21.9"/>
    <n v="7.7"/>
    <x v="5"/>
    <n v="1"/>
  </r>
  <r>
    <d v="2038-09-22T00:00:00"/>
    <x v="23"/>
    <n v="23.2"/>
    <n v="5.0999999999999996"/>
    <x v="5"/>
    <n v="1"/>
  </r>
  <r>
    <d v="2038-09-23T00:00:00"/>
    <x v="27"/>
    <n v="26.6"/>
    <n v="0.3"/>
    <x v="5"/>
    <n v="1"/>
  </r>
  <r>
    <d v="2038-09-24T00:00:00"/>
    <x v="7"/>
    <n v="23.2"/>
    <n v="0"/>
    <x v="5"/>
    <n v="1"/>
  </r>
  <r>
    <d v="2038-09-25T00:00:00"/>
    <x v="6"/>
    <n v="11"/>
    <n v="40.9"/>
    <x v="5"/>
    <n v="1"/>
  </r>
  <r>
    <d v="2038-09-26T00:00:00"/>
    <x v="19"/>
    <n v="26.8"/>
    <n v="2.2999999999999998"/>
    <x v="5"/>
    <n v="1"/>
  </r>
  <r>
    <d v="2038-09-27T00:00:00"/>
    <x v="9"/>
    <n v="22.2"/>
    <n v="0"/>
    <x v="5"/>
    <n v="1"/>
  </r>
  <r>
    <d v="2038-09-28T00:00:00"/>
    <x v="14"/>
    <n v="10.199999999999999"/>
    <n v="6.1"/>
    <x v="5"/>
    <n v="1"/>
  </r>
  <r>
    <d v="2038-09-29T00:00:00"/>
    <x v="29"/>
    <n v="18.399999999999999"/>
    <n v="1.5"/>
    <x v="5"/>
    <n v="1"/>
  </r>
  <r>
    <d v="2038-09-30T00:00:00"/>
    <x v="3"/>
    <n v="29.4"/>
    <n v="22.3"/>
    <x v="5"/>
    <n v="1"/>
  </r>
  <r>
    <d v="2038-10-01T00:00:00"/>
    <x v="19"/>
    <n v="23.4"/>
    <n v="0"/>
    <x v="5"/>
    <n v="1"/>
  </r>
  <r>
    <d v="2038-10-02T00:00:00"/>
    <x v="1"/>
    <n v="13.6"/>
    <n v="6.1"/>
    <x v="5"/>
    <n v="1"/>
  </r>
  <r>
    <d v="2038-10-03T00:00:00"/>
    <x v="3"/>
    <n v="17.7"/>
    <n v="1.4"/>
    <x v="5"/>
    <n v="1"/>
  </r>
  <r>
    <d v="2038-10-04T00:00:00"/>
    <x v="19"/>
    <n v="17"/>
    <n v="5.9"/>
    <x v="5"/>
    <n v="1"/>
  </r>
  <r>
    <d v="2038-10-05T00:00:00"/>
    <x v="2"/>
    <n v="29.6"/>
    <n v="6.6"/>
    <x v="5"/>
    <n v="1"/>
  </r>
  <r>
    <d v="2038-10-06T00:00:00"/>
    <x v="6"/>
    <n v="23.4"/>
    <n v="0"/>
    <x v="5"/>
    <n v="1"/>
  </r>
  <r>
    <d v="2038-10-07T00:00:00"/>
    <x v="3"/>
    <n v="21.3"/>
    <n v="22.4"/>
    <x v="5"/>
    <n v="1"/>
  </r>
  <r>
    <d v="2038-10-08T00:00:00"/>
    <x v="15"/>
    <n v="18.600000000000001"/>
    <n v="0"/>
    <x v="5"/>
    <n v="1"/>
  </r>
  <r>
    <d v="2038-10-09T00:00:00"/>
    <x v="9"/>
    <n v="16.8"/>
    <n v="2.8"/>
    <x v="5"/>
    <n v="1"/>
  </r>
  <r>
    <d v="2038-10-10T00:00:00"/>
    <x v="16"/>
    <n v="13.2"/>
    <n v="4"/>
    <x v="5"/>
    <n v="1"/>
  </r>
  <r>
    <d v="2038-10-11T00:00:00"/>
    <x v="15"/>
    <n v="29.8"/>
    <n v="24.9"/>
    <x v="5"/>
    <n v="1"/>
  </r>
  <r>
    <d v="2038-10-12T00:00:00"/>
    <x v="6"/>
    <n v="10.6"/>
    <n v="31.8"/>
    <x v="5"/>
    <n v="1"/>
  </r>
  <r>
    <d v="2038-10-13T00:00:00"/>
    <x v="11"/>
    <n v="11.9"/>
    <n v="12.3"/>
    <x v="5"/>
    <n v="1"/>
  </r>
  <r>
    <d v="2038-10-14T00:00:00"/>
    <x v="26"/>
    <n v="26.8"/>
    <n v="0.5"/>
    <x v="5"/>
    <n v="1"/>
  </r>
  <r>
    <d v="2038-10-15T00:00:00"/>
    <x v="18"/>
    <n v="29"/>
    <n v="3.5"/>
    <x v="5"/>
    <n v="1"/>
  </r>
  <r>
    <d v="2038-10-16T00:00:00"/>
    <x v="16"/>
    <n v="22.9"/>
    <n v="2"/>
    <x v="5"/>
    <n v="1"/>
  </r>
  <r>
    <d v="2038-10-17T00:00:00"/>
    <x v="17"/>
    <n v="27.1"/>
    <n v="0"/>
    <x v="5"/>
    <n v="1"/>
  </r>
  <r>
    <d v="2038-10-18T00:00:00"/>
    <x v="6"/>
    <n v="11.8"/>
    <n v="49"/>
    <x v="5"/>
    <n v="1"/>
  </r>
  <r>
    <d v="2038-10-19T00:00:00"/>
    <x v="2"/>
    <n v="26.6"/>
    <n v="0"/>
    <x v="5"/>
    <n v="1"/>
  </r>
  <r>
    <d v="2038-10-20T00:00:00"/>
    <x v="14"/>
    <n v="21.3"/>
    <n v="0"/>
    <x v="5"/>
    <n v="1"/>
  </r>
  <r>
    <d v="2038-10-21T00:00:00"/>
    <x v="7"/>
    <n v="23.2"/>
    <n v="0"/>
    <x v="5"/>
    <n v="1"/>
  </r>
  <r>
    <d v="2038-10-22T00:00:00"/>
    <x v="6"/>
    <n v="27.3"/>
    <n v="0"/>
    <x v="5"/>
    <n v="1"/>
  </r>
  <r>
    <d v="2038-10-23T00:00:00"/>
    <x v="9"/>
    <n v="21.3"/>
    <n v="2.6"/>
    <x v="5"/>
    <n v="1"/>
  </r>
  <r>
    <d v="2038-10-24T00:00:00"/>
    <x v="15"/>
    <n v="22.9"/>
    <n v="5.3"/>
    <x v="5"/>
    <n v="1"/>
  </r>
  <r>
    <d v="2038-10-25T00:00:00"/>
    <x v="24"/>
    <n v="25"/>
    <n v="0"/>
    <x v="5"/>
    <n v="1"/>
  </r>
  <r>
    <d v="2038-10-26T00:00:00"/>
    <x v="20"/>
    <n v="15.9"/>
    <n v="2.5"/>
    <x v="5"/>
    <n v="1"/>
  </r>
  <r>
    <d v="2038-10-27T00:00:00"/>
    <x v="18"/>
    <n v="19.2"/>
    <n v="1.3"/>
    <x v="5"/>
    <n v="1"/>
  </r>
  <r>
    <d v="2038-10-28T00:00:00"/>
    <x v="3"/>
    <n v="22.5"/>
    <n v="10.9"/>
    <x v="5"/>
    <n v="1"/>
  </r>
  <r>
    <d v="2038-10-29T00:00:00"/>
    <x v="9"/>
    <n v="28.7"/>
    <n v="13.3"/>
    <x v="5"/>
    <n v="1"/>
  </r>
  <r>
    <d v="2038-10-30T00:00:00"/>
    <x v="15"/>
    <n v="14.6"/>
    <n v="29.3"/>
    <x v="5"/>
    <n v="1"/>
  </r>
  <r>
    <d v="2038-10-31T00:00:00"/>
    <x v="14"/>
    <n v="12.1"/>
    <n v="6.5"/>
    <x v="5"/>
    <n v="1"/>
  </r>
  <r>
    <d v="2038-11-01T00:00:00"/>
    <x v="15"/>
    <n v="20"/>
    <n v="26.1"/>
    <x v="5"/>
    <n v="1"/>
  </r>
  <r>
    <d v="2038-11-02T00:00:00"/>
    <x v="23"/>
    <n v="20.8"/>
    <n v="2.5"/>
    <x v="5"/>
    <n v="1"/>
  </r>
  <r>
    <d v="2038-11-03T00:00:00"/>
    <x v="3"/>
    <n v="26.6"/>
    <n v="5.9"/>
    <x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C07ED-C31A-492E-9C34-7BB0503DAB0E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4:I35" firstHeaderRow="0" firstDataRow="1" firstDataCol="1"/>
  <pivotFields count="5">
    <pivotField numFmtId="14" showAll="0"/>
    <pivotField axis="axisRow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dataField="1" showAll="0"/>
    <pivotField showAll="0"/>
    <pivotField dataField="1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masa [kg]" fld="2" baseField="0" baseItem="0"/>
    <dataField name="Suma z liczb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99102-0906-4083-B131-B86571FC4851}" name="Tabela przestawna2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4:O36" firstHeaderRow="1" firstDataRow="2" firstDataCol="1"/>
  <pivotFields count="6">
    <pivotField numFmtId="14" showAll="0"/>
    <pivotField axis="axisRow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z liczba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0D31-5106-4A88-A56A-7B8DCC337243}">
  <dimension ref="A1:D2073"/>
  <sheetViews>
    <sheetView workbookViewId="0"/>
  </sheetViews>
  <sheetFormatPr defaultRowHeight="14.5" x14ac:dyDescent="0.35"/>
  <cols>
    <col min="1" max="1" width="9.90625" bestFit="1" customWidth="1"/>
    <col min="2" max="2" width="16.1796875" bestFit="1" customWidth="1"/>
    <col min="3" max="3" width="11.1796875" bestFit="1" customWidth="1"/>
    <col min="4" max="4" width="14.7265625" bestFit="1" customWidth="1"/>
  </cols>
  <sheetData>
    <row r="1" spans="1:4" x14ac:dyDescent="0.35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35">
      <c r="A2" s="7">
        <v>48641</v>
      </c>
      <c r="B2" s="8" t="s">
        <v>4</v>
      </c>
      <c r="C2" s="9">
        <v>27.8</v>
      </c>
      <c r="D2" s="10">
        <v>0.2</v>
      </c>
    </row>
    <row r="3" spans="1:4" x14ac:dyDescent="0.35">
      <c r="A3" s="11">
        <v>48642</v>
      </c>
      <c r="B3" s="12" t="s">
        <v>5</v>
      </c>
      <c r="C3" s="13">
        <v>11.8</v>
      </c>
      <c r="D3" s="14">
        <v>1.7</v>
      </c>
    </row>
    <row r="4" spans="1:4" x14ac:dyDescent="0.35">
      <c r="A4" s="7">
        <v>48643</v>
      </c>
      <c r="B4" s="8" t="s">
        <v>6</v>
      </c>
      <c r="C4" s="9">
        <v>21</v>
      </c>
      <c r="D4" s="10">
        <v>6</v>
      </c>
    </row>
    <row r="5" spans="1:4" x14ac:dyDescent="0.35">
      <c r="A5" s="11">
        <v>48644</v>
      </c>
      <c r="B5" s="12" t="s">
        <v>7</v>
      </c>
      <c r="C5" s="13">
        <v>26.3</v>
      </c>
      <c r="D5" s="14">
        <v>11.4</v>
      </c>
    </row>
    <row r="6" spans="1:4" x14ac:dyDescent="0.35">
      <c r="A6" s="7">
        <v>48645</v>
      </c>
      <c r="B6" s="8" t="s">
        <v>8</v>
      </c>
      <c r="C6" s="9">
        <v>28.8</v>
      </c>
      <c r="D6" s="10">
        <v>0</v>
      </c>
    </row>
    <row r="7" spans="1:4" x14ac:dyDescent="0.35">
      <c r="A7" s="11">
        <v>48646</v>
      </c>
      <c r="B7" s="12" t="s">
        <v>9</v>
      </c>
      <c r="C7" s="13">
        <v>29.2</v>
      </c>
      <c r="D7" s="14">
        <v>0</v>
      </c>
    </row>
    <row r="8" spans="1:4" x14ac:dyDescent="0.35">
      <c r="A8" s="7">
        <v>48647</v>
      </c>
      <c r="B8" s="8" t="s">
        <v>10</v>
      </c>
      <c r="C8" s="9">
        <v>25.6</v>
      </c>
      <c r="D8" s="10">
        <v>28.7</v>
      </c>
    </row>
    <row r="9" spans="1:4" x14ac:dyDescent="0.35">
      <c r="A9" s="11">
        <v>48648</v>
      </c>
      <c r="B9" s="12" t="s">
        <v>11</v>
      </c>
      <c r="C9" s="13">
        <v>10.1</v>
      </c>
      <c r="D9" s="14">
        <v>7.7</v>
      </c>
    </row>
    <row r="10" spans="1:4" x14ac:dyDescent="0.35">
      <c r="A10" s="7">
        <v>48649</v>
      </c>
      <c r="B10" s="8" t="s">
        <v>12</v>
      </c>
      <c r="C10" s="9">
        <v>14.6</v>
      </c>
      <c r="D10" s="10">
        <v>0</v>
      </c>
    </row>
    <row r="11" spans="1:4" x14ac:dyDescent="0.35">
      <c r="A11" s="11">
        <v>48650</v>
      </c>
      <c r="B11" s="12" t="s">
        <v>13</v>
      </c>
      <c r="C11" s="13">
        <v>11.5</v>
      </c>
      <c r="D11" s="14">
        <v>1.9</v>
      </c>
    </row>
    <row r="12" spans="1:4" x14ac:dyDescent="0.35">
      <c r="A12" s="7">
        <v>48651</v>
      </c>
      <c r="B12" s="8" t="s">
        <v>9</v>
      </c>
      <c r="C12" s="9">
        <v>15.2</v>
      </c>
      <c r="D12" s="10">
        <v>0</v>
      </c>
    </row>
    <row r="13" spans="1:4" x14ac:dyDescent="0.35">
      <c r="A13" s="11">
        <v>48652</v>
      </c>
      <c r="B13" s="12" t="s">
        <v>10</v>
      </c>
      <c r="C13" s="13">
        <v>10.199999999999999</v>
      </c>
      <c r="D13" s="14">
        <v>13.3</v>
      </c>
    </row>
    <row r="14" spans="1:4" x14ac:dyDescent="0.35">
      <c r="A14" s="7">
        <v>48653</v>
      </c>
      <c r="B14" s="8" t="s">
        <v>14</v>
      </c>
      <c r="C14" s="9">
        <v>20.399999999999999</v>
      </c>
      <c r="D14" s="10">
        <v>4.5999999999999996</v>
      </c>
    </row>
    <row r="15" spans="1:4" x14ac:dyDescent="0.35">
      <c r="A15" s="11">
        <v>48654</v>
      </c>
      <c r="B15" s="12" t="s">
        <v>14</v>
      </c>
      <c r="C15" s="13">
        <v>13.6</v>
      </c>
      <c r="D15" s="14">
        <v>8</v>
      </c>
    </row>
    <row r="16" spans="1:4" x14ac:dyDescent="0.35">
      <c r="A16" s="7">
        <v>48655</v>
      </c>
      <c r="B16" s="8" t="s">
        <v>15</v>
      </c>
      <c r="C16" s="9">
        <v>11</v>
      </c>
      <c r="D16" s="10">
        <v>11.6</v>
      </c>
    </row>
    <row r="17" spans="1:4" x14ac:dyDescent="0.35">
      <c r="A17" s="11">
        <v>48656</v>
      </c>
      <c r="B17" s="12" t="s">
        <v>16</v>
      </c>
      <c r="C17" s="13">
        <v>14.1</v>
      </c>
      <c r="D17" s="14">
        <v>0</v>
      </c>
    </row>
    <row r="18" spans="1:4" x14ac:dyDescent="0.35">
      <c r="A18" s="7">
        <v>48657</v>
      </c>
      <c r="B18" s="8" t="s">
        <v>10</v>
      </c>
      <c r="C18" s="9">
        <v>19.2</v>
      </c>
      <c r="D18" s="10">
        <v>0</v>
      </c>
    </row>
    <row r="19" spans="1:4" x14ac:dyDescent="0.35">
      <c r="A19" s="11">
        <v>48658</v>
      </c>
      <c r="B19" s="12" t="s">
        <v>10</v>
      </c>
      <c r="C19" s="13">
        <v>20.7</v>
      </c>
      <c r="D19" s="14">
        <v>0</v>
      </c>
    </row>
    <row r="20" spans="1:4" x14ac:dyDescent="0.35">
      <c r="A20" s="7">
        <v>48659</v>
      </c>
      <c r="B20" s="8" t="s">
        <v>17</v>
      </c>
      <c r="C20" s="9">
        <v>29.5</v>
      </c>
      <c r="D20" s="10">
        <v>2.1</v>
      </c>
    </row>
    <row r="21" spans="1:4" x14ac:dyDescent="0.35">
      <c r="A21" s="11">
        <v>48660</v>
      </c>
      <c r="B21" s="12" t="s">
        <v>11</v>
      </c>
      <c r="C21" s="13">
        <v>24.4</v>
      </c>
      <c r="D21" s="14">
        <v>10.1</v>
      </c>
    </row>
    <row r="22" spans="1:4" x14ac:dyDescent="0.35">
      <c r="A22" s="7">
        <v>48661</v>
      </c>
      <c r="B22" s="8" t="s">
        <v>18</v>
      </c>
      <c r="C22" s="9">
        <v>15.6</v>
      </c>
      <c r="D22" s="10">
        <v>6.6</v>
      </c>
    </row>
    <row r="23" spans="1:4" x14ac:dyDescent="0.35">
      <c r="A23" s="11">
        <v>48662</v>
      </c>
      <c r="B23" s="12" t="s">
        <v>9</v>
      </c>
      <c r="C23" s="13">
        <v>22.7</v>
      </c>
      <c r="D23" s="14">
        <v>2.9</v>
      </c>
    </row>
    <row r="24" spans="1:4" x14ac:dyDescent="0.35">
      <c r="A24" s="7">
        <v>48663</v>
      </c>
      <c r="B24" s="8" t="s">
        <v>15</v>
      </c>
      <c r="C24" s="9">
        <v>15.1</v>
      </c>
      <c r="D24" s="10">
        <v>0</v>
      </c>
    </row>
    <row r="25" spans="1:4" x14ac:dyDescent="0.35">
      <c r="A25" s="11">
        <v>48664</v>
      </c>
      <c r="B25" s="12" t="s">
        <v>19</v>
      </c>
      <c r="C25" s="13">
        <v>14.1</v>
      </c>
      <c r="D25" s="14">
        <v>0.8</v>
      </c>
    </row>
    <row r="26" spans="1:4" x14ac:dyDescent="0.35">
      <c r="A26" s="7">
        <v>48665</v>
      </c>
      <c r="B26" s="8" t="s">
        <v>7</v>
      </c>
      <c r="C26" s="9">
        <v>24.9</v>
      </c>
      <c r="D26" s="10">
        <v>2.2000000000000002</v>
      </c>
    </row>
    <row r="27" spans="1:4" x14ac:dyDescent="0.35">
      <c r="A27" s="11">
        <v>48666</v>
      </c>
      <c r="B27" s="12" t="s">
        <v>20</v>
      </c>
      <c r="C27" s="13">
        <v>14.8</v>
      </c>
      <c r="D27" s="14">
        <v>0</v>
      </c>
    </row>
    <row r="28" spans="1:4" x14ac:dyDescent="0.35">
      <c r="A28" s="7">
        <v>48667</v>
      </c>
      <c r="B28" s="8" t="s">
        <v>14</v>
      </c>
      <c r="C28" s="9">
        <v>18.8</v>
      </c>
      <c r="D28" s="10">
        <v>0</v>
      </c>
    </row>
    <row r="29" spans="1:4" x14ac:dyDescent="0.35">
      <c r="A29" s="11">
        <v>48668</v>
      </c>
      <c r="B29" s="12" t="s">
        <v>15</v>
      </c>
      <c r="C29" s="13">
        <v>29.3</v>
      </c>
      <c r="D29" s="14">
        <v>8</v>
      </c>
    </row>
    <row r="30" spans="1:4" x14ac:dyDescent="0.35">
      <c r="A30" s="7">
        <v>48669</v>
      </c>
      <c r="B30" s="8" t="s">
        <v>21</v>
      </c>
      <c r="C30" s="9">
        <v>29.4</v>
      </c>
      <c r="D30" s="10">
        <v>2.4</v>
      </c>
    </row>
    <row r="31" spans="1:4" x14ac:dyDescent="0.35">
      <c r="A31" s="11">
        <v>48670</v>
      </c>
      <c r="B31" s="12" t="s">
        <v>22</v>
      </c>
      <c r="C31" s="13">
        <v>16.8</v>
      </c>
      <c r="D31" s="14">
        <v>2.9</v>
      </c>
    </row>
    <row r="32" spans="1:4" x14ac:dyDescent="0.35">
      <c r="A32" s="7">
        <v>48671</v>
      </c>
      <c r="B32" s="8" t="s">
        <v>12</v>
      </c>
      <c r="C32" s="9">
        <v>21.4</v>
      </c>
      <c r="D32" s="10">
        <v>6.3</v>
      </c>
    </row>
    <row r="33" spans="1:4" x14ac:dyDescent="0.35">
      <c r="A33" s="11">
        <v>48672</v>
      </c>
      <c r="B33" s="12" t="s">
        <v>7</v>
      </c>
      <c r="C33" s="13">
        <v>23.9</v>
      </c>
      <c r="D33" s="14">
        <v>0</v>
      </c>
    </row>
    <row r="34" spans="1:4" x14ac:dyDescent="0.35">
      <c r="A34" s="7">
        <v>48673</v>
      </c>
      <c r="B34" s="8" t="s">
        <v>12</v>
      </c>
      <c r="C34" s="9">
        <v>26.7</v>
      </c>
      <c r="D34" s="10">
        <v>0</v>
      </c>
    </row>
    <row r="35" spans="1:4" x14ac:dyDescent="0.35">
      <c r="A35" s="11">
        <v>48674</v>
      </c>
      <c r="B35" s="12" t="s">
        <v>7</v>
      </c>
      <c r="C35" s="13">
        <v>12.4</v>
      </c>
      <c r="D35" s="14">
        <v>0</v>
      </c>
    </row>
    <row r="36" spans="1:4" x14ac:dyDescent="0.35">
      <c r="A36" s="7">
        <v>48675</v>
      </c>
      <c r="B36" s="8" t="s">
        <v>12</v>
      </c>
      <c r="C36" s="9">
        <v>10.4</v>
      </c>
      <c r="D36" s="10">
        <v>10.7</v>
      </c>
    </row>
    <row r="37" spans="1:4" x14ac:dyDescent="0.35">
      <c r="A37" s="11">
        <v>48676</v>
      </c>
      <c r="B37" s="12" t="s">
        <v>9</v>
      </c>
      <c r="C37" s="13">
        <v>17.899999999999999</v>
      </c>
      <c r="D37" s="14">
        <v>0</v>
      </c>
    </row>
    <row r="38" spans="1:4" x14ac:dyDescent="0.35">
      <c r="A38" s="7">
        <v>48677</v>
      </c>
      <c r="B38" s="8" t="s">
        <v>20</v>
      </c>
      <c r="C38" s="9">
        <v>17.399999999999999</v>
      </c>
      <c r="D38" s="10">
        <v>1.6</v>
      </c>
    </row>
    <row r="39" spans="1:4" x14ac:dyDescent="0.35">
      <c r="A39" s="11">
        <v>48678</v>
      </c>
      <c r="B39" s="12" t="s">
        <v>11</v>
      </c>
      <c r="C39" s="13">
        <v>29.4</v>
      </c>
      <c r="D39" s="14">
        <v>21.7</v>
      </c>
    </row>
    <row r="40" spans="1:4" x14ac:dyDescent="0.35">
      <c r="A40" s="7">
        <v>48679</v>
      </c>
      <c r="B40" s="8" t="s">
        <v>19</v>
      </c>
      <c r="C40" s="9">
        <v>22.9</v>
      </c>
      <c r="D40" s="10">
        <v>26.9</v>
      </c>
    </row>
    <row r="41" spans="1:4" x14ac:dyDescent="0.35">
      <c r="A41" s="11">
        <v>48680</v>
      </c>
      <c r="B41" s="12" t="s">
        <v>19</v>
      </c>
      <c r="C41" s="13">
        <v>18.899999999999999</v>
      </c>
      <c r="D41" s="14">
        <v>11.3</v>
      </c>
    </row>
    <row r="42" spans="1:4" x14ac:dyDescent="0.35">
      <c r="A42" s="7">
        <v>48681</v>
      </c>
      <c r="B42" s="8" t="s">
        <v>5</v>
      </c>
      <c r="C42" s="9">
        <v>23.5</v>
      </c>
      <c r="D42" s="10">
        <v>0</v>
      </c>
    </row>
    <row r="43" spans="1:4" x14ac:dyDescent="0.35">
      <c r="A43" s="11">
        <v>48682</v>
      </c>
      <c r="B43" s="12" t="s">
        <v>18</v>
      </c>
      <c r="C43" s="13">
        <v>13.4</v>
      </c>
      <c r="D43" s="14">
        <v>14.2</v>
      </c>
    </row>
    <row r="44" spans="1:4" x14ac:dyDescent="0.35">
      <c r="A44" s="7">
        <v>48683</v>
      </c>
      <c r="B44" s="8" t="s">
        <v>20</v>
      </c>
      <c r="C44" s="9">
        <v>18.899999999999999</v>
      </c>
      <c r="D44" s="10">
        <v>1.5</v>
      </c>
    </row>
    <row r="45" spans="1:4" x14ac:dyDescent="0.35">
      <c r="A45" s="11">
        <v>48684</v>
      </c>
      <c r="B45" s="12" t="s">
        <v>17</v>
      </c>
      <c r="C45" s="13">
        <v>13.5</v>
      </c>
      <c r="D45" s="14">
        <v>1.4</v>
      </c>
    </row>
    <row r="46" spans="1:4" x14ac:dyDescent="0.35">
      <c r="A46" s="7">
        <v>48685</v>
      </c>
      <c r="B46" s="8" t="s">
        <v>5</v>
      </c>
      <c r="C46" s="9">
        <v>17.7</v>
      </c>
      <c r="D46" s="10">
        <v>5.9</v>
      </c>
    </row>
    <row r="47" spans="1:4" x14ac:dyDescent="0.35">
      <c r="A47" s="11">
        <v>48686</v>
      </c>
      <c r="B47" s="12" t="s">
        <v>11</v>
      </c>
      <c r="C47" s="13">
        <v>24.7</v>
      </c>
      <c r="D47" s="14">
        <v>0</v>
      </c>
    </row>
    <row r="48" spans="1:4" x14ac:dyDescent="0.35">
      <c r="A48" s="7">
        <v>48687</v>
      </c>
      <c r="B48" s="8" t="s">
        <v>18</v>
      </c>
      <c r="C48" s="9">
        <v>25.6</v>
      </c>
      <c r="D48" s="10">
        <v>1.9</v>
      </c>
    </row>
    <row r="49" spans="1:4" x14ac:dyDescent="0.35">
      <c r="A49" s="11">
        <v>48688</v>
      </c>
      <c r="B49" s="12" t="s">
        <v>22</v>
      </c>
      <c r="C49" s="13">
        <v>18.399999999999999</v>
      </c>
      <c r="D49" s="14">
        <v>0</v>
      </c>
    </row>
    <row r="50" spans="1:4" x14ac:dyDescent="0.35">
      <c r="A50" s="7">
        <v>48689</v>
      </c>
      <c r="B50" s="8" t="s">
        <v>23</v>
      </c>
      <c r="C50" s="9">
        <v>27</v>
      </c>
      <c r="D50" s="10">
        <v>0</v>
      </c>
    </row>
    <row r="51" spans="1:4" x14ac:dyDescent="0.35">
      <c r="A51" s="11">
        <v>48690</v>
      </c>
      <c r="B51" s="12" t="s">
        <v>10</v>
      </c>
      <c r="C51" s="13">
        <v>16</v>
      </c>
      <c r="D51" s="14">
        <v>0</v>
      </c>
    </row>
    <row r="52" spans="1:4" x14ac:dyDescent="0.35">
      <c r="A52" s="7">
        <v>48691</v>
      </c>
      <c r="B52" s="8" t="s">
        <v>7</v>
      </c>
      <c r="C52" s="9">
        <v>18.600000000000001</v>
      </c>
      <c r="D52" s="10">
        <v>7.4</v>
      </c>
    </row>
    <row r="53" spans="1:4" x14ac:dyDescent="0.35">
      <c r="A53" s="11">
        <v>48692</v>
      </c>
      <c r="B53" s="12" t="s">
        <v>10</v>
      </c>
      <c r="C53" s="13">
        <v>12.7</v>
      </c>
      <c r="D53" s="14">
        <v>30.8</v>
      </c>
    </row>
    <row r="54" spans="1:4" x14ac:dyDescent="0.35">
      <c r="A54" s="7">
        <v>48693</v>
      </c>
      <c r="B54" s="8" t="s">
        <v>19</v>
      </c>
      <c r="C54" s="9">
        <v>14.5</v>
      </c>
      <c r="D54" s="10">
        <v>0</v>
      </c>
    </row>
    <row r="55" spans="1:4" x14ac:dyDescent="0.35">
      <c r="A55" s="11">
        <v>48694</v>
      </c>
      <c r="B55" s="12" t="s">
        <v>24</v>
      </c>
      <c r="C55" s="13">
        <v>12.2</v>
      </c>
      <c r="D55" s="14">
        <v>3.5</v>
      </c>
    </row>
    <row r="56" spans="1:4" x14ac:dyDescent="0.35">
      <c r="A56" s="7">
        <v>48695</v>
      </c>
      <c r="B56" s="8" t="s">
        <v>25</v>
      </c>
      <c r="C56" s="9">
        <v>19.899999999999999</v>
      </c>
      <c r="D56" s="10">
        <v>0</v>
      </c>
    </row>
    <row r="57" spans="1:4" x14ac:dyDescent="0.35">
      <c r="A57" s="11">
        <v>48696</v>
      </c>
      <c r="B57" s="12" t="s">
        <v>26</v>
      </c>
      <c r="C57" s="13">
        <v>28.1</v>
      </c>
      <c r="D57" s="14">
        <v>5.3</v>
      </c>
    </row>
    <row r="58" spans="1:4" x14ac:dyDescent="0.35">
      <c r="A58" s="7">
        <v>48697</v>
      </c>
      <c r="B58" s="8" t="s">
        <v>10</v>
      </c>
      <c r="C58" s="9">
        <v>27.7</v>
      </c>
      <c r="D58" s="10">
        <v>45.3</v>
      </c>
    </row>
    <row r="59" spans="1:4" x14ac:dyDescent="0.35">
      <c r="A59" s="11">
        <v>48698</v>
      </c>
      <c r="B59" s="12" t="s">
        <v>5</v>
      </c>
      <c r="C59" s="13">
        <v>14.6</v>
      </c>
      <c r="D59" s="14">
        <v>5.2</v>
      </c>
    </row>
    <row r="60" spans="1:4" x14ac:dyDescent="0.35">
      <c r="A60" s="7">
        <v>48699</v>
      </c>
      <c r="B60" s="8" t="s">
        <v>18</v>
      </c>
      <c r="C60" s="9">
        <v>10.8</v>
      </c>
      <c r="D60" s="10">
        <v>0</v>
      </c>
    </row>
    <row r="61" spans="1:4" x14ac:dyDescent="0.35">
      <c r="A61" s="11">
        <v>48700</v>
      </c>
      <c r="B61" s="12" t="s">
        <v>27</v>
      </c>
      <c r="C61" s="13">
        <v>12.4</v>
      </c>
      <c r="D61" s="14">
        <v>3.2</v>
      </c>
    </row>
    <row r="62" spans="1:4" x14ac:dyDescent="0.35">
      <c r="A62" s="7">
        <v>48701</v>
      </c>
      <c r="B62" s="8" t="s">
        <v>10</v>
      </c>
      <c r="C62" s="9">
        <v>25.2</v>
      </c>
      <c r="D62" s="10">
        <v>0</v>
      </c>
    </row>
    <row r="63" spans="1:4" x14ac:dyDescent="0.35">
      <c r="A63" s="11">
        <v>48702</v>
      </c>
      <c r="B63" s="12" t="s">
        <v>10</v>
      </c>
      <c r="C63" s="13">
        <v>28.9</v>
      </c>
      <c r="D63" s="14">
        <v>0</v>
      </c>
    </row>
    <row r="64" spans="1:4" x14ac:dyDescent="0.35">
      <c r="A64" s="7">
        <v>48703</v>
      </c>
      <c r="B64" s="8" t="s">
        <v>19</v>
      </c>
      <c r="C64" s="9">
        <v>13.2</v>
      </c>
      <c r="D64" s="10">
        <v>23.3</v>
      </c>
    </row>
    <row r="65" spans="1:4" x14ac:dyDescent="0.35">
      <c r="A65" s="11">
        <v>48704</v>
      </c>
      <c r="B65" s="12" t="s">
        <v>10</v>
      </c>
      <c r="C65" s="13">
        <v>27.9</v>
      </c>
      <c r="D65" s="14">
        <v>0</v>
      </c>
    </row>
    <row r="66" spans="1:4" x14ac:dyDescent="0.35">
      <c r="A66" s="7">
        <v>48705</v>
      </c>
      <c r="B66" s="8" t="s">
        <v>7</v>
      </c>
      <c r="C66" s="9">
        <v>10.9</v>
      </c>
      <c r="D66" s="10">
        <v>3.5</v>
      </c>
    </row>
    <row r="67" spans="1:4" x14ac:dyDescent="0.35">
      <c r="A67" s="11">
        <v>48706</v>
      </c>
      <c r="B67" s="12" t="s">
        <v>15</v>
      </c>
      <c r="C67" s="13">
        <v>25.5</v>
      </c>
      <c r="D67" s="14">
        <v>20</v>
      </c>
    </row>
    <row r="68" spans="1:4" x14ac:dyDescent="0.35">
      <c r="A68" s="7">
        <v>48707</v>
      </c>
      <c r="B68" s="8" t="s">
        <v>9</v>
      </c>
      <c r="C68" s="9">
        <v>26</v>
      </c>
      <c r="D68" s="10">
        <v>0</v>
      </c>
    </row>
    <row r="69" spans="1:4" x14ac:dyDescent="0.35">
      <c r="A69" s="11">
        <v>48708</v>
      </c>
      <c r="B69" s="12" t="s">
        <v>25</v>
      </c>
      <c r="C69" s="13">
        <v>25.8</v>
      </c>
      <c r="D69" s="14">
        <v>0.1</v>
      </c>
    </row>
    <row r="70" spans="1:4" x14ac:dyDescent="0.35">
      <c r="A70" s="7">
        <v>48709</v>
      </c>
      <c r="B70" s="8" t="s">
        <v>14</v>
      </c>
      <c r="C70" s="9">
        <v>17.5</v>
      </c>
      <c r="D70" s="10">
        <v>0.5</v>
      </c>
    </row>
    <row r="71" spans="1:4" x14ac:dyDescent="0.35">
      <c r="A71" s="11">
        <v>48710</v>
      </c>
      <c r="B71" s="12" t="s">
        <v>10</v>
      </c>
      <c r="C71" s="13">
        <v>17.8</v>
      </c>
      <c r="D71" s="14">
        <v>3.3</v>
      </c>
    </row>
    <row r="72" spans="1:4" x14ac:dyDescent="0.35">
      <c r="A72" s="7">
        <v>48711</v>
      </c>
      <c r="B72" s="8" t="s">
        <v>10</v>
      </c>
      <c r="C72" s="9">
        <v>17.5</v>
      </c>
      <c r="D72" s="10">
        <v>0</v>
      </c>
    </row>
    <row r="73" spans="1:4" x14ac:dyDescent="0.35">
      <c r="A73" s="11">
        <v>48712</v>
      </c>
      <c r="B73" s="12" t="s">
        <v>13</v>
      </c>
      <c r="C73" s="13">
        <v>16.100000000000001</v>
      </c>
      <c r="D73" s="14">
        <v>0</v>
      </c>
    </row>
    <row r="74" spans="1:4" x14ac:dyDescent="0.35">
      <c r="A74" s="7">
        <v>48713</v>
      </c>
      <c r="B74" s="8" t="s">
        <v>5</v>
      </c>
      <c r="C74" s="9">
        <v>11.8</v>
      </c>
      <c r="D74" s="10">
        <v>7</v>
      </c>
    </row>
    <row r="75" spans="1:4" x14ac:dyDescent="0.35">
      <c r="A75" s="11">
        <v>48714</v>
      </c>
      <c r="B75" s="12" t="s">
        <v>15</v>
      </c>
      <c r="C75" s="13">
        <v>26.2</v>
      </c>
      <c r="D75" s="14">
        <v>0</v>
      </c>
    </row>
    <row r="76" spans="1:4" x14ac:dyDescent="0.35">
      <c r="A76" s="7">
        <v>48715</v>
      </c>
      <c r="B76" s="8" t="s">
        <v>6</v>
      </c>
      <c r="C76" s="9">
        <v>28.8</v>
      </c>
      <c r="D76" s="10">
        <v>2.9</v>
      </c>
    </row>
    <row r="77" spans="1:4" x14ac:dyDescent="0.35">
      <c r="A77" s="11">
        <v>48716</v>
      </c>
      <c r="B77" s="12" t="s">
        <v>10</v>
      </c>
      <c r="C77" s="13">
        <v>18.7</v>
      </c>
      <c r="D77" s="14">
        <v>0</v>
      </c>
    </row>
    <row r="78" spans="1:4" x14ac:dyDescent="0.35">
      <c r="A78" s="7">
        <v>48717</v>
      </c>
      <c r="B78" s="8" t="s">
        <v>18</v>
      </c>
      <c r="C78" s="9">
        <v>10.3</v>
      </c>
      <c r="D78" s="10">
        <v>9.1999999999999993</v>
      </c>
    </row>
    <row r="79" spans="1:4" x14ac:dyDescent="0.35">
      <c r="A79" s="11">
        <v>48718</v>
      </c>
      <c r="B79" s="12" t="s">
        <v>6</v>
      </c>
      <c r="C79" s="13">
        <v>29.8</v>
      </c>
      <c r="D79" s="14">
        <v>3.4</v>
      </c>
    </row>
    <row r="80" spans="1:4" x14ac:dyDescent="0.35">
      <c r="A80" s="7">
        <v>48719</v>
      </c>
      <c r="B80" s="8" t="s">
        <v>10</v>
      </c>
      <c r="C80" s="9">
        <v>26.2</v>
      </c>
      <c r="D80" s="10">
        <v>32.299999999999997</v>
      </c>
    </row>
    <row r="81" spans="1:4" x14ac:dyDescent="0.35">
      <c r="A81" s="11">
        <v>48720</v>
      </c>
      <c r="B81" s="12" t="s">
        <v>19</v>
      </c>
      <c r="C81" s="13">
        <v>13.8</v>
      </c>
      <c r="D81" s="14">
        <v>15.9</v>
      </c>
    </row>
    <row r="82" spans="1:4" x14ac:dyDescent="0.35">
      <c r="A82" s="7">
        <v>48721</v>
      </c>
      <c r="B82" s="8" t="s">
        <v>19</v>
      </c>
      <c r="C82" s="9">
        <v>22.4</v>
      </c>
      <c r="D82" s="10">
        <v>24.5</v>
      </c>
    </row>
    <row r="83" spans="1:4" x14ac:dyDescent="0.35">
      <c r="A83" s="11">
        <v>48722</v>
      </c>
      <c r="B83" s="12" t="s">
        <v>19</v>
      </c>
      <c r="C83" s="13">
        <v>24.5</v>
      </c>
      <c r="D83" s="14">
        <v>0.9</v>
      </c>
    </row>
    <row r="84" spans="1:4" x14ac:dyDescent="0.35">
      <c r="A84" s="7">
        <v>48723</v>
      </c>
      <c r="B84" s="8" t="s">
        <v>28</v>
      </c>
      <c r="C84" s="9">
        <v>23.1</v>
      </c>
      <c r="D84" s="10">
        <v>0.3</v>
      </c>
    </row>
    <row r="85" spans="1:4" x14ac:dyDescent="0.35">
      <c r="A85" s="11">
        <v>48724</v>
      </c>
      <c r="B85" s="12" t="s">
        <v>25</v>
      </c>
      <c r="C85" s="13">
        <v>29.8</v>
      </c>
      <c r="D85" s="14">
        <v>0</v>
      </c>
    </row>
    <row r="86" spans="1:4" x14ac:dyDescent="0.35">
      <c r="A86" s="7">
        <v>48725</v>
      </c>
      <c r="B86" s="8" t="s">
        <v>4</v>
      </c>
      <c r="C86" s="9">
        <v>11.2</v>
      </c>
      <c r="D86" s="10">
        <v>0</v>
      </c>
    </row>
    <row r="87" spans="1:4" x14ac:dyDescent="0.35">
      <c r="A87" s="11">
        <v>48726</v>
      </c>
      <c r="B87" s="12" t="s">
        <v>19</v>
      </c>
      <c r="C87" s="13">
        <v>18.7</v>
      </c>
      <c r="D87" s="14">
        <v>0</v>
      </c>
    </row>
    <row r="88" spans="1:4" x14ac:dyDescent="0.35">
      <c r="A88" s="7">
        <v>48727</v>
      </c>
      <c r="B88" s="8" t="s">
        <v>18</v>
      </c>
      <c r="C88" s="9">
        <v>11.4</v>
      </c>
      <c r="D88" s="10">
        <v>8.1</v>
      </c>
    </row>
    <row r="89" spans="1:4" x14ac:dyDescent="0.35">
      <c r="A89" s="11">
        <v>48728</v>
      </c>
      <c r="B89" s="12" t="s">
        <v>13</v>
      </c>
      <c r="C89" s="13">
        <v>21.3</v>
      </c>
      <c r="D89" s="14">
        <v>13.4</v>
      </c>
    </row>
    <row r="90" spans="1:4" x14ac:dyDescent="0.35">
      <c r="A90" s="7">
        <v>48729</v>
      </c>
      <c r="B90" s="8" t="s">
        <v>5</v>
      </c>
      <c r="C90" s="9">
        <v>24.5</v>
      </c>
      <c r="D90" s="10">
        <v>2.6</v>
      </c>
    </row>
    <row r="91" spans="1:4" x14ac:dyDescent="0.35">
      <c r="A91" s="11">
        <v>48730</v>
      </c>
      <c r="B91" s="12" t="s">
        <v>19</v>
      </c>
      <c r="C91" s="13">
        <v>20</v>
      </c>
      <c r="D91" s="14">
        <v>13.2</v>
      </c>
    </row>
    <row r="92" spans="1:4" x14ac:dyDescent="0.35">
      <c r="A92" s="7">
        <v>48731</v>
      </c>
      <c r="B92" s="8" t="s">
        <v>10</v>
      </c>
      <c r="C92" s="9">
        <v>28.4</v>
      </c>
      <c r="D92" s="10">
        <v>12</v>
      </c>
    </row>
    <row r="93" spans="1:4" x14ac:dyDescent="0.35">
      <c r="A93" s="11">
        <v>48732</v>
      </c>
      <c r="B93" s="12" t="s">
        <v>11</v>
      </c>
      <c r="C93" s="13">
        <v>14.8</v>
      </c>
      <c r="D93" s="14">
        <v>10.1</v>
      </c>
    </row>
    <row r="94" spans="1:4" x14ac:dyDescent="0.35">
      <c r="A94" s="7">
        <v>48733</v>
      </c>
      <c r="B94" s="8" t="s">
        <v>29</v>
      </c>
      <c r="C94" s="9">
        <v>27.9</v>
      </c>
      <c r="D94" s="10">
        <v>0.6</v>
      </c>
    </row>
    <row r="95" spans="1:4" x14ac:dyDescent="0.35">
      <c r="A95" s="11">
        <v>48734</v>
      </c>
      <c r="B95" s="12" t="s">
        <v>12</v>
      </c>
      <c r="C95" s="13">
        <v>19.899999999999999</v>
      </c>
      <c r="D95" s="14">
        <v>9.8000000000000007</v>
      </c>
    </row>
    <row r="96" spans="1:4" x14ac:dyDescent="0.35">
      <c r="A96" s="7">
        <v>48735</v>
      </c>
      <c r="B96" s="8" t="s">
        <v>19</v>
      </c>
      <c r="C96" s="9">
        <v>22.5</v>
      </c>
      <c r="D96" s="10">
        <v>0</v>
      </c>
    </row>
    <row r="97" spans="1:4" x14ac:dyDescent="0.35">
      <c r="A97" s="11">
        <v>48736</v>
      </c>
      <c r="B97" s="12" t="s">
        <v>8</v>
      </c>
      <c r="C97" s="13">
        <v>21.6</v>
      </c>
      <c r="D97" s="14">
        <v>4.9000000000000004</v>
      </c>
    </row>
    <row r="98" spans="1:4" x14ac:dyDescent="0.35">
      <c r="A98" s="7">
        <v>48737</v>
      </c>
      <c r="B98" s="8" t="s">
        <v>10</v>
      </c>
      <c r="C98" s="9">
        <v>28.1</v>
      </c>
      <c r="D98" s="10">
        <v>0</v>
      </c>
    </row>
    <row r="99" spans="1:4" x14ac:dyDescent="0.35">
      <c r="A99" s="11">
        <v>48738</v>
      </c>
      <c r="B99" s="12" t="s">
        <v>12</v>
      </c>
      <c r="C99" s="13">
        <v>21.5</v>
      </c>
      <c r="D99" s="14">
        <v>8.6</v>
      </c>
    </row>
    <row r="100" spans="1:4" x14ac:dyDescent="0.35">
      <c r="A100" s="7">
        <v>48739</v>
      </c>
      <c r="B100" s="8" t="s">
        <v>14</v>
      </c>
      <c r="C100" s="9">
        <v>22.7</v>
      </c>
      <c r="D100" s="10">
        <v>0.1</v>
      </c>
    </row>
    <row r="101" spans="1:4" x14ac:dyDescent="0.35">
      <c r="A101" s="11">
        <v>48740</v>
      </c>
      <c r="B101" s="12" t="s">
        <v>10</v>
      </c>
      <c r="C101" s="13">
        <v>27.4</v>
      </c>
      <c r="D101" s="14">
        <v>21.8</v>
      </c>
    </row>
    <row r="102" spans="1:4" x14ac:dyDescent="0.35">
      <c r="A102" s="7">
        <v>48741</v>
      </c>
      <c r="B102" s="8" t="s">
        <v>19</v>
      </c>
      <c r="C102" s="9">
        <v>18.3</v>
      </c>
      <c r="D102" s="10">
        <v>17.3</v>
      </c>
    </row>
    <row r="103" spans="1:4" x14ac:dyDescent="0.35">
      <c r="A103" s="11">
        <v>48742</v>
      </c>
      <c r="B103" s="12" t="s">
        <v>19</v>
      </c>
      <c r="C103" s="13">
        <v>29</v>
      </c>
      <c r="D103" s="14">
        <v>27.3</v>
      </c>
    </row>
    <row r="104" spans="1:4" x14ac:dyDescent="0.35">
      <c r="A104" s="7">
        <v>48743</v>
      </c>
      <c r="B104" s="8" t="s">
        <v>18</v>
      </c>
      <c r="C104" s="9">
        <v>18.100000000000001</v>
      </c>
      <c r="D104" s="10">
        <v>0</v>
      </c>
    </row>
    <row r="105" spans="1:4" x14ac:dyDescent="0.35">
      <c r="A105" s="11">
        <v>48744</v>
      </c>
      <c r="B105" s="12" t="s">
        <v>20</v>
      </c>
      <c r="C105" s="13">
        <v>16.399999999999999</v>
      </c>
      <c r="D105" s="14">
        <v>1.1000000000000001</v>
      </c>
    </row>
    <row r="106" spans="1:4" x14ac:dyDescent="0.35">
      <c r="A106" s="7">
        <v>48745</v>
      </c>
      <c r="B106" s="8" t="s">
        <v>6</v>
      </c>
      <c r="C106" s="9">
        <v>21.8</v>
      </c>
      <c r="D106" s="10">
        <v>0</v>
      </c>
    </row>
    <row r="107" spans="1:4" x14ac:dyDescent="0.35">
      <c r="A107" s="11">
        <v>48746</v>
      </c>
      <c r="B107" s="12" t="s">
        <v>29</v>
      </c>
      <c r="C107" s="13">
        <v>27.2</v>
      </c>
      <c r="D107" s="14">
        <v>0</v>
      </c>
    </row>
    <row r="108" spans="1:4" x14ac:dyDescent="0.35">
      <c r="A108" s="7">
        <v>48747</v>
      </c>
      <c r="B108" s="8" t="s">
        <v>22</v>
      </c>
      <c r="C108" s="9">
        <v>21.2</v>
      </c>
      <c r="D108" s="10">
        <v>0</v>
      </c>
    </row>
    <row r="109" spans="1:4" x14ac:dyDescent="0.35">
      <c r="A109" s="11">
        <v>48748</v>
      </c>
      <c r="B109" s="12" t="s">
        <v>19</v>
      </c>
      <c r="C109" s="13">
        <v>17.7</v>
      </c>
      <c r="D109" s="14">
        <v>13.9</v>
      </c>
    </row>
    <row r="110" spans="1:4" x14ac:dyDescent="0.35">
      <c r="A110" s="7">
        <v>48749</v>
      </c>
      <c r="B110" s="8" t="s">
        <v>22</v>
      </c>
      <c r="C110" s="9">
        <v>10.6</v>
      </c>
      <c r="D110" s="10">
        <v>6.9</v>
      </c>
    </row>
    <row r="111" spans="1:4" x14ac:dyDescent="0.35">
      <c r="A111" s="11">
        <v>48750</v>
      </c>
      <c r="B111" s="12" t="s">
        <v>27</v>
      </c>
      <c r="C111" s="13">
        <v>10.4</v>
      </c>
      <c r="D111" s="14">
        <v>1.1000000000000001</v>
      </c>
    </row>
    <row r="112" spans="1:4" x14ac:dyDescent="0.35">
      <c r="A112" s="7">
        <v>48751</v>
      </c>
      <c r="B112" s="8" t="s">
        <v>10</v>
      </c>
      <c r="C112" s="9">
        <v>15.8</v>
      </c>
      <c r="D112" s="10">
        <v>7.1</v>
      </c>
    </row>
    <row r="113" spans="1:4" x14ac:dyDescent="0.35">
      <c r="A113" s="11">
        <v>48752</v>
      </c>
      <c r="B113" s="12" t="s">
        <v>9</v>
      </c>
      <c r="C113" s="13">
        <v>19.899999999999999</v>
      </c>
      <c r="D113" s="14">
        <v>10.8</v>
      </c>
    </row>
    <row r="114" spans="1:4" x14ac:dyDescent="0.35">
      <c r="A114" s="7">
        <v>48753</v>
      </c>
      <c r="B114" s="8" t="s">
        <v>11</v>
      </c>
      <c r="C114" s="9">
        <v>13</v>
      </c>
      <c r="D114" s="10">
        <v>0</v>
      </c>
    </row>
    <row r="115" spans="1:4" x14ac:dyDescent="0.35">
      <c r="A115" s="11">
        <v>48754</v>
      </c>
      <c r="B115" s="12" t="s">
        <v>7</v>
      </c>
      <c r="C115" s="13">
        <v>28.1</v>
      </c>
      <c r="D115" s="14">
        <v>15</v>
      </c>
    </row>
    <row r="116" spans="1:4" x14ac:dyDescent="0.35">
      <c r="A116" s="7">
        <v>48755</v>
      </c>
      <c r="B116" s="8" t="s">
        <v>12</v>
      </c>
      <c r="C116" s="9">
        <v>22.5</v>
      </c>
      <c r="D116" s="10">
        <v>8.6</v>
      </c>
    </row>
    <row r="117" spans="1:4" x14ac:dyDescent="0.35">
      <c r="A117" s="11">
        <v>48756</v>
      </c>
      <c r="B117" s="12" t="s">
        <v>19</v>
      </c>
      <c r="C117" s="13">
        <v>14</v>
      </c>
      <c r="D117" s="14">
        <v>36.1</v>
      </c>
    </row>
    <row r="118" spans="1:4" x14ac:dyDescent="0.35">
      <c r="A118" s="7">
        <v>48757</v>
      </c>
      <c r="B118" s="8" t="s">
        <v>10</v>
      </c>
      <c r="C118" s="9">
        <v>10.6</v>
      </c>
      <c r="D118" s="10">
        <v>18.399999999999999</v>
      </c>
    </row>
    <row r="119" spans="1:4" x14ac:dyDescent="0.35">
      <c r="A119" s="11">
        <v>48758</v>
      </c>
      <c r="B119" s="12" t="s">
        <v>23</v>
      </c>
      <c r="C119" s="13">
        <v>22.3</v>
      </c>
      <c r="D119" s="14">
        <v>0</v>
      </c>
    </row>
    <row r="120" spans="1:4" x14ac:dyDescent="0.35">
      <c r="A120" s="7">
        <v>48759</v>
      </c>
      <c r="B120" s="8" t="s">
        <v>19</v>
      </c>
      <c r="C120" s="9">
        <v>14.5</v>
      </c>
      <c r="D120" s="10">
        <v>26</v>
      </c>
    </row>
    <row r="121" spans="1:4" x14ac:dyDescent="0.35">
      <c r="A121" s="11">
        <v>48760</v>
      </c>
      <c r="B121" s="12" t="s">
        <v>5</v>
      </c>
      <c r="C121" s="13">
        <v>21</v>
      </c>
      <c r="D121" s="14">
        <v>1.7</v>
      </c>
    </row>
    <row r="122" spans="1:4" x14ac:dyDescent="0.35">
      <c r="A122" s="7">
        <v>48761</v>
      </c>
      <c r="B122" s="8" t="s">
        <v>4</v>
      </c>
      <c r="C122" s="9">
        <v>17.7</v>
      </c>
      <c r="D122" s="10">
        <v>0.4</v>
      </c>
    </row>
    <row r="123" spans="1:4" x14ac:dyDescent="0.35">
      <c r="A123" s="11">
        <v>48762</v>
      </c>
      <c r="B123" s="12" t="s">
        <v>7</v>
      </c>
      <c r="C123" s="13">
        <v>24.3</v>
      </c>
      <c r="D123" s="14">
        <v>9.6999999999999993</v>
      </c>
    </row>
    <row r="124" spans="1:4" x14ac:dyDescent="0.35">
      <c r="A124" s="7">
        <v>48763</v>
      </c>
      <c r="B124" s="8" t="s">
        <v>15</v>
      </c>
      <c r="C124" s="9">
        <v>18.8</v>
      </c>
      <c r="D124" s="10">
        <v>6.4</v>
      </c>
    </row>
    <row r="125" spans="1:4" x14ac:dyDescent="0.35">
      <c r="A125" s="11">
        <v>48764</v>
      </c>
      <c r="B125" s="12" t="s">
        <v>13</v>
      </c>
      <c r="C125" s="13">
        <v>15.9</v>
      </c>
      <c r="D125" s="14">
        <v>5.2</v>
      </c>
    </row>
    <row r="126" spans="1:4" x14ac:dyDescent="0.35">
      <c r="A126" s="7">
        <v>48765</v>
      </c>
      <c r="B126" s="8" t="s">
        <v>7</v>
      </c>
      <c r="C126" s="9">
        <v>26.1</v>
      </c>
      <c r="D126" s="10">
        <v>0</v>
      </c>
    </row>
    <row r="127" spans="1:4" x14ac:dyDescent="0.35">
      <c r="A127" s="11">
        <v>48766</v>
      </c>
      <c r="B127" s="12" t="s">
        <v>19</v>
      </c>
      <c r="C127" s="13">
        <v>29.4</v>
      </c>
      <c r="D127" s="14">
        <v>8.8000000000000007</v>
      </c>
    </row>
    <row r="128" spans="1:4" x14ac:dyDescent="0.35">
      <c r="A128" s="7">
        <v>48767</v>
      </c>
      <c r="B128" s="8" t="s">
        <v>13</v>
      </c>
      <c r="C128" s="9">
        <v>10.5</v>
      </c>
      <c r="D128" s="10">
        <v>14.5</v>
      </c>
    </row>
    <row r="129" spans="1:4" x14ac:dyDescent="0.35">
      <c r="A129" s="11">
        <v>48768</v>
      </c>
      <c r="B129" s="12" t="s">
        <v>30</v>
      </c>
      <c r="C129" s="13">
        <v>18.100000000000001</v>
      </c>
      <c r="D129" s="14">
        <v>0</v>
      </c>
    </row>
    <row r="130" spans="1:4" x14ac:dyDescent="0.35">
      <c r="A130" s="7">
        <v>48769</v>
      </c>
      <c r="B130" s="8" t="s">
        <v>15</v>
      </c>
      <c r="C130" s="9">
        <v>20.6</v>
      </c>
      <c r="D130" s="10">
        <v>0</v>
      </c>
    </row>
    <row r="131" spans="1:4" x14ac:dyDescent="0.35">
      <c r="A131" s="11">
        <v>48770</v>
      </c>
      <c r="B131" s="12" t="s">
        <v>15</v>
      </c>
      <c r="C131" s="13">
        <v>17.100000000000001</v>
      </c>
      <c r="D131" s="14">
        <v>0</v>
      </c>
    </row>
    <row r="132" spans="1:4" x14ac:dyDescent="0.35">
      <c r="A132" s="7">
        <v>48771</v>
      </c>
      <c r="B132" s="8" t="s">
        <v>22</v>
      </c>
      <c r="C132" s="9">
        <v>17</v>
      </c>
      <c r="D132" s="10">
        <v>0.3</v>
      </c>
    </row>
    <row r="133" spans="1:4" x14ac:dyDescent="0.35">
      <c r="A133" s="11">
        <v>48772</v>
      </c>
      <c r="B133" s="12" t="s">
        <v>23</v>
      </c>
      <c r="C133" s="13">
        <v>14.7</v>
      </c>
      <c r="D133" s="14">
        <v>2.2999999999999998</v>
      </c>
    </row>
    <row r="134" spans="1:4" x14ac:dyDescent="0.35">
      <c r="A134" s="7">
        <v>48773</v>
      </c>
      <c r="B134" s="8" t="s">
        <v>15</v>
      </c>
      <c r="C134" s="9">
        <v>21.7</v>
      </c>
      <c r="D134" s="10">
        <v>0</v>
      </c>
    </row>
    <row r="135" spans="1:4" x14ac:dyDescent="0.35">
      <c r="A135" s="11">
        <v>48774</v>
      </c>
      <c r="B135" s="12" t="s">
        <v>16</v>
      </c>
      <c r="C135" s="13">
        <v>12.5</v>
      </c>
      <c r="D135" s="14">
        <v>0</v>
      </c>
    </row>
    <row r="136" spans="1:4" x14ac:dyDescent="0.35">
      <c r="A136" s="7">
        <v>48775</v>
      </c>
      <c r="B136" s="8" t="s">
        <v>8</v>
      </c>
      <c r="C136" s="9">
        <v>17.8</v>
      </c>
      <c r="D136" s="10">
        <v>4.0999999999999996</v>
      </c>
    </row>
    <row r="137" spans="1:4" x14ac:dyDescent="0.35">
      <c r="A137" s="11">
        <v>48776</v>
      </c>
      <c r="B137" s="12" t="s">
        <v>10</v>
      </c>
      <c r="C137" s="13">
        <v>28.9</v>
      </c>
      <c r="D137" s="14">
        <v>38.700000000000003</v>
      </c>
    </row>
    <row r="138" spans="1:4" x14ac:dyDescent="0.35">
      <c r="A138" s="7">
        <v>48777</v>
      </c>
      <c r="B138" s="8" t="s">
        <v>11</v>
      </c>
      <c r="C138" s="9">
        <v>21</v>
      </c>
      <c r="D138" s="10">
        <v>3.5</v>
      </c>
    </row>
    <row r="139" spans="1:4" x14ac:dyDescent="0.35">
      <c r="A139" s="11">
        <v>48778</v>
      </c>
      <c r="B139" s="12" t="s">
        <v>21</v>
      </c>
      <c r="C139" s="13">
        <v>13</v>
      </c>
      <c r="D139" s="14">
        <v>0.1</v>
      </c>
    </row>
    <row r="140" spans="1:4" x14ac:dyDescent="0.35">
      <c r="A140" s="7">
        <v>48779</v>
      </c>
      <c r="B140" s="8" t="s">
        <v>10</v>
      </c>
      <c r="C140" s="9">
        <v>23.1</v>
      </c>
      <c r="D140" s="10">
        <v>0</v>
      </c>
    </row>
    <row r="141" spans="1:4" x14ac:dyDescent="0.35">
      <c r="A141" s="11">
        <v>48780</v>
      </c>
      <c r="B141" s="12" t="s">
        <v>15</v>
      </c>
      <c r="C141" s="13">
        <v>28.5</v>
      </c>
      <c r="D141" s="14">
        <v>0</v>
      </c>
    </row>
    <row r="142" spans="1:4" x14ac:dyDescent="0.35">
      <c r="A142" s="7">
        <v>48781</v>
      </c>
      <c r="B142" s="8" t="s">
        <v>15</v>
      </c>
      <c r="C142" s="9">
        <v>12.8</v>
      </c>
      <c r="D142" s="10">
        <v>0</v>
      </c>
    </row>
    <row r="143" spans="1:4" x14ac:dyDescent="0.35">
      <c r="A143" s="11">
        <v>48782</v>
      </c>
      <c r="B143" s="12" t="s">
        <v>31</v>
      </c>
      <c r="C143" s="13">
        <v>26.8</v>
      </c>
      <c r="D143" s="14">
        <v>0</v>
      </c>
    </row>
    <row r="144" spans="1:4" x14ac:dyDescent="0.35">
      <c r="A144" s="7">
        <v>48783</v>
      </c>
      <c r="B144" s="8" t="s">
        <v>10</v>
      </c>
      <c r="C144" s="9">
        <v>15.1</v>
      </c>
      <c r="D144" s="10">
        <v>24.8</v>
      </c>
    </row>
    <row r="145" spans="1:4" x14ac:dyDescent="0.35">
      <c r="A145" s="11">
        <v>48784</v>
      </c>
      <c r="B145" s="12" t="s">
        <v>18</v>
      </c>
      <c r="C145" s="13">
        <v>14.4</v>
      </c>
      <c r="D145" s="14">
        <v>13.5</v>
      </c>
    </row>
    <row r="146" spans="1:4" x14ac:dyDescent="0.35">
      <c r="A146" s="7">
        <v>48785</v>
      </c>
      <c r="B146" s="8" t="s">
        <v>11</v>
      </c>
      <c r="C146" s="9">
        <v>29.2</v>
      </c>
      <c r="D146" s="10">
        <v>15.7</v>
      </c>
    </row>
    <row r="147" spans="1:4" x14ac:dyDescent="0.35">
      <c r="A147" s="11">
        <v>48786</v>
      </c>
      <c r="B147" s="12" t="s">
        <v>10</v>
      </c>
      <c r="C147" s="13">
        <v>28.9</v>
      </c>
      <c r="D147" s="14">
        <v>47.2</v>
      </c>
    </row>
    <row r="148" spans="1:4" x14ac:dyDescent="0.35">
      <c r="A148" s="7">
        <v>48787</v>
      </c>
      <c r="B148" s="8" t="s">
        <v>20</v>
      </c>
      <c r="C148" s="9">
        <v>18.399999999999999</v>
      </c>
      <c r="D148" s="10">
        <v>3.9</v>
      </c>
    </row>
    <row r="149" spans="1:4" x14ac:dyDescent="0.35">
      <c r="A149" s="11">
        <v>48788</v>
      </c>
      <c r="B149" s="12" t="s">
        <v>17</v>
      </c>
      <c r="C149" s="13">
        <v>26.2</v>
      </c>
      <c r="D149" s="14">
        <v>4</v>
      </c>
    </row>
    <row r="150" spans="1:4" x14ac:dyDescent="0.35">
      <c r="A150" s="7">
        <v>48789</v>
      </c>
      <c r="B150" s="8" t="s">
        <v>10</v>
      </c>
      <c r="C150" s="9">
        <v>14.3</v>
      </c>
      <c r="D150" s="10">
        <v>45.1</v>
      </c>
    </row>
    <row r="151" spans="1:4" x14ac:dyDescent="0.35">
      <c r="A151" s="11">
        <v>48790</v>
      </c>
      <c r="B151" s="12" t="s">
        <v>7</v>
      </c>
      <c r="C151" s="13">
        <v>14.5</v>
      </c>
      <c r="D151" s="14">
        <v>0</v>
      </c>
    </row>
    <row r="152" spans="1:4" x14ac:dyDescent="0.35">
      <c r="A152" s="7">
        <v>48791</v>
      </c>
      <c r="B152" s="8" t="s">
        <v>10</v>
      </c>
      <c r="C152" s="9">
        <v>18.600000000000001</v>
      </c>
      <c r="D152" s="10">
        <v>5.5</v>
      </c>
    </row>
    <row r="153" spans="1:4" x14ac:dyDescent="0.35">
      <c r="A153" s="11">
        <v>48792</v>
      </c>
      <c r="B153" s="12" t="s">
        <v>7</v>
      </c>
      <c r="C153" s="13">
        <v>26.3</v>
      </c>
      <c r="D153" s="14">
        <v>14.5</v>
      </c>
    </row>
    <row r="154" spans="1:4" x14ac:dyDescent="0.35">
      <c r="A154" s="7">
        <v>48793</v>
      </c>
      <c r="B154" s="8" t="s">
        <v>32</v>
      </c>
      <c r="C154" s="9">
        <v>25.9</v>
      </c>
      <c r="D154" s="10">
        <v>0.7</v>
      </c>
    </row>
    <row r="155" spans="1:4" x14ac:dyDescent="0.35">
      <c r="A155" s="11">
        <v>48794</v>
      </c>
      <c r="B155" s="12" t="s">
        <v>12</v>
      </c>
      <c r="C155" s="13">
        <v>29.8</v>
      </c>
      <c r="D155" s="14">
        <v>0</v>
      </c>
    </row>
    <row r="156" spans="1:4" x14ac:dyDescent="0.35">
      <c r="A156" s="7">
        <v>48795</v>
      </c>
      <c r="B156" s="8" t="s">
        <v>10</v>
      </c>
      <c r="C156" s="9">
        <v>18.3</v>
      </c>
      <c r="D156" s="10">
        <v>18.7</v>
      </c>
    </row>
    <row r="157" spans="1:4" x14ac:dyDescent="0.35">
      <c r="A157" s="11">
        <v>48796</v>
      </c>
      <c r="B157" s="12" t="s">
        <v>12</v>
      </c>
      <c r="C157" s="13">
        <v>24.5</v>
      </c>
      <c r="D157" s="14">
        <v>6.7</v>
      </c>
    </row>
    <row r="158" spans="1:4" x14ac:dyDescent="0.35">
      <c r="A158" s="7">
        <v>48797</v>
      </c>
      <c r="B158" s="8" t="s">
        <v>19</v>
      </c>
      <c r="C158" s="9">
        <v>18.7</v>
      </c>
      <c r="D158" s="10">
        <v>0</v>
      </c>
    </row>
    <row r="159" spans="1:4" x14ac:dyDescent="0.35">
      <c r="A159" s="11">
        <v>48798</v>
      </c>
      <c r="B159" s="12" t="s">
        <v>19</v>
      </c>
      <c r="C159" s="13">
        <v>29.2</v>
      </c>
      <c r="D159" s="14">
        <v>34.9</v>
      </c>
    </row>
    <row r="160" spans="1:4" x14ac:dyDescent="0.35">
      <c r="A160" s="7">
        <v>48799</v>
      </c>
      <c r="B160" s="8" t="s">
        <v>9</v>
      </c>
      <c r="C160" s="9">
        <v>21.4</v>
      </c>
      <c r="D160" s="10">
        <v>10.7</v>
      </c>
    </row>
    <row r="161" spans="1:4" x14ac:dyDescent="0.35">
      <c r="A161" s="11">
        <v>48800</v>
      </c>
      <c r="B161" s="12" t="s">
        <v>15</v>
      </c>
      <c r="C161" s="13">
        <v>25.6</v>
      </c>
      <c r="D161" s="14">
        <v>3.1</v>
      </c>
    </row>
    <row r="162" spans="1:4" x14ac:dyDescent="0.35">
      <c r="A162" s="7">
        <v>48801</v>
      </c>
      <c r="B162" s="8" t="s">
        <v>15</v>
      </c>
      <c r="C162" s="9">
        <v>15.7</v>
      </c>
      <c r="D162" s="10">
        <v>5.0999999999999996</v>
      </c>
    </row>
    <row r="163" spans="1:4" x14ac:dyDescent="0.35">
      <c r="A163" s="11">
        <v>48802</v>
      </c>
      <c r="B163" s="12" t="s">
        <v>6</v>
      </c>
      <c r="C163" s="13">
        <v>27.3</v>
      </c>
      <c r="D163" s="14">
        <v>11</v>
      </c>
    </row>
    <row r="164" spans="1:4" x14ac:dyDescent="0.35">
      <c r="A164" s="7">
        <v>48803</v>
      </c>
      <c r="B164" s="8" t="s">
        <v>25</v>
      </c>
      <c r="C164" s="9">
        <v>28.4</v>
      </c>
      <c r="D164" s="10">
        <v>2.7</v>
      </c>
    </row>
    <row r="165" spans="1:4" x14ac:dyDescent="0.35">
      <c r="A165" s="11">
        <v>48804</v>
      </c>
      <c r="B165" s="12" t="s">
        <v>11</v>
      </c>
      <c r="C165" s="13">
        <v>22</v>
      </c>
      <c r="D165" s="14">
        <v>3.3</v>
      </c>
    </row>
    <row r="166" spans="1:4" x14ac:dyDescent="0.35">
      <c r="A166" s="7">
        <v>48805</v>
      </c>
      <c r="B166" s="8" t="s">
        <v>8</v>
      </c>
      <c r="C166" s="9">
        <v>19.399999999999999</v>
      </c>
      <c r="D166" s="10">
        <v>0</v>
      </c>
    </row>
    <row r="167" spans="1:4" x14ac:dyDescent="0.35">
      <c r="A167" s="11">
        <v>48806</v>
      </c>
      <c r="B167" s="12" t="s">
        <v>15</v>
      </c>
      <c r="C167" s="13">
        <v>22.7</v>
      </c>
      <c r="D167" s="14">
        <v>14.8</v>
      </c>
    </row>
    <row r="168" spans="1:4" x14ac:dyDescent="0.35">
      <c r="A168" s="7">
        <v>48807</v>
      </c>
      <c r="B168" s="8" t="s">
        <v>7</v>
      </c>
      <c r="C168" s="9">
        <v>22.6</v>
      </c>
      <c r="D168" s="10">
        <v>16.5</v>
      </c>
    </row>
    <row r="169" spans="1:4" x14ac:dyDescent="0.35">
      <c r="A169" s="11">
        <v>48808</v>
      </c>
      <c r="B169" s="12" t="s">
        <v>17</v>
      </c>
      <c r="C169" s="13">
        <v>26.1</v>
      </c>
      <c r="D169" s="14">
        <v>0</v>
      </c>
    </row>
    <row r="170" spans="1:4" x14ac:dyDescent="0.35">
      <c r="A170" s="7">
        <v>48809</v>
      </c>
      <c r="B170" s="8" t="s">
        <v>15</v>
      </c>
      <c r="C170" s="9">
        <v>27.6</v>
      </c>
      <c r="D170" s="10">
        <v>6.7</v>
      </c>
    </row>
    <row r="171" spans="1:4" x14ac:dyDescent="0.35">
      <c r="A171" s="11">
        <v>48810</v>
      </c>
      <c r="B171" s="12" t="s">
        <v>12</v>
      </c>
      <c r="C171" s="13">
        <v>13.2</v>
      </c>
      <c r="D171" s="14">
        <v>0</v>
      </c>
    </row>
    <row r="172" spans="1:4" x14ac:dyDescent="0.35">
      <c r="A172" s="7">
        <v>48811</v>
      </c>
      <c r="B172" s="8" t="s">
        <v>21</v>
      </c>
      <c r="C172" s="9">
        <v>22</v>
      </c>
      <c r="D172" s="10">
        <v>0</v>
      </c>
    </row>
    <row r="173" spans="1:4" x14ac:dyDescent="0.35">
      <c r="A173" s="11">
        <v>48812</v>
      </c>
      <c r="B173" s="12" t="s">
        <v>9</v>
      </c>
      <c r="C173" s="13">
        <v>10.8</v>
      </c>
      <c r="D173" s="14">
        <v>7.6</v>
      </c>
    </row>
    <row r="174" spans="1:4" x14ac:dyDescent="0.35">
      <c r="A174" s="7">
        <v>48813</v>
      </c>
      <c r="B174" s="8" t="s">
        <v>10</v>
      </c>
      <c r="C174" s="9">
        <v>15.6</v>
      </c>
      <c r="D174" s="10">
        <v>38.4</v>
      </c>
    </row>
    <row r="175" spans="1:4" x14ac:dyDescent="0.35">
      <c r="A175" s="11">
        <v>48814</v>
      </c>
      <c r="B175" s="12" t="s">
        <v>26</v>
      </c>
      <c r="C175" s="13">
        <v>11.7</v>
      </c>
      <c r="D175" s="14">
        <v>0.5</v>
      </c>
    </row>
    <row r="176" spans="1:4" x14ac:dyDescent="0.35">
      <c r="A176" s="7">
        <v>48815</v>
      </c>
      <c r="B176" s="8" t="s">
        <v>10</v>
      </c>
      <c r="C176" s="9">
        <v>27.2</v>
      </c>
      <c r="D176" s="10">
        <v>8.3000000000000007</v>
      </c>
    </row>
    <row r="177" spans="1:4" x14ac:dyDescent="0.35">
      <c r="A177" s="11">
        <v>48816</v>
      </c>
      <c r="B177" s="12" t="s">
        <v>10</v>
      </c>
      <c r="C177" s="13">
        <v>24.7</v>
      </c>
      <c r="D177" s="14">
        <v>28.9</v>
      </c>
    </row>
    <row r="178" spans="1:4" x14ac:dyDescent="0.35">
      <c r="A178" s="7">
        <v>48817</v>
      </c>
      <c r="B178" s="8" t="s">
        <v>11</v>
      </c>
      <c r="C178" s="9">
        <v>18.2</v>
      </c>
      <c r="D178" s="10">
        <v>12.5</v>
      </c>
    </row>
    <row r="179" spans="1:4" x14ac:dyDescent="0.35">
      <c r="A179" s="11">
        <v>48818</v>
      </c>
      <c r="B179" s="12" t="s">
        <v>11</v>
      </c>
      <c r="C179" s="13">
        <v>14.6</v>
      </c>
      <c r="D179" s="14">
        <v>17.899999999999999</v>
      </c>
    </row>
    <row r="180" spans="1:4" x14ac:dyDescent="0.35">
      <c r="A180" s="7">
        <v>48819</v>
      </c>
      <c r="B180" s="8" t="s">
        <v>11</v>
      </c>
      <c r="C180" s="9">
        <v>16.5</v>
      </c>
      <c r="D180" s="10">
        <v>13.9</v>
      </c>
    </row>
    <row r="181" spans="1:4" x14ac:dyDescent="0.35">
      <c r="A181" s="11">
        <v>48820</v>
      </c>
      <c r="B181" s="12" t="s">
        <v>18</v>
      </c>
      <c r="C181" s="13">
        <v>29.4</v>
      </c>
      <c r="D181" s="14">
        <v>0</v>
      </c>
    </row>
    <row r="182" spans="1:4" x14ac:dyDescent="0.35">
      <c r="A182" s="7">
        <v>48821</v>
      </c>
      <c r="B182" s="8" t="s">
        <v>10</v>
      </c>
      <c r="C182" s="9">
        <v>17.899999999999999</v>
      </c>
      <c r="D182" s="10">
        <v>0</v>
      </c>
    </row>
    <row r="183" spans="1:4" x14ac:dyDescent="0.35">
      <c r="A183" s="11">
        <v>48822</v>
      </c>
      <c r="B183" s="12" t="s">
        <v>17</v>
      </c>
      <c r="C183" s="13">
        <v>29.8</v>
      </c>
      <c r="D183" s="14">
        <v>0</v>
      </c>
    </row>
    <row r="184" spans="1:4" x14ac:dyDescent="0.35">
      <c r="A184" s="7">
        <v>48823</v>
      </c>
      <c r="B184" s="8" t="s">
        <v>4</v>
      </c>
      <c r="C184" s="9">
        <v>18.7</v>
      </c>
      <c r="D184" s="10">
        <v>0</v>
      </c>
    </row>
    <row r="185" spans="1:4" x14ac:dyDescent="0.35">
      <c r="A185" s="11">
        <v>48824</v>
      </c>
      <c r="B185" s="12" t="s">
        <v>12</v>
      </c>
      <c r="C185" s="13">
        <v>24.3</v>
      </c>
      <c r="D185" s="14">
        <v>7.8</v>
      </c>
    </row>
    <row r="186" spans="1:4" x14ac:dyDescent="0.35">
      <c r="A186" s="7">
        <v>48825</v>
      </c>
      <c r="B186" s="8" t="s">
        <v>13</v>
      </c>
      <c r="C186" s="9">
        <v>29.3</v>
      </c>
      <c r="D186" s="10">
        <v>4.5999999999999996</v>
      </c>
    </row>
    <row r="187" spans="1:4" x14ac:dyDescent="0.35">
      <c r="A187" s="11">
        <v>48826</v>
      </c>
      <c r="B187" s="12" t="s">
        <v>7</v>
      </c>
      <c r="C187" s="13">
        <v>18.399999999999999</v>
      </c>
      <c r="D187" s="14">
        <v>0</v>
      </c>
    </row>
    <row r="188" spans="1:4" x14ac:dyDescent="0.35">
      <c r="A188" s="7">
        <v>48827</v>
      </c>
      <c r="B188" s="8" t="s">
        <v>7</v>
      </c>
      <c r="C188" s="9">
        <v>10.3</v>
      </c>
      <c r="D188" s="10">
        <v>16</v>
      </c>
    </row>
    <row r="189" spans="1:4" x14ac:dyDescent="0.35">
      <c r="A189" s="11">
        <v>48828</v>
      </c>
      <c r="B189" s="12" t="s">
        <v>10</v>
      </c>
      <c r="C189" s="13">
        <v>27.5</v>
      </c>
      <c r="D189" s="14">
        <v>0</v>
      </c>
    </row>
    <row r="190" spans="1:4" x14ac:dyDescent="0.35">
      <c r="A190" s="7">
        <v>48829</v>
      </c>
      <c r="B190" s="8" t="s">
        <v>7</v>
      </c>
      <c r="C190" s="9">
        <v>20.6</v>
      </c>
      <c r="D190" s="10">
        <v>15.7</v>
      </c>
    </row>
    <row r="191" spans="1:4" x14ac:dyDescent="0.35">
      <c r="A191" s="11">
        <v>48830</v>
      </c>
      <c r="B191" s="12" t="s">
        <v>11</v>
      </c>
      <c r="C191" s="13">
        <v>21.3</v>
      </c>
      <c r="D191" s="14">
        <v>0</v>
      </c>
    </row>
    <row r="192" spans="1:4" x14ac:dyDescent="0.35">
      <c r="A192" s="7">
        <v>48831</v>
      </c>
      <c r="B192" s="8" t="s">
        <v>19</v>
      </c>
      <c r="C192" s="9">
        <v>26.2</v>
      </c>
      <c r="D192" s="10">
        <v>0</v>
      </c>
    </row>
    <row r="193" spans="1:4" x14ac:dyDescent="0.35">
      <c r="A193" s="11">
        <v>48832</v>
      </c>
      <c r="B193" s="12" t="s">
        <v>10</v>
      </c>
      <c r="C193" s="13">
        <v>23.9</v>
      </c>
      <c r="D193" s="14">
        <v>0</v>
      </c>
    </row>
    <row r="194" spans="1:4" x14ac:dyDescent="0.35">
      <c r="A194" s="7">
        <v>48833</v>
      </c>
      <c r="B194" s="8" t="s">
        <v>27</v>
      </c>
      <c r="C194" s="9">
        <v>26.6</v>
      </c>
      <c r="D194" s="10">
        <v>1.6</v>
      </c>
    </row>
    <row r="195" spans="1:4" x14ac:dyDescent="0.35">
      <c r="A195" s="11">
        <v>48834</v>
      </c>
      <c r="B195" s="12" t="s">
        <v>10</v>
      </c>
      <c r="C195" s="13">
        <v>18.600000000000001</v>
      </c>
      <c r="D195" s="14">
        <v>20.399999999999999</v>
      </c>
    </row>
    <row r="196" spans="1:4" x14ac:dyDescent="0.35">
      <c r="A196" s="7">
        <v>48835</v>
      </c>
      <c r="B196" s="8" t="s">
        <v>18</v>
      </c>
      <c r="C196" s="9">
        <v>22.3</v>
      </c>
      <c r="D196" s="10">
        <v>1.7</v>
      </c>
    </row>
    <row r="197" spans="1:4" x14ac:dyDescent="0.35">
      <c r="A197" s="11">
        <v>48836</v>
      </c>
      <c r="B197" s="12" t="s">
        <v>17</v>
      </c>
      <c r="C197" s="13">
        <v>18.399999999999999</v>
      </c>
      <c r="D197" s="14">
        <v>3.9</v>
      </c>
    </row>
    <row r="198" spans="1:4" x14ac:dyDescent="0.35">
      <c r="A198" s="7">
        <v>48837</v>
      </c>
      <c r="B198" s="8" t="s">
        <v>27</v>
      </c>
      <c r="C198" s="9">
        <v>28</v>
      </c>
      <c r="D198" s="10">
        <v>4.4000000000000004</v>
      </c>
    </row>
    <row r="199" spans="1:4" x14ac:dyDescent="0.35">
      <c r="A199" s="11">
        <v>48838</v>
      </c>
      <c r="B199" s="12" t="s">
        <v>10</v>
      </c>
      <c r="C199" s="13">
        <v>10.9</v>
      </c>
      <c r="D199" s="14">
        <v>32.9</v>
      </c>
    </row>
    <row r="200" spans="1:4" x14ac:dyDescent="0.35">
      <c r="A200" s="7">
        <v>48839</v>
      </c>
      <c r="B200" s="8" t="s">
        <v>19</v>
      </c>
      <c r="C200" s="9">
        <v>25.1</v>
      </c>
      <c r="D200" s="10">
        <v>33.299999999999997</v>
      </c>
    </row>
    <row r="201" spans="1:4" x14ac:dyDescent="0.35">
      <c r="A201" s="11">
        <v>48840</v>
      </c>
      <c r="B201" s="12" t="s">
        <v>28</v>
      </c>
      <c r="C201" s="13">
        <v>10.7</v>
      </c>
      <c r="D201" s="14">
        <v>0.3</v>
      </c>
    </row>
    <row r="202" spans="1:4" x14ac:dyDescent="0.35">
      <c r="A202" s="7">
        <v>48841</v>
      </c>
      <c r="B202" s="8" t="s">
        <v>10</v>
      </c>
      <c r="C202" s="9">
        <v>26.1</v>
      </c>
      <c r="D202" s="10">
        <v>31</v>
      </c>
    </row>
    <row r="203" spans="1:4" x14ac:dyDescent="0.35">
      <c r="A203" s="11">
        <v>48842</v>
      </c>
      <c r="B203" s="12" t="s">
        <v>11</v>
      </c>
      <c r="C203" s="13">
        <v>15.2</v>
      </c>
      <c r="D203" s="14">
        <v>12.7</v>
      </c>
    </row>
    <row r="204" spans="1:4" x14ac:dyDescent="0.35">
      <c r="A204" s="7">
        <v>48843</v>
      </c>
      <c r="B204" s="8" t="s">
        <v>14</v>
      </c>
      <c r="C204" s="9">
        <v>28.8</v>
      </c>
      <c r="D204" s="10">
        <v>4.3</v>
      </c>
    </row>
    <row r="205" spans="1:4" x14ac:dyDescent="0.35">
      <c r="A205" s="11">
        <v>48844</v>
      </c>
      <c r="B205" s="12" t="s">
        <v>26</v>
      </c>
      <c r="C205" s="13">
        <v>10.3</v>
      </c>
      <c r="D205" s="14">
        <v>0</v>
      </c>
    </row>
    <row r="206" spans="1:4" x14ac:dyDescent="0.35">
      <c r="A206" s="7">
        <v>48845</v>
      </c>
      <c r="B206" s="8" t="s">
        <v>6</v>
      </c>
      <c r="C206" s="9">
        <v>14.9</v>
      </c>
      <c r="D206" s="10">
        <v>0.1</v>
      </c>
    </row>
    <row r="207" spans="1:4" x14ac:dyDescent="0.35">
      <c r="A207" s="11">
        <v>48846</v>
      </c>
      <c r="B207" s="12" t="s">
        <v>10</v>
      </c>
      <c r="C207" s="13">
        <v>11.3</v>
      </c>
      <c r="D207" s="14">
        <v>0</v>
      </c>
    </row>
    <row r="208" spans="1:4" x14ac:dyDescent="0.35">
      <c r="A208" s="7">
        <v>48847</v>
      </c>
      <c r="B208" s="8" t="s">
        <v>10</v>
      </c>
      <c r="C208" s="9">
        <v>20.8</v>
      </c>
      <c r="D208" s="10">
        <v>34.9</v>
      </c>
    </row>
    <row r="209" spans="1:4" x14ac:dyDescent="0.35">
      <c r="A209" s="11">
        <v>48848</v>
      </c>
      <c r="B209" s="12" t="s">
        <v>19</v>
      </c>
      <c r="C209" s="13">
        <v>18.2</v>
      </c>
      <c r="D209" s="14">
        <v>0</v>
      </c>
    </row>
    <row r="210" spans="1:4" x14ac:dyDescent="0.35">
      <c r="A210" s="7">
        <v>48849</v>
      </c>
      <c r="B210" s="8" t="s">
        <v>17</v>
      </c>
      <c r="C210" s="9">
        <v>12.7</v>
      </c>
      <c r="D210" s="10">
        <v>5.3</v>
      </c>
    </row>
    <row r="211" spans="1:4" x14ac:dyDescent="0.35">
      <c r="A211" s="11">
        <v>48850</v>
      </c>
      <c r="B211" s="12" t="s">
        <v>14</v>
      </c>
      <c r="C211" s="13">
        <v>21.4</v>
      </c>
      <c r="D211" s="14">
        <v>8.3000000000000007</v>
      </c>
    </row>
    <row r="212" spans="1:4" x14ac:dyDescent="0.35">
      <c r="A212" s="7">
        <v>48851</v>
      </c>
      <c r="B212" s="8" t="s">
        <v>6</v>
      </c>
      <c r="C212" s="9">
        <v>21.3</v>
      </c>
      <c r="D212" s="10">
        <v>11.8</v>
      </c>
    </row>
    <row r="213" spans="1:4" x14ac:dyDescent="0.35">
      <c r="A213" s="11">
        <v>48852</v>
      </c>
      <c r="B213" s="12" t="s">
        <v>17</v>
      </c>
      <c r="C213" s="13">
        <v>20.7</v>
      </c>
      <c r="D213" s="14">
        <v>3.9</v>
      </c>
    </row>
    <row r="214" spans="1:4" x14ac:dyDescent="0.35">
      <c r="A214" s="7">
        <v>48853</v>
      </c>
      <c r="B214" s="8" t="s">
        <v>20</v>
      </c>
      <c r="C214" s="9">
        <v>19.7</v>
      </c>
      <c r="D214" s="10">
        <v>0</v>
      </c>
    </row>
    <row r="215" spans="1:4" x14ac:dyDescent="0.35">
      <c r="A215" s="11">
        <v>48854</v>
      </c>
      <c r="B215" s="12" t="s">
        <v>11</v>
      </c>
      <c r="C215" s="13">
        <v>27.2</v>
      </c>
      <c r="D215" s="14">
        <v>17.600000000000001</v>
      </c>
    </row>
    <row r="216" spans="1:4" x14ac:dyDescent="0.35">
      <c r="A216" s="7">
        <v>48855</v>
      </c>
      <c r="B216" s="8" t="s">
        <v>25</v>
      </c>
      <c r="C216" s="9">
        <v>16.600000000000001</v>
      </c>
      <c r="D216" s="10">
        <v>1.7</v>
      </c>
    </row>
    <row r="217" spans="1:4" x14ac:dyDescent="0.35">
      <c r="A217" s="11">
        <v>48856</v>
      </c>
      <c r="B217" s="12" t="s">
        <v>11</v>
      </c>
      <c r="C217" s="13">
        <v>22.3</v>
      </c>
      <c r="D217" s="14">
        <v>0</v>
      </c>
    </row>
    <row r="218" spans="1:4" x14ac:dyDescent="0.35">
      <c r="A218" s="7">
        <v>48857</v>
      </c>
      <c r="B218" s="8" t="s">
        <v>10</v>
      </c>
      <c r="C218" s="9">
        <v>18</v>
      </c>
      <c r="D218" s="10">
        <v>40.799999999999997</v>
      </c>
    </row>
    <row r="219" spans="1:4" x14ac:dyDescent="0.35">
      <c r="A219" s="11">
        <v>48858</v>
      </c>
      <c r="B219" s="12" t="s">
        <v>24</v>
      </c>
      <c r="C219" s="13">
        <v>21.8</v>
      </c>
      <c r="D219" s="14">
        <v>0</v>
      </c>
    </row>
    <row r="220" spans="1:4" x14ac:dyDescent="0.35">
      <c r="A220" s="7">
        <v>48859</v>
      </c>
      <c r="B220" s="8" t="s">
        <v>6</v>
      </c>
      <c r="C220" s="9">
        <v>22.2</v>
      </c>
      <c r="D220" s="10">
        <v>11.2</v>
      </c>
    </row>
    <row r="221" spans="1:4" x14ac:dyDescent="0.35">
      <c r="A221" s="11">
        <v>48860</v>
      </c>
      <c r="B221" s="12" t="s">
        <v>6</v>
      </c>
      <c r="C221" s="13">
        <v>20</v>
      </c>
      <c r="D221" s="14">
        <v>0</v>
      </c>
    </row>
    <row r="222" spans="1:4" x14ac:dyDescent="0.35">
      <c r="A222" s="7">
        <v>48861</v>
      </c>
      <c r="B222" s="8" t="s">
        <v>32</v>
      </c>
      <c r="C222" s="9">
        <v>29.4</v>
      </c>
      <c r="D222" s="10">
        <v>0.7</v>
      </c>
    </row>
    <row r="223" spans="1:4" x14ac:dyDescent="0.35">
      <c r="A223" s="11">
        <v>48862</v>
      </c>
      <c r="B223" s="12" t="s">
        <v>10</v>
      </c>
      <c r="C223" s="13">
        <v>23.6</v>
      </c>
      <c r="D223" s="14">
        <v>0</v>
      </c>
    </row>
    <row r="224" spans="1:4" x14ac:dyDescent="0.35">
      <c r="A224" s="7">
        <v>48863</v>
      </c>
      <c r="B224" s="8" t="s">
        <v>7</v>
      </c>
      <c r="C224" s="9">
        <v>16.3</v>
      </c>
      <c r="D224" s="10">
        <v>22</v>
      </c>
    </row>
    <row r="225" spans="1:4" x14ac:dyDescent="0.35">
      <c r="A225" s="11">
        <v>48864</v>
      </c>
      <c r="B225" s="12" t="s">
        <v>15</v>
      </c>
      <c r="C225" s="13">
        <v>15</v>
      </c>
      <c r="D225" s="14">
        <v>0</v>
      </c>
    </row>
    <row r="226" spans="1:4" x14ac:dyDescent="0.35">
      <c r="A226" s="7">
        <v>48865</v>
      </c>
      <c r="B226" s="8" t="s">
        <v>14</v>
      </c>
      <c r="C226" s="9">
        <v>10.8</v>
      </c>
      <c r="D226" s="10">
        <v>0</v>
      </c>
    </row>
    <row r="227" spans="1:4" x14ac:dyDescent="0.35">
      <c r="A227" s="11">
        <v>48866</v>
      </c>
      <c r="B227" s="12" t="s">
        <v>19</v>
      </c>
      <c r="C227" s="13">
        <v>10.5</v>
      </c>
      <c r="D227" s="14">
        <v>0</v>
      </c>
    </row>
    <row r="228" spans="1:4" x14ac:dyDescent="0.35">
      <c r="A228" s="7">
        <v>48867</v>
      </c>
      <c r="B228" s="8" t="s">
        <v>5</v>
      </c>
      <c r="C228" s="9">
        <v>20.3</v>
      </c>
      <c r="D228" s="10">
        <v>0</v>
      </c>
    </row>
    <row r="229" spans="1:4" x14ac:dyDescent="0.35">
      <c r="A229" s="11">
        <v>48868</v>
      </c>
      <c r="B229" s="12" t="s">
        <v>10</v>
      </c>
      <c r="C229" s="13">
        <v>13.1</v>
      </c>
      <c r="D229" s="14">
        <v>50.4</v>
      </c>
    </row>
    <row r="230" spans="1:4" x14ac:dyDescent="0.35">
      <c r="A230" s="7">
        <v>48869</v>
      </c>
      <c r="B230" s="8" t="s">
        <v>12</v>
      </c>
      <c r="C230" s="9">
        <v>24.8</v>
      </c>
      <c r="D230" s="10">
        <v>7.9</v>
      </c>
    </row>
    <row r="231" spans="1:4" x14ac:dyDescent="0.35">
      <c r="A231" s="11">
        <v>48870</v>
      </c>
      <c r="B231" s="12" t="s">
        <v>11</v>
      </c>
      <c r="C231" s="13">
        <v>23.6</v>
      </c>
      <c r="D231" s="14">
        <v>0.8</v>
      </c>
    </row>
    <row r="232" spans="1:4" x14ac:dyDescent="0.35">
      <c r="A232" s="7">
        <v>48871</v>
      </c>
      <c r="B232" s="8" t="s">
        <v>17</v>
      </c>
      <c r="C232" s="9">
        <v>17.899999999999999</v>
      </c>
      <c r="D232" s="10">
        <v>0</v>
      </c>
    </row>
    <row r="233" spans="1:4" x14ac:dyDescent="0.35">
      <c r="A233" s="11">
        <v>48872</v>
      </c>
      <c r="B233" s="12" t="s">
        <v>12</v>
      </c>
      <c r="C233" s="13">
        <v>23.2</v>
      </c>
      <c r="D233" s="14">
        <v>3</v>
      </c>
    </row>
    <row r="234" spans="1:4" x14ac:dyDescent="0.35">
      <c r="A234" s="7">
        <v>48873</v>
      </c>
      <c r="B234" s="8" t="s">
        <v>8</v>
      </c>
      <c r="C234" s="9">
        <v>21.8</v>
      </c>
      <c r="D234" s="10">
        <v>2</v>
      </c>
    </row>
    <row r="235" spans="1:4" x14ac:dyDescent="0.35">
      <c r="A235" s="11">
        <v>48874</v>
      </c>
      <c r="B235" s="12" t="s">
        <v>26</v>
      </c>
      <c r="C235" s="13">
        <v>22.2</v>
      </c>
      <c r="D235" s="14">
        <v>3.1</v>
      </c>
    </row>
    <row r="236" spans="1:4" x14ac:dyDescent="0.35">
      <c r="A236" s="7">
        <v>48875</v>
      </c>
      <c r="B236" s="8" t="s">
        <v>15</v>
      </c>
      <c r="C236" s="9">
        <v>29</v>
      </c>
      <c r="D236" s="10">
        <v>16.399999999999999</v>
      </c>
    </row>
    <row r="237" spans="1:4" x14ac:dyDescent="0.35">
      <c r="A237" s="11">
        <v>48876</v>
      </c>
      <c r="B237" s="12" t="s">
        <v>24</v>
      </c>
      <c r="C237" s="13">
        <v>24.6</v>
      </c>
      <c r="D237" s="14">
        <v>1.7</v>
      </c>
    </row>
    <row r="238" spans="1:4" x14ac:dyDescent="0.35">
      <c r="A238" s="7">
        <v>48877</v>
      </c>
      <c r="B238" s="8" t="s">
        <v>12</v>
      </c>
      <c r="C238" s="9">
        <v>23.4</v>
      </c>
      <c r="D238" s="10">
        <v>0.6</v>
      </c>
    </row>
    <row r="239" spans="1:4" x14ac:dyDescent="0.35">
      <c r="A239" s="11">
        <v>48878</v>
      </c>
      <c r="B239" s="12" t="s">
        <v>15</v>
      </c>
      <c r="C239" s="13">
        <v>21</v>
      </c>
      <c r="D239" s="14">
        <v>0</v>
      </c>
    </row>
    <row r="240" spans="1:4" x14ac:dyDescent="0.35">
      <c r="A240" s="7">
        <v>48879</v>
      </c>
      <c r="B240" s="8" t="s">
        <v>5</v>
      </c>
      <c r="C240" s="9">
        <v>22</v>
      </c>
      <c r="D240" s="10">
        <v>0</v>
      </c>
    </row>
    <row r="241" spans="1:4" x14ac:dyDescent="0.35">
      <c r="A241" s="11">
        <v>48880</v>
      </c>
      <c r="B241" s="12" t="s">
        <v>9</v>
      </c>
      <c r="C241" s="13">
        <v>29.9</v>
      </c>
      <c r="D241" s="14">
        <v>8</v>
      </c>
    </row>
    <row r="242" spans="1:4" x14ac:dyDescent="0.35">
      <c r="A242" s="7">
        <v>48881</v>
      </c>
      <c r="B242" s="8" t="s">
        <v>7</v>
      </c>
      <c r="C242" s="9">
        <v>27.2</v>
      </c>
      <c r="D242" s="10">
        <v>19.2</v>
      </c>
    </row>
    <row r="243" spans="1:4" x14ac:dyDescent="0.35">
      <c r="A243" s="11">
        <v>48882</v>
      </c>
      <c r="B243" s="12" t="s">
        <v>19</v>
      </c>
      <c r="C243" s="13">
        <v>10.9</v>
      </c>
      <c r="D243" s="14">
        <v>9</v>
      </c>
    </row>
    <row r="244" spans="1:4" x14ac:dyDescent="0.35">
      <c r="A244" s="7">
        <v>48883</v>
      </c>
      <c r="B244" s="8" t="s">
        <v>9</v>
      </c>
      <c r="C244" s="9">
        <v>22.6</v>
      </c>
      <c r="D244" s="10">
        <v>5.9</v>
      </c>
    </row>
    <row r="245" spans="1:4" x14ac:dyDescent="0.35">
      <c r="A245" s="11">
        <v>48884</v>
      </c>
      <c r="B245" s="12" t="s">
        <v>23</v>
      </c>
      <c r="C245" s="13">
        <v>12</v>
      </c>
      <c r="D245" s="14">
        <v>3.9</v>
      </c>
    </row>
    <row r="246" spans="1:4" x14ac:dyDescent="0.35">
      <c r="A246" s="7">
        <v>48885</v>
      </c>
      <c r="B246" s="8" t="s">
        <v>15</v>
      </c>
      <c r="C246" s="9">
        <v>19.5</v>
      </c>
      <c r="D246" s="10">
        <v>14.2</v>
      </c>
    </row>
    <row r="247" spans="1:4" x14ac:dyDescent="0.35">
      <c r="A247" s="11">
        <v>48886</v>
      </c>
      <c r="B247" s="12" t="s">
        <v>10</v>
      </c>
      <c r="C247" s="13">
        <v>27</v>
      </c>
      <c r="D247" s="14">
        <v>10.9</v>
      </c>
    </row>
    <row r="248" spans="1:4" x14ac:dyDescent="0.35">
      <c r="A248" s="7">
        <v>48887</v>
      </c>
      <c r="B248" s="8" t="s">
        <v>22</v>
      </c>
      <c r="C248" s="9">
        <v>10.7</v>
      </c>
      <c r="D248" s="10">
        <v>5.6</v>
      </c>
    </row>
    <row r="249" spans="1:4" x14ac:dyDescent="0.35">
      <c r="A249" s="11">
        <v>48888</v>
      </c>
      <c r="B249" s="12" t="s">
        <v>19</v>
      </c>
      <c r="C249" s="13">
        <v>29.1</v>
      </c>
      <c r="D249" s="14">
        <v>0</v>
      </c>
    </row>
    <row r="250" spans="1:4" x14ac:dyDescent="0.35">
      <c r="A250" s="7">
        <v>48889</v>
      </c>
      <c r="B250" s="8" t="s">
        <v>27</v>
      </c>
      <c r="C250" s="9">
        <v>25.3</v>
      </c>
      <c r="D250" s="10">
        <v>0</v>
      </c>
    </row>
    <row r="251" spans="1:4" x14ac:dyDescent="0.35">
      <c r="A251" s="11">
        <v>48890</v>
      </c>
      <c r="B251" s="12" t="s">
        <v>6</v>
      </c>
      <c r="C251" s="13">
        <v>13.3</v>
      </c>
      <c r="D251" s="14">
        <v>4.4000000000000004</v>
      </c>
    </row>
    <row r="252" spans="1:4" x14ac:dyDescent="0.35">
      <c r="A252" s="7">
        <v>48891</v>
      </c>
      <c r="B252" s="8" t="s">
        <v>7</v>
      </c>
      <c r="C252" s="9">
        <v>16.899999999999999</v>
      </c>
      <c r="D252" s="10">
        <v>0</v>
      </c>
    </row>
    <row r="253" spans="1:4" x14ac:dyDescent="0.35">
      <c r="A253" s="11">
        <v>48892</v>
      </c>
      <c r="B253" s="12" t="s">
        <v>15</v>
      </c>
      <c r="C253" s="13">
        <v>26.4</v>
      </c>
      <c r="D253" s="14">
        <v>6.8</v>
      </c>
    </row>
    <row r="254" spans="1:4" x14ac:dyDescent="0.35">
      <c r="A254" s="7">
        <v>48893</v>
      </c>
      <c r="B254" s="8" t="s">
        <v>14</v>
      </c>
      <c r="C254" s="9">
        <v>29.7</v>
      </c>
      <c r="D254" s="10">
        <v>0</v>
      </c>
    </row>
    <row r="255" spans="1:4" x14ac:dyDescent="0.35">
      <c r="A255" s="11">
        <v>48894</v>
      </c>
      <c r="B255" s="12" t="s">
        <v>7</v>
      </c>
      <c r="C255" s="13">
        <v>17.600000000000001</v>
      </c>
      <c r="D255" s="14">
        <v>8.6999999999999993</v>
      </c>
    </row>
    <row r="256" spans="1:4" x14ac:dyDescent="0.35">
      <c r="A256" s="7">
        <v>48895</v>
      </c>
      <c r="B256" s="8" t="s">
        <v>17</v>
      </c>
      <c r="C256" s="9">
        <v>13.2</v>
      </c>
      <c r="D256" s="10">
        <v>3.3</v>
      </c>
    </row>
    <row r="257" spans="1:4" x14ac:dyDescent="0.35">
      <c r="A257" s="11">
        <v>48896</v>
      </c>
      <c r="B257" s="12" t="s">
        <v>15</v>
      </c>
      <c r="C257" s="13">
        <v>21.2</v>
      </c>
      <c r="D257" s="14">
        <v>0</v>
      </c>
    </row>
    <row r="258" spans="1:4" x14ac:dyDescent="0.35">
      <c r="A258" s="7">
        <v>48897</v>
      </c>
      <c r="B258" s="8" t="s">
        <v>15</v>
      </c>
      <c r="C258" s="9">
        <v>23</v>
      </c>
      <c r="D258" s="10">
        <v>7.7</v>
      </c>
    </row>
    <row r="259" spans="1:4" x14ac:dyDescent="0.35">
      <c r="A259" s="11">
        <v>48898</v>
      </c>
      <c r="B259" s="12" t="s">
        <v>11</v>
      </c>
      <c r="C259" s="13">
        <v>23</v>
      </c>
      <c r="D259" s="14">
        <v>0</v>
      </c>
    </row>
    <row r="260" spans="1:4" x14ac:dyDescent="0.35">
      <c r="A260" s="7">
        <v>48899</v>
      </c>
      <c r="B260" s="8" t="s">
        <v>11</v>
      </c>
      <c r="C260" s="9">
        <v>23.4</v>
      </c>
      <c r="D260" s="10">
        <v>0</v>
      </c>
    </row>
    <row r="261" spans="1:4" x14ac:dyDescent="0.35">
      <c r="A261" s="11">
        <v>48900</v>
      </c>
      <c r="B261" s="12" t="s">
        <v>7</v>
      </c>
      <c r="C261" s="13">
        <v>28.7</v>
      </c>
      <c r="D261" s="14">
        <v>3.3</v>
      </c>
    </row>
    <row r="262" spans="1:4" x14ac:dyDescent="0.35">
      <c r="A262" s="7">
        <v>48901</v>
      </c>
      <c r="B262" s="8" t="s">
        <v>26</v>
      </c>
      <c r="C262" s="9">
        <v>23.6</v>
      </c>
      <c r="D262" s="10">
        <v>4.3</v>
      </c>
    </row>
    <row r="263" spans="1:4" x14ac:dyDescent="0.35">
      <c r="A263" s="11">
        <v>48902</v>
      </c>
      <c r="B263" s="12" t="s">
        <v>6</v>
      </c>
      <c r="C263" s="13">
        <v>10.199999999999999</v>
      </c>
      <c r="D263" s="14">
        <v>8.6999999999999993</v>
      </c>
    </row>
    <row r="264" spans="1:4" x14ac:dyDescent="0.35">
      <c r="A264" s="7">
        <v>48903</v>
      </c>
      <c r="B264" s="8" t="s">
        <v>9</v>
      </c>
      <c r="C264" s="9">
        <v>13.8</v>
      </c>
      <c r="D264" s="10">
        <v>0</v>
      </c>
    </row>
    <row r="265" spans="1:4" x14ac:dyDescent="0.35">
      <c r="A265" s="11">
        <v>48904</v>
      </c>
      <c r="B265" s="12" t="s">
        <v>8</v>
      </c>
      <c r="C265" s="13">
        <v>27.7</v>
      </c>
      <c r="D265" s="14">
        <v>0</v>
      </c>
    </row>
    <row r="266" spans="1:4" x14ac:dyDescent="0.35">
      <c r="A266" s="7">
        <v>48905</v>
      </c>
      <c r="B266" s="8" t="s">
        <v>7</v>
      </c>
      <c r="C266" s="9">
        <v>13.3</v>
      </c>
      <c r="D266" s="10">
        <v>7.2</v>
      </c>
    </row>
    <row r="267" spans="1:4" x14ac:dyDescent="0.35">
      <c r="A267" s="11">
        <v>48906</v>
      </c>
      <c r="B267" s="12" t="s">
        <v>11</v>
      </c>
      <c r="C267" s="13">
        <v>26</v>
      </c>
      <c r="D267" s="14">
        <v>0.7</v>
      </c>
    </row>
    <row r="268" spans="1:4" x14ac:dyDescent="0.35">
      <c r="A268" s="7">
        <v>48907</v>
      </c>
      <c r="B268" s="8" t="s">
        <v>6</v>
      </c>
      <c r="C268" s="9">
        <v>16.3</v>
      </c>
      <c r="D268" s="10">
        <v>11</v>
      </c>
    </row>
    <row r="269" spans="1:4" x14ac:dyDescent="0.35">
      <c r="A269" s="11">
        <v>48908</v>
      </c>
      <c r="B269" s="12" t="s">
        <v>15</v>
      </c>
      <c r="C269" s="13">
        <v>23.5</v>
      </c>
      <c r="D269" s="14">
        <v>15.5</v>
      </c>
    </row>
    <row r="270" spans="1:4" x14ac:dyDescent="0.35">
      <c r="A270" s="7">
        <v>48909</v>
      </c>
      <c r="B270" s="8" t="s">
        <v>27</v>
      </c>
      <c r="C270" s="9">
        <v>15.7</v>
      </c>
      <c r="D270" s="10">
        <v>0</v>
      </c>
    </row>
    <row r="271" spans="1:4" x14ac:dyDescent="0.35">
      <c r="A271" s="11">
        <v>48910</v>
      </c>
      <c r="B271" s="12" t="s">
        <v>26</v>
      </c>
      <c r="C271" s="13">
        <v>26</v>
      </c>
      <c r="D271" s="14">
        <v>6.4</v>
      </c>
    </row>
    <row r="272" spans="1:4" x14ac:dyDescent="0.35">
      <c r="A272" s="7">
        <v>48911</v>
      </c>
      <c r="B272" s="8" t="s">
        <v>19</v>
      </c>
      <c r="C272" s="9">
        <v>22.7</v>
      </c>
      <c r="D272" s="10">
        <v>0</v>
      </c>
    </row>
    <row r="273" spans="1:4" x14ac:dyDescent="0.35">
      <c r="A273" s="11">
        <v>48912</v>
      </c>
      <c r="B273" s="12" t="s">
        <v>9</v>
      </c>
      <c r="C273" s="13">
        <v>26.2</v>
      </c>
      <c r="D273" s="14">
        <v>5.7</v>
      </c>
    </row>
    <row r="274" spans="1:4" x14ac:dyDescent="0.35">
      <c r="A274" s="7">
        <v>48913</v>
      </c>
      <c r="B274" s="8" t="s">
        <v>22</v>
      </c>
      <c r="C274" s="9">
        <v>14.1</v>
      </c>
      <c r="D274" s="10">
        <v>0</v>
      </c>
    </row>
    <row r="275" spans="1:4" x14ac:dyDescent="0.35">
      <c r="A275" s="11">
        <v>48914</v>
      </c>
      <c r="B275" s="12" t="s">
        <v>11</v>
      </c>
      <c r="C275" s="13">
        <v>23.6</v>
      </c>
      <c r="D275" s="14">
        <v>19.7</v>
      </c>
    </row>
    <row r="276" spans="1:4" x14ac:dyDescent="0.35">
      <c r="A276" s="7">
        <v>48915</v>
      </c>
      <c r="B276" s="8" t="s">
        <v>19</v>
      </c>
      <c r="C276" s="9">
        <v>25.2</v>
      </c>
      <c r="D276" s="10">
        <v>37.200000000000003</v>
      </c>
    </row>
    <row r="277" spans="1:4" x14ac:dyDescent="0.35">
      <c r="A277" s="11">
        <v>48916</v>
      </c>
      <c r="B277" s="12" t="s">
        <v>13</v>
      </c>
      <c r="C277" s="13">
        <v>23</v>
      </c>
      <c r="D277" s="14">
        <v>0</v>
      </c>
    </row>
    <row r="278" spans="1:4" x14ac:dyDescent="0.35">
      <c r="A278" s="7">
        <v>48917</v>
      </c>
      <c r="B278" s="8" t="s">
        <v>6</v>
      </c>
      <c r="C278" s="9">
        <v>29.7</v>
      </c>
      <c r="D278" s="10">
        <v>6.8</v>
      </c>
    </row>
    <row r="279" spans="1:4" x14ac:dyDescent="0.35">
      <c r="A279" s="11">
        <v>48918</v>
      </c>
      <c r="B279" s="12" t="s">
        <v>9</v>
      </c>
      <c r="C279" s="13">
        <v>17.2</v>
      </c>
      <c r="D279" s="14">
        <v>3.5</v>
      </c>
    </row>
    <row r="280" spans="1:4" x14ac:dyDescent="0.35">
      <c r="A280" s="7">
        <v>48919</v>
      </c>
      <c r="B280" s="8" t="s">
        <v>9</v>
      </c>
      <c r="C280" s="9">
        <v>21.7</v>
      </c>
      <c r="D280" s="10">
        <v>2.5</v>
      </c>
    </row>
    <row r="281" spans="1:4" x14ac:dyDescent="0.35">
      <c r="A281" s="11">
        <v>48920</v>
      </c>
      <c r="B281" s="12" t="s">
        <v>11</v>
      </c>
      <c r="C281" s="13">
        <v>25.8</v>
      </c>
      <c r="D281" s="14">
        <v>3.8</v>
      </c>
    </row>
    <row r="282" spans="1:4" x14ac:dyDescent="0.35">
      <c r="A282" s="7">
        <v>48921</v>
      </c>
      <c r="B282" s="8" t="s">
        <v>26</v>
      </c>
      <c r="C282" s="9">
        <v>12.9</v>
      </c>
      <c r="D282" s="10">
        <v>1.6</v>
      </c>
    </row>
    <row r="283" spans="1:4" x14ac:dyDescent="0.35">
      <c r="A283" s="11">
        <v>48922</v>
      </c>
      <c r="B283" s="12" t="s">
        <v>16</v>
      </c>
      <c r="C283" s="13">
        <v>18.2</v>
      </c>
      <c r="D283" s="14">
        <v>0</v>
      </c>
    </row>
    <row r="284" spans="1:4" x14ac:dyDescent="0.35">
      <c r="A284" s="7">
        <v>48923</v>
      </c>
      <c r="B284" s="8" t="s">
        <v>10</v>
      </c>
      <c r="C284" s="9">
        <v>20</v>
      </c>
      <c r="D284" s="10">
        <v>25.7</v>
      </c>
    </row>
    <row r="285" spans="1:4" x14ac:dyDescent="0.35">
      <c r="A285" s="11">
        <v>48924</v>
      </c>
      <c r="B285" s="12" t="s">
        <v>19</v>
      </c>
      <c r="C285" s="13">
        <v>17.100000000000001</v>
      </c>
      <c r="D285" s="14">
        <v>33</v>
      </c>
    </row>
    <row r="286" spans="1:4" x14ac:dyDescent="0.35">
      <c r="A286" s="7">
        <v>48925</v>
      </c>
      <c r="B286" s="8" t="s">
        <v>5</v>
      </c>
      <c r="C286" s="9">
        <v>23.2</v>
      </c>
      <c r="D286" s="10">
        <v>2.2999999999999998</v>
      </c>
    </row>
    <row r="287" spans="1:4" x14ac:dyDescent="0.35">
      <c r="A287" s="11">
        <v>48926</v>
      </c>
      <c r="B287" s="12" t="s">
        <v>15</v>
      </c>
      <c r="C287" s="13">
        <v>23.1</v>
      </c>
      <c r="D287" s="14">
        <v>2.2000000000000002</v>
      </c>
    </row>
    <row r="288" spans="1:4" x14ac:dyDescent="0.35">
      <c r="A288" s="7">
        <v>48927</v>
      </c>
      <c r="B288" s="8" t="s">
        <v>10</v>
      </c>
      <c r="C288" s="9">
        <v>22.4</v>
      </c>
      <c r="D288" s="10">
        <v>33.5</v>
      </c>
    </row>
    <row r="289" spans="1:4" x14ac:dyDescent="0.35">
      <c r="A289" s="11">
        <v>48928</v>
      </c>
      <c r="B289" s="12" t="s">
        <v>33</v>
      </c>
      <c r="C289" s="13">
        <v>25.4</v>
      </c>
      <c r="D289" s="14">
        <v>0.9</v>
      </c>
    </row>
    <row r="290" spans="1:4" x14ac:dyDescent="0.35">
      <c r="A290" s="7">
        <v>48929</v>
      </c>
      <c r="B290" s="8" t="s">
        <v>10</v>
      </c>
      <c r="C290" s="9">
        <v>15.4</v>
      </c>
      <c r="D290" s="10">
        <v>1.6</v>
      </c>
    </row>
    <row r="291" spans="1:4" x14ac:dyDescent="0.35">
      <c r="A291" s="11">
        <v>48930</v>
      </c>
      <c r="B291" s="12" t="s">
        <v>25</v>
      </c>
      <c r="C291" s="13">
        <v>23.5</v>
      </c>
      <c r="D291" s="14">
        <v>0.6</v>
      </c>
    </row>
    <row r="292" spans="1:4" x14ac:dyDescent="0.35">
      <c r="A292" s="7">
        <v>48931</v>
      </c>
      <c r="B292" s="8" t="s">
        <v>15</v>
      </c>
      <c r="C292" s="9">
        <v>10.3</v>
      </c>
      <c r="D292" s="10">
        <v>15.4</v>
      </c>
    </row>
    <row r="293" spans="1:4" x14ac:dyDescent="0.35">
      <c r="A293" s="11">
        <v>48932</v>
      </c>
      <c r="B293" s="12" t="s">
        <v>10</v>
      </c>
      <c r="C293" s="13">
        <v>15.5</v>
      </c>
      <c r="D293" s="14">
        <v>20.2</v>
      </c>
    </row>
    <row r="294" spans="1:4" x14ac:dyDescent="0.35">
      <c r="A294" s="7">
        <v>48933</v>
      </c>
      <c r="B294" s="8" t="s">
        <v>24</v>
      </c>
      <c r="C294" s="9">
        <v>20.7</v>
      </c>
      <c r="D294" s="10">
        <v>3</v>
      </c>
    </row>
    <row r="295" spans="1:4" x14ac:dyDescent="0.35">
      <c r="A295" s="11">
        <v>48934</v>
      </c>
      <c r="B295" s="12" t="s">
        <v>13</v>
      </c>
      <c r="C295" s="13">
        <v>12.7</v>
      </c>
      <c r="D295" s="14">
        <v>14.4</v>
      </c>
    </row>
    <row r="296" spans="1:4" x14ac:dyDescent="0.35">
      <c r="A296" s="7">
        <v>48935</v>
      </c>
      <c r="B296" s="8" t="s">
        <v>23</v>
      </c>
      <c r="C296" s="9">
        <v>22.8</v>
      </c>
      <c r="D296" s="10">
        <v>3.3</v>
      </c>
    </row>
    <row r="297" spans="1:4" x14ac:dyDescent="0.35">
      <c r="A297" s="11">
        <v>48936</v>
      </c>
      <c r="B297" s="12" t="s">
        <v>30</v>
      </c>
      <c r="C297" s="13">
        <v>20.5</v>
      </c>
      <c r="D297" s="14">
        <v>0</v>
      </c>
    </row>
    <row r="298" spans="1:4" x14ac:dyDescent="0.35">
      <c r="A298" s="7">
        <v>48937</v>
      </c>
      <c r="B298" s="8" t="s">
        <v>22</v>
      </c>
      <c r="C298" s="9">
        <v>13.1</v>
      </c>
      <c r="D298" s="10">
        <v>5.9</v>
      </c>
    </row>
    <row r="299" spans="1:4" x14ac:dyDescent="0.35">
      <c r="A299" s="11">
        <v>48938</v>
      </c>
      <c r="B299" s="12" t="s">
        <v>21</v>
      </c>
      <c r="C299" s="13">
        <v>29</v>
      </c>
      <c r="D299" s="14">
        <v>1</v>
      </c>
    </row>
    <row r="300" spans="1:4" x14ac:dyDescent="0.35">
      <c r="A300" s="7">
        <v>48939</v>
      </c>
      <c r="B300" s="8" t="s">
        <v>19</v>
      </c>
      <c r="C300" s="9">
        <v>15.4</v>
      </c>
      <c r="D300" s="10">
        <v>0</v>
      </c>
    </row>
    <row r="301" spans="1:4" x14ac:dyDescent="0.35">
      <c r="A301" s="11">
        <v>48940</v>
      </c>
      <c r="B301" s="12" t="s">
        <v>10</v>
      </c>
      <c r="C301" s="13">
        <v>20.3</v>
      </c>
      <c r="D301" s="14">
        <v>10.7</v>
      </c>
    </row>
    <row r="302" spans="1:4" x14ac:dyDescent="0.35">
      <c r="A302" s="7">
        <v>48941</v>
      </c>
      <c r="B302" s="8" t="s">
        <v>10</v>
      </c>
      <c r="C302" s="9">
        <v>15</v>
      </c>
      <c r="D302" s="10">
        <v>0</v>
      </c>
    </row>
    <row r="303" spans="1:4" x14ac:dyDescent="0.35">
      <c r="A303" s="11">
        <v>48942</v>
      </c>
      <c r="B303" s="12" t="s">
        <v>18</v>
      </c>
      <c r="C303" s="13">
        <v>16.600000000000001</v>
      </c>
      <c r="D303" s="14">
        <v>0</v>
      </c>
    </row>
    <row r="304" spans="1:4" x14ac:dyDescent="0.35">
      <c r="A304" s="7">
        <v>48943</v>
      </c>
      <c r="B304" s="8" t="s">
        <v>11</v>
      </c>
      <c r="C304" s="9">
        <v>28.6</v>
      </c>
      <c r="D304" s="10">
        <v>0</v>
      </c>
    </row>
    <row r="305" spans="1:4" x14ac:dyDescent="0.35">
      <c r="A305" s="11">
        <v>48944</v>
      </c>
      <c r="B305" s="12" t="s">
        <v>17</v>
      </c>
      <c r="C305" s="13">
        <v>11.4</v>
      </c>
      <c r="D305" s="14">
        <v>3.6</v>
      </c>
    </row>
    <row r="306" spans="1:4" x14ac:dyDescent="0.35">
      <c r="A306" s="7">
        <v>48945</v>
      </c>
      <c r="B306" s="8" t="s">
        <v>9</v>
      </c>
      <c r="C306" s="9">
        <v>15.5</v>
      </c>
      <c r="D306" s="10">
        <v>1</v>
      </c>
    </row>
    <row r="307" spans="1:4" x14ac:dyDescent="0.35">
      <c r="A307" s="11">
        <v>48946</v>
      </c>
      <c r="B307" s="12" t="s">
        <v>6</v>
      </c>
      <c r="C307" s="13">
        <v>18.3</v>
      </c>
      <c r="D307" s="14">
        <v>0.7</v>
      </c>
    </row>
    <row r="308" spans="1:4" x14ac:dyDescent="0.35">
      <c r="A308" s="7">
        <v>48947</v>
      </c>
      <c r="B308" s="8" t="s">
        <v>19</v>
      </c>
      <c r="C308" s="9">
        <v>14.9</v>
      </c>
      <c r="D308" s="10">
        <v>6.1</v>
      </c>
    </row>
    <row r="309" spans="1:4" x14ac:dyDescent="0.35">
      <c r="A309" s="11">
        <v>48948</v>
      </c>
      <c r="B309" s="12" t="s">
        <v>11</v>
      </c>
      <c r="C309" s="13">
        <v>29.7</v>
      </c>
      <c r="D309" s="14">
        <v>13.3</v>
      </c>
    </row>
    <row r="310" spans="1:4" x14ac:dyDescent="0.35">
      <c r="A310" s="7">
        <v>48949</v>
      </c>
      <c r="B310" s="8" t="s">
        <v>7</v>
      </c>
      <c r="C310" s="9">
        <v>28.9</v>
      </c>
      <c r="D310" s="10">
        <v>13.8</v>
      </c>
    </row>
    <row r="311" spans="1:4" x14ac:dyDescent="0.35">
      <c r="A311" s="11">
        <v>48950</v>
      </c>
      <c r="B311" s="12" t="s">
        <v>17</v>
      </c>
      <c r="C311" s="13">
        <v>24.3</v>
      </c>
      <c r="D311" s="14">
        <v>0</v>
      </c>
    </row>
    <row r="312" spans="1:4" x14ac:dyDescent="0.35">
      <c r="A312" s="7">
        <v>48951</v>
      </c>
      <c r="B312" s="8" t="s">
        <v>10</v>
      </c>
      <c r="C312" s="9">
        <v>24</v>
      </c>
      <c r="D312" s="10">
        <v>19.7</v>
      </c>
    </row>
    <row r="313" spans="1:4" x14ac:dyDescent="0.35">
      <c r="A313" s="11">
        <v>48952</v>
      </c>
      <c r="B313" s="12" t="s">
        <v>15</v>
      </c>
      <c r="C313" s="13">
        <v>11.8</v>
      </c>
      <c r="D313" s="14">
        <v>13.3</v>
      </c>
    </row>
    <row r="314" spans="1:4" x14ac:dyDescent="0.35">
      <c r="A314" s="7">
        <v>48953</v>
      </c>
      <c r="B314" s="8" t="s">
        <v>10</v>
      </c>
      <c r="C314" s="9">
        <v>26.5</v>
      </c>
      <c r="D314" s="10">
        <v>19.7</v>
      </c>
    </row>
    <row r="315" spans="1:4" x14ac:dyDescent="0.35">
      <c r="A315" s="11">
        <v>48954</v>
      </c>
      <c r="B315" s="12" t="s">
        <v>26</v>
      </c>
      <c r="C315" s="13">
        <v>12.4</v>
      </c>
      <c r="D315" s="14">
        <v>5.0999999999999996</v>
      </c>
    </row>
    <row r="316" spans="1:4" x14ac:dyDescent="0.35">
      <c r="A316" s="7">
        <v>48955</v>
      </c>
      <c r="B316" s="8" t="s">
        <v>10</v>
      </c>
      <c r="C316" s="9">
        <v>21.9</v>
      </c>
      <c r="D316" s="10">
        <v>6.6</v>
      </c>
    </row>
    <row r="317" spans="1:4" x14ac:dyDescent="0.35">
      <c r="A317" s="11">
        <v>48956</v>
      </c>
      <c r="B317" s="12" t="s">
        <v>10</v>
      </c>
      <c r="C317" s="13">
        <v>20.3</v>
      </c>
      <c r="D317" s="14">
        <v>0</v>
      </c>
    </row>
    <row r="318" spans="1:4" x14ac:dyDescent="0.35">
      <c r="A318" s="7">
        <v>48957</v>
      </c>
      <c r="B318" s="8" t="s">
        <v>32</v>
      </c>
      <c r="C318" s="9">
        <v>27.7</v>
      </c>
      <c r="D318" s="10">
        <v>0.3</v>
      </c>
    </row>
    <row r="319" spans="1:4" x14ac:dyDescent="0.35">
      <c r="A319" s="11">
        <v>48958</v>
      </c>
      <c r="B319" s="12" t="s">
        <v>19</v>
      </c>
      <c r="C319" s="13">
        <v>28.5</v>
      </c>
      <c r="D319" s="14">
        <v>30</v>
      </c>
    </row>
    <row r="320" spans="1:4" x14ac:dyDescent="0.35">
      <c r="A320" s="7">
        <v>48959</v>
      </c>
      <c r="B320" s="8" t="s">
        <v>21</v>
      </c>
      <c r="C320" s="9">
        <v>28.7</v>
      </c>
      <c r="D320" s="10">
        <v>1.9</v>
      </c>
    </row>
    <row r="321" spans="1:4" x14ac:dyDescent="0.35">
      <c r="A321" s="11">
        <v>48960</v>
      </c>
      <c r="B321" s="12" t="s">
        <v>4</v>
      </c>
      <c r="C321" s="13">
        <v>10.9</v>
      </c>
      <c r="D321" s="14">
        <v>0</v>
      </c>
    </row>
    <row r="322" spans="1:4" x14ac:dyDescent="0.35">
      <c r="A322" s="7">
        <v>48961</v>
      </c>
      <c r="B322" s="8" t="s">
        <v>9</v>
      </c>
      <c r="C322" s="9">
        <v>13.7</v>
      </c>
      <c r="D322" s="10">
        <v>0</v>
      </c>
    </row>
    <row r="323" spans="1:4" x14ac:dyDescent="0.35">
      <c r="A323" s="11">
        <v>48962</v>
      </c>
      <c r="B323" s="12" t="s">
        <v>11</v>
      </c>
      <c r="C323" s="13">
        <v>28.2</v>
      </c>
      <c r="D323" s="14">
        <v>0</v>
      </c>
    </row>
    <row r="324" spans="1:4" x14ac:dyDescent="0.35">
      <c r="A324" s="7">
        <v>48963</v>
      </c>
      <c r="B324" s="8" t="s">
        <v>19</v>
      </c>
      <c r="C324" s="9">
        <v>20.100000000000001</v>
      </c>
      <c r="D324" s="10">
        <v>0</v>
      </c>
    </row>
    <row r="325" spans="1:4" x14ac:dyDescent="0.35">
      <c r="A325" s="11">
        <v>48964</v>
      </c>
      <c r="B325" s="12" t="s">
        <v>11</v>
      </c>
      <c r="C325" s="13">
        <v>20.6</v>
      </c>
      <c r="D325" s="14">
        <v>0</v>
      </c>
    </row>
    <row r="326" spans="1:4" x14ac:dyDescent="0.35">
      <c r="A326" s="7">
        <v>48965</v>
      </c>
      <c r="B326" s="8" t="s">
        <v>13</v>
      </c>
      <c r="C326" s="9">
        <v>15.5</v>
      </c>
      <c r="D326" s="10">
        <v>16.8</v>
      </c>
    </row>
    <row r="327" spans="1:4" x14ac:dyDescent="0.35">
      <c r="A327" s="11">
        <v>48966</v>
      </c>
      <c r="B327" s="12" t="s">
        <v>12</v>
      </c>
      <c r="C327" s="13">
        <v>22.2</v>
      </c>
      <c r="D327" s="14">
        <v>2.4</v>
      </c>
    </row>
    <row r="328" spans="1:4" x14ac:dyDescent="0.35">
      <c r="A328" s="7">
        <v>48967</v>
      </c>
      <c r="B328" s="8" t="s">
        <v>13</v>
      </c>
      <c r="C328" s="9">
        <v>15</v>
      </c>
      <c r="D328" s="10">
        <v>4.0999999999999996</v>
      </c>
    </row>
    <row r="329" spans="1:4" x14ac:dyDescent="0.35">
      <c r="A329" s="11">
        <v>48968</v>
      </c>
      <c r="B329" s="12" t="s">
        <v>19</v>
      </c>
      <c r="C329" s="13">
        <v>18.399999999999999</v>
      </c>
      <c r="D329" s="14">
        <v>30.4</v>
      </c>
    </row>
    <row r="330" spans="1:4" x14ac:dyDescent="0.35">
      <c r="A330" s="7">
        <v>48969</v>
      </c>
      <c r="B330" s="8" t="s">
        <v>32</v>
      </c>
      <c r="C330" s="9">
        <v>29.3</v>
      </c>
      <c r="D330" s="10">
        <v>0.4</v>
      </c>
    </row>
    <row r="331" spans="1:4" x14ac:dyDescent="0.35">
      <c r="A331" s="11">
        <v>48970</v>
      </c>
      <c r="B331" s="12" t="s">
        <v>23</v>
      </c>
      <c r="C331" s="13">
        <v>23.9</v>
      </c>
      <c r="D331" s="14">
        <v>3.3</v>
      </c>
    </row>
    <row r="332" spans="1:4" x14ac:dyDescent="0.35">
      <c r="A332" s="7">
        <v>48971</v>
      </c>
      <c r="B332" s="8" t="s">
        <v>20</v>
      </c>
      <c r="C332" s="9">
        <v>29.8</v>
      </c>
      <c r="D332" s="10">
        <v>3.3</v>
      </c>
    </row>
    <row r="333" spans="1:4" x14ac:dyDescent="0.35">
      <c r="A333" s="11">
        <v>48972</v>
      </c>
      <c r="B333" s="12" t="s">
        <v>10</v>
      </c>
      <c r="C333" s="13">
        <v>29.1</v>
      </c>
      <c r="D333" s="14">
        <v>23</v>
      </c>
    </row>
    <row r="334" spans="1:4" x14ac:dyDescent="0.35">
      <c r="A334" s="7">
        <v>48973</v>
      </c>
      <c r="B334" s="8" t="s">
        <v>11</v>
      </c>
      <c r="C334" s="9">
        <v>22.5</v>
      </c>
      <c r="D334" s="10">
        <v>17.2</v>
      </c>
    </row>
    <row r="335" spans="1:4" x14ac:dyDescent="0.35">
      <c r="A335" s="11">
        <v>48974</v>
      </c>
      <c r="B335" s="12" t="s">
        <v>19</v>
      </c>
      <c r="C335" s="13">
        <v>15.3</v>
      </c>
      <c r="D335" s="14">
        <v>21.5</v>
      </c>
    </row>
    <row r="336" spans="1:4" x14ac:dyDescent="0.35">
      <c r="A336" s="7">
        <v>48975</v>
      </c>
      <c r="B336" s="8" t="s">
        <v>10</v>
      </c>
      <c r="C336" s="9">
        <v>13.8</v>
      </c>
      <c r="D336" s="10">
        <v>40.4</v>
      </c>
    </row>
    <row r="337" spans="1:4" x14ac:dyDescent="0.35">
      <c r="A337" s="11">
        <v>48976</v>
      </c>
      <c r="B337" s="12" t="s">
        <v>7</v>
      </c>
      <c r="C337" s="13">
        <v>12.3</v>
      </c>
      <c r="D337" s="14">
        <v>0</v>
      </c>
    </row>
    <row r="338" spans="1:4" x14ac:dyDescent="0.35">
      <c r="A338" s="7">
        <v>48977</v>
      </c>
      <c r="B338" s="8" t="s">
        <v>5</v>
      </c>
      <c r="C338" s="9">
        <v>18.5</v>
      </c>
      <c r="D338" s="10">
        <v>4.2</v>
      </c>
    </row>
    <row r="339" spans="1:4" x14ac:dyDescent="0.35">
      <c r="A339" s="11">
        <v>48978</v>
      </c>
      <c r="B339" s="12" t="s">
        <v>20</v>
      </c>
      <c r="C339" s="13">
        <v>10.3</v>
      </c>
      <c r="D339" s="14">
        <v>3.2</v>
      </c>
    </row>
    <row r="340" spans="1:4" x14ac:dyDescent="0.35">
      <c r="A340" s="7">
        <v>48979</v>
      </c>
      <c r="B340" s="8" t="s">
        <v>19</v>
      </c>
      <c r="C340" s="9">
        <v>24.9</v>
      </c>
      <c r="D340" s="10">
        <v>12.1</v>
      </c>
    </row>
    <row r="341" spans="1:4" x14ac:dyDescent="0.35">
      <c r="A341" s="11">
        <v>48980</v>
      </c>
      <c r="B341" s="12" t="s">
        <v>10</v>
      </c>
      <c r="C341" s="13">
        <v>26.4</v>
      </c>
      <c r="D341" s="14">
        <v>0</v>
      </c>
    </row>
    <row r="342" spans="1:4" x14ac:dyDescent="0.35">
      <c r="A342" s="7">
        <v>48981</v>
      </c>
      <c r="B342" s="8" t="s">
        <v>7</v>
      </c>
      <c r="C342" s="9">
        <v>11.8</v>
      </c>
      <c r="D342" s="10">
        <v>0</v>
      </c>
    </row>
    <row r="343" spans="1:4" x14ac:dyDescent="0.35">
      <c r="A343" s="11">
        <v>48982</v>
      </c>
      <c r="B343" s="12" t="s">
        <v>6</v>
      </c>
      <c r="C343" s="13">
        <v>11</v>
      </c>
      <c r="D343" s="14">
        <v>7.5</v>
      </c>
    </row>
    <row r="344" spans="1:4" x14ac:dyDescent="0.35">
      <c r="A344" s="7">
        <v>48983</v>
      </c>
      <c r="B344" s="8" t="s">
        <v>10</v>
      </c>
      <c r="C344" s="9">
        <v>15.4</v>
      </c>
      <c r="D344" s="10">
        <v>5.2</v>
      </c>
    </row>
    <row r="345" spans="1:4" x14ac:dyDescent="0.35">
      <c r="A345" s="11">
        <v>48984</v>
      </c>
      <c r="B345" s="12" t="s">
        <v>27</v>
      </c>
      <c r="C345" s="13">
        <v>25.7</v>
      </c>
      <c r="D345" s="14">
        <v>5.8</v>
      </c>
    </row>
    <row r="346" spans="1:4" x14ac:dyDescent="0.35">
      <c r="A346" s="7">
        <v>48985</v>
      </c>
      <c r="B346" s="8" t="s">
        <v>13</v>
      </c>
      <c r="C346" s="9">
        <v>14.8</v>
      </c>
      <c r="D346" s="10">
        <v>0</v>
      </c>
    </row>
    <row r="347" spans="1:4" x14ac:dyDescent="0.35">
      <c r="A347" s="11">
        <v>48986</v>
      </c>
      <c r="B347" s="12" t="s">
        <v>31</v>
      </c>
      <c r="C347" s="13">
        <v>21.5</v>
      </c>
      <c r="D347" s="14">
        <v>0.8</v>
      </c>
    </row>
    <row r="348" spans="1:4" x14ac:dyDescent="0.35">
      <c r="A348" s="7">
        <v>48987</v>
      </c>
      <c r="B348" s="8" t="s">
        <v>19</v>
      </c>
      <c r="C348" s="9">
        <v>26.2</v>
      </c>
      <c r="D348" s="10">
        <v>8.9</v>
      </c>
    </row>
    <row r="349" spans="1:4" x14ac:dyDescent="0.35">
      <c r="A349" s="11">
        <v>48988</v>
      </c>
      <c r="B349" s="12" t="s">
        <v>4</v>
      </c>
      <c r="C349" s="13">
        <v>20.6</v>
      </c>
      <c r="D349" s="14">
        <v>0.1</v>
      </c>
    </row>
    <row r="350" spans="1:4" x14ac:dyDescent="0.35">
      <c r="A350" s="7">
        <v>48989</v>
      </c>
      <c r="B350" s="8" t="s">
        <v>10</v>
      </c>
      <c r="C350" s="9">
        <v>14.1</v>
      </c>
      <c r="D350" s="10">
        <v>20.9</v>
      </c>
    </row>
    <row r="351" spans="1:4" x14ac:dyDescent="0.35">
      <c r="A351" s="11">
        <v>48990</v>
      </c>
      <c r="B351" s="12" t="s">
        <v>24</v>
      </c>
      <c r="C351" s="13">
        <v>20.8</v>
      </c>
      <c r="D351" s="14">
        <v>0.7</v>
      </c>
    </row>
    <row r="352" spans="1:4" x14ac:dyDescent="0.35">
      <c r="A352" s="7">
        <v>48991</v>
      </c>
      <c r="B352" s="8" t="s">
        <v>18</v>
      </c>
      <c r="C352" s="9">
        <v>17.600000000000001</v>
      </c>
      <c r="D352" s="10">
        <v>10.5</v>
      </c>
    </row>
    <row r="353" spans="1:4" x14ac:dyDescent="0.35">
      <c r="A353" s="11">
        <v>48992</v>
      </c>
      <c r="B353" s="12" t="s">
        <v>10</v>
      </c>
      <c r="C353" s="13">
        <v>16.8</v>
      </c>
      <c r="D353" s="14">
        <v>38.9</v>
      </c>
    </row>
    <row r="354" spans="1:4" x14ac:dyDescent="0.35">
      <c r="A354" s="7">
        <v>48993</v>
      </c>
      <c r="B354" s="8" t="s">
        <v>4</v>
      </c>
      <c r="C354" s="9">
        <v>23.1</v>
      </c>
      <c r="D354" s="10">
        <v>0</v>
      </c>
    </row>
    <row r="355" spans="1:4" x14ac:dyDescent="0.35">
      <c r="A355" s="11">
        <v>48994</v>
      </c>
      <c r="B355" s="12" t="s">
        <v>27</v>
      </c>
      <c r="C355" s="13">
        <v>16.3</v>
      </c>
      <c r="D355" s="14">
        <v>3.4</v>
      </c>
    </row>
    <row r="356" spans="1:4" x14ac:dyDescent="0.35">
      <c r="A356" s="7">
        <v>48995</v>
      </c>
      <c r="B356" s="8" t="s">
        <v>7</v>
      </c>
      <c r="C356" s="9">
        <v>15.7</v>
      </c>
      <c r="D356" s="10">
        <v>10.9</v>
      </c>
    </row>
    <row r="357" spans="1:4" x14ac:dyDescent="0.35">
      <c r="A357" s="11">
        <v>48996</v>
      </c>
      <c r="B357" s="12" t="s">
        <v>18</v>
      </c>
      <c r="C357" s="13">
        <v>29.3</v>
      </c>
      <c r="D357" s="14">
        <v>2.1</v>
      </c>
    </row>
    <row r="358" spans="1:4" x14ac:dyDescent="0.35">
      <c r="A358" s="7">
        <v>48997</v>
      </c>
      <c r="B358" s="8" t="s">
        <v>22</v>
      </c>
      <c r="C358" s="9">
        <v>24</v>
      </c>
      <c r="D358" s="10">
        <v>7.3</v>
      </c>
    </row>
    <row r="359" spans="1:4" x14ac:dyDescent="0.35">
      <c r="A359" s="11">
        <v>48998</v>
      </c>
      <c r="B359" s="12" t="s">
        <v>6</v>
      </c>
      <c r="C359" s="13">
        <v>27</v>
      </c>
      <c r="D359" s="14">
        <v>0.6</v>
      </c>
    </row>
    <row r="360" spans="1:4" x14ac:dyDescent="0.35">
      <c r="A360" s="7">
        <v>48999</v>
      </c>
      <c r="B360" s="8" t="s">
        <v>10</v>
      </c>
      <c r="C360" s="9">
        <v>26.3</v>
      </c>
      <c r="D360" s="10">
        <v>1.2</v>
      </c>
    </row>
    <row r="361" spans="1:4" x14ac:dyDescent="0.35">
      <c r="A361" s="11">
        <v>49000</v>
      </c>
      <c r="B361" s="12" t="s">
        <v>15</v>
      </c>
      <c r="C361" s="13">
        <v>26.3</v>
      </c>
      <c r="D361" s="14">
        <v>8.1999999999999993</v>
      </c>
    </row>
    <row r="362" spans="1:4" x14ac:dyDescent="0.35">
      <c r="A362" s="7">
        <v>49001</v>
      </c>
      <c r="B362" s="8" t="s">
        <v>6</v>
      </c>
      <c r="C362" s="9">
        <v>25.2</v>
      </c>
      <c r="D362" s="10">
        <v>4.7</v>
      </c>
    </row>
    <row r="363" spans="1:4" x14ac:dyDescent="0.35">
      <c r="A363" s="11">
        <v>49002</v>
      </c>
      <c r="B363" s="12" t="s">
        <v>10</v>
      </c>
      <c r="C363" s="13">
        <v>22.1</v>
      </c>
      <c r="D363" s="14">
        <v>0</v>
      </c>
    </row>
    <row r="364" spans="1:4" x14ac:dyDescent="0.35">
      <c r="A364" s="7">
        <v>49003</v>
      </c>
      <c r="B364" s="8" t="s">
        <v>10</v>
      </c>
      <c r="C364" s="9">
        <v>11.9</v>
      </c>
      <c r="D364" s="10">
        <v>41.6</v>
      </c>
    </row>
    <row r="365" spans="1:4" x14ac:dyDescent="0.35">
      <c r="A365" s="11">
        <v>49004</v>
      </c>
      <c r="B365" s="12" t="s">
        <v>13</v>
      </c>
      <c r="C365" s="13">
        <v>19.600000000000001</v>
      </c>
      <c r="D365" s="14">
        <v>0</v>
      </c>
    </row>
    <row r="366" spans="1:4" x14ac:dyDescent="0.35">
      <c r="A366" s="7">
        <v>49005</v>
      </c>
      <c r="B366" s="8" t="s">
        <v>27</v>
      </c>
      <c r="C366" s="9">
        <v>15.9</v>
      </c>
      <c r="D366" s="10">
        <v>0</v>
      </c>
    </row>
    <row r="367" spans="1:4" x14ac:dyDescent="0.35">
      <c r="A367" s="11">
        <v>49006</v>
      </c>
      <c r="B367" s="12" t="s">
        <v>12</v>
      </c>
      <c r="C367" s="13">
        <v>24.3</v>
      </c>
      <c r="D367" s="14">
        <v>1.7</v>
      </c>
    </row>
    <row r="368" spans="1:4" x14ac:dyDescent="0.35">
      <c r="A368" s="7">
        <v>49007</v>
      </c>
      <c r="B368" s="8" t="s">
        <v>14</v>
      </c>
      <c r="C368" s="9">
        <v>20</v>
      </c>
      <c r="D368" s="10">
        <v>0</v>
      </c>
    </row>
    <row r="369" spans="1:4" x14ac:dyDescent="0.35">
      <c r="A369" s="11">
        <v>49008</v>
      </c>
      <c r="B369" s="12" t="s">
        <v>10</v>
      </c>
      <c r="C369" s="13">
        <v>14.2</v>
      </c>
      <c r="D369" s="14">
        <v>32.200000000000003</v>
      </c>
    </row>
    <row r="370" spans="1:4" x14ac:dyDescent="0.35">
      <c r="A370" s="7">
        <v>49009</v>
      </c>
      <c r="B370" s="8" t="s">
        <v>7</v>
      </c>
      <c r="C370" s="9">
        <v>20.5</v>
      </c>
      <c r="D370" s="10">
        <v>18.3</v>
      </c>
    </row>
    <row r="371" spans="1:4" x14ac:dyDescent="0.35">
      <c r="A371" s="11">
        <v>49010</v>
      </c>
      <c r="B371" s="12" t="s">
        <v>10</v>
      </c>
      <c r="C371" s="13">
        <v>22.4</v>
      </c>
      <c r="D371" s="14">
        <v>0</v>
      </c>
    </row>
    <row r="372" spans="1:4" x14ac:dyDescent="0.35">
      <c r="A372" s="7">
        <v>49011</v>
      </c>
      <c r="B372" s="8" t="s">
        <v>22</v>
      </c>
      <c r="C372" s="9">
        <v>19.100000000000001</v>
      </c>
      <c r="D372" s="10">
        <v>0</v>
      </c>
    </row>
    <row r="373" spans="1:4" x14ac:dyDescent="0.35">
      <c r="A373" s="11">
        <v>49012</v>
      </c>
      <c r="B373" s="12" t="s">
        <v>15</v>
      </c>
      <c r="C373" s="13">
        <v>20.399999999999999</v>
      </c>
      <c r="D373" s="14">
        <v>4.3</v>
      </c>
    </row>
    <row r="374" spans="1:4" x14ac:dyDescent="0.35">
      <c r="A374" s="7">
        <v>49013</v>
      </c>
      <c r="B374" s="8" t="s">
        <v>19</v>
      </c>
      <c r="C374" s="9">
        <v>29.8</v>
      </c>
      <c r="D374" s="10">
        <v>0</v>
      </c>
    </row>
    <row r="375" spans="1:4" x14ac:dyDescent="0.35">
      <c r="A375" s="11">
        <v>49014</v>
      </c>
      <c r="B375" s="12" t="s">
        <v>33</v>
      </c>
      <c r="C375" s="13">
        <v>13.7</v>
      </c>
      <c r="D375" s="14">
        <v>0.7</v>
      </c>
    </row>
    <row r="376" spans="1:4" x14ac:dyDescent="0.35">
      <c r="A376" s="7">
        <v>49015</v>
      </c>
      <c r="B376" s="8" t="s">
        <v>8</v>
      </c>
      <c r="C376" s="9">
        <v>20.2</v>
      </c>
      <c r="D376" s="10">
        <v>3.7</v>
      </c>
    </row>
    <row r="377" spans="1:4" x14ac:dyDescent="0.35">
      <c r="A377" s="11">
        <v>49016</v>
      </c>
      <c r="B377" s="12" t="s">
        <v>11</v>
      </c>
      <c r="C377" s="13">
        <v>18.2</v>
      </c>
      <c r="D377" s="14">
        <v>1.6</v>
      </c>
    </row>
    <row r="378" spans="1:4" x14ac:dyDescent="0.35">
      <c r="A378" s="7">
        <v>49017</v>
      </c>
      <c r="B378" s="8" t="s">
        <v>13</v>
      </c>
      <c r="C378" s="9">
        <v>14.2</v>
      </c>
      <c r="D378" s="10">
        <v>2</v>
      </c>
    </row>
    <row r="379" spans="1:4" x14ac:dyDescent="0.35">
      <c r="A379" s="11">
        <v>49018</v>
      </c>
      <c r="B379" s="12" t="s">
        <v>15</v>
      </c>
      <c r="C379" s="13">
        <v>11.2</v>
      </c>
      <c r="D379" s="14">
        <v>14.3</v>
      </c>
    </row>
    <row r="380" spans="1:4" x14ac:dyDescent="0.35">
      <c r="A380" s="7">
        <v>49019</v>
      </c>
      <c r="B380" s="8" t="s">
        <v>32</v>
      </c>
      <c r="C380" s="9">
        <v>13.9</v>
      </c>
      <c r="D380" s="10">
        <v>0.2</v>
      </c>
    </row>
    <row r="381" spans="1:4" x14ac:dyDescent="0.35">
      <c r="A381" s="11">
        <v>49020</v>
      </c>
      <c r="B381" s="12" t="s">
        <v>11</v>
      </c>
      <c r="C381" s="13">
        <v>22.6</v>
      </c>
      <c r="D381" s="14">
        <v>15.1</v>
      </c>
    </row>
    <row r="382" spans="1:4" x14ac:dyDescent="0.35">
      <c r="A382" s="7">
        <v>49021</v>
      </c>
      <c r="B382" s="8" t="s">
        <v>15</v>
      </c>
      <c r="C382" s="9">
        <v>29.8</v>
      </c>
      <c r="D382" s="10">
        <v>0</v>
      </c>
    </row>
    <row r="383" spans="1:4" x14ac:dyDescent="0.35">
      <c r="A383" s="11">
        <v>49022</v>
      </c>
      <c r="B383" s="12" t="s">
        <v>20</v>
      </c>
      <c r="C383" s="13">
        <v>12.7</v>
      </c>
      <c r="D383" s="14">
        <v>2.6</v>
      </c>
    </row>
    <row r="384" spans="1:4" x14ac:dyDescent="0.35">
      <c r="A384" s="7">
        <v>49023</v>
      </c>
      <c r="B384" s="8" t="s">
        <v>27</v>
      </c>
      <c r="C384" s="9">
        <v>14.4</v>
      </c>
      <c r="D384" s="10">
        <v>0</v>
      </c>
    </row>
    <row r="385" spans="1:4" x14ac:dyDescent="0.35">
      <c r="A385" s="11">
        <v>49024</v>
      </c>
      <c r="B385" s="12" t="s">
        <v>33</v>
      </c>
      <c r="C385" s="13">
        <v>18.399999999999999</v>
      </c>
      <c r="D385" s="14">
        <v>0.2</v>
      </c>
    </row>
    <row r="386" spans="1:4" x14ac:dyDescent="0.35">
      <c r="A386" s="7">
        <v>49025</v>
      </c>
      <c r="B386" s="8" t="s">
        <v>9</v>
      </c>
      <c r="C386" s="9">
        <v>27.2</v>
      </c>
      <c r="D386" s="10">
        <v>9.6</v>
      </c>
    </row>
    <row r="387" spans="1:4" x14ac:dyDescent="0.35">
      <c r="A387" s="11">
        <v>49026</v>
      </c>
      <c r="B387" s="12" t="s">
        <v>22</v>
      </c>
      <c r="C387" s="13">
        <v>12.5</v>
      </c>
      <c r="D387" s="14">
        <v>8.8000000000000007</v>
      </c>
    </row>
    <row r="388" spans="1:4" x14ac:dyDescent="0.35">
      <c r="A388" s="7">
        <v>49027</v>
      </c>
      <c r="B388" s="8" t="s">
        <v>26</v>
      </c>
      <c r="C388" s="9">
        <v>22.6</v>
      </c>
      <c r="D388" s="10">
        <v>3.5</v>
      </c>
    </row>
    <row r="389" spans="1:4" x14ac:dyDescent="0.35">
      <c r="A389" s="11">
        <v>49028</v>
      </c>
      <c r="B389" s="12" t="s">
        <v>7</v>
      </c>
      <c r="C389" s="13">
        <v>21.8</v>
      </c>
      <c r="D389" s="14">
        <v>6.5</v>
      </c>
    </row>
    <row r="390" spans="1:4" x14ac:dyDescent="0.35">
      <c r="A390" s="7">
        <v>49029</v>
      </c>
      <c r="B390" s="8" t="s">
        <v>23</v>
      </c>
      <c r="C390" s="9">
        <v>17.2</v>
      </c>
      <c r="D390" s="10">
        <v>0</v>
      </c>
    </row>
    <row r="391" spans="1:4" x14ac:dyDescent="0.35">
      <c r="A391" s="11">
        <v>49030</v>
      </c>
      <c r="B391" s="12" t="s">
        <v>13</v>
      </c>
      <c r="C391" s="13">
        <v>13.4</v>
      </c>
      <c r="D391" s="14">
        <v>14.1</v>
      </c>
    </row>
    <row r="392" spans="1:4" x14ac:dyDescent="0.35">
      <c r="A392" s="7">
        <v>49031</v>
      </c>
      <c r="B392" s="8" t="s">
        <v>9</v>
      </c>
      <c r="C392" s="9">
        <v>13.8</v>
      </c>
      <c r="D392" s="10">
        <v>9.9</v>
      </c>
    </row>
    <row r="393" spans="1:4" x14ac:dyDescent="0.35">
      <c r="A393" s="11">
        <v>49032</v>
      </c>
      <c r="B393" s="12" t="s">
        <v>24</v>
      </c>
      <c r="C393" s="13">
        <v>10.6</v>
      </c>
      <c r="D393" s="14">
        <v>1.2</v>
      </c>
    </row>
    <row r="394" spans="1:4" x14ac:dyDescent="0.35">
      <c r="A394" s="7">
        <v>49033</v>
      </c>
      <c r="B394" s="8" t="s">
        <v>16</v>
      </c>
      <c r="C394" s="9">
        <v>28.8</v>
      </c>
      <c r="D394" s="10">
        <v>0.1</v>
      </c>
    </row>
    <row r="395" spans="1:4" x14ac:dyDescent="0.35">
      <c r="A395" s="11">
        <v>49034</v>
      </c>
      <c r="B395" s="12" t="s">
        <v>28</v>
      </c>
      <c r="C395" s="13">
        <v>16.899999999999999</v>
      </c>
      <c r="D395" s="14">
        <v>0.7</v>
      </c>
    </row>
    <row r="396" spans="1:4" x14ac:dyDescent="0.35">
      <c r="A396" s="7">
        <v>49035</v>
      </c>
      <c r="B396" s="8" t="s">
        <v>18</v>
      </c>
      <c r="C396" s="9">
        <v>11.2</v>
      </c>
      <c r="D396" s="10">
        <v>4.8</v>
      </c>
    </row>
    <row r="397" spans="1:4" x14ac:dyDescent="0.35">
      <c r="A397" s="11">
        <v>49036</v>
      </c>
      <c r="B397" s="12" t="s">
        <v>10</v>
      </c>
      <c r="C397" s="13">
        <v>13.9</v>
      </c>
      <c r="D397" s="14">
        <v>23</v>
      </c>
    </row>
    <row r="398" spans="1:4" x14ac:dyDescent="0.35">
      <c r="A398" s="7">
        <v>49037</v>
      </c>
      <c r="B398" s="8" t="s">
        <v>11</v>
      </c>
      <c r="C398" s="9">
        <v>25.3</v>
      </c>
      <c r="D398" s="10">
        <v>21.9</v>
      </c>
    </row>
    <row r="399" spans="1:4" x14ac:dyDescent="0.35">
      <c r="A399" s="11">
        <v>49038</v>
      </c>
      <c r="B399" s="12" t="s">
        <v>10</v>
      </c>
      <c r="C399" s="13">
        <v>14.7</v>
      </c>
      <c r="D399" s="14">
        <v>0</v>
      </c>
    </row>
    <row r="400" spans="1:4" x14ac:dyDescent="0.35">
      <c r="A400" s="7">
        <v>49039</v>
      </c>
      <c r="B400" s="8" t="s">
        <v>12</v>
      </c>
      <c r="C400" s="9">
        <v>20.3</v>
      </c>
      <c r="D400" s="10">
        <v>5.3</v>
      </c>
    </row>
    <row r="401" spans="1:4" x14ac:dyDescent="0.35">
      <c r="A401" s="11">
        <v>49040</v>
      </c>
      <c r="B401" s="12" t="s">
        <v>15</v>
      </c>
      <c r="C401" s="13">
        <v>25</v>
      </c>
      <c r="D401" s="14">
        <v>3.8</v>
      </c>
    </row>
    <row r="402" spans="1:4" x14ac:dyDescent="0.35">
      <c r="A402" s="7">
        <v>49041</v>
      </c>
      <c r="B402" s="8" t="s">
        <v>18</v>
      </c>
      <c r="C402" s="9">
        <v>19.600000000000001</v>
      </c>
      <c r="D402" s="10">
        <v>0.6</v>
      </c>
    </row>
    <row r="403" spans="1:4" x14ac:dyDescent="0.35">
      <c r="A403" s="11">
        <v>49042</v>
      </c>
      <c r="B403" s="12" t="s">
        <v>12</v>
      </c>
      <c r="C403" s="13">
        <v>10.8</v>
      </c>
      <c r="D403" s="14">
        <v>0</v>
      </c>
    </row>
    <row r="404" spans="1:4" x14ac:dyDescent="0.35">
      <c r="A404" s="7">
        <v>49043</v>
      </c>
      <c r="B404" s="8" t="s">
        <v>21</v>
      </c>
      <c r="C404" s="9">
        <v>17.100000000000001</v>
      </c>
      <c r="D404" s="10">
        <v>0.7</v>
      </c>
    </row>
    <row r="405" spans="1:4" x14ac:dyDescent="0.35">
      <c r="A405" s="11">
        <v>49044</v>
      </c>
      <c r="B405" s="12" t="s">
        <v>14</v>
      </c>
      <c r="C405" s="13">
        <v>15.1</v>
      </c>
      <c r="D405" s="14">
        <v>0</v>
      </c>
    </row>
    <row r="406" spans="1:4" x14ac:dyDescent="0.35">
      <c r="A406" s="7">
        <v>49045</v>
      </c>
      <c r="B406" s="8" t="s">
        <v>18</v>
      </c>
      <c r="C406" s="9">
        <v>26.4</v>
      </c>
      <c r="D406" s="10">
        <v>1.9</v>
      </c>
    </row>
    <row r="407" spans="1:4" x14ac:dyDescent="0.35">
      <c r="A407" s="11">
        <v>49046</v>
      </c>
      <c r="B407" s="12" t="s">
        <v>10</v>
      </c>
      <c r="C407" s="13">
        <v>11.6</v>
      </c>
      <c r="D407" s="14">
        <v>14.4</v>
      </c>
    </row>
    <row r="408" spans="1:4" x14ac:dyDescent="0.35">
      <c r="A408" s="7">
        <v>49047</v>
      </c>
      <c r="B408" s="8" t="s">
        <v>10</v>
      </c>
      <c r="C408" s="9">
        <v>16.600000000000001</v>
      </c>
      <c r="D408" s="10">
        <v>40.6</v>
      </c>
    </row>
    <row r="409" spans="1:4" x14ac:dyDescent="0.35">
      <c r="A409" s="11">
        <v>49048</v>
      </c>
      <c r="B409" s="12" t="s">
        <v>19</v>
      </c>
      <c r="C409" s="13">
        <v>19.5</v>
      </c>
      <c r="D409" s="14">
        <v>24.9</v>
      </c>
    </row>
    <row r="410" spans="1:4" x14ac:dyDescent="0.35">
      <c r="A410" s="7">
        <v>49049</v>
      </c>
      <c r="B410" s="8" t="s">
        <v>17</v>
      </c>
      <c r="C410" s="9">
        <v>24.9</v>
      </c>
      <c r="D410" s="10">
        <v>6.5</v>
      </c>
    </row>
    <row r="411" spans="1:4" x14ac:dyDescent="0.35">
      <c r="A411" s="11">
        <v>49050</v>
      </c>
      <c r="B411" s="12" t="s">
        <v>23</v>
      </c>
      <c r="C411" s="13">
        <v>19.3</v>
      </c>
      <c r="D411" s="14">
        <v>0.8</v>
      </c>
    </row>
    <row r="412" spans="1:4" x14ac:dyDescent="0.35">
      <c r="A412" s="7">
        <v>49051</v>
      </c>
      <c r="B412" s="8" t="s">
        <v>17</v>
      </c>
      <c r="C412" s="9">
        <v>26.2</v>
      </c>
      <c r="D412" s="10">
        <v>2.8</v>
      </c>
    </row>
    <row r="413" spans="1:4" x14ac:dyDescent="0.35">
      <c r="A413" s="11">
        <v>49052</v>
      </c>
      <c r="B413" s="12" t="s">
        <v>7</v>
      </c>
      <c r="C413" s="13">
        <v>28.1</v>
      </c>
      <c r="D413" s="14">
        <v>0.6</v>
      </c>
    </row>
    <row r="414" spans="1:4" x14ac:dyDescent="0.35">
      <c r="A414" s="7">
        <v>49053</v>
      </c>
      <c r="B414" s="8" t="s">
        <v>14</v>
      </c>
      <c r="C414" s="9">
        <v>17</v>
      </c>
      <c r="D414" s="10">
        <v>4.8</v>
      </c>
    </row>
    <row r="415" spans="1:4" x14ac:dyDescent="0.35">
      <c r="A415" s="11">
        <v>49054</v>
      </c>
      <c r="B415" s="12" t="s">
        <v>17</v>
      </c>
      <c r="C415" s="13">
        <v>28.5</v>
      </c>
      <c r="D415" s="14">
        <v>7.1</v>
      </c>
    </row>
    <row r="416" spans="1:4" x14ac:dyDescent="0.35">
      <c r="A416" s="7">
        <v>49055</v>
      </c>
      <c r="B416" s="8" t="s">
        <v>5</v>
      </c>
      <c r="C416" s="9">
        <v>14.2</v>
      </c>
      <c r="D416" s="10">
        <v>2.1</v>
      </c>
    </row>
    <row r="417" spans="1:4" x14ac:dyDescent="0.35">
      <c r="A417" s="11">
        <v>49056</v>
      </c>
      <c r="B417" s="12" t="s">
        <v>7</v>
      </c>
      <c r="C417" s="13">
        <v>24.9</v>
      </c>
      <c r="D417" s="14">
        <v>8.3000000000000007</v>
      </c>
    </row>
    <row r="418" spans="1:4" x14ac:dyDescent="0.35">
      <c r="A418" s="7">
        <v>49057</v>
      </c>
      <c r="B418" s="8" t="s">
        <v>17</v>
      </c>
      <c r="C418" s="9">
        <v>19.100000000000001</v>
      </c>
      <c r="D418" s="10">
        <v>3.4</v>
      </c>
    </row>
    <row r="419" spans="1:4" x14ac:dyDescent="0.35">
      <c r="A419" s="11">
        <v>49058</v>
      </c>
      <c r="B419" s="12" t="s">
        <v>10</v>
      </c>
      <c r="C419" s="13">
        <v>14.9</v>
      </c>
      <c r="D419" s="14">
        <v>23.1</v>
      </c>
    </row>
    <row r="420" spans="1:4" x14ac:dyDescent="0.35">
      <c r="A420" s="7">
        <v>49059</v>
      </c>
      <c r="B420" s="8" t="s">
        <v>27</v>
      </c>
      <c r="C420" s="9">
        <v>16.899999999999999</v>
      </c>
      <c r="D420" s="10">
        <v>6.8</v>
      </c>
    </row>
    <row r="421" spans="1:4" x14ac:dyDescent="0.35">
      <c r="A421" s="11">
        <v>49060</v>
      </c>
      <c r="B421" s="12" t="s">
        <v>12</v>
      </c>
      <c r="C421" s="13">
        <v>15.9</v>
      </c>
      <c r="D421" s="14">
        <v>6.8</v>
      </c>
    </row>
    <row r="422" spans="1:4" x14ac:dyDescent="0.35">
      <c r="A422" s="7">
        <v>49061</v>
      </c>
      <c r="B422" s="8" t="s">
        <v>29</v>
      </c>
      <c r="C422" s="9">
        <v>26.3</v>
      </c>
      <c r="D422" s="10">
        <v>0.7</v>
      </c>
    </row>
    <row r="423" spans="1:4" x14ac:dyDescent="0.35">
      <c r="A423" s="11">
        <v>49062</v>
      </c>
      <c r="B423" s="12" t="s">
        <v>10</v>
      </c>
      <c r="C423" s="13">
        <v>12.2</v>
      </c>
      <c r="D423" s="14">
        <v>0</v>
      </c>
    </row>
    <row r="424" spans="1:4" x14ac:dyDescent="0.35">
      <c r="A424" s="7">
        <v>49063</v>
      </c>
      <c r="B424" s="8" t="s">
        <v>7</v>
      </c>
      <c r="C424" s="9">
        <v>27.5</v>
      </c>
      <c r="D424" s="10">
        <v>0</v>
      </c>
    </row>
    <row r="425" spans="1:4" x14ac:dyDescent="0.35">
      <c r="A425" s="11">
        <v>49064</v>
      </c>
      <c r="B425" s="12" t="s">
        <v>21</v>
      </c>
      <c r="C425" s="13">
        <v>23</v>
      </c>
      <c r="D425" s="14">
        <v>0</v>
      </c>
    </row>
    <row r="426" spans="1:4" x14ac:dyDescent="0.35">
      <c r="A426" s="7">
        <v>49065</v>
      </c>
      <c r="B426" s="8" t="s">
        <v>19</v>
      </c>
      <c r="C426" s="9">
        <v>17.899999999999999</v>
      </c>
      <c r="D426" s="10">
        <v>36.799999999999997</v>
      </c>
    </row>
    <row r="427" spans="1:4" x14ac:dyDescent="0.35">
      <c r="A427" s="11">
        <v>49066</v>
      </c>
      <c r="B427" s="12" t="s">
        <v>19</v>
      </c>
      <c r="C427" s="13">
        <v>27.3</v>
      </c>
      <c r="D427" s="14">
        <v>0</v>
      </c>
    </row>
    <row r="428" spans="1:4" x14ac:dyDescent="0.35">
      <c r="A428" s="7">
        <v>49067</v>
      </c>
      <c r="B428" s="8" t="s">
        <v>4</v>
      </c>
      <c r="C428" s="9">
        <v>19.3</v>
      </c>
      <c r="D428" s="10">
        <v>0.4</v>
      </c>
    </row>
    <row r="429" spans="1:4" x14ac:dyDescent="0.35">
      <c r="A429" s="11">
        <v>49068</v>
      </c>
      <c r="B429" s="12" t="s">
        <v>14</v>
      </c>
      <c r="C429" s="13">
        <v>25.5</v>
      </c>
      <c r="D429" s="14">
        <v>0</v>
      </c>
    </row>
    <row r="430" spans="1:4" x14ac:dyDescent="0.35">
      <c r="A430" s="7">
        <v>49069</v>
      </c>
      <c r="B430" s="8" t="s">
        <v>6</v>
      </c>
      <c r="C430" s="9">
        <v>13.7</v>
      </c>
      <c r="D430" s="10">
        <v>11.7</v>
      </c>
    </row>
    <row r="431" spans="1:4" x14ac:dyDescent="0.35">
      <c r="A431" s="11">
        <v>49070</v>
      </c>
      <c r="B431" s="12" t="s">
        <v>19</v>
      </c>
      <c r="C431" s="13">
        <v>18.399999999999999</v>
      </c>
      <c r="D431" s="14">
        <v>0</v>
      </c>
    </row>
    <row r="432" spans="1:4" x14ac:dyDescent="0.35">
      <c r="A432" s="7">
        <v>49071</v>
      </c>
      <c r="B432" s="8" t="s">
        <v>18</v>
      </c>
      <c r="C432" s="9">
        <v>11.1</v>
      </c>
      <c r="D432" s="10">
        <v>0</v>
      </c>
    </row>
    <row r="433" spans="1:4" x14ac:dyDescent="0.35">
      <c r="A433" s="11">
        <v>49072</v>
      </c>
      <c r="B433" s="12" t="s">
        <v>12</v>
      </c>
      <c r="C433" s="13">
        <v>28</v>
      </c>
      <c r="D433" s="14">
        <v>0</v>
      </c>
    </row>
    <row r="434" spans="1:4" x14ac:dyDescent="0.35">
      <c r="A434" s="7">
        <v>49073</v>
      </c>
      <c r="B434" s="8" t="s">
        <v>6</v>
      </c>
      <c r="C434" s="9">
        <v>16.2</v>
      </c>
      <c r="D434" s="10">
        <v>13.7</v>
      </c>
    </row>
    <row r="435" spans="1:4" x14ac:dyDescent="0.35">
      <c r="A435" s="11">
        <v>49074</v>
      </c>
      <c r="B435" s="12" t="s">
        <v>19</v>
      </c>
      <c r="C435" s="13">
        <v>12.1</v>
      </c>
      <c r="D435" s="14">
        <v>37.200000000000003</v>
      </c>
    </row>
    <row r="436" spans="1:4" x14ac:dyDescent="0.35">
      <c r="A436" s="7">
        <v>49075</v>
      </c>
      <c r="B436" s="8" t="s">
        <v>20</v>
      </c>
      <c r="C436" s="9">
        <v>21.4</v>
      </c>
      <c r="D436" s="10">
        <v>3.1</v>
      </c>
    </row>
    <row r="437" spans="1:4" x14ac:dyDescent="0.35">
      <c r="A437" s="11">
        <v>49076</v>
      </c>
      <c r="B437" s="12" t="s">
        <v>10</v>
      </c>
      <c r="C437" s="13">
        <v>11.2</v>
      </c>
      <c r="D437" s="14">
        <v>0</v>
      </c>
    </row>
    <row r="438" spans="1:4" x14ac:dyDescent="0.35">
      <c r="A438" s="7">
        <v>49077</v>
      </c>
      <c r="B438" s="8" t="s">
        <v>28</v>
      </c>
      <c r="C438" s="9">
        <v>18.399999999999999</v>
      </c>
      <c r="D438" s="10">
        <v>0.2</v>
      </c>
    </row>
    <row r="439" spans="1:4" x14ac:dyDescent="0.35">
      <c r="A439" s="11">
        <v>49078</v>
      </c>
      <c r="B439" s="12" t="s">
        <v>12</v>
      </c>
      <c r="C439" s="13">
        <v>13.7</v>
      </c>
      <c r="D439" s="14">
        <v>0</v>
      </c>
    </row>
    <row r="440" spans="1:4" x14ac:dyDescent="0.35">
      <c r="A440" s="7">
        <v>49079</v>
      </c>
      <c r="B440" s="8" t="s">
        <v>19</v>
      </c>
      <c r="C440" s="9">
        <v>10.4</v>
      </c>
      <c r="D440" s="10">
        <v>15.6</v>
      </c>
    </row>
    <row r="441" spans="1:4" x14ac:dyDescent="0.35">
      <c r="A441" s="11">
        <v>49080</v>
      </c>
      <c r="B441" s="12" t="s">
        <v>31</v>
      </c>
      <c r="C441" s="13">
        <v>21.8</v>
      </c>
      <c r="D441" s="14">
        <v>0</v>
      </c>
    </row>
    <row r="442" spans="1:4" x14ac:dyDescent="0.35">
      <c r="A442" s="7">
        <v>49081</v>
      </c>
      <c r="B442" s="8" t="s">
        <v>7</v>
      </c>
      <c r="C442" s="9">
        <v>11</v>
      </c>
      <c r="D442" s="10">
        <v>0.4</v>
      </c>
    </row>
    <row r="443" spans="1:4" x14ac:dyDescent="0.35">
      <c r="A443" s="11">
        <v>49082</v>
      </c>
      <c r="B443" s="12" t="s">
        <v>10</v>
      </c>
      <c r="C443" s="13">
        <v>19</v>
      </c>
      <c r="D443" s="14">
        <v>21.9</v>
      </c>
    </row>
    <row r="444" spans="1:4" x14ac:dyDescent="0.35">
      <c r="A444" s="7">
        <v>49083</v>
      </c>
      <c r="B444" s="8" t="s">
        <v>10</v>
      </c>
      <c r="C444" s="9">
        <v>12.5</v>
      </c>
      <c r="D444" s="10">
        <v>0</v>
      </c>
    </row>
    <row r="445" spans="1:4" x14ac:dyDescent="0.35">
      <c r="A445" s="11">
        <v>49084</v>
      </c>
      <c r="B445" s="12" t="s">
        <v>15</v>
      </c>
      <c r="C445" s="13">
        <v>13.6</v>
      </c>
      <c r="D445" s="14">
        <v>12.6</v>
      </c>
    </row>
    <row r="446" spans="1:4" x14ac:dyDescent="0.35">
      <c r="A446" s="7">
        <v>49085</v>
      </c>
      <c r="B446" s="8" t="s">
        <v>10</v>
      </c>
      <c r="C446" s="9">
        <v>20.2</v>
      </c>
      <c r="D446" s="10">
        <v>17.899999999999999</v>
      </c>
    </row>
    <row r="447" spans="1:4" x14ac:dyDescent="0.35">
      <c r="A447" s="11">
        <v>49086</v>
      </c>
      <c r="B447" s="12" t="s">
        <v>10</v>
      </c>
      <c r="C447" s="13">
        <v>28.7</v>
      </c>
      <c r="D447" s="14">
        <v>0</v>
      </c>
    </row>
    <row r="448" spans="1:4" x14ac:dyDescent="0.35">
      <c r="A448" s="7">
        <v>49087</v>
      </c>
      <c r="B448" s="8" t="s">
        <v>20</v>
      </c>
      <c r="C448" s="9">
        <v>13.4</v>
      </c>
      <c r="D448" s="10">
        <v>4.8</v>
      </c>
    </row>
    <row r="449" spans="1:4" x14ac:dyDescent="0.35">
      <c r="A449" s="11">
        <v>49088</v>
      </c>
      <c r="B449" s="12" t="s">
        <v>15</v>
      </c>
      <c r="C449" s="13">
        <v>12</v>
      </c>
      <c r="D449" s="14">
        <v>8.9</v>
      </c>
    </row>
    <row r="450" spans="1:4" x14ac:dyDescent="0.35">
      <c r="A450" s="7">
        <v>49089</v>
      </c>
      <c r="B450" s="8" t="s">
        <v>11</v>
      </c>
      <c r="C450" s="9">
        <v>28.9</v>
      </c>
      <c r="D450" s="10">
        <v>13.9</v>
      </c>
    </row>
    <row r="451" spans="1:4" x14ac:dyDescent="0.35">
      <c r="A451" s="11">
        <v>49090</v>
      </c>
      <c r="B451" s="12" t="s">
        <v>22</v>
      </c>
      <c r="C451" s="13">
        <v>25.2</v>
      </c>
      <c r="D451" s="14">
        <v>0</v>
      </c>
    </row>
    <row r="452" spans="1:4" x14ac:dyDescent="0.35">
      <c r="A452" s="7">
        <v>49091</v>
      </c>
      <c r="B452" s="8" t="s">
        <v>11</v>
      </c>
      <c r="C452" s="9">
        <v>18.600000000000001</v>
      </c>
      <c r="D452" s="10">
        <v>1.8</v>
      </c>
    </row>
    <row r="453" spans="1:4" x14ac:dyDescent="0.35">
      <c r="A453" s="11">
        <v>49092</v>
      </c>
      <c r="B453" s="12" t="s">
        <v>26</v>
      </c>
      <c r="C453" s="13">
        <v>20</v>
      </c>
      <c r="D453" s="14">
        <v>2.4</v>
      </c>
    </row>
    <row r="454" spans="1:4" x14ac:dyDescent="0.35">
      <c r="A454" s="7">
        <v>49093</v>
      </c>
      <c r="B454" s="8" t="s">
        <v>9</v>
      </c>
      <c r="C454" s="9">
        <v>14.3</v>
      </c>
      <c r="D454" s="10">
        <v>3.9</v>
      </c>
    </row>
    <row r="455" spans="1:4" x14ac:dyDescent="0.35">
      <c r="A455" s="11">
        <v>49094</v>
      </c>
      <c r="B455" s="12" t="s">
        <v>10</v>
      </c>
      <c r="C455" s="13">
        <v>28.8</v>
      </c>
      <c r="D455" s="14">
        <v>25.1</v>
      </c>
    </row>
    <row r="456" spans="1:4" x14ac:dyDescent="0.35">
      <c r="A456" s="7">
        <v>49095</v>
      </c>
      <c r="B456" s="8" t="s">
        <v>19</v>
      </c>
      <c r="C456" s="9">
        <v>26.8</v>
      </c>
      <c r="D456" s="10">
        <v>10.8</v>
      </c>
    </row>
    <row r="457" spans="1:4" x14ac:dyDescent="0.35">
      <c r="A457" s="11">
        <v>49096</v>
      </c>
      <c r="B457" s="12" t="s">
        <v>19</v>
      </c>
      <c r="C457" s="13">
        <v>20.399999999999999</v>
      </c>
      <c r="D457" s="14">
        <v>0</v>
      </c>
    </row>
    <row r="458" spans="1:4" x14ac:dyDescent="0.35">
      <c r="A458" s="7">
        <v>49097</v>
      </c>
      <c r="B458" s="8" t="s">
        <v>22</v>
      </c>
      <c r="C458" s="9">
        <v>14.1</v>
      </c>
      <c r="D458" s="10">
        <v>4.5</v>
      </c>
    </row>
    <row r="459" spans="1:4" x14ac:dyDescent="0.35">
      <c r="A459" s="11">
        <v>49098</v>
      </c>
      <c r="B459" s="12" t="s">
        <v>14</v>
      </c>
      <c r="C459" s="13">
        <v>28.1</v>
      </c>
      <c r="D459" s="14">
        <v>6.3</v>
      </c>
    </row>
    <row r="460" spans="1:4" x14ac:dyDescent="0.35">
      <c r="A460" s="7">
        <v>49099</v>
      </c>
      <c r="B460" s="8" t="s">
        <v>13</v>
      </c>
      <c r="C460" s="9">
        <v>15.7</v>
      </c>
      <c r="D460" s="10">
        <v>11.5</v>
      </c>
    </row>
    <row r="461" spans="1:4" x14ac:dyDescent="0.35">
      <c r="A461" s="11">
        <v>49100</v>
      </c>
      <c r="B461" s="12" t="s">
        <v>29</v>
      </c>
      <c r="C461" s="13">
        <v>27.7</v>
      </c>
      <c r="D461" s="14">
        <v>0.6</v>
      </c>
    </row>
    <row r="462" spans="1:4" x14ac:dyDescent="0.35">
      <c r="A462" s="7">
        <v>49101</v>
      </c>
      <c r="B462" s="8" t="s">
        <v>7</v>
      </c>
      <c r="C462" s="9">
        <v>22.9</v>
      </c>
      <c r="D462" s="10">
        <v>22.6</v>
      </c>
    </row>
    <row r="463" spans="1:4" x14ac:dyDescent="0.35">
      <c r="A463" s="11">
        <v>49102</v>
      </c>
      <c r="B463" s="12" t="s">
        <v>13</v>
      </c>
      <c r="C463" s="13">
        <v>10.3</v>
      </c>
      <c r="D463" s="14">
        <v>0</v>
      </c>
    </row>
    <row r="464" spans="1:4" x14ac:dyDescent="0.35">
      <c r="A464" s="7">
        <v>49103</v>
      </c>
      <c r="B464" s="8" t="s">
        <v>23</v>
      </c>
      <c r="C464" s="9">
        <v>28.4</v>
      </c>
      <c r="D464" s="10">
        <v>4</v>
      </c>
    </row>
    <row r="465" spans="1:4" x14ac:dyDescent="0.35">
      <c r="A465" s="11">
        <v>49104</v>
      </c>
      <c r="B465" s="12" t="s">
        <v>18</v>
      </c>
      <c r="C465" s="13">
        <v>18.7</v>
      </c>
      <c r="D465" s="14">
        <v>15</v>
      </c>
    </row>
    <row r="466" spans="1:4" x14ac:dyDescent="0.35">
      <c r="A466" s="7">
        <v>49105</v>
      </c>
      <c r="B466" s="8" t="s">
        <v>19</v>
      </c>
      <c r="C466" s="9">
        <v>13.7</v>
      </c>
      <c r="D466" s="10">
        <v>9.4</v>
      </c>
    </row>
    <row r="467" spans="1:4" x14ac:dyDescent="0.35">
      <c r="A467" s="11">
        <v>49106</v>
      </c>
      <c r="B467" s="12" t="s">
        <v>14</v>
      </c>
      <c r="C467" s="13">
        <v>16.3</v>
      </c>
      <c r="D467" s="14">
        <v>3.6</v>
      </c>
    </row>
    <row r="468" spans="1:4" x14ac:dyDescent="0.35">
      <c r="A468" s="7">
        <v>49107</v>
      </c>
      <c r="B468" s="8" t="s">
        <v>27</v>
      </c>
      <c r="C468" s="9">
        <v>14</v>
      </c>
      <c r="D468" s="10">
        <v>0</v>
      </c>
    </row>
    <row r="469" spans="1:4" x14ac:dyDescent="0.35">
      <c r="A469" s="11">
        <v>49108</v>
      </c>
      <c r="B469" s="12" t="s">
        <v>15</v>
      </c>
      <c r="C469" s="13">
        <v>26</v>
      </c>
      <c r="D469" s="14">
        <v>5.5</v>
      </c>
    </row>
    <row r="470" spans="1:4" x14ac:dyDescent="0.35">
      <c r="A470" s="7">
        <v>49109</v>
      </c>
      <c r="B470" s="8" t="s">
        <v>19</v>
      </c>
      <c r="C470" s="9">
        <v>27</v>
      </c>
      <c r="D470" s="10">
        <v>38.6</v>
      </c>
    </row>
    <row r="471" spans="1:4" x14ac:dyDescent="0.35">
      <c r="A471" s="11">
        <v>49110</v>
      </c>
      <c r="B471" s="12" t="s">
        <v>10</v>
      </c>
      <c r="C471" s="13">
        <v>26.6</v>
      </c>
      <c r="D471" s="14">
        <v>49.7</v>
      </c>
    </row>
    <row r="472" spans="1:4" x14ac:dyDescent="0.35">
      <c r="A472" s="7">
        <v>49111</v>
      </c>
      <c r="B472" s="8" t="s">
        <v>19</v>
      </c>
      <c r="C472" s="9">
        <v>20.9</v>
      </c>
      <c r="D472" s="10">
        <v>30</v>
      </c>
    </row>
    <row r="473" spans="1:4" x14ac:dyDescent="0.35">
      <c r="A473" s="11">
        <v>49112</v>
      </c>
      <c r="B473" s="12" t="s">
        <v>22</v>
      </c>
      <c r="C473" s="13">
        <v>28.5</v>
      </c>
      <c r="D473" s="14">
        <v>5.3</v>
      </c>
    </row>
    <row r="474" spans="1:4" x14ac:dyDescent="0.35">
      <c r="A474" s="7">
        <v>49113</v>
      </c>
      <c r="B474" s="8" t="s">
        <v>5</v>
      </c>
      <c r="C474" s="9">
        <v>10.4</v>
      </c>
      <c r="D474" s="10">
        <v>0</v>
      </c>
    </row>
    <row r="475" spans="1:4" x14ac:dyDescent="0.35">
      <c r="A475" s="11">
        <v>49114</v>
      </c>
      <c r="B475" s="12" t="s">
        <v>18</v>
      </c>
      <c r="C475" s="13">
        <v>25.9</v>
      </c>
      <c r="D475" s="14">
        <v>9.1999999999999993</v>
      </c>
    </row>
    <row r="476" spans="1:4" x14ac:dyDescent="0.35">
      <c r="A476" s="7">
        <v>49115</v>
      </c>
      <c r="B476" s="8" t="s">
        <v>11</v>
      </c>
      <c r="C476" s="9">
        <v>24.6</v>
      </c>
      <c r="D476" s="10">
        <v>11</v>
      </c>
    </row>
    <row r="477" spans="1:4" x14ac:dyDescent="0.35">
      <c r="A477" s="11">
        <v>49116</v>
      </c>
      <c r="B477" s="12" t="s">
        <v>16</v>
      </c>
      <c r="C477" s="13">
        <v>22</v>
      </c>
      <c r="D477" s="14">
        <v>0</v>
      </c>
    </row>
    <row r="478" spans="1:4" x14ac:dyDescent="0.35">
      <c r="A478" s="7">
        <v>49117</v>
      </c>
      <c r="B478" s="8" t="s">
        <v>8</v>
      </c>
      <c r="C478" s="9">
        <v>16.8</v>
      </c>
      <c r="D478" s="10">
        <v>2.4</v>
      </c>
    </row>
    <row r="479" spans="1:4" x14ac:dyDescent="0.35">
      <c r="A479" s="11">
        <v>49118</v>
      </c>
      <c r="B479" s="12" t="s">
        <v>10</v>
      </c>
      <c r="C479" s="13">
        <v>21.7</v>
      </c>
      <c r="D479" s="14">
        <v>44.1</v>
      </c>
    </row>
    <row r="480" spans="1:4" x14ac:dyDescent="0.35">
      <c r="A480" s="7">
        <v>49119</v>
      </c>
      <c r="B480" s="8" t="s">
        <v>12</v>
      </c>
      <c r="C480" s="9">
        <v>28.9</v>
      </c>
      <c r="D480" s="10">
        <v>0</v>
      </c>
    </row>
    <row r="481" spans="1:4" x14ac:dyDescent="0.35">
      <c r="A481" s="11">
        <v>49120</v>
      </c>
      <c r="B481" s="12" t="s">
        <v>13</v>
      </c>
      <c r="C481" s="13">
        <v>26.6</v>
      </c>
      <c r="D481" s="14">
        <v>0.4</v>
      </c>
    </row>
    <row r="482" spans="1:4" x14ac:dyDescent="0.35">
      <c r="A482" s="7">
        <v>49121</v>
      </c>
      <c r="B482" s="8" t="s">
        <v>15</v>
      </c>
      <c r="C482" s="9">
        <v>28</v>
      </c>
      <c r="D482" s="10">
        <v>16.7</v>
      </c>
    </row>
    <row r="483" spans="1:4" x14ac:dyDescent="0.35">
      <c r="A483" s="11">
        <v>49122</v>
      </c>
      <c r="B483" s="12" t="s">
        <v>17</v>
      </c>
      <c r="C483" s="13">
        <v>27.5</v>
      </c>
      <c r="D483" s="14">
        <v>0</v>
      </c>
    </row>
    <row r="484" spans="1:4" x14ac:dyDescent="0.35">
      <c r="A484" s="7">
        <v>49123</v>
      </c>
      <c r="B484" s="8" t="s">
        <v>22</v>
      </c>
      <c r="C484" s="9">
        <v>18.2</v>
      </c>
      <c r="D484" s="10">
        <v>0</v>
      </c>
    </row>
    <row r="485" spans="1:4" x14ac:dyDescent="0.35">
      <c r="A485" s="11">
        <v>49124</v>
      </c>
      <c r="B485" s="12" t="s">
        <v>18</v>
      </c>
      <c r="C485" s="13">
        <v>25.1</v>
      </c>
      <c r="D485" s="14">
        <v>0</v>
      </c>
    </row>
    <row r="486" spans="1:4" x14ac:dyDescent="0.35">
      <c r="A486" s="7">
        <v>49125</v>
      </c>
      <c r="B486" s="8" t="s">
        <v>4</v>
      </c>
      <c r="C486" s="9">
        <v>10.1</v>
      </c>
      <c r="D486" s="10">
        <v>0.2</v>
      </c>
    </row>
    <row r="487" spans="1:4" x14ac:dyDescent="0.35">
      <c r="A487" s="11">
        <v>49126</v>
      </c>
      <c r="B487" s="12" t="s">
        <v>15</v>
      </c>
      <c r="C487" s="13">
        <v>13.1</v>
      </c>
      <c r="D487" s="14">
        <v>7.9</v>
      </c>
    </row>
    <row r="488" spans="1:4" x14ac:dyDescent="0.35">
      <c r="A488" s="7">
        <v>49127</v>
      </c>
      <c r="B488" s="8" t="s">
        <v>9</v>
      </c>
      <c r="C488" s="9">
        <v>22.9</v>
      </c>
      <c r="D488" s="10">
        <v>0</v>
      </c>
    </row>
    <row r="489" spans="1:4" x14ac:dyDescent="0.35">
      <c r="A489" s="11">
        <v>49128</v>
      </c>
      <c r="B489" s="12" t="s">
        <v>9</v>
      </c>
      <c r="C489" s="13">
        <v>26.3</v>
      </c>
      <c r="D489" s="14">
        <v>4</v>
      </c>
    </row>
    <row r="490" spans="1:4" x14ac:dyDescent="0.35">
      <c r="A490" s="7">
        <v>49129</v>
      </c>
      <c r="B490" s="8" t="s">
        <v>19</v>
      </c>
      <c r="C490" s="9">
        <v>11.3</v>
      </c>
      <c r="D490" s="10">
        <v>19.8</v>
      </c>
    </row>
    <row r="491" spans="1:4" x14ac:dyDescent="0.35">
      <c r="A491" s="11">
        <v>49130</v>
      </c>
      <c r="B491" s="12" t="s">
        <v>10</v>
      </c>
      <c r="C491" s="13">
        <v>30</v>
      </c>
      <c r="D491" s="14">
        <v>0</v>
      </c>
    </row>
    <row r="492" spans="1:4" x14ac:dyDescent="0.35">
      <c r="A492" s="7">
        <v>49131</v>
      </c>
      <c r="B492" s="8" t="s">
        <v>22</v>
      </c>
      <c r="C492" s="9">
        <v>20.399999999999999</v>
      </c>
      <c r="D492" s="10">
        <v>0</v>
      </c>
    </row>
    <row r="493" spans="1:4" x14ac:dyDescent="0.35">
      <c r="A493" s="11">
        <v>49132</v>
      </c>
      <c r="B493" s="12" t="s">
        <v>7</v>
      </c>
      <c r="C493" s="13">
        <v>24.5</v>
      </c>
      <c r="D493" s="14">
        <v>8.6999999999999993</v>
      </c>
    </row>
    <row r="494" spans="1:4" x14ac:dyDescent="0.35">
      <c r="A494" s="7">
        <v>49133</v>
      </c>
      <c r="B494" s="8" t="s">
        <v>11</v>
      </c>
      <c r="C494" s="9">
        <v>17</v>
      </c>
      <c r="D494" s="10">
        <v>2.7</v>
      </c>
    </row>
    <row r="495" spans="1:4" x14ac:dyDescent="0.35">
      <c r="A495" s="11">
        <v>49134</v>
      </c>
      <c r="B495" s="12" t="s">
        <v>19</v>
      </c>
      <c r="C495" s="13">
        <v>21</v>
      </c>
      <c r="D495" s="14">
        <v>5.6</v>
      </c>
    </row>
    <row r="496" spans="1:4" x14ac:dyDescent="0.35">
      <c r="A496" s="7">
        <v>49135</v>
      </c>
      <c r="B496" s="8" t="s">
        <v>19</v>
      </c>
      <c r="C496" s="9">
        <v>20.7</v>
      </c>
      <c r="D496" s="10">
        <v>0</v>
      </c>
    </row>
    <row r="497" spans="1:4" x14ac:dyDescent="0.35">
      <c r="A497" s="11">
        <v>49136</v>
      </c>
      <c r="B497" s="12" t="s">
        <v>12</v>
      </c>
      <c r="C497" s="13">
        <v>26.7</v>
      </c>
      <c r="D497" s="14">
        <v>9.8000000000000007</v>
      </c>
    </row>
    <row r="498" spans="1:4" x14ac:dyDescent="0.35">
      <c r="A498" s="7">
        <v>49137</v>
      </c>
      <c r="B498" s="8" t="s">
        <v>30</v>
      </c>
      <c r="C498" s="9">
        <v>10.199999999999999</v>
      </c>
      <c r="D498" s="10">
        <v>0.1</v>
      </c>
    </row>
    <row r="499" spans="1:4" x14ac:dyDescent="0.35">
      <c r="A499" s="11">
        <v>49138</v>
      </c>
      <c r="B499" s="12" t="s">
        <v>10</v>
      </c>
      <c r="C499" s="13">
        <v>15.7</v>
      </c>
      <c r="D499" s="14">
        <v>5.8</v>
      </c>
    </row>
    <row r="500" spans="1:4" x14ac:dyDescent="0.35">
      <c r="A500" s="7">
        <v>49139</v>
      </c>
      <c r="B500" s="8" t="s">
        <v>33</v>
      </c>
      <c r="C500" s="9">
        <v>15.9</v>
      </c>
      <c r="D500" s="10">
        <v>2.2000000000000002</v>
      </c>
    </row>
    <row r="501" spans="1:4" x14ac:dyDescent="0.35">
      <c r="A501" s="11">
        <v>49140</v>
      </c>
      <c r="B501" s="12" t="s">
        <v>19</v>
      </c>
      <c r="C501" s="13">
        <v>21</v>
      </c>
      <c r="D501" s="14">
        <v>13.1</v>
      </c>
    </row>
    <row r="502" spans="1:4" x14ac:dyDescent="0.35">
      <c r="A502" s="7">
        <v>49141</v>
      </c>
      <c r="B502" s="8" t="s">
        <v>9</v>
      </c>
      <c r="C502" s="9">
        <v>10.9</v>
      </c>
      <c r="D502" s="10">
        <v>8.1</v>
      </c>
    </row>
    <row r="503" spans="1:4" x14ac:dyDescent="0.35">
      <c r="A503" s="11">
        <v>49142</v>
      </c>
      <c r="B503" s="12" t="s">
        <v>22</v>
      </c>
      <c r="C503" s="13">
        <v>20.9</v>
      </c>
      <c r="D503" s="14">
        <v>5.9</v>
      </c>
    </row>
    <row r="504" spans="1:4" x14ac:dyDescent="0.35">
      <c r="A504" s="7">
        <v>49143</v>
      </c>
      <c r="B504" s="8" t="s">
        <v>19</v>
      </c>
      <c r="C504" s="9">
        <v>21.8</v>
      </c>
      <c r="D504" s="10">
        <v>15.9</v>
      </c>
    </row>
    <row r="505" spans="1:4" x14ac:dyDescent="0.35">
      <c r="A505" s="11">
        <v>49144</v>
      </c>
      <c r="B505" s="12" t="s">
        <v>15</v>
      </c>
      <c r="C505" s="13">
        <v>11.9</v>
      </c>
      <c r="D505" s="14">
        <v>18.100000000000001</v>
      </c>
    </row>
    <row r="506" spans="1:4" x14ac:dyDescent="0.35">
      <c r="A506" s="7">
        <v>49145</v>
      </c>
      <c r="B506" s="8" t="s">
        <v>13</v>
      </c>
      <c r="C506" s="9">
        <v>12.9</v>
      </c>
      <c r="D506" s="10">
        <v>0</v>
      </c>
    </row>
    <row r="507" spans="1:4" x14ac:dyDescent="0.35">
      <c r="A507" s="11">
        <v>49146</v>
      </c>
      <c r="B507" s="12" t="s">
        <v>19</v>
      </c>
      <c r="C507" s="13">
        <v>14.9</v>
      </c>
      <c r="D507" s="14">
        <v>4.8</v>
      </c>
    </row>
    <row r="508" spans="1:4" x14ac:dyDescent="0.35">
      <c r="A508" s="7">
        <v>49147</v>
      </c>
      <c r="B508" s="8" t="s">
        <v>10</v>
      </c>
      <c r="C508" s="9">
        <v>29.5</v>
      </c>
      <c r="D508" s="10">
        <v>0</v>
      </c>
    </row>
    <row r="509" spans="1:4" x14ac:dyDescent="0.35">
      <c r="A509" s="11">
        <v>49148</v>
      </c>
      <c r="B509" s="12" t="s">
        <v>19</v>
      </c>
      <c r="C509" s="13">
        <v>18.100000000000001</v>
      </c>
      <c r="D509" s="14">
        <v>0</v>
      </c>
    </row>
    <row r="510" spans="1:4" x14ac:dyDescent="0.35">
      <c r="A510" s="7">
        <v>49149</v>
      </c>
      <c r="B510" s="8" t="s">
        <v>6</v>
      </c>
      <c r="C510" s="9">
        <v>10.8</v>
      </c>
      <c r="D510" s="10">
        <v>11.8</v>
      </c>
    </row>
    <row r="511" spans="1:4" x14ac:dyDescent="0.35">
      <c r="A511" s="11">
        <v>49150</v>
      </c>
      <c r="B511" s="12" t="s">
        <v>9</v>
      </c>
      <c r="C511" s="13">
        <v>13.5</v>
      </c>
      <c r="D511" s="14">
        <v>5.4</v>
      </c>
    </row>
    <row r="512" spans="1:4" x14ac:dyDescent="0.35">
      <c r="A512" s="7">
        <v>49151</v>
      </c>
      <c r="B512" s="8" t="s">
        <v>22</v>
      </c>
      <c r="C512" s="9">
        <v>15.9</v>
      </c>
      <c r="D512" s="10">
        <v>0</v>
      </c>
    </row>
    <row r="513" spans="1:4" x14ac:dyDescent="0.35">
      <c r="A513" s="11">
        <v>49152</v>
      </c>
      <c r="B513" s="12" t="s">
        <v>26</v>
      </c>
      <c r="C513" s="13">
        <v>23.1</v>
      </c>
      <c r="D513" s="14">
        <v>0</v>
      </c>
    </row>
    <row r="514" spans="1:4" x14ac:dyDescent="0.35">
      <c r="A514" s="7">
        <v>49153</v>
      </c>
      <c r="B514" s="8" t="s">
        <v>16</v>
      </c>
      <c r="C514" s="9">
        <v>26.7</v>
      </c>
      <c r="D514" s="10">
        <v>0</v>
      </c>
    </row>
    <row r="515" spans="1:4" x14ac:dyDescent="0.35">
      <c r="A515" s="11">
        <v>49154</v>
      </c>
      <c r="B515" s="12" t="s">
        <v>10</v>
      </c>
      <c r="C515" s="13">
        <v>26</v>
      </c>
      <c r="D515" s="14">
        <v>29.1</v>
      </c>
    </row>
    <row r="516" spans="1:4" x14ac:dyDescent="0.35">
      <c r="A516" s="7">
        <v>49155</v>
      </c>
      <c r="B516" s="8" t="s">
        <v>18</v>
      </c>
      <c r="C516" s="9">
        <v>23.6</v>
      </c>
      <c r="D516" s="10">
        <v>9.1</v>
      </c>
    </row>
    <row r="517" spans="1:4" x14ac:dyDescent="0.35">
      <c r="A517" s="11">
        <v>49156</v>
      </c>
      <c r="B517" s="12" t="s">
        <v>26</v>
      </c>
      <c r="C517" s="13">
        <v>29.8</v>
      </c>
      <c r="D517" s="14">
        <v>5.7</v>
      </c>
    </row>
    <row r="518" spans="1:4" x14ac:dyDescent="0.35">
      <c r="A518" s="7">
        <v>49157</v>
      </c>
      <c r="B518" s="8" t="s">
        <v>19</v>
      </c>
      <c r="C518" s="9">
        <v>18.600000000000001</v>
      </c>
      <c r="D518" s="10">
        <v>0</v>
      </c>
    </row>
    <row r="519" spans="1:4" x14ac:dyDescent="0.35">
      <c r="A519" s="11">
        <v>49158</v>
      </c>
      <c r="B519" s="12" t="s">
        <v>15</v>
      </c>
      <c r="C519" s="13">
        <v>17.600000000000001</v>
      </c>
      <c r="D519" s="14">
        <v>2.4</v>
      </c>
    </row>
    <row r="520" spans="1:4" x14ac:dyDescent="0.35">
      <c r="A520" s="7">
        <v>49159</v>
      </c>
      <c r="B520" s="8" t="s">
        <v>15</v>
      </c>
      <c r="C520" s="9">
        <v>12.6</v>
      </c>
      <c r="D520" s="10">
        <v>9.1999999999999993</v>
      </c>
    </row>
    <row r="521" spans="1:4" x14ac:dyDescent="0.35">
      <c r="A521" s="11">
        <v>49160</v>
      </c>
      <c r="B521" s="12" t="s">
        <v>17</v>
      </c>
      <c r="C521" s="13">
        <v>25.4</v>
      </c>
      <c r="D521" s="14">
        <v>5.4</v>
      </c>
    </row>
    <row r="522" spans="1:4" x14ac:dyDescent="0.35">
      <c r="A522" s="7">
        <v>49161</v>
      </c>
      <c r="B522" s="8" t="s">
        <v>20</v>
      </c>
      <c r="C522" s="9">
        <v>12.8</v>
      </c>
      <c r="D522" s="10">
        <v>3.6</v>
      </c>
    </row>
    <row r="523" spans="1:4" x14ac:dyDescent="0.35">
      <c r="A523" s="11">
        <v>49162</v>
      </c>
      <c r="B523" s="12" t="s">
        <v>11</v>
      </c>
      <c r="C523" s="13">
        <v>18.7</v>
      </c>
      <c r="D523" s="14">
        <v>0</v>
      </c>
    </row>
    <row r="524" spans="1:4" x14ac:dyDescent="0.35">
      <c r="A524" s="7">
        <v>49163</v>
      </c>
      <c r="B524" s="8" t="s">
        <v>33</v>
      </c>
      <c r="C524" s="9">
        <v>22.3</v>
      </c>
      <c r="D524" s="10">
        <v>0</v>
      </c>
    </row>
    <row r="525" spans="1:4" x14ac:dyDescent="0.35">
      <c r="A525" s="11">
        <v>49164</v>
      </c>
      <c r="B525" s="12" t="s">
        <v>18</v>
      </c>
      <c r="C525" s="13">
        <v>26.4</v>
      </c>
      <c r="D525" s="14">
        <v>0.5</v>
      </c>
    </row>
    <row r="526" spans="1:4" x14ac:dyDescent="0.35">
      <c r="A526" s="7">
        <v>49165</v>
      </c>
      <c r="B526" s="8" t="s">
        <v>7</v>
      </c>
      <c r="C526" s="9">
        <v>28.5</v>
      </c>
      <c r="D526" s="10">
        <v>3.2</v>
      </c>
    </row>
    <row r="527" spans="1:4" x14ac:dyDescent="0.35">
      <c r="A527" s="11">
        <v>49166</v>
      </c>
      <c r="B527" s="12" t="s">
        <v>17</v>
      </c>
      <c r="C527" s="13">
        <v>16.8</v>
      </c>
      <c r="D527" s="14">
        <v>5.5</v>
      </c>
    </row>
    <row r="528" spans="1:4" x14ac:dyDescent="0.35">
      <c r="A528" s="7">
        <v>49167</v>
      </c>
      <c r="B528" s="8" t="s">
        <v>27</v>
      </c>
      <c r="C528" s="9">
        <v>24.7</v>
      </c>
      <c r="D528" s="10">
        <v>0.8</v>
      </c>
    </row>
    <row r="529" spans="1:4" x14ac:dyDescent="0.35">
      <c r="A529" s="11">
        <v>49168</v>
      </c>
      <c r="B529" s="12" t="s">
        <v>9</v>
      </c>
      <c r="C529" s="13">
        <v>29.6</v>
      </c>
      <c r="D529" s="14">
        <v>0</v>
      </c>
    </row>
    <row r="530" spans="1:4" x14ac:dyDescent="0.35">
      <c r="A530" s="7">
        <v>49169</v>
      </c>
      <c r="B530" s="8" t="s">
        <v>10</v>
      </c>
      <c r="C530" s="9">
        <v>23.3</v>
      </c>
      <c r="D530" s="10">
        <v>29.4</v>
      </c>
    </row>
    <row r="531" spans="1:4" x14ac:dyDescent="0.35">
      <c r="A531" s="11">
        <v>49170</v>
      </c>
      <c r="B531" s="12" t="s">
        <v>9</v>
      </c>
      <c r="C531" s="13">
        <v>28.8</v>
      </c>
      <c r="D531" s="14">
        <v>11.5</v>
      </c>
    </row>
    <row r="532" spans="1:4" x14ac:dyDescent="0.35">
      <c r="A532" s="7">
        <v>49171</v>
      </c>
      <c r="B532" s="8" t="s">
        <v>9</v>
      </c>
      <c r="C532" s="9">
        <v>26.5</v>
      </c>
      <c r="D532" s="10">
        <v>0</v>
      </c>
    </row>
    <row r="533" spans="1:4" x14ac:dyDescent="0.35">
      <c r="A533" s="11">
        <v>49172</v>
      </c>
      <c r="B533" s="12" t="s">
        <v>23</v>
      </c>
      <c r="C533" s="13">
        <v>17.100000000000001</v>
      </c>
      <c r="D533" s="14">
        <v>3.6</v>
      </c>
    </row>
    <row r="534" spans="1:4" x14ac:dyDescent="0.35">
      <c r="A534" s="7">
        <v>49173</v>
      </c>
      <c r="B534" s="8" t="s">
        <v>9</v>
      </c>
      <c r="C534" s="9">
        <v>17.8</v>
      </c>
      <c r="D534" s="10">
        <v>7</v>
      </c>
    </row>
    <row r="535" spans="1:4" x14ac:dyDescent="0.35">
      <c r="A535" s="11">
        <v>49174</v>
      </c>
      <c r="B535" s="12" t="s">
        <v>27</v>
      </c>
      <c r="C535" s="13">
        <v>24.7</v>
      </c>
      <c r="D535" s="14">
        <v>1.5</v>
      </c>
    </row>
    <row r="536" spans="1:4" x14ac:dyDescent="0.35">
      <c r="A536" s="7">
        <v>49175</v>
      </c>
      <c r="B536" s="8" t="s">
        <v>19</v>
      </c>
      <c r="C536" s="9">
        <v>25.1</v>
      </c>
      <c r="D536" s="10">
        <v>0</v>
      </c>
    </row>
    <row r="537" spans="1:4" x14ac:dyDescent="0.35">
      <c r="A537" s="11">
        <v>49176</v>
      </c>
      <c r="B537" s="12" t="s">
        <v>32</v>
      </c>
      <c r="C537" s="13">
        <v>27</v>
      </c>
      <c r="D537" s="14">
        <v>0</v>
      </c>
    </row>
    <row r="538" spans="1:4" x14ac:dyDescent="0.35">
      <c r="A538" s="7">
        <v>49177</v>
      </c>
      <c r="B538" s="8" t="s">
        <v>18</v>
      </c>
      <c r="C538" s="9">
        <v>18.2</v>
      </c>
      <c r="D538" s="10">
        <v>13.9</v>
      </c>
    </row>
    <row r="539" spans="1:4" x14ac:dyDescent="0.35">
      <c r="A539" s="11">
        <v>49178</v>
      </c>
      <c r="B539" s="12" t="s">
        <v>15</v>
      </c>
      <c r="C539" s="13">
        <v>10.8</v>
      </c>
      <c r="D539" s="14">
        <v>7.9</v>
      </c>
    </row>
    <row r="540" spans="1:4" x14ac:dyDescent="0.35">
      <c r="A540" s="7">
        <v>49179</v>
      </c>
      <c r="B540" s="8" t="s">
        <v>7</v>
      </c>
      <c r="C540" s="9">
        <v>27.9</v>
      </c>
      <c r="D540" s="10">
        <v>9.9</v>
      </c>
    </row>
    <row r="541" spans="1:4" x14ac:dyDescent="0.35">
      <c r="A541" s="11">
        <v>49180</v>
      </c>
      <c r="B541" s="12" t="s">
        <v>24</v>
      </c>
      <c r="C541" s="13">
        <v>14.1</v>
      </c>
      <c r="D541" s="14">
        <v>0.7</v>
      </c>
    </row>
    <row r="542" spans="1:4" x14ac:dyDescent="0.35">
      <c r="A542" s="7">
        <v>49181</v>
      </c>
      <c r="B542" s="8" t="s">
        <v>18</v>
      </c>
      <c r="C542" s="9">
        <v>17.5</v>
      </c>
      <c r="D542" s="10">
        <v>3.2</v>
      </c>
    </row>
    <row r="543" spans="1:4" x14ac:dyDescent="0.35">
      <c r="A543" s="11">
        <v>49182</v>
      </c>
      <c r="B543" s="12" t="s">
        <v>10</v>
      </c>
      <c r="C543" s="13">
        <v>14.3</v>
      </c>
      <c r="D543" s="14">
        <v>0</v>
      </c>
    </row>
    <row r="544" spans="1:4" x14ac:dyDescent="0.35">
      <c r="A544" s="7">
        <v>49183</v>
      </c>
      <c r="B544" s="8" t="s">
        <v>20</v>
      </c>
      <c r="C544" s="9">
        <v>15.4</v>
      </c>
      <c r="D544" s="10">
        <v>0</v>
      </c>
    </row>
    <row r="545" spans="1:4" x14ac:dyDescent="0.35">
      <c r="A545" s="11">
        <v>49184</v>
      </c>
      <c r="B545" s="12" t="s">
        <v>19</v>
      </c>
      <c r="C545" s="13">
        <v>17.5</v>
      </c>
      <c r="D545" s="14">
        <v>0</v>
      </c>
    </row>
    <row r="546" spans="1:4" x14ac:dyDescent="0.35">
      <c r="A546" s="7">
        <v>49185</v>
      </c>
      <c r="B546" s="8" t="s">
        <v>13</v>
      </c>
      <c r="C546" s="9">
        <v>11.6</v>
      </c>
      <c r="D546" s="10">
        <v>4.0999999999999996</v>
      </c>
    </row>
    <row r="547" spans="1:4" x14ac:dyDescent="0.35">
      <c r="A547" s="11">
        <v>49186</v>
      </c>
      <c r="B547" s="12" t="s">
        <v>9</v>
      </c>
      <c r="C547" s="13">
        <v>27.9</v>
      </c>
      <c r="D547" s="14">
        <v>10.3</v>
      </c>
    </row>
    <row r="548" spans="1:4" x14ac:dyDescent="0.35">
      <c r="A548" s="7">
        <v>49187</v>
      </c>
      <c r="B548" s="8" t="s">
        <v>19</v>
      </c>
      <c r="C548" s="9">
        <v>11.8</v>
      </c>
      <c r="D548" s="10">
        <v>20.2</v>
      </c>
    </row>
    <row r="549" spans="1:4" x14ac:dyDescent="0.35">
      <c r="A549" s="11">
        <v>49188</v>
      </c>
      <c r="B549" s="12" t="s">
        <v>7</v>
      </c>
      <c r="C549" s="13">
        <v>12</v>
      </c>
      <c r="D549" s="14">
        <v>8.5</v>
      </c>
    </row>
    <row r="550" spans="1:4" x14ac:dyDescent="0.35">
      <c r="A550" s="7">
        <v>49189</v>
      </c>
      <c r="B550" s="8" t="s">
        <v>10</v>
      </c>
      <c r="C550" s="9">
        <v>11.8</v>
      </c>
      <c r="D550" s="10">
        <v>7.8</v>
      </c>
    </row>
    <row r="551" spans="1:4" x14ac:dyDescent="0.35">
      <c r="A551" s="11">
        <v>49190</v>
      </c>
      <c r="B551" s="12" t="s">
        <v>17</v>
      </c>
      <c r="C551" s="13">
        <v>22.2</v>
      </c>
      <c r="D551" s="14">
        <v>0</v>
      </c>
    </row>
    <row r="552" spans="1:4" x14ac:dyDescent="0.35">
      <c r="A552" s="7">
        <v>49191</v>
      </c>
      <c r="B552" s="8" t="s">
        <v>7</v>
      </c>
      <c r="C552" s="9">
        <v>13.3</v>
      </c>
      <c r="D552" s="10">
        <v>3.8</v>
      </c>
    </row>
    <row r="553" spans="1:4" x14ac:dyDescent="0.35">
      <c r="A553" s="11">
        <v>49192</v>
      </c>
      <c r="B553" s="12" t="s">
        <v>13</v>
      </c>
      <c r="C553" s="13">
        <v>24.6</v>
      </c>
      <c r="D553" s="14">
        <v>2.1</v>
      </c>
    </row>
    <row r="554" spans="1:4" x14ac:dyDescent="0.35">
      <c r="A554" s="7">
        <v>49193</v>
      </c>
      <c r="B554" s="8" t="s">
        <v>19</v>
      </c>
      <c r="C554" s="9">
        <v>15.7</v>
      </c>
      <c r="D554" s="10">
        <v>0</v>
      </c>
    </row>
    <row r="555" spans="1:4" x14ac:dyDescent="0.35">
      <c r="A555" s="11">
        <v>49194</v>
      </c>
      <c r="B555" s="12" t="s">
        <v>18</v>
      </c>
      <c r="C555" s="13">
        <v>26.7</v>
      </c>
      <c r="D555" s="14">
        <v>16.2</v>
      </c>
    </row>
    <row r="556" spans="1:4" x14ac:dyDescent="0.35">
      <c r="A556" s="7">
        <v>49195</v>
      </c>
      <c r="B556" s="8" t="s">
        <v>15</v>
      </c>
      <c r="C556" s="9">
        <v>28.1</v>
      </c>
      <c r="D556" s="10">
        <v>1.1000000000000001</v>
      </c>
    </row>
    <row r="557" spans="1:4" x14ac:dyDescent="0.35">
      <c r="A557" s="11">
        <v>49196</v>
      </c>
      <c r="B557" s="12" t="s">
        <v>10</v>
      </c>
      <c r="C557" s="13">
        <v>29.1</v>
      </c>
      <c r="D557" s="14">
        <v>3</v>
      </c>
    </row>
    <row r="558" spans="1:4" x14ac:dyDescent="0.35">
      <c r="A558" s="7">
        <v>49197</v>
      </c>
      <c r="B558" s="8" t="s">
        <v>7</v>
      </c>
      <c r="C558" s="9">
        <v>26.2</v>
      </c>
      <c r="D558" s="10">
        <v>0</v>
      </c>
    </row>
    <row r="559" spans="1:4" x14ac:dyDescent="0.35">
      <c r="A559" s="11">
        <v>49198</v>
      </c>
      <c r="B559" s="12" t="s">
        <v>31</v>
      </c>
      <c r="C559" s="13">
        <v>23.3</v>
      </c>
      <c r="D559" s="14">
        <v>0</v>
      </c>
    </row>
    <row r="560" spans="1:4" x14ac:dyDescent="0.35">
      <c r="A560" s="7">
        <v>49199</v>
      </c>
      <c r="B560" s="8" t="s">
        <v>19</v>
      </c>
      <c r="C560" s="9">
        <v>21.7</v>
      </c>
      <c r="D560" s="10">
        <v>10.4</v>
      </c>
    </row>
    <row r="561" spans="1:4" x14ac:dyDescent="0.35">
      <c r="A561" s="11">
        <v>49200</v>
      </c>
      <c r="B561" s="12" t="s">
        <v>18</v>
      </c>
      <c r="C561" s="13">
        <v>18.8</v>
      </c>
      <c r="D561" s="14">
        <v>15.6</v>
      </c>
    </row>
    <row r="562" spans="1:4" x14ac:dyDescent="0.35">
      <c r="A562" s="7">
        <v>49201</v>
      </c>
      <c r="B562" s="8" t="s">
        <v>15</v>
      </c>
      <c r="C562" s="9">
        <v>25.4</v>
      </c>
      <c r="D562" s="10">
        <v>7.4</v>
      </c>
    </row>
    <row r="563" spans="1:4" x14ac:dyDescent="0.35">
      <c r="A563" s="11">
        <v>49202</v>
      </c>
      <c r="B563" s="12" t="s">
        <v>11</v>
      </c>
      <c r="C563" s="13">
        <v>21.1</v>
      </c>
      <c r="D563" s="14">
        <v>1</v>
      </c>
    </row>
    <row r="564" spans="1:4" x14ac:dyDescent="0.35">
      <c r="A564" s="7">
        <v>49203</v>
      </c>
      <c r="B564" s="8" t="s">
        <v>11</v>
      </c>
      <c r="C564" s="9">
        <v>25.1</v>
      </c>
      <c r="D564" s="10">
        <v>20</v>
      </c>
    </row>
    <row r="565" spans="1:4" x14ac:dyDescent="0.35">
      <c r="A565" s="11">
        <v>49204</v>
      </c>
      <c r="B565" s="12" t="s">
        <v>7</v>
      </c>
      <c r="C565" s="13">
        <v>17.600000000000001</v>
      </c>
      <c r="D565" s="14">
        <v>0</v>
      </c>
    </row>
    <row r="566" spans="1:4" x14ac:dyDescent="0.35">
      <c r="A566" s="7">
        <v>49205</v>
      </c>
      <c r="B566" s="8" t="s">
        <v>15</v>
      </c>
      <c r="C566" s="9">
        <v>21.2</v>
      </c>
      <c r="D566" s="10">
        <v>3.4</v>
      </c>
    </row>
    <row r="567" spans="1:4" x14ac:dyDescent="0.35">
      <c r="A567" s="11">
        <v>49206</v>
      </c>
      <c r="B567" s="12" t="s">
        <v>7</v>
      </c>
      <c r="C567" s="13">
        <v>26.4</v>
      </c>
      <c r="D567" s="14">
        <v>14.7</v>
      </c>
    </row>
    <row r="568" spans="1:4" x14ac:dyDescent="0.35">
      <c r="A568" s="7">
        <v>49207</v>
      </c>
      <c r="B568" s="8" t="s">
        <v>5</v>
      </c>
      <c r="C568" s="9">
        <v>13.5</v>
      </c>
      <c r="D568" s="10">
        <v>0</v>
      </c>
    </row>
    <row r="569" spans="1:4" x14ac:dyDescent="0.35">
      <c r="A569" s="11">
        <v>49208</v>
      </c>
      <c r="B569" s="12" t="s">
        <v>22</v>
      </c>
      <c r="C569" s="13">
        <v>25.1</v>
      </c>
      <c r="D569" s="14">
        <v>0</v>
      </c>
    </row>
    <row r="570" spans="1:4" x14ac:dyDescent="0.35">
      <c r="A570" s="7">
        <v>49209</v>
      </c>
      <c r="B570" s="8" t="s">
        <v>11</v>
      </c>
      <c r="C570" s="9">
        <v>10.4</v>
      </c>
      <c r="D570" s="10">
        <v>11</v>
      </c>
    </row>
    <row r="571" spans="1:4" x14ac:dyDescent="0.35">
      <c r="A571" s="11">
        <v>49210</v>
      </c>
      <c r="B571" s="12" t="s">
        <v>15</v>
      </c>
      <c r="C571" s="13">
        <v>24.3</v>
      </c>
      <c r="D571" s="14">
        <v>4.9000000000000004</v>
      </c>
    </row>
    <row r="572" spans="1:4" x14ac:dyDescent="0.35">
      <c r="A572" s="7">
        <v>49211</v>
      </c>
      <c r="B572" s="8" t="s">
        <v>12</v>
      </c>
      <c r="C572" s="9">
        <v>18.7</v>
      </c>
      <c r="D572" s="10">
        <v>6.2</v>
      </c>
    </row>
    <row r="573" spans="1:4" x14ac:dyDescent="0.35">
      <c r="A573" s="11">
        <v>49212</v>
      </c>
      <c r="B573" s="12" t="s">
        <v>33</v>
      </c>
      <c r="C573" s="13">
        <v>14.1</v>
      </c>
      <c r="D573" s="14">
        <v>0</v>
      </c>
    </row>
    <row r="574" spans="1:4" x14ac:dyDescent="0.35">
      <c r="A574" s="7">
        <v>49213</v>
      </c>
      <c r="B574" s="8" t="s">
        <v>23</v>
      </c>
      <c r="C574" s="9">
        <v>24.2</v>
      </c>
      <c r="D574" s="10">
        <v>0</v>
      </c>
    </row>
    <row r="575" spans="1:4" x14ac:dyDescent="0.35">
      <c r="A575" s="11">
        <v>49214</v>
      </c>
      <c r="B575" s="12" t="s">
        <v>22</v>
      </c>
      <c r="C575" s="13">
        <v>26.4</v>
      </c>
      <c r="D575" s="14">
        <v>0</v>
      </c>
    </row>
    <row r="576" spans="1:4" x14ac:dyDescent="0.35">
      <c r="A576" s="7">
        <v>49215</v>
      </c>
      <c r="B576" s="8" t="s">
        <v>10</v>
      </c>
      <c r="C576" s="9">
        <v>24.5</v>
      </c>
      <c r="D576" s="10">
        <v>4</v>
      </c>
    </row>
    <row r="577" spans="1:4" x14ac:dyDescent="0.35">
      <c r="A577" s="11">
        <v>49216</v>
      </c>
      <c r="B577" s="12" t="s">
        <v>14</v>
      </c>
      <c r="C577" s="13">
        <v>25.5</v>
      </c>
      <c r="D577" s="14">
        <v>2.9</v>
      </c>
    </row>
    <row r="578" spans="1:4" x14ac:dyDescent="0.35">
      <c r="A578" s="7">
        <v>49217</v>
      </c>
      <c r="B578" s="8" t="s">
        <v>11</v>
      </c>
      <c r="C578" s="9">
        <v>11.8</v>
      </c>
      <c r="D578" s="10">
        <v>13.5</v>
      </c>
    </row>
    <row r="579" spans="1:4" x14ac:dyDescent="0.35">
      <c r="A579" s="11">
        <v>49218</v>
      </c>
      <c r="B579" s="12" t="s">
        <v>22</v>
      </c>
      <c r="C579" s="13">
        <v>14.3</v>
      </c>
      <c r="D579" s="14">
        <v>5.4</v>
      </c>
    </row>
    <row r="580" spans="1:4" x14ac:dyDescent="0.35">
      <c r="A580" s="7">
        <v>49219</v>
      </c>
      <c r="B580" s="8" t="s">
        <v>9</v>
      </c>
      <c r="C580" s="9">
        <v>12.4</v>
      </c>
      <c r="D580" s="10">
        <v>1.2</v>
      </c>
    </row>
    <row r="581" spans="1:4" x14ac:dyDescent="0.35">
      <c r="A581" s="11">
        <v>49220</v>
      </c>
      <c r="B581" s="12" t="s">
        <v>19</v>
      </c>
      <c r="C581" s="13">
        <v>29.3</v>
      </c>
      <c r="D581" s="14">
        <v>19.8</v>
      </c>
    </row>
    <row r="582" spans="1:4" x14ac:dyDescent="0.35">
      <c r="A582" s="7">
        <v>49221</v>
      </c>
      <c r="B582" s="8" t="s">
        <v>7</v>
      </c>
      <c r="C582" s="9">
        <v>29.4</v>
      </c>
      <c r="D582" s="10">
        <v>0</v>
      </c>
    </row>
    <row r="583" spans="1:4" x14ac:dyDescent="0.35">
      <c r="A583" s="11">
        <v>49222</v>
      </c>
      <c r="B583" s="12" t="s">
        <v>13</v>
      </c>
      <c r="C583" s="13">
        <v>29.8</v>
      </c>
      <c r="D583" s="14">
        <v>16</v>
      </c>
    </row>
    <row r="584" spans="1:4" x14ac:dyDescent="0.35">
      <c r="A584" s="7">
        <v>49223</v>
      </c>
      <c r="B584" s="8" t="s">
        <v>19</v>
      </c>
      <c r="C584" s="9">
        <v>29.9</v>
      </c>
      <c r="D584" s="10">
        <v>13.3</v>
      </c>
    </row>
    <row r="585" spans="1:4" x14ac:dyDescent="0.35">
      <c r="A585" s="11">
        <v>49224</v>
      </c>
      <c r="B585" s="12" t="s">
        <v>9</v>
      </c>
      <c r="C585" s="13">
        <v>11.6</v>
      </c>
      <c r="D585" s="14">
        <v>9.6999999999999993</v>
      </c>
    </row>
    <row r="586" spans="1:4" x14ac:dyDescent="0.35">
      <c r="A586" s="7">
        <v>49225</v>
      </c>
      <c r="B586" s="8" t="s">
        <v>11</v>
      </c>
      <c r="C586" s="9">
        <v>10.199999999999999</v>
      </c>
      <c r="D586" s="10">
        <v>0</v>
      </c>
    </row>
    <row r="587" spans="1:4" x14ac:dyDescent="0.35">
      <c r="A587" s="11">
        <v>49226</v>
      </c>
      <c r="B587" s="12" t="s">
        <v>9</v>
      </c>
      <c r="C587" s="13">
        <v>10.7</v>
      </c>
      <c r="D587" s="14">
        <v>11.9</v>
      </c>
    </row>
    <row r="588" spans="1:4" x14ac:dyDescent="0.35">
      <c r="A588" s="7">
        <v>49227</v>
      </c>
      <c r="B588" s="8" t="s">
        <v>30</v>
      </c>
      <c r="C588" s="9">
        <v>11.7</v>
      </c>
      <c r="D588" s="10">
        <v>0.1</v>
      </c>
    </row>
    <row r="589" spans="1:4" x14ac:dyDescent="0.35">
      <c r="A589" s="11">
        <v>49228</v>
      </c>
      <c r="B589" s="12" t="s">
        <v>18</v>
      </c>
      <c r="C589" s="13">
        <v>29.4</v>
      </c>
      <c r="D589" s="14">
        <v>9.6</v>
      </c>
    </row>
    <row r="590" spans="1:4" x14ac:dyDescent="0.35">
      <c r="A590" s="7">
        <v>49229</v>
      </c>
      <c r="B590" s="8" t="s">
        <v>20</v>
      </c>
      <c r="C590" s="9">
        <v>29.1</v>
      </c>
      <c r="D590" s="10">
        <v>2.6</v>
      </c>
    </row>
    <row r="591" spans="1:4" x14ac:dyDescent="0.35">
      <c r="A591" s="11">
        <v>49230</v>
      </c>
      <c r="B591" s="12" t="s">
        <v>10</v>
      </c>
      <c r="C591" s="13">
        <v>20.5</v>
      </c>
      <c r="D591" s="14">
        <v>30.1</v>
      </c>
    </row>
    <row r="592" spans="1:4" x14ac:dyDescent="0.35">
      <c r="A592" s="7">
        <v>49231</v>
      </c>
      <c r="B592" s="8" t="s">
        <v>7</v>
      </c>
      <c r="C592" s="9">
        <v>26.2</v>
      </c>
      <c r="D592" s="10">
        <v>19</v>
      </c>
    </row>
    <row r="593" spans="1:4" x14ac:dyDescent="0.35">
      <c r="A593" s="11">
        <v>49232</v>
      </c>
      <c r="B593" s="12" t="s">
        <v>15</v>
      </c>
      <c r="C593" s="13">
        <v>22.6</v>
      </c>
      <c r="D593" s="14">
        <v>0</v>
      </c>
    </row>
    <row r="594" spans="1:4" x14ac:dyDescent="0.35">
      <c r="A594" s="7">
        <v>49233</v>
      </c>
      <c r="B594" s="8" t="s">
        <v>14</v>
      </c>
      <c r="C594" s="9">
        <v>17.7</v>
      </c>
      <c r="D594" s="10">
        <v>0</v>
      </c>
    </row>
    <row r="595" spans="1:4" x14ac:dyDescent="0.35">
      <c r="A595" s="11">
        <v>49234</v>
      </c>
      <c r="B595" s="12" t="s">
        <v>19</v>
      </c>
      <c r="C595" s="13">
        <v>21.2</v>
      </c>
      <c r="D595" s="14">
        <v>0</v>
      </c>
    </row>
    <row r="596" spans="1:4" x14ac:dyDescent="0.35">
      <c r="A596" s="7">
        <v>49235</v>
      </c>
      <c r="B596" s="8" t="s">
        <v>33</v>
      </c>
      <c r="C596" s="9">
        <v>10.3</v>
      </c>
      <c r="D596" s="10">
        <v>0.2</v>
      </c>
    </row>
    <row r="597" spans="1:4" x14ac:dyDescent="0.35">
      <c r="A597" s="11">
        <v>49236</v>
      </c>
      <c r="B597" s="12" t="s">
        <v>25</v>
      </c>
      <c r="C597" s="13">
        <v>10.1</v>
      </c>
      <c r="D597" s="14">
        <v>2.1</v>
      </c>
    </row>
    <row r="598" spans="1:4" x14ac:dyDescent="0.35">
      <c r="A598" s="7">
        <v>49237</v>
      </c>
      <c r="B598" s="8" t="s">
        <v>8</v>
      </c>
      <c r="C598" s="9">
        <v>23.4</v>
      </c>
      <c r="D598" s="10">
        <v>3.9</v>
      </c>
    </row>
    <row r="599" spans="1:4" x14ac:dyDescent="0.35">
      <c r="A599" s="11">
        <v>49238</v>
      </c>
      <c r="B599" s="12" t="s">
        <v>31</v>
      </c>
      <c r="C599" s="13">
        <v>11.7</v>
      </c>
      <c r="D599" s="14">
        <v>0</v>
      </c>
    </row>
    <row r="600" spans="1:4" x14ac:dyDescent="0.35">
      <c r="A600" s="7">
        <v>49239</v>
      </c>
      <c r="B600" s="8" t="s">
        <v>5</v>
      </c>
      <c r="C600" s="9">
        <v>26</v>
      </c>
      <c r="D600" s="10">
        <v>2.1</v>
      </c>
    </row>
    <row r="601" spans="1:4" x14ac:dyDescent="0.35">
      <c r="A601" s="11">
        <v>49240</v>
      </c>
      <c r="B601" s="12" t="s">
        <v>30</v>
      </c>
      <c r="C601" s="13">
        <v>29.5</v>
      </c>
      <c r="D601" s="14">
        <v>0.4</v>
      </c>
    </row>
    <row r="602" spans="1:4" x14ac:dyDescent="0.35">
      <c r="A602" s="7">
        <v>49241</v>
      </c>
      <c r="B602" s="8" t="s">
        <v>14</v>
      </c>
      <c r="C602" s="9">
        <v>13</v>
      </c>
      <c r="D602" s="10">
        <v>4.4000000000000004</v>
      </c>
    </row>
    <row r="603" spans="1:4" x14ac:dyDescent="0.35">
      <c r="A603" s="11">
        <v>49242</v>
      </c>
      <c r="B603" s="12" t="s">
        <v>9</v>
      </c>
      <c r="C603" s="13">
        <v>17.100000000000001</v>
      </c>
      <c r="D603" s="14">
        <v>3.8</v>
      </c>
    </row>
    <row r="604" spans="1:4" x14ac:dyDescent="0.35">
      <c r="A604" s="7">
        <v>49243</v>
      </c>
      <c r="B604" s="8" t="s">
        <v>27</v>
      </c>
      <c r="C604" s="9">
        <v>12.6</v>
      </c>
      <c r="D604" s="10">
        <v>0.2</v>
      </c>
    </row>
    <row r="605" spans="1:4" x14ac:dyDescent="0.35">
      <c r="A605" s="11">
        <v>49244</v>
      </c>
      <c r="B605" s="12" t="s">
        <v>10</v>
      </c>
      <c r="C605" s="13">
        <v>23.6</v>
      </c>
      <c r="D605" s="14">
        <v>24.1</v>
      </c>
    </row>
    <row r="606" spans="1:4" x14ac:dyDescent="0.35">
      <c r="A606" s="7">
        <v>49245</v>
      </c>
      <c r="B606" s="8" t="s">
        <v>11</v>
      </c>
      <c r="C606" s="9">
        <v>14.9</v>
      </c>
      <c r="D606" s="10">
        <v>14.2</v>
      </c>
    </row>
    <row r="607" spans="1:4" x14ac:dyDescent="0.35">
      <c r="A607" s="11">
        <v>49246</v>
      </c>
      <c r="B607" s="12" t="s">
        <v>12</v>
      </c>
      <c r="C607" s="13">
        <v>17</v>
      </c>
      <c r="D607" s="14">
        <v>0</v>
      </c>
    </row>
    <row r="608" spans="1:4" x14ac:dyDescent="0.35">
      <c r="A608" s="7">
        <v>49247</v>
      </c>
      <c r="B608" s="8" t="s">
        <v>11</v>
      </c>
      <c r="C608" s="9">
        <v>12.8</v>
      </c>
      <c r="D608" s="10">
        <v>0</v>
      </c>
    </row>
    <row r="609" spans="1:4" x14ac:dyDescent="0.35">
      <c r="A609" s="11">
        <v>49248</v>
      </c>
      <c r="B609" s="12" t="s">
        <v>13</v>
      </c>
      <c r="C609" s="13">
        <v>17.5</v>
      </c>
      <c r="D609" s="14">
        <v>0</v>
      </c>
    </row>
    <row r="610" spans="1:4" x14ac:dyDescent="0.35">
      <c r="A610" s="7">
        <v>49249</v>
      </c>
      <c r="B610" s="8" t="s">
        <v>10</v>
      </c>
      <c r="C610" s="9">
        <v>13.9</v>
      </c>
      <c r="D610" s="10">
        <v>15.3</v>
      </c>
    </row>
    <row r="611" spans="1:4" x14ac:dyDescent="0.35">
      <c r="A611" s="11">
        <v>49250</v>
      </c>
      <c r="B611" s="12" t="s">
        <v>19</v>
      </c>
      <c r="C611" s="13">
        <v>25.9</v>
      </c>
      <c r="D611" s="14">
        <v>14.5</v>
      </c>
    </row>
    <row r="612" spans="1:4" x14ac:dyDescent="0.35">
      <c r="A612" s="7">
        <v>49251</v>
      </c>
      <c r="B612" s="8" t="s">
        <v>17</v>
      </c>
      <c r="C612" s="9">
        <v>12.1</v>
      </c>
      <c r="D612" s="10">
        <v>0</v>
      </c>
    </row>
    <row r="613" spans="1:4" x14ac:dyDescent="0.35">
      <c r="A613" s="11">
        <v>49252</v>
      </c>
      <c r="B613" s="12" t="s">
        <v>7</v>
      </c>
      <c r="C613" s="13">
        <v>25.8</v>
      </c>
      <c r="D613" s="14">
        <v>12.3</v>
      </c>
    </row>
    <row r="614" spans="1:4" x14ac:dyDescent="0.35">
      <c r="A614" s="7">
        <v>49253</v>
      </c>
      <c r="B614" s="8" t="s">
        <v>9</v>
      </c>
      <c r="C614" s="9">
        <v>29.1</v>
      </c>
      <c r="D614" s="10">
        <v>0</v>
      </c>
    </row>
    <row r="615" spans="1:4" x14ac:dyDescent="0.35">
      <c r="A615" s="11">
        <v>49254</v>
      </c>
      <c r="B615" s="12" t="s">
        <v>10</v>
      </c>
      <c r="C615" s="13">
        <v>13.2</v>
      </c>
      <c r="D615" s="14">
        <v>0</v>
      </c>
    </row>
    <row r="616" spans="1:4" x14ac:dyDescent="0.35">
      <c r="A616" s="7">
        <v>49255</v>
      </c>
      <c r="B616" s="8" t="s">
        <v>7</v>
      </c>
      <c r="C616" s="9">
        <v>29.4</v>
      </c>
      <c r="D616" s="10">
        <v>12.8</v>
      </c>
    </row>
    <row r="617" spans="1:4" x14ac:dyDescent="0.35">
      <c r="A617" s="11">
        <v>49256</v>
      </c>
      <c r="B617" s="12" t="s">
        <v>15</v>
      </c>
      <c r="C617" s="13">
        <v>21</v>
      </c>
      <c r="D617" s="14">
        <v>0</v>
      </c>
    </row>
    <row r="618" spans="1:4" x14ac:dyDescent="0.35">
      <c r="A618" s="7">
        <v>49257</v>
      </c>
      <c r="B618" s="8" t="s">
        <v>6</v>
      </c>
      <c r="C618" s="9">
        <v>22.7</v>
      </c>
      <c r="D618" s="10">
        <v>12.4</v>
      </c>
    </row>
    <row r="619" spans="1:4" x14ac:dyDescent="0.35">
      <c r="A619" s="11">
        <v>49258</v>
      </c>
      <c r="B619" s="12" t="s">
        <v>10</v>
      </c>
      <c r="C619" s="13">
        <v>25.1</v>
      </c>
      <c r="D619" s="14">
        <v>43.4</v>
      </c>
    </row>
    <row r="620" spans="1:4" x14ac:dyDescent="0.35">
      <c r="A620" s="7">
        <v>49259</v>
      </c>
      <c r="B620" s="8" t="s">
        <v>10</v>
      </c>
      <c r="C620" s="9">
        <v>26.8</v>
      </c>
      <c r="D620" s="10">
        <v>26.9</v>
      </c>
    </row>
    <row r="621" spans="1:4" x14ac:dyDescent="0.35">
      <c r="A621" s="11">
        <v>49260</v>
      </c>
      <c r="B621" s="12" t="s">
        <v>29</v>
      </c>
      <c r="C621" s="13">
        <v>15.9</v>
      </c>
      <c r="D621" s="14">
        <v>0.5</v>
      </c>
    </row>
    <row r="622" spans="1:4" x14ac:dyDescent="0.35">
      <c r="A622" s="7">
        <v>49261</v>
      </c>
      <c r="B622" s="8" t="s">
        <v>18</v>
      </c>
      <c r="C622" s="9">
        <v>27.6</v>
      </c>
      <c r="D622" s="10">
        <v>0</v>
      </c>
    </row>
    <row r="623" spans="1:4" x14ac:dyDescent="0.35">
      <c r="A623" s="11">
        <v>49262</v>
      </c>
      <c r="B623" s="12" t="s">
        <v>25</v>
      </c>
      <c r="C623" s="13">
        <v>20.8</v>
      </c>
      <c r="D623" s="14">
        <v>0</v>
      </c>
    </row>
    <row r="624" spans="1:4" x14ac:dyDescent="0.35">
      <c r="A624" s="7">
        <v>49263</v>
      </c>
      <c r="B624" s="8" t="s">
        <v>6</v>
      </c>
      <c r="C624" s="9">
        <v>23.9</v>
      </c>
      <c r="D624" s="10">
        <v>9.9</v>
      </c>
    </row>
    <row r="625" spans="1:4" x14ac:dyDescent="0.35">
      <c r="A625" s="11">
        <v>49264</v>
      </c>
      <c r="B625" s="12" t="s">
        <v>27</v>
      </c>
      <c r="C625" s="13">
        <v>24.8</v>
      </c>
      <c r="D625" s="14">
        <v>4.7</v>
      </c>
    </row>
    <row r="626" spans="1:4" x14ac:dyDescent="0.35">
      <c r="A626" s="7">
        <v>49265</v>
      </c>
      <c r="B626" s="8" t="s">
        <v>19</v>
      </c>
      <c r="C626" s="9">
        <v>16.3</v>
      </c>
      <c r="D626" s="10">
        <v>0</v>
      </c>
    </row>
    <row r="627" spans="1:4" x14ac:dyDescent="0.35">
      <c r="A627" s="11">
        <v>49266</v>
      </c>
      <c r="B627" s="12" t="s">
        <v>18</v>
      </c>
      <c r="C627" s="13">
        <v>20.100000000000001</v>
      </c>
      <c r="D627" s="14">
        <v>0</v>
      </c>
    </row>
    <row r="628" spans="1:4" x14ac:dyDescent="0.35">
      <c r="A628" s="7">
        <v>49267</v>
      </c>
      <c r="B628" s="8" t="s">
        <v>22</v>
      </c>
      <c r="C628" s="9">
        <v>25.9</v>
      </c>
      <c r="D628" s="10">
        <v>8.9</v>
      </c>
    </row>
    <row r="629" spans="1:4" x14ac:dyDescent="0.35">
      <c r="A629" s="11">
        <v>49268</v>
      </c>
      <c r="B629" s="12" t="s">
        <v>19</v>
      </c>
      <c r="C629" s="13">
        <v>27.3</v>
      </c>
      <c r="D629" s="14">
        <v>15.8</v>
      </c>
    </row>
    <row r="630" spans="1:4" x14ac:dyDescent="0.35">
      <c r="A630" s="7">
        <v>49269</v>
      </c>
      <c r="B630" s="8" t="s">
        <v>6</v>
      </c>
      <c r="C630" s="9">
        <v>19.100000000000001</v>
      </c>
      <c r="D630" s="10">
        <v>6.3</v>
      </c>
    </row>
    <row r="631" spans="1:4" x14ac:dyDescent="0.35">
      <c r="A631" s="11">
        <v>49270</v>
      </c>
      <c r="B631" s="12" t="s">
        <v>10</v>
      </c>
      <c r="C631" s="13">
        <v>16.899999999999999</v>
      </c>
      <c r="D631" s="14">
        <v>0</v>
      </c>
    </row>
    <row r="632" spans="1:4" x14ac:dyDescent="0.35">
      <c r="A632" s="7">
        <v>49271</v>
      </c>
      <c r="B632" s="8" t="s">
        <v>7</v>
      </c>
      <c r="C632" s="9">
        <v>13.4</v>
      </c>
      <c r="D632" s="10">
        <v>20.100000000000001</v>
      </c>
    </row>
    <row r="633" spans="1:4" x14ac:dyDescent="0.35">
      <c r="A633" s="11">
        <v>49272</v>
      </c>
      <c r="B633" s="12" t="s">
        <v>24</v>
      </c>
      <c r="C633" s="13">
        <v>24.8</v>
      </c>
      <c r="D633" s="14">
        <v>0.4</v>
      </c>
    </row>
    <row r="634" spans="1:4" x14ac:dyDescent="0.35">
      <c r="A634" s="7">
        <v>49273</v>
      </c>
      <c r="B634" s="8" t="s">
        <v>17</v>
      </c>
      <c r="C634" s="9">
        <v>28.4</v>
      </c>
      <c r="D634" s="10">
        <v>1.6</v>
      </c>
    </row>
    <row r="635" spans="1:4" x14ac:dyDescent="0.35">
      <c r="A635" s="11">
        <v>49274</v>
      </c>
      <c r="B635" s="12" t="s">
        <v>23</v>
      </c>
      <c r="C635" s="13">
        <v>25.3</v>
      </c>
      <c r="D635" s="14">
        <v>1.8</v>
      </c>
    </row>
    <row r="636" spans="1:4" x14ac:dyDescent="0.35">
      <c r="A636" s="7">
        <v>49275</v>
      </c>
      <c r="B636" s="8" t="s">
        <v>18</v>
      </c>
      <c r="C636" s="9">
        <v>25.9</v>
      </c>
      <c r="D636" s="10">
        <v>1.6</v>
      </c>
    </row>
    <row r="637" spans="1:4" x14ac:dyDescent="0.35">
      <c r="A637" s="11">
        <v>49276</v>
      </c>
      <c r="B637" s="12" t="s">
        <v>6</v>
      </c>
      <c r="C637" s="13">
        <v>12.2</v>
      </c>
      <c r="D637" s="14">
        <v>0.8</v>
      </c>
    </row>
    <row r="638" spans="1:4" x14ac:dyDescent="0.35">
      <c r="A638" s="7">
        <v>49277</v>
      </c>
      <c r="B638" s="8" t="s">
        <v>33</v>
      </c>
      <c r="C638" s="9">
        <v>22.8</v>
      </c>
      <c r="D638" s="10">
        <v>2.2999999999999998</v>
      </c>
    </row>
    <row r="639" spans="1:4" x14ac:dyDescent="0.35">
      <c r="A639" s="11">
        <v>49278</v>
      </c>
      <c r="B639" s="12" t="s">
        <v>19</v>
      </c>
      <c r="C639" s="13">
        <v>12.7</v>
      </c>
      <c r="D639" s="14">
        <v>0</v>
      </c>
    </row>
    <row r="640" spans="1:4" x14ac:dyDescent="0.35">
      <c r="A640" s="7">
        <v>49279</v>
      </c>
      <c r="B640" s="8" t="s">
        <v>26</v>
      </c>
      <c r="C640" s="9">
        <v>13</v>
      </c>
      <c r="D640" s="10">
        <v>5.0999999999999996</v>
      </c>
    </row>
    <row r="641" spans="1:4" x14ac:dyDescent="0.35">
      <c r="A641" s="11">
        <v>49280</v>
      </c>
      <c r="B641" s="12" t="s">
        <v>10</v>
      </c>
      <c r="C641" s="13">
        <v>13.5</v>
      </c>
      <c r="D641" s="14">
        <v>4.9000000000000004</v>
      </c>
    </row>
    <row r="642" spans="1:4" x14ac:dyDescent="0.35">
      <c r="A642" s="7">
        <v>49281</v>
      </c>
      <c r="B642" s="8" t="s">
        <v>13</v>
      </c>
      <c r="C642" s="9">
        <v>17.8</v>
      </c>
      <c r="D642" s="10">
        <v>5</v>
      </c>
    </row>
    <row r="643" spans="1:4" x14ac:dyDescent="0.35">
      <c r="A643" s="11">
        <v>49282</v>
      </c>
      <c r="B643" s="12" t="s">
        <v>10</v>
      </c>
      <c r="C643" s="13">
        <v>21.5</v>
      </c>
      <c r="D643" s="14">
        <v>47.1</v>
      </c>
    </row>
    <row r="644" spans="1:4" x14ac:dyDescent="0.35">
      <c r="A644" s="7">
        <v>49283</v>
      </c>
      <c r="B644" s="8" t="s">
        <v>8</v>
      </c>
      <c r="C644" s="9">
        <v>20.5</v>
      </c>
      <c r="D644" s="10">
        <v>0.1</v>
      </c>
    </row>
    <row r="645" spans="1:4" x14ac:dyDescent="0.35">
      <c r="A645" s="11">
        <v>49284</v>
      </c>
      <c r="B645" s="12" t="s">
        <v>13</v>
      </c>
      <c r="C645" s="13">
        <v>14.4</v>
      </c>
      <c r="D645" s="14">
        <v>0</v>
      </c>
    </row>
    <row r="646" spans="1:4" x14ac:dyDescent="0.35">
      <c r="A646" s="7">
        <v>49285</v>
      </c>
      <c r="B646" s="8" t="s">
        <v>15</v>
      </c>
      <c r="C646" s="9">
        <v>12.3</v>
      </c>
      <c r="D646" s="10">
        <v>0</v>
      </c>
    </row>
    <row r="647" spans="1:4" x14ac:dyDescent="0.35">
      <c r="A647" s="11">
        <v>49286</v>
      </c>
      <c r="B647" s="12" t="s">
        <v>13</v>
      </c>
      <c r="C647" s="13">
        <v>26.5</v>
      </c>
      <c r="D647" s="14">
        <v>14</v>
      </c>
    </row>
    <row r="648" spans="1:4" x14ac:dyDescent="0.35">
      <c r="A648" s="7">
        <v>49287</v>
      </c>
      <c r="B648" s="8" t="s">
        <v>13</v>
      </c>
      <c r="C648" s="9">
        <v>17.7</v>
      </c>
      <c r="D648" s="10">
        <v>0</v>
      </c>
    </row>
    <row r="649" spans="1:4" x14ac:dyDescent="0.35">
      <c r="A649" s="11">
        <v>49288</v>
      </c>
      <c r="B649" s="12" t="s">
        <v>26</v>
      </c>
      <c r="C649" s="13">
        <v>15.7</v>
      </c>
      <c r="D649" s="14">
        <v>1</v>
      </c>
    </row>
    <row r="650" spans="1:4" x14ac:dyDescent="0.35">
      <c r="A650" s="7">
        <v>49289</v>
      </c>
      <c r="B650" s="8" t="s">
        <v>20</v>
      </c>
      <c r="C650" s="9">
        <v>16.2</v>
      </c>
      <c r="D650" s="10">
        <v>0</v>
      </c>
    </row>
    <row r="651" spans="1:4" x14ac:dyDescent="0.35">
      <c r="A651" s="11">
        <v>49290</v>
      </c>
      <c r="B651" s="12" t="s">
        <v>21</v>
      </c>
      <c r="C651" s="13">
        <v>18.600000000000001</v>
      </c>
      <c r="D651" s="14">
        <v>1.4</v>
      </c>
    </row>
    <row r="652" spans="1:4" x14ac:dyDescent="0.35">
      <c r="A652" s="7">
        <v>49291</v>
      </c>
      <c r="B652" s="8" t="s">
        <v>18</v>
      </c>
      <c r="C652" s="9">
        <v>23.9</v>
      </c>
      <c r="D652" s="10">
        <v>4</v>
      </c>
    </row>
    <row r="653" spans="1:4" x14ac:dyDescent="0.35">
      <c r="A653" s="11">
        <v>49292</v>
      </c>
      <c r="B653" s="12" t="s">
        <v>10</v>
      </c>
      <c r="C653" s="13">
        <v>15.8</v>
      </c>
      <c r="D653" s="14">
        <v>50.3</v>
      </c>
    </row>
    <row r="654" spans="1:4" x14ac:dyDescent="0.35">
      <c r="A654" s="7">
        <v>49293</v>
      </c>
      <c r="B654" s="8" t="s">
        <v>12</v>
      </c>
      <c r="C654" s="9">
        <v>26.2</v>
      </c>
      <c r="D654" s="10">
        <v>8.5</v>
      </c>
    </row>
    <row r="655" spans="1:4" x14ac:dyDescent="0.35">
      <c r="A655" s="11">
        <v>49294</v>
      </c>
      <c r="B655" s="12" t="s">
        <v>10</v>
      </c>
      <c r="C655" s="13">
        <v>23.1</v>
      </c>
      <c r="D655" s="14">
        <v>0</v>
      </c>
    </row>
    <row r="656" spans="1:4" x14ac:dyDescent="0.35">
      <c r="A656" s="7">
        <v>49295</v>
      </c>
      <c r="B656" s="8" t="s">
        <v>21</v>
      </c>
      <c r="C656" s="9">
        <v>10.8</v>
      </c>
      <c r="D656" s="10">
        <v>0</v>
      </c>
    </row>
    <row r="657" spans="1:4" x14ac:dyDescent="0.35">
      <c r="A657" s="11">
        <v>49296</v>
      </c>
      <c r="B657" s="12" t="s">
        <v>18</v>
      </c>
      <c r="C657" s="13">
        <v>21.2</v>
      </c>
      <c r="D657" s="14">
        <v>16.100000000000001</v>
      </c>
    </row>
    <row r="658" spans="1:4" x14ac:dyDescent="0.35">
      <c r="A658" s="7">
        <v>49297</v>
      </c>
      <c r="B658" s="8" t="s">
        <v>7</v>
      </c>
      <c r="C658" s="9">
        <v>26.3</v>
      </c>
      <c r="D658" s="10">
        <v>21.1</v>
      </c>
    </row>
    <row r="659" spans="1:4" x14ac:dyDescent="0.35">
      <c r="A659" s="11">
        <v>49298</v>
      </c>
      <c r="B659" s="12" t="s">
        <v>7</v>
      </c>
      <c r="C659" s="13">
        <v>22.8</v>
      </c>
      <c r="D659" s="14">
        <v>22.7</v>
      </c>
    </row>
    <row r="660" spans="1:4" x14ac:dyDescent="0.35">
      <c r="A660" s="7">
        <v>49299</v>
      </c>
      <c r="B660" s="8" t="s">
        <v>18</v>
      </c>
      <c r="C660" s="9">
        <v>24</v>
      </c>
      <c r="D660" s="10">
        <v>11.5</v>
      </c>
    </row>
    <row r="661" spans="1:4" x14ac:dyDescent="0.35">
      <c r="A661" s="11">
        <v>49300</v>
      </c>
      <c r="B661" s="12" t="s">
        <v>14</v>
      </c>
      <c r="C661" s="13">
        <v>16.8</v>
      </c>
      <c r="D661" s="14">
        <v>2</v>
      </c>
    </row>
    <row r="662" spans="1:4" x14ac:dyDescent="0.35">
      <c r="A662" s="7">
        <v>49301</v>
      </c>
      <c r="B662" s="8" t="s">
        <v>13</v>
      </c>
      <c r="C662" s="9">
        <v>12.5</v>
      </c>
      <c r="D662" s="10">
        <v>4.7</v>
      </c>
    </row>
    <row r="663" spans="1:4" x14ac:dyDescent="0.35">
      <c r="A663" s="11">
        <v>49302</v>
      </c>
      <c r="B663" s="12" t="s">
        <v>10</v>
      </c>
      <c r="C663" s="13">
        <v>15</v>
      </c>
      <c r="D663" s="14">
        <v>1.7</v>
      </c>
    </row>
    <row r="664" spans="1:4" x14ac:dyDescent="0.35">
      <c r="A664" s="7">
        <v>49303</v>
      </c>
      <c r="B664" s="8" t="s">
        <v>18</v>
      </c>
      <c r="C664" s="9">
        <v>16.2</v>
      </c>
      <c r="D664" s="10">
        <v>0</v>
      </c>
    </row>
    <row r="665" spans="1:4" x14ac:dyDescent="0.35">
      <c r="A665" s="11">
        <v>49304</v>
      </c>
      <c r="B665" s="12" t="s">
        <v>7</v>
      </c>
      <c r="C665" s="13">
        <v>29.3</v>
      </c>
      <c r="D665" s="14">
        <v>0</v>
      </c>
    </row>
    <row r="666" spans="1:4" x14ac:dyDescent="0.35">
      <c r="A666" s="7">
        <v>49305</v>
      </c>
      <c r="B666" s="8" t="s">
        <v>32</v>
      </c>
      <c r="C666" s="9">
        <v>26.4</v>
      </c>
      <c r="D666" s="10">
        <v>0.2</v>
      </c>
    </row>
    <row r="667" spans="1:4" x14ac:dyDescent="0.35">
      <c r="A667" s="11">
        <v>49306</v>
      </c>
      <c r="B667" s="12" t="s">
        <v>18</v>
      </c>
      <c r="C667" s="13">
        <v>23</v>
      </c>
      <c r="D667" s="14">
        <v>0</v>
      </c>
    </row>
    <row r="668" spans="1:4" x14ac:dyDescent="0.35">
      <c r="A668" s="7">
        <v>49307</v>
      </c>
      <c r="B668" s="8" t="s">
        <v>11</v>
      </c>
      <c r="C668" s="9">
        <v>25.4</v>
      </c>
      <c r="D668" s="10">
        <v>1.2</v>
      </c>
    </row>
    <row r="669" spans="1:4" x14ac:dyDescent="0.35">
      <c r="A669" s="11">
        <v>49308</v>
      </c>
      <c r="B669" s="12" t="s">
        <v>10</v>
      </c>
      <c r="C669" s="13">
        <v>24.5</v>
      </c>
      <c r="D669" s="14">
        <v>22.5</v>
      </c>
    </row>
    <row r="670" spans="1:4" x14ac:dyDescent="0.35">
      <c r="A670" s="7">
        <v>49309</v>
      </c>
      <c r="B670" s="8" t="s">
        <v>19</v>
      </c>
      <c r="C670" s="9">
        <v>19</v>
      </c>
      <c r="D670" s="10">
        <v>18.899999999999999</v>
      </c>
    </row>
    <row r="671" spans="1:4" x14ac:dyDescent="0.35">
      <c r="A671" s="11">
        <v>49310</v>
      </c>
      <c r="B671" s="12" t="s">
        <v>19</v>
      </c>
      <c r="C671" s="13">
        <v>10</v>
      </c>
      <c r="D671" s="14">
        <v>7.6</v>
      </c>
    </row>
    <row r="672" spans="1:4" x14ac:dyDescent="0.35">
      <c r="A672" s="7">
        <v>49311</v>
      </c>
      <c r="B672" s="8" t="s">
        <v>10</v>
      </c>
      <c r="C672" s="9">
        <v>10.4</v>
      </c>
      <c r="D672" s="10">
        <v>20.6</v>
      </c>
    </row>
    <row r="673" spans="1:4" x14ac:dyDescent="0.35">
      <c r="A673" s="11">
        <v>49312</v>
      </c>
      <c r="B673" s="12" t="s">
        <v>21</v>
      </c>
      <c r="C673" s="13">
        <v>10.5</v>
      </c>
      <c r="D673" s="14">
        <v>0</v>
      </c>
    </row>
    <row r="674" spans="1:4" x14ac:dyDescent="0.35">
      <c r="A674" s="7">
        <v>49313</v>
      </c>
      <c r="B674" s="8" t="s">
        <v>6</v>
      </c>
      <c r="C674" s="9">
        <v>12.1</v>
      </c>
      <c r="D674" s="10">
        <v>8.8000000000000007</v>
      </c>
    </row>
    <row r="675" spans="1:4" x14ac:dyDescent="0.35">
      <c r="A675" s="11">
        <v>49314</v>
      </c>
      <c r="B675" s="12" t="s">
        <v>10</v>
      </c>
      <c r="C675" s="13">
        <v>20.5</v>
      </c>
      <c r="D675" s="14">
        <v>0</v>
      </c>
    </row>
    <row r="676" spans="1:4" x14ac:dyDescent="0.35">
      <c r="A676" s="7">
        <v>49315</v>
      </c>
      <c r="B676" s="8" t="s">
        <v>13</v>
      </c>
      <c r="C676" s="9">
        <v>13.1</v>
      </c>
      <c r="D676" s="10">
        <v>0</v>
      </c>
    </row>
    <row r="677" spans="1:4" x14ac:dyDescent="0.35">
      <c r="A677" s="11">
        <v>49316</v>
      </c>
      <c r="B677" s="12" t="s">
        <v>26</v>
      </c>
      <c r="C677" s="13">
        <v>29.8</v>
      </c>
      <c r="D677" s="14">
        <v>1.1000000000000001</v>
      </c>
    </row>
    <row r="678" spans="1:4" x14ac:dyDescent="0.35">
      <c r="A678" s="7">
        <v>49317</v>
      </c>
      <c r="B678" s="8" t="s">
        <v>15</v>
      </c>
      <c r="C678" s="9">
        <v>17.100000000000001</v>
      </c>
      <c r="D678" s="10">
        <v>5.5</v>
      </c>
    </row>
    <row r="679" spans="1:4" x14ac:dyDescent="0.35">
      <c r="A679" s="11">
        <v>49318</v>
      </c>
      <c r="B679" s="12" t="s">
        <v>14</v>
      </c>
      <c r="C679" s="13">
        <v>29.1</v>
      </c>
      <c r="D679" s="14">
        <v>0.4</v>
      </c>
    </row>
    <row r="680" spans="1:4" x14ac:dyDescent="0.35">
      <c r="A680" s="7">
        <v>49319</v>
      </c>
      <c r="B680" s="8" t="s">
        <v>18</v>
      </c>
      <c r="C680" s="9">
        <v>10.9</v>
      </c>
      <c r="D680" s="10">
        <v>0</v>
      </c>
    </row>
    <row r="681" spans="1:4" x14ac:dyDescent="0.35">
      <c r="A681" s="11">
        <v>49320</v>
      </c>
      <c r="B681" s="12" t="s">
        <v>32</v>
      </c>
      <c r="C681" s="13">
        <v>27.4</v>
      </c>
      <c r="D681" s="14">
        <v>0.3</v>
      </c>
    </row>
    <row r="682" spans="1:4" x14ac:dyDescent="0.35">
      <c r="A682" s="7">
        <v>49321</v>
      </c>
      <c r="B682" s="8" t="s">
        <v>19</v>
      </c>
      <c r="C682" s="9">
        <v>16.3</v>
      </c>
      <c r="D682" s="10">
        <v>9.8000000000000007</v>
      </c>
    </row>
    <row r="683" spans="1:4" x14ac:dyDescent="0.35">
      <c r="A683" s="11">
        <v>49322</v>
      </c>
      <c r="B683" s="12" t="s">
        <v>7</v>
      </c>
      <c r="C683" s="13">
        <v>14.7</v>
      </c>
      <c r="D683" s="14">
        <v>0</v>
      </c>
    </row>
    <row r="684" spans="1:4" x14ac:dyDescent="0.35">
      <c r="A684" s="7">
        <v>49323</v>
      </c>
      <c r="B684" s="8" t="s">
        <v>12</v>
      </c>
      <c r="C684" s="9">
        <v>17.2</v>
      </c>
      <c r="D684" s="10">
        <v>2</v>
      </c>
    </row>
    <row r="685" spans="1:4" x14ac:dyDescent="0.35">
      <c r="A685" s="11">
        <v>49324</v>
      </c>
      <c r="B685" s="12" t="s">
        <v>15</v>
      </c>
      <c r="C685" s="13">
        <v>24.2</v>
      </c>
      <c r="D685" s="14">
        <v>9.9</v>
      </c>
    </row>
    <row r="686" spans="1:4" x14ac:dyDescent="0.35">
      <c r="A686" s="7">
        <v>49325</v>
      </c>
      <c r="B686" s="8" t="s">
        <v>13</v>
      </c>
      <c r="C686" s="9">
        <v>22.3</v>
      </c>
      <c r="D686" s="10">
        <v>0</v>
      </c>
    </row>
    <row r="687" spans="1:4" x14ac:dyDescent="0.35">
      <c r="A687" s="11">
        <v>49326</v>
      </c>
      <c r="B687" s="12" t="s">
        <v>29</v>
      </c>
      <c r="C687" s="13">
        <v>26.7</v>
      </c>
      <c r="D687" s="14">
        <v>0.6</v>
      </c>
    </row>
    <row r="688" spans="1:4" x14ac:dyDescent="0.35">
      <c r="A688" s="7">
        <v>49327</v>
      </c>
      <c r="B688" s="8" t="s">
        <v>12</v>
      </c>
      <c r="C688" s="9">
        <v>10.9</v>
      </c>
      <c r="D688" s="10">
        <v>3.8</v>
      </c>
    </row>
    <row r="689" spans="1:4" x14ac:dyDescent="0.35">
      <c r="A689" s="11">
        <v>49328</v>
      </c>
      <c r="B689" s="12" t="s">
        <v>21</v>
      </c>
      <c r="C689" s="13">
        <v>23.7</v>
      </c>
      <c r="D689" s="14">
        <v>0</v>
      </c>
    </row>
    <row r="690" spans="1:4" x14ac:dyDescent="0.35">
      <c r="A690" s="7">
        <v>49329</v>
      </c>
      <c r="B690" s="8" t="s">
        <v>10</v>
      </c>
      <c r="C690" s="9">
        <v>16</v>
      </c>
      <c r="D690" s="10">
        <v>22.3</v>
      </c>
    </row>
    <row r="691" spans="1:4" x14ac:dyDescent="0.35">
      <c r="A691" s="11">
        <v>49330</v>
      </c>
      <c r="B691" s="12" t="s">
        <v>10</v>
      </c>
      <c r="C691" s="13">
        <v>19.399999999999999</v>
      </c>
      <c r="D691" s="14">
        <v>41.6</v>
      </c>
    </row>
    <row r="692" spans="1:4" x14ac:dyDescent="0.35">
      <c r="A692" s="7">
        <v>49331</v>
      </c>
      <c r="B692" s="8" t="s">
        <v>11</v>
      </c>
      <c r="C692" s="9">
        <v>26.7</v>
      </c>
      <c r="D692" s="10">
        <v>10</v>
      </c>
    </row>
    <row r="693" spans="1:4" x14ac:dyDescent="0.35">
      <c r="A693" s="11">
        <v>49332</v>
      </c>
      <c r="B693" s="12" t="s">
        <v>19</v>
      </c>
      <c r="C693" s="13">
        <v>20.8</v>
      </c>
      <c r="D693" s="14">
        <v>0</v>
      </c>
    </row>
    <row r="694" spans="1:4" x14ac:dyDescent="0.35">
      <c r="A694" s="7">
        <v>49333</v>
      </c>
      <c r="B694" s="8" t="s">
        <v>10</v>
      </c>
      <c r="C694" s="9">
        <v>25.6</v>
      </c>
      <c r="D694" s="10">
        <v>0</v>
      </c>
    </row>
    <row r="695" spans="1:4" x14ac:dyDescent="0.35">
      <c r="A695" s="11">
        <v>49334</v>
      </c>
      <c r="B695" s="12" t="s">
        <v>18</v>
      </c>
      <c r="C695" s="13">
        <v>18.3</v>
      </c>
      <c r="D695" s="14">
        <v>0.5</v>
      </c>
    </row>
    <row r="696" spans="1:4" x14ac:dyDescent="0.35">
      <c r="A696" s="7">
        <v>49335</v>
      </c>
      <c r="B696" s="8" t="s">
        <v>9</v>
      </c>
      <c r="C696" s="9">
        <v>27.4</v>
      </c>
      <c r="D696" s="10">
        <v>4.2</v>
      </c>
    </row>
    <row r="697" spans="1:4" x14ac:dyDescent="0.35">
      <c r="A697" s="11">
        <v>49336</v>
      </c>
      <c r="B697" s="12" t="s">
        <v>23</v>
      </c>
      <c r="C697" s="13">
        <v>16.100000000000001</v>
      </c>
      <c r="D697" s="14">
        <v>3.4</v>
      </c>
    </row>
    <row r="698" spans="1:4" x14ac:dyDescent="0.35">
      <c r="A698" s="7">
        <v>49337</v>
      </c>
      <c r="B698" s="8" t="s">
        <v>14</v>
      </c>
      <c r="C698" s="9">
        <v>27.5</v>
      </c>
      <c r="D698" s="10">
        <v>8</v>
      </c>
    </row>
    <row r="699" spans="1:4" x14ac:dyDescent="0.35">
      <c r="A699" s="11">
        <v>49338</v>
      </c>
      <c r="B699" s="12" t="s">
        <v>9</v>
      </c>
      <c r="C699" s="13">
        <v>28.4</v>
      </c>
      <c r="D699" s="14">
        <v>10.199999999999999</v>
      </c>
    </row>
    <row r="700" spans="1:4" x14ac:dyDescent="0.35">
      <c r="A700" s="7">
        <v>49339</v>
      </c>
      <c r="B700" s="8" t="s">
        <v>13</v>
      </c>
      <c r="C700" s="9">
        <v>16.100000000000001</v>
      </c>
      <c r="D700" s="10">
        <v>4</v>
      </c>
    </row>
    <row r="701" spans="1:4" x14ac:dyDescent="0.35">
      <c r="A701" s="11">
        <v>49340</v>
      </c>
      <c r="B701" s="12" t="s">
        <v>23</v>
      </c>
      <c r="C701" s="13">
        <v>28.4</v>
      </c>
      <c r="D701" s="14">
        <v>2.6</v>
      </c>
    </row>
    <row r="702" spans="1:4" x14ac:dyDescent="0.35">
      <c r="A702" s="7">
        <v>49341</v>
      </c>
      <c r="B702" s="8" t="s">
        <v>14</v>
      </c>
      <c r="C702" s="9">
        <v>29.3</v>
      </c>
      <c r="D702" s="10">
        <v>0</v>
      </c>
    </row>
    <row r="703" spans="1:4" x14ac:dyDescent="0.35">
      <c r="A703" s="11">
        <v>49342</v>
      </c>
      <c r="B703" s="12" t="s">
        <v>13</v>
      </c>
      <c r="C703" s="13">
        <v>19.7</v>
      </c>
      <c r="D703" s="14">
        <v>16.2</v>
      </c>
    </row>
    <row r="704" spans="1:4" x14ac:dyDescent="0.35">
      <c r="A704" s="7">
        <v>49343</v>
      </c>
      <c r="B704" s="8" t="s">
        <v>31</v>
      </c>
      <c r="C704" s="9">
        <v>11.5</v>
      </c>
      <c r="D704" s="10">
        <v>0.3</v>
      </c>
    </row>
    <row r="705" spans="1:4" x14ac:dyDescent="0.35">
      <c r="A705" s="11">
        <v>49344</v>
      </c>
      <c r="B705" s="12" t="s">
        <v>19</v>
      </c>
      <c r="C705" s="13">
        <v>19.5</v>
      </c>
      <c r="D705" s="14">
        <v>0</v>
      </c>
    </row>
    <row r="706" spans="1:4" x14ac:dyDescent="0.35">
      <c r="A706" s="7">
        <v>49345</v>
      </c>
      <c r="B706" s="8" t="s">
        <v>20</v>
      </c>
      <c r="C706" s="9">
        <v>22.7</v>
      </c>
      <c r="D706" s="10">
        <v>0.7</v>
      </c>
    </row>
    <row r="707" spans="1:4" x14ac:dyDescent="0.35">
      <c r="A707" s="11">
        <v>49346</v>
      </c>
      <c r="B707" s="12" t="s">
        <v>7</v>
      </c>
      <c r="C707" s="13">
        <v>19.7</v>
      </c>
      <c r="D707" s="14">
        <v>7.3</v>
      </c>
    </row>
    <row r="708" spans="1:4" x14ac:dyDescent="0.35">
      <c r="A708" s="7">
        <v>49347</v>
      </c>
      <c r="B708" s="8" t="s">
        <v>26</v>
      </c>
      <c r="C708" s="9">
        <v>19.399999999999999</v>
      </c>
      <c r="D708" s="10">
        <v>0.4</v>
      </c>
    </row>
    <row r="709" spans="1:4" x14ac:dyDescent="0.35">
      <c r="A709" s="11">
        <v>49348</v>
      </c>
      <c r="B709" s="12" t="s">
        <v>23</v>
      </c>
      <c r="C709" s="13">
        <v>13.8</v>
      </c>
      <c r="D709" s="14">
        <v>1.1000000000000001</v>
      </c>
    </row>
    <row r="710" spans="1:4" x14ac:dyDescent="0.35">
      <c r="A710" s="7">
        <v>49349</v>
      </c>
      <c r="B710" s="8" t="s">
        <v>13</v>
      </c>
      <c r="C710" s="9">
        <v>19.600000000000001</v>
      </c>
      <c r="D710" s="10">
        <v>2.2999999999999998</v>
      </c>
    </row>
    <row r="711" spans="1:4" x14ac:dyDescent="0.35">
      <c r="A711" s="11">
        <v>49350</v>
      </c>
      <c r="B711" s="12" t="s">
        <v>19</v>
      </c>
      <c r="C711" s="13">
        <v>22.6</v>
      </c>
      <c r="D711" s="14">
        <v>13.3</v>
      </c>
    </row>
    <row r="712" spans="1:4" x14ac:dyDescent="0.35">
      <c r="A712" s="7">
        <v>49351</v>
      </c>
      <c r="B712" s="8" t="s">
        <v>6</v>
      </c>
      <c r="C712" s="9">
        <v>18.2</v>
      </c>
      <c r="D712" s="10">
        <v>7.6</v>
      </c>
    </row>
    <row r="713" spans="1:4" x14ac:dyDescent="0.35">
      <c r="A713" s="11">
        <v>49352</v>
      </c>
      <c r="B713" s="12" t="s">
        <v>19</v>
      </c>
      <c r="C713" s="13">
        <v>27.3</v>
      </c>
      <c r="D713" s="14">
        <v>38.4</v>
      </c>
    </row>
    <row r="714" spans="1:4" x14ac:dyDescent="0.35">
      <c r="A714" s="7">
        <v>49353</v>
      </c>
      <c r="B714" s="8" t="s">
        <v>19</v>
      </c>
      <c r="C714" s="9">
        <v>14.7</v>
      </c>
      <c r="D714" s="10">
        <v>31.8</v>
      </c>
    </row>
    <row r="715" spans="1:4" x14ac:dyDescent="0.35">
      <c r="A715" s="11">
        <v>49354</v>
      </c>
      <c r="B715" s="12" t="s">
        <v>22</v>
      </c>
      <c r="C715" s="13">
        <v>20.6</v>
      </c>
      <c r="D715" s="14">
        <v>5.9</v>
      </c>
    </row>
    <row r="716" spans="1:4" x14ac:dyDescent="0.35">
      <c r="A716" s="7">
        <v>49355</v>
      </c>
      <c r="B716" s="8" t="s">
        <v>10</v>
      </c>
      <c r="C716" s="9">
        <v>12.6</v>
      </c>
      <c r="D716" s="10">
        <v>14.4</v>
      </c>
    </row>
    <row r="717" spans="1:4" x14ac:dyDescent="0.35">
      <c r="A717" s="11">
        <v>49356</v>
      </c>
      <c r="B717" s="12" t="s">
        <v>11</v>
      </c>
      <c r="C717" s="13">
        <v>14.5</v>
      </c>
      <c r="D717" s="14">
        <v>0</v>
      </c>
    </row>
    <row r="718" spans="1:4" x14ac:dyDescent="0.35">
      <c r="A718" s="7">
        <v>49357</v>
      </c>
      <c r="B718" s="8" t="s">
        <v>10</v>
      </c>
      <c r="C718" s="9">
        <v>24.7</v>
      </c>
      <c r="D718" s="10">
        <v>36</v>
      </c>
    </row>
    <row r="719" spans="1:4" x14ac:dyDescent="0.35">
      <c r="A719" s="11">
        <v>49358</v>
      </c>
      <c r="B719" s="12" t="s">
        <v>19</v>
      </c>
      <c r="C719" s="13">
        <v>17.899999999999999</v>
      </c>
      <c r="D719" s="14">
        <v>24.9</v>
      </c>
    </row>
    <row r="720" spans="1:4" x14ac:dyDescent="0.35">
      <c r="A720" s="7">
        <v>49359</v>
      </c>
      <c r="B720" s="8" t="s">
        <v>14</v>
      </c>
      <c r="C720" s="9">
        <v>20.2</v>
      </c>
      <c r="D720" s="10">
        <v>2.9</v>
      </c>
    </row>
    <row r="721" spans="1:4" x14ac:dyDescent="0.35">
      <c r="A721" s="11">
        <v>49360</v>
      </c>
      <c r="B721" s="12" t="s">
        <v>8</v>
      </c>
      <c r="C721" s="13">
        <v>13.4</v>
      </c>
      <c r="D721" s="14">
        <v>1.7</v>
      </c>
    </row>
    <row r="722" spans="1:4" x14ac:dyDescent="0.35">
      <c r="A722" s="7">
        <v>49361</v>
      </c>
      <c r="B722" s="8" t="s">
        <v>17</v>
      </c>
      <c r="C722" s="9">
        <v>12.2</v>
      </c>
      <c r="D722" s="10">
        <v>6</v>
      </c>
    </row>
    <row r="723" spans="1:4" x14ac:dyDescent="0.35">
      <c r="A723" s="11">
        <v>49362</v>
      </c>
      <c r="B723" s="12" t="s">
        <v>30</v>
      </c>
      <c r="C723" s="13">
        <v>29.8</v>
      </c>
      <c r="D723" s="14">
        <v>0.4</v>
      </c>
    </row>
    <row r="724" spans="1:4" x14ac:dyDescent="0.35">
      <c r="A724" s="7">
        <v>49363</v>
      </c>
      <c r="B724" s="8" t="s">
        <v>19</v>
      </c>
      <c r="C724" s="9">
        <v>16.100000000000001</v>
      </c>
      <c r="D724" s="10">
        <v>28.7</v>
      </c>
    </row>
    <row r="725" spans="1:4" x14ac:dyDescent="0.35">
      <c r="A725" s="11">
        <v>49364</v>
      </c>
      <c r="B725" s="12" t="s">
        <v>10</v>
      </c>
      <c r="C725" s="13">
        <v>18.8</v>
      </c>
      <c r="D725" s="14">
        <v>0</v>
      </c>
    </row>
    <row r="726" spans="1:4" x14ac:dyDescent="0.35">
      <c r="A726" s="7">
        <v>49365</v>
      </c>
      <c r="B726" s="8" t="s">
        <v>15</v>
      </c>
      <c r="C726" s="9">
        <v>17.100000000000001</v>
      </c>
      <c r="D726" s="10">
        <v>0</v>
      </c>
    </row>
    <row r="727" spans="1:4" x14ac:dyDescent="0.35">
      <c r="A727" s="11">
        <v>49366</v>
      </c>
      <c r="B727" s="12" t="s">
        <v>9</v>
      </c>
      <c r="C727" s="13">
        <v>11.7</v>
      </c>
      <c r="D727" s="14">
        <v>7.7</v>
      </c>
    </row>
    <row r="728" spans="1:4" x14ac:dyDescent="0.35">
      <c r="A728" s="7">
        <v>49367</v>
      </c>
      <c r="B728" s="8" t="s">
        <v>18</v>
      </c>
      <c r="C728" s="9">
        <v>25.4</v>
      </c>
      <c r="D728" s="10">
        <v>14.2</v>
      </c>
    </row>
    <row r="729" spans="1:4" x14ac:dyDescent="0.35">
      <c r="A729" s="11">
        <v>49368</v>
      </c>
      <c r="B729" s="12" t="s">
        <v>22</v>
      </c>
      <c r="C729" s="13">
        <v>12.6</v>
      </c>
      <c r="D729" s="14">
        <v>9</v>
      </c>
    </row>
    <row r="730" spans="1:4" x14ac:dyDescent="0.35">
      <c r="A730" s="7">
        <v>49369</v>
      </c>
      <c r="B730" s="8" t="s">
        <v>10</v>
      </c>
      <c r="C730" s="9">
        <v>15.8</v>
      </c>
      <c r="D730" s="10">
        <v>0</v>
      </c>
    </row>
    <row r="731" spans="1:4" x14ac:dyDescent="0.35">
      <c r="A731" s="11">
        <v>49370</v>
      </c>
      <c r="B731" s="12" t="s">
        <v>18</v>
      </c>
      <c r="C731" s="13">
        <v>24.7</v>
      </c>
      <c r="D731" s="14">
        <v>13.9</v>
      </c>
    </row>
    <row r="732" spans="1:4" x14ac:dyDescent="0.35">
      <c r="A732" s="7">
        <v>49371</v>
      </c>
      <c r="B732" s="8" t="s">
        <v>27</v>
      </c>
      <c r="C732" s="9">
        <v>26.7</v>
      </c>
      <c r="D732" s="10">
        <v>0</v>
      </c>
    </row>
    <row r="733" spans="1:4" x14ac:dyDescent="0.35">
      <c r="A733" s="11">
        <v>49372</v>
      </c>
      <c r="B733" s="12" t="s">
        <v>19</v>
      </c>
      <c r="C733" s="13">
        <v>21.2</v>
      </c>
      <c r="D733" s="14">
        <v>5.3</v>
      </c>
    </row>
    <row r="734" spans="1:4" x14ac:dyDescent="0.35">
      <c r="A734" s="7">
        <v>49373</v>
      </c>
      <c r="B734" s="8" t="s">
        <v>6</v>
      </c>
      <c r="C734" s="9">
        <v>10.4</v>
      </c>
      <c r="D734" s="10">
        <v>8.6</v>
      </c>
    </row>
    <row r="735" spans="1:4" x14ac:dyDescent="0.35">
      <c r="A735" s="11">
        <v>49374</v>
      </c>
      <c r="B735" s="12" t="s">
        <v>26</v>
      </c>
      <c r="C735" s="13">
        <v>25.1</v>
      </c>
      <c r="D735" s="14">
        <v>3.3</v>
      </c>
    </row>
    <row r="736" spans="1:4" x14ac:dyDescent="0.35">
      <c r="A736" s="7">
        <v>49375</v>
      </c>
      <c r="B736" s="8" t="s">
        <v>19</v>
      </c>
      <c r="C736" s="9">
        <v>27.8</v>
      </c>
      <c r="D736" s="10">
        <v>20.9</v>
      </c>
    </row>
    <row r="737" spans="1:4" x14ac:dyDescent="0.35">
      <c r="A737" s="11">
        <v>49376</v>
      </c>
      <c r="B737" s="12" t="s">
        <v>11</v>
      </c>
      <c r="C737" s="13">
        <v>26.1</v>
      </c>
      <c r="D737" s="14">
        <v>0</v>
      </c>
    </row>
    <row r="738" spans="1:4" x14ac:dyDescent="0.35">
      <c r="A738" s="7">
        <v>49377</v>
      </c>
      <c r="B738" s="8" t="s">
        <v>13</v>
      </c>
      <c r="C738" s="9">
        <v>18.3</v>
      </c>
      <c r="D738" s="10">
        <v>7.8</v>
      </c>
    </row>
    <row r="739" spans="1:4" x14ac:dyDescent="0.35">
      <c r="A739" s="11">
        <v>49378</v>
      </c>
      <c r="B739" s="12" t="s">
        <v>11</v>
      </c>
      <c r="C739" s="13">
        <v>16.3</v>
      </c>
      <c r="D739" s="14">
        <v>0</v>
      </c>
    </row>
    <row r="740" spans="1:4" x14ac:dyDescent="0.35">
      <c r="A740" s="7">
        <v>49379</v>
      </c>
      <c r="B740" s="8" t="s">
        <v>11</v>
      </c>
      <c r="C740" s="9">
        <v>17.2</v>
      </c>
      <c r="D740" s="10">
        <v>12.5</v>
      </c>
    </row>
    <row r="741" spans="1:4" x14ac:dyDescent="0.35">
      <c r="A741" s="11">
        <v>49380</v>
      </c>
      <c r="B741" s="12" t="s">
        <v>24</v>
      </c>
      <c r="C741" s="13">
        <v>22.1</v>
      </c>
      <c r="D741" s="14">
        <v>3.7</v>
      </c>
    </row>
    <row r="742" spans="1:4" x14ac:dyDescent="0.35">
      <c r="A742" s="7">
        <v>49381</v>
      </c>
      <c r="B742" s="8" t="s">
        <v>23</v>
      </c>
      <c r="C742" s="9">
        <v>18.8</v>
      </c>
      <c r="D742" s="10">
        <v>0</v>
      </c>
    </row>
    <row r="743" spans="1:4" x14ac:dyDescent="0.35">
      <c r="A743" s="11">
        <v>49382</v>
      </c>
      <c r="B743" s="12" t="s">
        <v>18</v>
      </c>
      <c r="C743" s="13">
        <v>12.3</v>
      </c>
      <c r="D743" s="14">
        <v>7.1</v>
      </c>
    </row>
    <row r="744" spans="1:4" x14ac:dyDescent="0.35">
      <c r="A744" s="7">
        <v>49383</v>
      </c>
      <c r="B744" s="8" t="s">
        <v>10</v>
      </c>
      <c r="C744" s="9">
        <v>27.5</v>
      </c>
      <c r="D744" s="10">
        <v>34.299999999999997</v>
      </c>
    </row>
    <row r="745" spans="1:4" x14ac:dyDescent="0.35">
      <c r="A745" s="11">
        <v>49384</v>
      </c>
      <c r="B745" s="12" t="s">
        <v>18</v>
      </c>
      <c r="C745" s="13">
        <v>23.1</v>
      </c>
      <c r="D745" s="14">
        <v>0</v>
      </c>
    </row>
    <row r="746" spans="1:4" x14ac:dyDescent="0.35">
      <c r="A746" s="7">
        <v>49385</v>
      </c>
      <c r="B746" s="8" t="s">
        <v>11</v>
      </c>
      <c r="C746" s="9">
        <v>21.3</v>
      </c>
      <c r="D746" s="10">
        <v>0</v>
      </c>
    </row>
    <row r="747" spans="1:4" x14ac:dyDescent="0.35">
      <c r="A747" s="11">
        <v>49386</v>
      </c>
      <c r="B747" s="12" t="s">
        <v>26</v>
      </c>
      <c r="C747" s="13">
        <v>13.8</v>
      </c>
      <c r="D747" s="14">
        <v>5.9</v>
      </c>
    </row>
    <row r="748" spans="1:4" x14ac:dyDescent="0.35">
      <c r="A748" s="7">
        <v>49387</v>
      </c>
      <c r="B748" s="8" t="s">
        <v>13</v>
      </c>
      <c r="C748" s="9">
        <v>20</v>
      </c>
      <c r="D748" s="10">
        <v>16</v>
      </c>
    </row>
    <row r="749" spans="1:4" x14ac:dyDescent="0.35">
      <c r="A749" s="11">
        <v>49388</v>
      </c>
      <c r="B749" s="12" t="s">
        <v>12</v>
      </c>
      <c r="C749" s="13">
        <v>23.9</v>
      </c>
      <c r="D749" s="14">
        <v>0</v>
      </c>
    </row>
    <row r="750" spans="1:4" x14ac:dyDescent="0.35">
      <c r="A750" s="7">
        <v>49389</v>
      </c>
      <c r="B750" s="8" t="s">
        <v>29</v>
      </c>
      <c r="C750" s="9">
        <v>15.3</v>
      </c>
      <c r="D750" s="10">
        <v>0.1</v>
      </c>
    </row>
    <row r="751" spans="1:4" x14ac:dyDescent="0.35">
      <c r="A751" s="11">
        <v>49390</v>
      </c>
      <c r="B751" s="12" t="s">
        <v>14</v>
      </c>
      <c r="C751" s="13">
        <v>16.600000000000001</v>
      </c>
      <c r="D751" s="14">
        <v>0</v>
      </c>
    </row>
    <row r="752" spans="1:4" x14ac:dyDescent="0.35">
      <c r="A752" s="7">
        <v>49391</v>
      </c>
      <c r="B752" s="8" t="s">
        <v>27</v>
      </c>
      <c r="C752" s="9">
        <v>20.8</v>
      </c>
      <c r="D752" s="10">
        <v>2</v>
      </c>
    </row>
    <row r="753" spans="1:4" x14ac:dyDescent="0.35">
      <c r="A753" s="11">
        <v>49392</v>
      </c>
      <c r="B753" s="12" t="s">
        <v>11</v>
      </c>
      <c r="C753" s="13">
        <v>10.8</v>
      </c>
      <c r="D753" s="14">
        <v>12.3</v>
      </c>
    </row>
    <row r="754" spans="1:4" x14ac:dyDescent="0.35">
      <c r="A754" s="7">
        <v>49393</v>
      </c>
      <c r="B754" s="8" t="s">
        <v>11</v>
      </c>
      <c r="C754" s="9">
        <v>12.5</v>
      </c>
      <c r="D754" s="10">
        <v>18.399999999999999</v>
      </c>
    </row>
    <row r="755" spans="1:4" x14ac:dyDescent="0.35">
      <c r="A755" s="11">
        <v>49394</v>
      </c>
      <c r="B755" s="12" t="s">
        <v>9</v>
      </c>
      <c r="C755" s="13">
        <v>24</v>
      </c>
      <c r="D755" s="14">
        <v>4.9000000000000004</v>
      </c>
    </row>
    <row r="756" spans="1:4" x14ac:dyDescent="0.35">
      <c r="A756" s="7">
        <v>49395</v>
      </c>
      <c r="B756" s="8" t="s">
        <v>10</v>
      </c>
      <c r="C756" s="9">
        <v>21.4</v>
      </c>
      <c r="D756" s="10">
        <v>11.1</v>
      </c>
    </row>
    <row r="757" spans="1:4" x14ac:dyDescent="0.35">
      <c r="A757" s="11">
        <v>49396</v>
      </c>
      <c r="B757" s="12" t="s">
        <v>22</v>
      </c>
      <c r="C757" s="13">
        <v>18.3</v>
      </c>
      <c r="D757" s="14">
        <v>0</v>
      </c>
    </row>
    <row r="758" spans="1:4" x14ac:dyDescent="0.35">
      <c r="A758" s="7">
        <v>49397</v>
      </c>
      <c r="B758" s="8" t="s">
        <v>15</v>
      </c>
      <c r="C758" s="9">
        <v>10.5</v>
      </c>
      <c r="D758" s="10">
        <v>3.9</v>
      </c>
    </row>
    <row r="759" spans="1:4" x14ac:dyDescent="0.35">
      <c r="A759" s="11">
        <v>49398</v>
      </c>
      <c r="B759" s="12" t="s">
        <v>10</v>
      </c>
      <c r="C759" s="13">
        <v>11.7</v>
      </c>
      <c r="D759" s="14">
        <v>0</v>
      </c>
    </row>
    <row r="760" spans="1:4" x14ac:dyDescent="0.35">
      <c r="A760" s="7">
        <v>49399</v>
      </c>
      <c r="B760" s="8" t="s">
        <v>7</v>
      </c>
      <c r="C760" s="9">
        <v>26.8</v>
      </c>
      <c r="D760" s="10">
        <v>0</v>
      </c>
    </row>
    <row r="761" spans="1:4" x14ac:dyDescent="0.35">
      <c r="A761" s="11">
        <v>49400</v>
      </c>
      <c r="B761" s="12" t="s">
        <v>10</v>
      </c>
      <c r="C761" s="13">
        <v>22.1</v>
      </c>
      <c r="D761" s="14">
        <v>33.799999999999997</v>
      </c>
    </row>
    <row r="762" spans="1:4" x14ac:dyDescent="0.35">
      <c r="A762" s="7">
        <v>49401</v>
      </c>
      <c r="B762" s="8" t="s">
        <v>32</v>
      </c>
      <c r="C762" s="9">
        <v>17.100000000000001</v>
      </c>
      <c r="D762" s="10">
        <v>0</v>
      </c>
    </row>
    <row r="763" spans="1:4" x14ac:dyDescent="0.35">
      <c r="A763" s="11">
        <v>49402</v>
      </c>
      <c r="B763" s="12" t="s">
        <v>13</v>
      </c>
      <c r="C763" s="13">
        <v>12.1</v>
      </c>
      <c r="D763" s="14">
        <v>14.4</v>
      </c>
    </row>
    <row r="764" spans="1:4" x14ac:dyDescent="0.35">
      <c r="A764" s="7">
        <v>49403</v>
      </c>
      <c r="B764" s="8" t="s">
        <v>19</v>
      </c>
      <c r="C764" s="9">
        <v>28.6</v>
      </c>
      <c r="D764" s="10">
        <v>23.2</v>
      </c>
    </row>
    <row r="765" spans="1:4" x14ac:dyDescent="0.35">
      <c r="A765" s="11">
        <v>49404</v>
      </c>
      <c r="B765" s="12" t="s">
        <v>6</v>
      </c>
      <c r="C765" s="13">
        <v>21.2</v>
      </c>
      <c r="D765" s="14">
        <v>1.5</v>
      </c>
    </row>
    <row r="766" spans="1:4" x14ac:dyDescent="0.35">
      <c r="A766" s="7">
        <v>49405</v>
      </c>
      <c r="B766" s="8" t="s">
        <v>9</v>
      </c>
      <c r="C766" s="9">
        <v>17.2</v>
      </c>
      <c r="D766" s="10">
        <v>2.4</v>
      </c>
    </row>
    <row r="767" spans="1:4" x14ac:dyDescent="0.35">
      <c r="A767" s="11">
        <v>49406</v>
      </c>
      <c r="B767" s="12" t="s">
        <v>10</v>
      </c>
      <c r="C767" s="13">
        <v>22.3</v>
      </c>
      <c r="D767" s="14">
        <v>0</v>
      </c>
    </row>
    <row r="768" spans="1:4" x14ac:dyDescent="0.35">
      <c r="A768" s="7">
        <v>49407</v>
      </c>
      <c r="B768" s="8" t="s">
        <v>15</v>
      </c>
      <c r="C768" s="9">
        <v>13.2</v>
      </c>
      <c r="D768" s="10">
        <v>3.6</v>
      </c>
    </row>
    <row r="769" spans="1:4" x14ac:dyDescent="0.35">
      <c r="A769" s="11">
        <v>49408</v>
      </c>
      <c r="B769" s="12" t="s">
        <v>18</v>
      </c>
      <c r="C769" s="13">
        <v>13.6</v>
      </c>
      <c r="D769" s="14">
        <v>13.4</v>
      </c>
    </row>
    <row r="770" spans="1:4" x14ac:dyDescent="0.35">
      <c r="A770" s="7">
        <v>49409</v>
      </c>
      <c r="B770" s="8" t="s">
        <v>12</v>
      </c>
      <c r="C770" s="9">
        <v>15.7</v>
      </c>
      <c r="D770" s="10">
        <v>0</v>
      </c>
    </row>
    <row r="771" spans="1:4" x14ac:dyDescent="0.35">
      <c r="A771" s="11">
        <v>49410</v>
      </c>
      <c r="B771" s="12" t="s">
        <v>9</v>
      </c>
      <c r="C771" s="13">
        <v>24.8</v>
      </c>
      <c r="D771" s="14">
        <v>0</v>
      </c>
    </row>
    <row r="772" spans="1:4" x14ac:dyDescent="0.35">
      <c r="A772" s="7">
        <v>49411</v>
      </c>
      <c r="B772" s="8" t="s">
        <v>10</v>
      </c>
      <c r="C772" s="9">
        <v>25.1</v>
      </c>
      <c r="D772" s="10">
        <v>5.0999999999999996</v>
      </c>
    </row>
    <row r="773" spans="1:4" x14ac:dyDescent="0.35">
      <c r="A773" s="11">
        <v>49412</v>
      </c>
      <c r="B773" s="12" t="s">
        <v>19</v>
      </c>
      <c r="C773" s="13">
        <v>14.2</v>
      </c>
      <c r="D773" s="14">
        <v>23.5</v>
      </c>
    </row>
    <row r="774" spans="1:4" x14ac:dyDescent="0.35">
      <c r="A774" s="7">
        <v>49413</v>
      </c>
      <c r="B774" s="8" t="s">
        <v>14</v>
      </c>
      <c r="C774" s="9">
        <v>21.1</v>
      </c>
      <c r="D774" s="10">
        <v>1.4</v>
      </c>
    </row>
    <row r="775" spans="1:4" x14ac:dyDescent="0.35">
      <c r="A775" s="11">
        <v>49414</v>
      </c>
      <c r="B775" s="12" t="s">
        <v>10</v>
      </c>
      <c r="C775" s="13">
        <v>25.4</v>
      </c>
      <c r="D775" s="14">
        <v>28</v>
      </c>
    </row>
    <row r="776" spans="1:4" x14ac:dyDescent="0.35">
      <c r="A776" s="7">
        <v>49415</v>
      </c>
      <c r="B776" s="8" t="s">
        <v>10</v>
      </c>
      <c r="C776" s="9">
        <v>24.7</v>
      </c>
      <c r="D776" s="10">
        <v>5.7</v>
      </c>
    </row>
    <row r="777" spans="1:4" x14ac:dyDescent="0.35">
      <c r="A777" s="11">
        <v>49416</v>
      </c>
      <c r="B777" s="12" t="s">
        <v>13</v>
      </c>
      <c r="C777" s="13">
        <v>19.8</v>
      </c>
      <c r="D777" s="14">
        <v>0</v>
      </c>
    </row>
    <row r="778" spans="1:4" x14ac:dyDescent="0.35">
      <c r="A778" s="7">
        <v>49417</v>
      </c>
      <c r="B778" s="8" t="s">
        <v>27</v>
      </c>
      <c r="C778" s="9">
        <v>28.4</v>
      </c>
      <c r="D778" s="10">
        <v>2.9</v>
      </c>
    </row>
    <row r="779" spans="1:4" x14ac:dyDescent="0.35">
      <c r="A779" s="11">
        <v>49418</v>
      </c>
      <c r="B779" s="12" t="s">
        <v>11</v>
      </c>
      <c r="C779" s="13">
        <v>26.5</v>
      </c>
      <c r="D779" s="14">
        <v>0</v>
      </c>
    </row>
    <row r="780" spans="1:4" x14ac:dyDescent="0.35">
      <c r="A780" s="7">
        <v>49419</v>
      </c>
      <c r="B780" s="8" t="s">
        <v>10</v>
      </c>
      <c r="C780" s="9">
        <v>14.1</v>
      </c>
      <c r="D780" s="10">
        <v>13.1</v>
      </c>
    </row>
    <row r="781" spans="1:4" x14ac:dyDescent="0.35">
      <c r="A781" s="11">
        <v>49420</v>
      </c>
      <c r="B781" s="12" t="s">
        <v>28</v>
      </c>
      <c r="C781" s="13">
        <v>15.9</v>
      </c>
      <c r="D781" s="14">
        <v>0.5</v>
      </c>
    </row>
    <row r="782" spans="1:4" x14ac:dyDescent="0.35">
      <c r="A782" s="7">
        <v>49421</v>
      </c>
      <c r="B782" s="8" t="s">
        <v>19</v>
      </c>
      <c r="C782" s="9">
        <v>28.2</v>
      </c>
      <c r="D782" s="10">
        <v>26.9</v>
      </c>
    </row>
    <row r="783" spans="1:4" x14ac:dyDescent="0.35">
      <c r="A783" s="11">
        <v>49422</v>
      </c>
      <c r="B783" s="12" t="s">
        <v>28</v>
      </c>
      <c r="C783" s="13">
        <v>17.100000000000001</v>
      </c>
      <c r="D783" s="14">
        <v>0.5</v>
      </c>
    </row>
    <row r="784" spans="1:4" x14ac:dyDescent="0.35">
      <c r="A784" s="7">
        <v>49423</v>
      </c>
      <c r="B784" s="8" t="s">
        <v>19</v>
      </c>
      <c r="C784" s="9">
        <v>27</v>
      </c>
      <c r="D784" s="10">
        <v>0</v>
      </c>
    </row>
    <row r="785" spans="1:4" x14ac:dyDescent="0.35">
      <c r="A785" s="11">
        <v>49424</v>
      </c>
      <c r="B785" s="12" t="s">
        <v>18</v>
      </c>
      <c r="C785" s="13">
        <v>24.1</v>
      </c>
      <c r="D785" s="14">
        <v>0</v>
      </c>
    </row>
    <row r="786" spans="1:4" x14ac:dyDescent="0.35">
      <c r="A786" s="7">
        <v>49425</v>
      </c>
      <c r="B786" s="8" t="s">
        <v>12</v>
      </c>
      <c r="C786" s="9">
        <v>10.4</v>
      </c>
      <c r="D786" s="10">
        <v>7.2</v>
      </c>
    </row>
    <row r="787" spans="1:4" x14ac:dyDescent="0.35">
      <c r="A787" s="11">
        <v>49426</v>
      </c>
      <c r="B787" s="12" t="s">
        <v>13</v>
      </c>
      <c r="C787" s="13">
        <v>27.2</v>
      </c>
      <c r="D787" s="14">
        <v>15.1</v>
      </c>
    </row>
    <row r="788" spans="1:4" x14ac:dyDescent="0.35">
      <c r="A788" s="7">
        <v>49427</v>
      </c>
      <c r="B788" s="8" t="s">
        <v>22</v>
      </c>
      <c r="C788" s="9">
        <v>22.1</v>
      </c>
      <c r="D788" s="10">
        <v>0</v>
      </c>
    </row>
    <row r="789" spans="1:4" x14ac:dyDescent="0.35">
      <c r="A789" s="11">
        <v>49428</v>
      </c>
      <c r="B789" s="12" t="s">
        <v>14</v>
      </c>
      <c r="C789" s="13">
        <v>13.3</v>
      </c>
      <c r="D789" s="14">
        <v>8.5</v>
      </c>
    </row>
    <row r="790" spans="1:4" x14ac:dyDescent="0.35">
      <c r="A790" s="7">
        <v>49429</v>
      </c>
      <c r="B790" s="8" t="s">
        <v>12</v>
      </c>
      <c r="C790" s="9">
        <v>26.4</v>
      </c>
      <c r="D790" s="10">
        <v>0</v>
      </c>
    </row>
    <row r="791" spans="1:4" x14ac:dyDescent="0.35">
      <c r="A791" s="11">
        <v>49430</v>
      </c>
      <c r="B791" s="12" t="s">
        <v>25</v>
      </c>
      <c r="C791" s="13">
        <v>25.8</v>
      </c>
      <c r="D791" s="14">
        <v>2.9</v>
      </c>
    </row>
    <row r="792" spans="1:4" x14ac:dyDescent="0.35">
      <c r="A792" s="7">
        <v>49431</v>
      </c>
      <c r="B792" s="8" t="s">
        <v>15</v>
      </c>
      <c r="C792" s="9">
        <v>23</v>
      </c>
      <c r="D792" s="10">
        <v>3.8</v>
      </c>
    </row>
    <row r="793" spans="1:4" x14ac:dyDescent="0.35">
      <c r="A793" s="11">
        <v>49432</v>
      </c>
      <c r="B793" s="12" t="s">
        <v>13</v>
      </c>
      <c r="C793" s="13">
        <v>22.7</v>
      </c>
      <c r="D793" s="14">
        <v>0</v>
      </c>
    </row>
    <row r="794" spans="1:4" x14ac:dyDescent="0.35">
      <c r="A794" s="7">
        <v>49433</v>
      </c>
      <c r="B794" s="8" t="s">
        <v>26</v>
      </c>
      <c r="C794" s="9">
        <v>26.2</v>
      </c>
      <c r="D794" s="10">
        <v>5.0999999999999996</v>
      </c>
    </row>
    <row r="795" spans="1:4" x14ac:dyDescent="0.35">
      <c r="A795" s="11">
        <v>49434</v>
      </c>
      <c r="B795" s="12" t="s">
        <v>14</v>
      </c>
      <c r="C795" s="13">
        <v>16.600000000000001</v>
      </c>
      <c r="D795" s="14">
        <v>0</v>
      </c>
    </row>
    <row r="796" spans="1:4" x14ac:dyDescent="0.35">
      <c r="A796" s="7">
        <v>49435</v>
      </c>
      <c r="B796" s="8" t="s">
        <v>23</v>
      </c>
      <c r="C796" s="9">
        <v>23.9</v>
      </c>
      <c r="D796" s="10">
        <v>0</v>
      </c>
    </row>
    <row r="797" spans="1:4" x14ac:dyDescent="0.35">
      <c r="A797" s="11">
        <v>49436</v>
      </c>
      <c r="B797" s="12" t="s">
        <v>7</v>
      </c>
      <c r="C797" s="13">
        <v>10.6</v>
      </c>
      <c r="D797" s="14">
        <v>21.3</v>
      </c>
    </row>
    <row r="798" spans="1:4" x14ac:dyDescent="0.35">
      <c r="A798" s="7">
        <v>49437</v>
      </c>
      <c r="B798" s="8" t="s">
        <v>10</v>
      </c>
      <c r="C798" s="9">
        <v>22.8</v>
      </c>
      <c r="D798" s="10">
        <v>24.6</v>
      </c>
    </row>
    <row r="799" spans="1:4" x14ac:dyDescent="0.35">
      <c r="A799" s="11">
        <v>49438</v>
      </c>
      <c r="B799" s="12" t="s">
        <v>5</v>
      </c>
      <c r="C799" s="13">
        <v>26.8</v>
      </c>
      <c r="D799" s="14">
        <v>7.5</v>
      </c>
    </row>
    <row r="800" spans="1:4" x14ac:dyDescent="0.35">
      <c r="A800" s="7">
        <v>49439</v>
      </c>
      <c r="B800" s="8" t="s">
        <v>19</v>
      </c>
      <c r="C800" s="9">
        <v>21.3</v>
      </c>
      <c r="D800" s="10">
        <v>37.700000000000003</v>
      </c>
    </row>
    <row r="801" spans="1:4" x14ac:dyDescent="0.35">
      <c r="A801" s="11">
        <v>49440</v>
      </c>
      <c r="B801" s="12" t="s">
        <v>12</v>
      </c>
      <c r="C801" s="13">
        <v>20.3</v>
      </c>
      <c r="D801" s="14">
        <v>11</v>
      </c>
    </row>
    <row r="802" spans="1:4" x14ac:dyDescent="0.35">
      <c r="A802" s="7">
        <v>49441</v>
      </c>
      <c r="B802" s="8" t="s">
        <v>19</v>
      </c>
      <c r="C802" s="9">
        <v>25.6</v>
      </c>
      <c r="D802" s="10">
        <v>20.100000000000001</v>
      </c>
    </row>
    <row r="803" spans="1:4" x14ac:dyDescent="0.35">
      <c r="A803" s="11">
        <v>49442</v>
      </c>
      <c r="B803" s="12" t="s">
        <v>13</v>
      </c>
      <c r="C803" s="13">
        <v>25.1</v>
      </c>
      <c r="D803" s="14">
        <v>14.7</v>
      </c>
    </row>
    <row r="804" spans="1:4" x14ac:dyDescent="0.35">
      <c r="A804" s="7">
        <v>49443</v>
      </c>
      <c r="B804" s="8" t="s">
        <v>7</v>
      </c>
      <c r="C804" s="9">
        <v>24.3</v>
      </c>
      <c r="D804" s="10">
        <v>24.3</v>
      </c>
    </row>
    <row r="805" spans="1:4" x14ac:dyDescent="0.35">
      <c r="A805" s="11">
        <v>49444</v>
      </c>
      <c r="B805" s="12" t="s">
        <v>14</v>
      </c>
      <c r="C805" s="13">
        <v>12.9</v>
      </c>
      <c r="D805" s="14">
        <v>2.7</v>
      </c>
    </row>
    <row r="806" spans="1:4" x14ac:dyDescent="0.35">
      <c r="A806" s="7">
        <v>49445</v>
      </c>
      <c r="B806" s="8" t="s">
        <v>19</v>
      </c>
      <c r="C806" s="9">
        <v>16.7</v>
      </c>
      <c r="D806" s="10">
        <v>27.7</v>
      </c>
    </row>
    <row r="807" spans="1:4" x14ac:dyDescent="0.35">
      <c r="A807" s="11">
        <v>49446</v>
      </c>
      <c r="B807" s="12" t="s">
        <v>10</v>
      </c>
      <c r="C807" s="13">
        <v>16.2</v>
      </c>
      <c r="D807" s="14">
        <v>20.5</v>
      </c>
    </row>
    <row r="808" spans="1:4" x14ac:dyDescent="0.35">
      <c r="A808" s="7">
        <v>49447</v>
      </c>
      <c r="B808" s="8" t="s">
        <v>12</v>
      </c>
      <c r="C808" s="9">
        <v>19.5</v>
      </c>
      <c r="D808" s="10">
        <v>5.0999999999999996</v>
      </c>
    </row>
    <row r="809" spans="1:4" x14ac:dyDescent="0.35">
      <c r="A809" s="11">
        <v>49448</v>
      </c>
      <c r="B809" s="12" t="s">
        <v>10</v>
      </c>
      <c r="C809" s="13">
        <v>22.9</v>
      </c>
      <c r="D809" s="14">
        <v>6.6</v>
      </c>
    </row>
    <row r="810" spans="1:4" x14ac:dyDescent="0.35">
      <c r="A810" s="7">
        <v>49449</v>
      </c>
      <c r="B810" s="8" t="s">
        <v>19</v>
      </c>
      <c r="C810" s="9">
        <v>25.9</v>
      </c>
      <c r="D810" s="10">
        <v>4.4000000000000004</v>
      </c>
    </row>
    <row r="811" spans="1:4" x14ac:dyDescent="0.35">
      <c r="A811" s="11">
        <v>49450</v>
      </c>
      <c r="B811" s="12" t="s">
        <v>18</v>
      </c>
      <c r="C811" s="13">
        <v>20.3</v>
      </c>
      <c r="D811" s="14">
        <v>4.5999999999999996</v>
      </c>
    </row>
    <row r="812" spans="1:4" x14ac:dyDescent="0.35">
      <c r="A812" s="7">
        <v>49451</v>
      </c>
      <c r="B812" s="8" t="s">
        <v>28</v>
      </c>
      <c r="C812" s="9">
        <v>11.3</v>
      </c>
      <c r="D812" s="10">
        <v>0.3</v>
      </c>
    </row>
    <row r="813" spans="1:4" x14ac:dyDescent="0.35">
      <c r="A813" s="11">
        <v>49452</v>
      </c>
      <c r="B813" s="12" t="s">
        <v>10</v>
      </c>
      <c r="C813" s="13">
        <v>27.4</v>
      </c>
      <c r="D813" s="14">
        <v>29.9</v>
      </c>
    </row>
    <row r="814" spans="1:4" x14ac:dyDescent="0.35">
      <c r="A814" s="7">
        <v>49453</v>
      </c>
      <c r="B814" s="8" t="s">
        <v>19</v>
      </c>
      <c r="C814" s="9">
        <v>29.2</v>
      </c>
      <c r="D814" s="10">
        <v>0</v>
      </c>
    </row>
    <row r="815" spans="1:4" x14ac:dyDescent="0.35">
      <c r="A815" s="11">
        <v>49454</v>
      </c>
      <c r="B815" s="12" t="s">
        <v>4</v>
      </c>
      <c r="C815" s="13">
        <v>27.4</v>
      </c>
      <c r="D815" s="14">
        <v>0</v>
      </c>
    </row>
    <row r="816" spans="1:4" x14ac:dyDescent="0.35">
      <c r="A816" s="7">
        <v>49455</v>
      </c>
      <c r="B816" s="8" t="s">
        <v>19</v>
      </c>
      <c r="C816" s="9">
        <v>10.1</v>
      </c>
      <c r="D816" s="10">
        <v>8.1</v>
      </c>
    </row>
    <row r="817" spans="1:4" x14ac:dyDescent="0.35">
      <c r="A817" s="11">
        <v>49456</v>
      </c>
      <c r="B817" s="12" t="s">
        <v>5</v>
      </c>
      <c r="C817" s="13">
        <v>12.9</v>
      </c>
      <c r="D817" s="14">
        <v>5.9</v>
      </c>
    </row>
    <row r="818" spans="1:4" x14ac:dyDescent="0.35">
      <c r="A818" s="7">
        <v>49457</v>
      </c>
      <c r="B818" s="8" t="s">
        <v>14</v>
      </c>
      <c r="C818" s="9">
        <v>18.7</v>
      </c>
      <c r="D818" s="10">
        <v>0</v>
      </c>
    </row>
    <row r="819" spans="1:4" x14ac:dyDescent="0.35">
      <c r="A819" s="11">
        <v>49458</v>
      </c>
      <c r="B819" s="12" t="s">
        <v>32</v>
      </c>
      <c r="C819" s="13">
        <v>17.8</v>
      </c>
      <c r="D819" s="14">
        <v>0.3</v>
      </c>
    </row>
    <row r="820" spans="1:4" x14ac:dyDescent="0.35">
      <c r="A820" s="7">
        <v>49459</v>
      </c>
      <c r="B820" s="8" t="s">
        <v>10</v>
      </c>
      <c r="C820" s="9">
        <v>24.7</v>
      </c>
      <c r="D820" s="10">
        <v>42.9</v>
      </c>
    </row>
    <row r="821" spans="1:4" x14ac:dyDescent="0.35">
      <c r="A821" s="11">
        <v>49460</v>
      </c>
      <c r="B821" s="12" t="s">
        <v>10</v>
      </c>
      <c r="C821" s="13">
        <v>28.7</v>
      </c>
      <c r="D821" s="14">
        <v>33.799999999999997</v>
      </c>
    </row>
    <row r="822" spans="1:4" x14ac:dyDescent="0.35">
      <c r="A822" s="7">
        <v>49461</v>
      </c>
      <c r="B822" s="8" t="s">
        <v>18</v>
      </c>
      <c r="C822" s="9">
        <v>12.3</v>
      </c>
      <c r="D822" s="10">
        <v>1.7</v>
      </c>
    </row>
    <row r="823" spans="1:4" x14ac:dyDescent="0.35">
      <c r="A823" s="11">
        <v>49462</v>
      </c>
      <c r="B823" s="12" t="s">
        <v>19</v>
      </c>
      <c r="C823" s="13">
        <v>22.9</v>
      </c>
      <c r="D823" s="14">
        <v>0</v>
      </c>
    </row>
    <row r="824" spans="1:4" x14ac:dyDescent="0.35">
      <c r="A824" s="7">
        <v>49463</v>
      </c>
      <c r="B824" s="8" t="s">
        <v>17</v>
      </c>
      <c r="C824" s="9">
        <v>20</v>
      </c>
      <c r="D824" s="10">
        <v>3</v>
      </c>
    </row>
    <row r="825" spans="1:4" x14ac:dyDescent="0.35">
      <c r="A825" s="11">
        <v>49464</v>
      </c>
      <c r="B825" s="12" t="s">
        <v>10</v>
      </c>
      <c r="C825" s="13">
        <v>27.3</v>
      </c>
      <c r="D825" s="14">
        <v>0</v>
      </c>
    </row>
    <row r="826" spans="1:4" x14ac:dyDescent="0.35">
      <c r="A826" s="7">
        <v>49465</v>
      </c>
      <c r="B826" s="8" t="s">
        <v>13</v>
      </c>
      <c r="C826" s="9">
        <v>29.9</v>
      </c>
      <c r="D826" s="10">
        <v>7.7</v>
      </c>
    </row>
    <row r="827" spans="1:4" x14ac:dyDescent="0.35">
      <c r="A827" s="11">
        <v>49466</v>
      </c>
      <c r="B827" s="12" t="s">
        <v>12</v>
      </c>
      <c r="C827" s="13">
        <v>27.5</v>
      </c>
      <c r="D827" s="14">
        <v>2.7</v>
      </c>
    </row>
    <row r="828" spans="1:4" x14ac:dyDescent="0.35">
      <c r="A828" s="7">
        <v>49467</v>
      </c>
      <c r="B828" s="8" t="s">
        <v>18</v>
      </c>
      <c r="C828" s="9">
        <v>16.5</v>
      </c>
      <c r="D828" s="10">
        <v>13.3</v>
      </c>
    </row>
    <row r="829" spans="1:4" x14ac:dyDescent="0.35">
      <c r="A829" s="11">
        <v>49468</v>
      </c>
      <c r="B829" s="12" t="s">
        <v>5</v>
      </c>
      <c r="C829" s="13">
        <v>23.5</v>
      </c>
      <c r="D829" s="14">
        <v>5.9</v>
      </c>
    </row>
    <row r="830" spans="1:4" x14ac:dyDescent="0.35">
      <c r="A830" s="7">
        <v>49469</v>
      </c>
      <c r="B830" s="8" t="s">
        <v>5</v>
      </c>
      <c r="C830" s="9">
        <v>21.5</v>
      </c>
      <c r="D830" s="10">
        <v>4.0999999999999996</v>
      </c>
    </row>
    <row r="831" spans="1:4" x14ac:dyDescent="0.35">
      <c r="A831" s="11">
        <v>49470</v>
      </c>
      <c r="B831" s="12" t="s">
        <v>15</v>
      </c>
      <c r="C831" s="13">
        <v>10.3</v>
      </c>
      <c r="D831" s="14">
        <v>15.6</v>
      </c>
    </row>
    <row r="832" spans="1:4" x14ac:dyDescent="0.35">
      <c r="A832" s="7">
        <v>49471</v>
      </c>
      <c r="B832" s="8" t="s">
        <v>10</v>
      </c>
      <c r="C832" s="9">
        <v>15</v>
      </c>
      <c r="D832" s="10">
        <v>0</v>
      </c>
    </row>
    <row r="833" spans="1:4" x14ac:dyDescent="0.35">
      <c r="A833" s="11">
        <v>49472</v>
      </c>
      <c r="B833" s="12" t="s">
        <v>6</v>
      </c>
      <c r="C833" s="13">
        <v>23.3</v>
      </c>
      <c r="D833" s="14">
        <v>5.3</v>
      </c>
    </row>
    <row r="834" spans="1:4" x14ac:dyDescent="0.35">
      <c r="A834" s="7">
        <v>49473</v>
      </c>
      <c r="B834" s="8" t="s">
        <v>15</v>
      </c>
      <c r="C834" s="9">
        <v>10.5</v>
      </c>
      <c r="D834" s="10">
        <v>14.4</v>
      </c>
    </row>
    <row r="835" spans="1:4" x14ac:dyDescent="0.35">
      <c r="A835" s="11">
        <v>49474</v>
      </c>
      <c r="B835" s="12" t="s">
        <v>10</v>
      </c>
      <c r="C835" s="13">
        <v>18.5</v>
      </c>
      <c r="D835" s="14">
        <v>0</v>
      </c>
    </row>
    <row r="836" spans="1:4" x14ac:dyDescent="0.35">
      <c r="A836" s="7">
        <v>49475</v>
      </c>
      <c r="B836" s="8" t="s">
        <v>14</v>
      </c>
      <c r="C836" s="9">
        <v>20.2</v>
      </c>
      <c r="D836" s="10">
        <v>5.4</v>
      </c>
    </row>
    <row r="837" spans="1:4" x14ac:dyDescent="0.35">
      <c r="A837" s="11">
        <v>49476</v>
      </c>
      <c r="B837" s="12" t="s">
        <v>23</v>
      </c>
      <c r="C837" s="13">
        <v>29</v>
      </c>
      <c r="D837" s="14">
        <v>4.2</v>
      </c>
    </row>
    <row r="838" spans="1:4" x14ac:dyDescent="0.35">
      <c r="A838" s="7">
        <v>49477</v>
      </c>
      <c r="B838" s="8" t="s">
        <v>15</v>
      </c>
      <c r="C838" s="9">
        <v>12.1</v>
      </c>
      <c r="D838" s="10">
        <v>18.100000000000001</v>
      </c>
    </row>
    <row r="839" spans="1:4" x14ac:dyDescent="0.35">
      <c r="A839" s="11">
        <v>49478</v>
      </c>
      <c r="B839" s="12" t="s">
        <v>13</v>
      </c>
      <c r="C839" s="13">
        <v>14.1</v>
      </c>
      <c r="D839" s="14">
        <v>5.6</v>
      </c>
    </row>
    <row r="840" spans="1:4" x14ac:dyDescent="0.35">
      <c r="A840" s="7">
        <v>49479</v>
      </c>
      <c r="B840" s="8" t="s">
        <v>10</v>
      </c>
      <c r="C840" s="9">
        <v>19.5</v>
      </c>
      <c r="D840" s="10">
        <v>2.7</v>
      </c>
    </row>
    <row r="841" spans="1:4" x14ac:dyDescent="0.35">
      <c r="A841" s="11">
        <v>49480</v>
      </c>
      <c r="B841" s="12" t="s">
        <v>27</v>
      </c>
      <c r="C841" s="13">
        <v>28.7</v>
      </c>
      <c r="D841" s="14">
        <v>0.3</v>
      </c>
    </row>
    <row r="842" spans="1:4" x14ac:dyDescent="0.35">
      <c r="A842" s="7">
        <v>49481</v>
      </c>
      <c r="B842" s="8" t="s">
        <v>19</v>
      </c>
      <c r="C842" s="9">
        <v>20.3</v>
      </c>
      <c r="D842" s="10">
        <v>15</v>
      </c>
    </row>
    <row r="843" spans="1:4" x14ac:dyDescent="0.35">
      <c r="A843" s="11">
        <v>49482</v>
      </c>
      <c r="B843" s="12" t="s">
        <v>7</v>
      </c>
      <c r="C843" s="13">
        <v>25.9</v>
      </c>
      <c r="D843" s="14">
        <v>4.7</v>
      </c>
    </row>
    <row r="844" spans="1:4" x14ac:dyDescent="0.35">
      <c r="A844" s="7">
        <v>49483</v>
      </c>
      <c r="B844" s="8" t="s">
        <v>7</v>
      </c>
      <c r="C844" s="9">
        <v>25.3</v>
      </c>
      <c r="D844" s="10">
        <v>0</v>
      </c>
    </row>
    <row r="845" spans="1:4" x14ac:dyDescent="0.35">
      <c r="A845" s="11">
        <v>49484</v>
      </c>
      <c r="B845" s="12" t="s">
        <v>20</v>
      </c>
      <c r="C845" s="13">
        <v>22.8</v>
      </c>
      <c r="D845" s="14">
        <v>0.6</v>
      </c>
    </row>
    <row r="846" spans="1:4" x14ac:dyDescent="0.35">
      <c r="A846" s="7">
        <v>49485</v>
      </c>
      <c r="B846" s="8" t="s">
        <v>22</v>
      </c>
      <c r="C846" s="9">
        <v>28.4</v>
      </c>
      <c r="D846" s="10">
        <v>2.2999999999999998</v>
      </c>
    </row>
    <row r="847" spans="1:4" x14ac:dyDescent="0.35">
      <c r="A847" s="11">
        <v>49486</v>
      </c>
      <c r="B847" s="12" t="s">
        <v>22</v>
      </c>
      <c r="C847" s="13">
        <v>29.7</v>
      </c>
      <c r="D847" s="14">
        <v>0</v>
      </c>
    </row>
    <row r="848" spans="1:4" x14ac:dyDescent="0.35">
      <c r="A848" s="7">
        <v>49487</v>
      </c>
      <c r="B848" s="8" t="s">
        <v>15</v>
      </c>
      <c r="C848" s="9">
        <v>11.7</v>
      </c>
      <c r="D848" s="10">
        <v>6.4</v>
      </c>
    </row>
    <row r="849" spans="1:4" x14ac:dyDescent="0.35">
      <c r="A849" s="11">
        <v>49488</v>
      </c>
      <c r="B849" s="12" t="s">
        <v>22</v>
      </c>
      <c r="C849" s="13">
        <v>12.8</v>
      </c>
      <c r="D849" s="14">
        <v>6.9</v>
      </c>
    </row>
    <row r="850" spans="1:4" x14ac:dyDescent="0.35">
      <c r="A850" s="7">
        <v>49489</v>
      </c>
      <c r="B850" s="8" t="s">
        <v>10</v>
      </c>
      <c r="C850" s="9">
        <v>11</v>
      </c>
      <c r="D850" s="10">
        <v>0</v>
      </c>
    </row>
    <row r="851" spans="1:4" x14ac:dyDescent="0.35">
      <c r="A851" s="11">
        <v>49490</v>
      </c>
      <c r="B851" s="12" t="s">
        <v>33</v>
      </c>
      <c r="C851" s="13">
        <v>14.7</v>
      </c>
      <c r="D851" s="14">
        <v>0.5</v>
      </c>
    </row>
    <row r="852" spans="1:4" x14ac:dyDescent="0.35">
      <c r="A852" s="7">
        <v>49491</v>
      </c>
      <c r="B852" s="8" t="s">
        <v>26</v>
      </c>
      <c r="C852" s="9">
        <v>13.2</v>
      </c>
      <c r="D852" s="10">
        <v>2.5</v>
      </c>
    </row>
    <row r="853" spans="1:4" x14ac:dyDescent="0.35">
      <c r="A853" s="11">
        <v>49492</v>
      </c>
      <c r="B853" s="12" t="s">
        <v>26</v>
      </c>
      <c r="C853" s="13">
        <v>28</v>
      </c>
      <c r="D853" s="14">
        <v>3.8</v>
      </c>
    </row>
    <row r="854" spans="1:4" x14ac:dyDescent="0.35">
      <c r="A854" s="7">
        <v>49493</v>
      </c>
      <c r="B854" s="8" t="s">
        <v>11</v>
      </c>
      <c r="C854" s="9">
        <v>27.5</v>
      </c>
      <c r="D854" s="10">
        <v>10.3</v>
      </c>
    </row>
    <row r="855" spans="1:4" x14ac:dyDescent="0.35">
      <c r="A855" s="11">
        <v>49494</v>
      </c>
      <c r="B855" s="12" t="s">
        <v>26</v>
      </c>
      <c r="C855" s="13">
        <v>12.1</v>
      </c>
      <c r="D855" s="14">
        <v>4.7</v>
      </c>
    </row>
    <row r="856" spans="1:4" x14ac:dyDescent="0.35">
      <c r="A856" s="7">
        <v>49495</v>
      </c>
      <c r="B856" s="8" t="s">
        <v>15</v>
      </c>
      <c r="C856" s="9">
        <v>24.7</v>
      </c>
      <c r="D856" s="10">
        <v>7.2</v>
      </c>
    </row>
    <row r="857" spans="1:4" x14ac:dyDescent="0.35">
      <c r="A857" s="11">
        <v>49496</v>
      </c>
      <c r="B857" s="12" t="s">
        <v>25</v>
      </c>
      <c r="C857" s="13">
        <v>27.1</v>
      </c>
      <c r="D857" s="14">
        <v>2.6</v>
      </c>
    </row>
    <row r="858" spans="1:4" x14ac:dyDescent="0.35">
      <c r="A858" s="7">
        <v>49497</v>
      </c>
      <c r="B858" s="8" t="s">
        <v>7</v>
      </c>
      <c r="C858" s="9">
        <v>28.7</v>
      </c>
      <c r="D858" s="10">
        <v>3</v>
      </c>
    </row>
    <row r="859" spans="1:4" x14ac:dyDescent="0.35">
      <c r="A859" s="11">
        <v>49498</v>
      </c>
      <c r="B859" s="12" t="s">
        <v>10</v>
      </c>
      <c r="C859" s="13">
        <v>15</v>
      </c>
      <c r="D859" s="14">
        <v>21.4</v>
      </c>
    </row>
    <row r="860" spans="1:4" x14ac:dyDescent="0.35">
      <c r="A860" s="7">
        <v>49499</v>
      </c>
      <c r="B860" s="8" t="s">
        <v>11</v>
      </c>
      <c r="C860" s="9">
        <v>11.6</v>
      </c>
      <c r="D860" s="10">
        <v>3.7</v>
      </c>
    </row>
    <row r="861" spans="1:4" x14ac:dyDescent="0.35">
      <c r="A861" s="11">
        <v>49500</v>
      </c>
      <c r="B861" s="12" t="s">
        <v>10</v>
      </c>
      <c r="C861" s="13">
        <v>13.1</v>
      </c>
      <c r="D861" s="14">
        <v>0</v>
      </c>
    </row>
    <row r="862" spans="1:4" x14ac:dyDescent="0.35">
      <c r="A862" s="7">
        <v>49501</v>
      </c>
      <c r="B862" s="8" t="s">
        <v>26</v>
      </c>
      <c r="C862" s="9">
        <v>25.5</v>
      </c>
      <c r="D862" s="10">
        <v>0</v>
      </c>
    </row>
    <row r="863" spans="1:4" x14ac:dyDescent="0.35">
      <c r="A863" s="11">
        <v>49502</v>
      </c>
      <c r="B863" s="12" t="s">
        <v>28</v>
      </c>
      <c r="C863" s="13">
        <v>19.399999999999999</v>
      </c>
      <c r="D863" s="14">
        <v>0.7</v>
      </c>
    </row>
    <row r="864" spans="1:4" x14ac:dyDescent="0.35">
      <c r="A864" s="7">
        <v>49503</v>
      </c>
      <c r="B864" s="8" t="s">
        <v>7</v>
      </c>
      <c r="C864" s="9">
        <v>27.3</v>
      </c>
      <c r="D864" s="10">
        <v>2.6</v>
      </c>
    </row>
    <row r="865" spans="1:4" x14ac:dyDescent="0.35">
      <c r="A865" s="11">
        <v>49504</v>
      </c>
      <c r="B865" s="12" t="s">
        <v>10</v>
      </c>
      <c r="C865" s="13">
        <v>21</v>
      </c>
      <c r="D865" s="14">
        <v>27.8</v>
      </c>
    </row>
    <row r="866" spans="1:4" x14ac:dyDescent="0.35">
      <c r="A866" s="7">
        <v>49505</v>
      </c>
      <c r="B866" s="8" t="s">
        <v>14</v>
      </c>
      <c r="C866" s="9">
        <v>11.5</v>
      </c>
      <c r="D866" s="10">
        <v>0</v>
      </c>
    </row>
    <row r="867" spans="1:4" x14ac:dyDescent="0.35">
      <c r="A867" s="11">
        <v>49506</v>
      </c>
      <c r="B867" s="12" t="s">
        <v>21</v>
      </c>
      <c r="C867" s="13">
        <v>13.6</v>
      </c>
      <c r="D867" s="14">
        <v>2.7</v>
      </c>
    </row>
    <row r="868" spans="1:4" x14ac:dyDescent="0.35">
      <c r="A868" s="7">
        <v>49507</v>
      </c>
      <c r="B868" s="8" t="s">
        <v>8</v>
      </c>
      <c r="C868" s="9">
        <v>17.8</v>
      </c>
      <c r="D868" s="10">
        <v>0.3</v>
      </c>
    </row>
    <row r="869" spans="1:4" x14ac:dyDescent="0.35">
      <c r="A869" s="11">
        <v>49508</v>
      </c>
      <c r="B869" s="12" t="s">
        <v>8</v>
      </c>
      <c r="C869" s="13">
        <v>10.8</v>
      </c>
      <c r="D869" s="14">
        <v>0</v>
      </c>
    </row>
    <row r="870" spans="1:4" x14ac:dyDescent="0.35">
      <c r="A870" s="7">
        <v>49509</v>
      </c>
      <c r="B870" s="8" t="s">
        <v>10</v>
      </c>
      <c r="C870" s="9">
        <v>23</v>
      </c>
      <c r="D870" s="10">
        <v>3.3</v>
      </c>
    </row>
    <row r="871" spans="1:4" x14ac:dyDescent="0.35">
      <c r="A871" s="11">
        <v>49510</v>
      </c>
      <c r="B871" s="12" t="s">
        <v>11</v>
      </c>
      <c r="C871" s="13">
        <v>14</v>
      </c>
      <c r="D871" s="14">
        <v>18.100000000000001</v>
      </c>
    </row>
    <row r="872" spans="1:4" x14ac:dyDescent="0.35">
      <c r="A872" s="7">
        <v>49511</v>
      </c>
      <c r="B872" s="8" t="s">
        <v>26</v>
      </c>
      <c r="C872" s="9">
        <v>10.7</v>
      </c>
      <c r="D872" s="10">
        <v>0.4</v>
      </c>
    </row>
    <row r="873" spans="1:4" x14ac:dyDescent="0.35">
      <c r="A873" s="11">
        <v>49512</v>
      </c>
      <c r="B873" s="12" t="s">
        <v>13</v>
      </c>
      <c r="C873" s="13">
        <v>24.7</v>
      </c>
      <c r="D873" s="14">
        <v>9.1</v>
      </c>
    </row>
    <row r="874" spans="1:4" x14ac:dyDescent="0.35">
      <c r="A874" s="7">
        <v>49513</v>
      </c>
      <c r="B874" s="8" t="s">
        <v>19</v>
      </c>
      <c r="C874" s="9">
        <v>12.2</v>
      </c>
      <c r="D874" s="10">
        <v>18.600000000000001</v>
      </c>
    </row>
    <row r="875" spans="1:4" x14ac:dyDescent="0.35">
      <c r="A875" s="11">
        <v>49514</v>
      </c>
      <c r="B875" s="12" t="s">
        <v>6</v>
      </c>
      <c r="C875" s="13">
        <v>23.8</v>
      </c>
      <c r="D875" s="14">
        <v>7.7</v>
      </c>
    </row>
    <row r="876" spans="1:4" x14ac:dyDescent="0.35">
      <c r="A876" s="7">
        <v>49515</v>
      </c>
      <c r="B876" s="8" t="s">
        <v>12</v>
      </c>
      <c r="C876" s="9">
        <v>18.5</v>
      </c>
      <c r="D876" s="10">
        <v>0</v>
      </c>
    </row>
    <row r="877" spans="1:4" x14ac:dyDescent="0.35">
      <c r="A877" s="11">
        <v>49516</v>
      </c>
      <c r="B877" s="12" t="s">
        <v>17</v>
      </c>
      <c r="C877" s="13">
        <v>24.6</v>
      </c>
      <c r="D877" s="14">
        <v>0.4</v>
      </c>
    </row>
    <row r="878" spans="1:4" x14ac:dyDescent="0.35">
      <c r="A878" s="7">
        <v>49517</v>
      </c>
      <c r="B878" s="8" t="s">
        <v>19</v>
      </c>
      <c r="C878" s="9">
        <v>24.6</v>
      </c>
      <c r="D878" s="10">
        <v>10.4</v>
      </c>
    </row>
    <row r="879" spans="1:4" x14ac:dyDescent="0.35">
      <c r="A879" s="11">
        <v>49518</v>
      </c>
      <c r="B879" s="12" t="s">
        <v>12</v>
      </c>
      <c r="C879" s="13">
        <v>25.4</v>
      </c>
      <c r="D879" s="14">
        <v>11.2</v>
      </c>
    </row>
    <row r="880" spans="1:4" x14ac:dyDescent="0.35">
      <c r="A880" s="7">
        <v>49519</v>
      </c>
      <c r="B880" s="8" t="s">
        <v>11</v>
      </c>
      <c r="C880" s="9">
        <v>13.1</v>
      </c>
      <c r="D880" s="10">
        <v>22.2</v>
      </c>
    </row>
    <row r="881" spans="1:4" x14ac:dyDescent="0.35">
      <c r="A881" s="11">
        <v>49520</v>
      </c>
      <c r="B881" s="12" t="s">
        <v>10</v>
      </c>
      <c r="C881" s="13">
        <v>10.1</v>
      </c>
      <c r="D881" s="14">
        <v>11.6</v>
      </c>
    </row>
    <row r="882" spans="1:4" x14ac:dyDescent="0.35">
      <c r="A882" s="7">
        <v>49521</v>
      </c>
      <c r="B882" s="8" t="s">
        <v>15</v>
      </c>
      <c r="C882" s="9">
        <v>25</v>
      </c>
      <c r="D882" s="10">
        <v>0</v>
      </c>
    </row>
    <row r="883" spans="1:4" x14ac:dyDescent="0.35">
      <c r="A883" s="11">
        <v>49522</v>
      </c>
      <c r="B883" s="12" t="s">
        <v>18</v>
      </c>
      <c r="C883" s="13">
        <v>20.9</v>
      </c>
      <c r="D883" s="14">
        <v>11.4</v>
      </c>
    </row>
    <row r="884" spans="1:4" x14ac:dyDescent="0.35">
      <c r="A884" s="7">
        <v>49523</v>
      </c>
      <c r="B884" s="8" t="s">
        <v>14</v>
      </c>
      <c r="C884" s="9">
        <v>27.6</v>
      </c>
      <c r="D884" s="10">
        <v>2.5</v>
      </c>
    </row>
    <row r="885" spans="1:4" x14ac:dyDescent="0.35">
      <c r="A885" s="11">
        <v>49524</v>
      </c>
      <c r="B885" s="12" t="s">
        <v>10</v>
      </c>
      <c r="C885" s="13">
        <v>22.8</v>
      </c>
      <c r="D885" s="14">
        <v>0</v>
      </c>
    </row>
    <row r="886" spans="1:4" x14ac:dyDescent="0.35">
      <c r="A886" s="7">
        <v>49525</v>
      </c>
      <c r="B886" s="8" t="s">
        <v>9</v>
      </c>
      <c r="C886" s="9">
        <v>12</v>
      </c>
      <c r="D886" s="10">
        <v>0</v>
      </c>
    </row>
    <row r="887" spans="1:4" x14ac:dyDescent="0.35">
      <c r="A887" s="11">
        <v>49526</v>
      </c>
      <c r="B887" s="12" t="s">
        <v>23</v>
      </c>
      <c r="C887" s="13">
        <v>16.8</v>
      </c>
      <c r="D887" s="14">
        <v>4.9000000000000004</v>
      </c>
    </row>
    <row r="888" spans="1:4" x14ac:dyDescent="0.35">
      <c r="A888" s="7">
        <v>49527</v>
      </c>
      <c r="B888" s="8" t="s">
        <v>20</v>
      </c>
      <c r="C888" s="9">
        <v>12.9</v>
      </c>
      <c r="D888" s="10">
        <v>3</v>
      </c>
    </row>
    <row r="889" spans="1:4" x14ac:dyDescent="0.35">
      <c r="A889" s="11">
        <v>49528</v>
      </c>
      <c r="B889" s="12" t="s">
        <v>10</v>
      </c>
      <c r="C889" s="13">
        <v>18</v>
      </c>
      <c r="D889" s="14">
        <v>13.6</v>
      </c>
    </row>
    <row r="890" spans="1:4" x14ac:dyDescent="0.35">
      <c r="A890" s="7">
        <v>49529</v>
      </c>
      <c r="B890" s="8" t="s">
        <v>19</v>
      </c>
      <c r="C890" s="9">
        <v>26</v>
      </c>
      <c r="D890" s="10">
        <v>30.4</v>
      </c>
    </row>
    <row r="891" spans="1:4" x14ac:dyDescent="0.35">
      <c r="A891" s="11">
        <v>49530</v>
      </c>
      <c r="B891" s="12" t="s">
        <v>15</v>
      </c>
      <c r="C891" s="13">
        <v>21.3</v>
      </c>
      <c r="D891" s="14">
        <v>0</v>
      </c>
    </row>
    <row r="892" spans="1:4" x14ac:dyDescent="0.35">
      <c r="A892" s="7">
        <v>49531</v>
      </c>
      <c r="B892" s="8" t="s">
        <v>11</v>
      </c>
      <c r="C892" s="9">
        <v>15.7</v>
      </c>
      <c r="D892" s="10">
        <v>5.9</v>
      </c>
    </row>
    <row r="893" spans="1:4" x14ac:dyDescent="0.35">
      <c r="A893" s="11">
        <v>49532</v>
      </c>
      <c r="B893" s="12" t="s">
        <v>10</v>
      </c>
      <c r="C893" s="13">
        <v>19.100000000000001</v>
      </c>
      <c r="D893" s="14">
        <v>0</v>
      </c>
    </row>
    <row r="894" spans="1:4" x14ac:dyDescent="0.35">
      <c r="A894" s="7">
        <v>49533</v>
      </c>
      <c r="B894" s="8" t="s">
        <v>19</v>
      </c>
      <c r="C894" s="9">
        <v>24.6</v>
      </c>
      <c r="D894" s="10">
        <v>12.3</v>
      </c>
    </row>
    <row r="895" spans="1:4" x14ac:dyDescent="0.35">
      <c r="A895" s="11">
        <v>49534</v>
      </c>
      <c r="B895" s="12" t="s">
        <v>10</v>
      </c>
      <c r="C895" s="13">
        <v>18.7</v>
      </c>
      <c r="D895" s="14">
        <v>17.8</v>
      </c>
    </row>
    <row r="896" spans="1:4" x14ac:dyDescent="0.35">
      <c r="A896" s="7">
        <v>49535</v>
      </c>
      <c r="B896" s="8" t="s">
        <v>9</v>
      </c>
      <c r="C896" s="9">
        <v>13.2</v>
      </c>
      <c r="D896" s="10">
        <v>3.2</v>
      </c>
    </row>
    <row r="897" spans="1:4" x14ac:dyDescent="0.35">
      <c r="A897" s="11">
        <v>49536</v>
      </c>
      <c r="B897" s="12" t="s">
        <v>12</v>
      </c>
      <c r="C897" s="13">
        <v>24.8</v>
      </c>
      <c r="D897" s="14">
        <v>2.2999999999999998</v>
      </c>
    </row>
    <row r="898" spans="1:4" x14ac:dyDescent="0.35">
      <c r="A898" s="7">
        <v>49537</v>
      </c>
      <c r="B898" s="8" t="s">
        <v>15</v>
      </c>
      <c r="C898" s="9">
        <v>19.3</v>
      </c>
      <c r="D898" s="10">
        <v>1.8</v>
      </c>
    </row>
    <row r="899" spans="1:4" x14ac:dyDescent="0.35">
      <c r="A899" s="11">
        <v>49538</v>
      </c>
      <c r="B899" s="12" t="s">
        <v>18</v>
      </c>
      <c r="C899" s="13">
        <v>22.7</v>
      </c>
      <c r="D899" s="14">
        <v>0</v>
      </c>
    </row>
    <row r="900" spans="1:4" x14ac:dyDescent="0.35">
      <c r="A900" s="7">
        <v>49539</v>
      </c>
      <c r="B900" s="8" t="s">
        <v>11</v>
      </c>
      <c r="C900" s="9">
        <v>15.2</v>
      </c>
      <c r="D900" s="10">
        <v>0</v>
      </c>
    </row>
    <row r="901" spans="1:4" x14ac:dyDescent="0.35">
      <c r="A901" s="11">
        <v>49540</v>
      </c>
      <c r="B901" s="12" t="s">
        <v>23</v>
      </c>
      <c r="C901" s="13">
        <v>28.6</v>
      </c>
      <c r="D901" s="14">
        <v>0.2</v>
      </c>
    </row>
    <row r="902" spans="1:4" x14ac:dyDescent="0.35">
      <c r="A902" s="7">
        <v>49541</v>
      </c>
      <c r="B902" s="8" t="s">
        <v>7</v>
      </c>
      <c r="C902" s="9">
        <v>17.899999999999999</v>
      </c>
      <c r="D902" s="10">
        <v>18.600000000000001</v>
      </c>
    </row>
    <row r="903" spans="1:4" x14ac:dyDescent="0.35">
      <c r="A903" s="11">
        <v>49542</v>
      </c>
      <c r="B903" s="12" t="s">
        <v>31</v>
      </c>
      <c r="C903" s="13">
        <v>11.6</v>
      </c>
      <c r="D903" s="14">
        <v>0</v>
      </c>
    </row>
    <row r="904" spans="1:4" x14ac:dyDescent="0.35">
      <c r="A904" s="7">
        <v>49543</v>
      </c>
      <c r="B904" s="8" t="s">
        <v>21</v>
      </c>
      <c r="C904" s="9">
        <v>19</v>
      </c>
      <c r="D904" s="10">
        <v>2.2000000000000002</v>
      </c>
    </row>
    <row r="905" spans="1:4" x14ac:dyDescent="0.35">
      <c r="A905" s="11">
        <v>49544</v>
      </c>
      <c r="B905" s="12" t="s">
        <v>12</v>
      </c>
      <c r="C905" s="13">
        <v>17.600000000000001</v>
      </c>
      <c r="D905" s="14">
        <v>7.2</v>
      </c>
    </row>
    <row r="906" spans="1:4" x14ac:dyDescent="0.35">
      <c r="A906" s="7">
        <v>49545</v>
      </c>
      <c r="B906" s="8" t="s">
        <v>7</v>
      </c>
      <c r="C906" s="9">
        <v>12.1</v>
      </c>
      <c r="D906" s="10">
        <v>7.2</v>
      </c>
    </row>
    <row r="907" spans="1:4" x14ac:dyDescent="0.35">
      <c r="A907" s="11">
        <v>49546</v>
      </c>
      <c r="B907" s="12" t="s">
        <v>13</v>
      </c>
      <c r="C907" s="13">
        <v>28.3</v>
      </c>
      <c r="D907" s="14">
        <v>1.8</v>
      </c>
    </row>
    <row r="908" spans="1:4" x14ac:dyDescent="0.35">
      <c r="A908" s="7">
        <v>49547</v>
      </c>
      <c r="B908" s="8" t="s">
        <v>18</v>
      </c>
      <c r="C908" s="9">
        <v>13.3</v>
      </c>
      <c r="D908" s="10">
        <v>0</v>
      </c>
    </row>
    <row r="909" spans="1:4" x14ac:dyDescent="0.35">
      <c r="A909" s="11">
        <v>49548</v>
      </c>
      <c r="B909" s="12" t="s">
        <v>11</v>
      </c>
      <c r="C909" s="13">
        <v>21</v>
      </c>
      <c r="D909" s="14">
        <v>4.2</v>
      </c>
    </row>
    <row r="910" spans="1:4" x14ac:dyDescent="0.35">
      <c r="A910" s="7">
        <v>49549</v>
      </c>
      <c r="B910" s="8" t="s">
        <v>10</v>
      </c>
      <c r="C910" s="9">
        <v>12</v>
      </c>
      <c r="D910" s="10">
        <v>2.2000000000000002</v>
      </c>
    </row>
    <row r="911" spans="1:4" x14ac:dyDescent="0.35">
      <c r="A911" s="11">
        <v>49550</v>
      </c>
      <c r="B911" s="12" t="s">
        <v>19</v>
      </c>
      <c r="C911" s="13">
        <v>12.1</v>
      </c>
      <c r="D911" s="14">
        <v>0</v>
      </c>
    </row>
    <row r="912" spans="1:4" x14ac:dyDescent="0.35">
      <c r="A912" s="7">
        <v>49551</v>
      </c>
      <c r="B912" s="8" t="s">
        <v>11</v>
      </c>
      <c r="C912" s="9">
        <v>15.8</v>
      </c>
      <c r="D912" s="10">
        <v>17.2</v>
      </c>
    </row>
    <row r="913" spans="1:4" x14ac:dyDescent="0.35">
      <c r="A913" s="11">
        <v>49552</v>
      </c>
      <c r="B913" s="12" t="s">
        <v>12</v>
      </c>
      <c r="C913" s="13">
        <v>25.7</v>
      </c>
      <c r="D913" s="14">
        <v>5.9</v>
      </c>
    </row>
    <row r="914" spans="1:4" x14ac:dyDescent="0.35">
      <c r="A914" s="7">
        <v>49553</v>
      </c>
      <c r="B914" s="8" t="s">
        <v>10</v>
      </c>
      <c r="C914" s="9">
        <v>20.5</v>
      </c>
      <c r="D914" s="10">
        <v>26</v>
      </c>
    </row>
    <row r="915" spans="1:4" x14ac:dyDescent="0.35">
      <c r="A915" s="11">
        <v>49554</v>
      </c>
      <c r="B915" s="12" t="s">
        <v>13</v>
      </c>
      <c r="C915" s="13">
        <v>23.5</v>
      </c>
      <c r="D915" s="14">
        <v>15.3</v>
      </c>
    </row>
    <row r="916" spans="1:4" x14ac:dyDescent="0.35">
      <c r="A916" s="7">
        <v>49555</v>
      </c>
      <c r="B916" s="8" t="s">
        <v>12</v>
      </c>
      <c r="C916" s="9">
        <v>21.7</v>
      </c>
      <c r="D916" s="10">
        <v>1.2</v>
      </c>
    </row>
    <row r="917" spans="1:4" x14ac:dyDescent="0.35">
      <c r="A917" s="11">
        <v>49556</v>
      </c>
      <c r="B917" s="12" t="s">
        <v>10</v>
      </c>
      <c r="C917" s="13">
        <v>29.8</v>
      </c>
      <c r="D917" s="14">
        <v>0</v>
      </c>
    </row>
    <row r="918" spans="1:4" x14ac:dyDescent="0.35">
      <c r="A918" s="7">
        <v>49557</v>
      </c>
      <c r="B918" s="8" t="s">
        <v>7</v>
      </c>
      <c r="C918" s="9">
        <v>27.1</v>
      </c>
      <c r="D918" s="10">
        <v>0</v>
      </c>
    </row>
    <row r="919" spans="1:4" x14ac:dyDescent="0.35">
      <c r="A919" s="11">
        <v>49558</v>
      </c>
      <c r="B919" s="12" t="s">
        <v>12</v>
      </c>
      <c r="C919" s="13">
        <v>27.3</v>
      </c>
      <c r="D919" s="14">
        <v>0</v>
      </c>
    </row>
    <row r="920" spans="1:4" x14ac:dyDescent="0.35">
      <c r="A920" s="7">
        <v>49559</v>
      </c>
      <c r="B920" s="8" t="s">
        <v>19</v>
      </c>
      <c r="C920" s="9">
        <v>15.5</v>
      </c>
      <c r="D920" s="10">
        <v>27.6</v>
      </c>
    </row>
    <row r="921" spans="1:4" x14ac:dyDescent="0.35">
      <c r="A921" s="11">
        <v>49560</v>
      </c>
      <c r="B921" s="12" t="s">
        <v>13</v>
      </c>
      <c r="C921" s="13">
        <v>27.9</v>
      </c>
      <c r="D921" s="14">
        <v>5.0999999999999996</v>
      </c>
    </row>
    <row r="922" spans="1:4" x14ac:dyDescent="0.35">
      <c r="A922" s="7">
        <v>49561</v>
      </c>
      <c r="B922" s="8" t="s">
        <v>10</v>
      </c>
      <c r="C922" s="9">
        <v>19.7</v>
      </c>
      <c r="D922" s="10">
        <v>21.4</v>
      </c>
    </row>
    <row r="923" spans="1:4" x14ac:dyDescent="0.35">
      <c r="A923" s="11">
        <v>49562</v>
      </c>
      <c r="B923" s="12" t="s">
        <v>10</v>
      </c>
      <c r="C923" s="13">
        <v>27.8</v>
      </c>
      <c r="D923" s="14">
        <v>27.6</v>
      </c>
    </row>
    <row r="924" spans="1:4" x14ac:dyDescent="0.35">
      <c r="A924" s="7">
        <v>49563</v>
      </c>
      <c r="B924" s="8" t="s">
        <v>22</v>
      </c>
      <c r="C924" s="9">
        <v>12.3</v>
      </c>
      <c r="D924" s="10">
        <v>2.9</v>
      </c>
    </row>
    <row r="925" spans="1:4" x14ac:dyDescent="0.35">
      <c r="A925" s="11">
        <v>49564</v>
      </c>
      <c r="B925" s="12" t="s">
        <v>18</v>
      </c>
      <c r="C925" s="13">
        <v>12.8</v>
      </c>
      <c r="D925" s="14">
        <v>8.8000000000000007</v>
      </c>
    </row>
    <row r="926" spans="1:4" x14ac:dyDescent="0.35">
      <c r="A926" s="7">
        <v>49565</v>
      </c>
      <c r="B926" s="8" t="s">
        <v>10</v>
      </c>
      <c r="C926" s="9">
        <v>15</v>
      </c>
      <c r="D926" s="10">
        <v>0</v>
      </c>
    </row>
    <row r="927" spans="1:4" x14ac:dyDescent="0.35">
      <c r="A927" s="11">
        <v>49566</v>
      </c>
      <c r="B927" s="12" t="s">
        <v>23</v>
      </c>
      <c r="C927" s="13">
        <v>27.6</v>
      </c>
      <c r="D927" s="14">
        <v>4.7</v>
      </c>
    </row>
    <row r="928" spans="1:4" x14ac:dyDescent="0.35">
      <c r="A928" s="7">
        <v>49567</v>
      </c>
      <c r="B928" s="8" t="s">
        <v>10</v>
      </c>
      <c r="C928" s="9">
        <v>19.600000000000001</v>
      </c>
      <c r="D928" s="10">
        <v>0</v>
      </c>
    </row>
    <row r="929" spans="1:4" x14ac:dyDescent="0.35">
      <c r="A929" s="11">
        <v>49568</v>
      </c>
      <c r="B929" s="12" t="s">
        <v>30</v>
      </c>
      <c r="C929" s="13">
        <v>16</v>
      </c>
      <c r="D929" s="14">
        <v>0.4</v>
      </c>
    </row>
    <row r="930" spans="1:4" x14ac:dyDescent="0.35">
      <c r="A930" s="7">
        <v>49569</v>
      </c>
      <c r="B930" s="8" t="s">
        <v>10</v>
      </c>
      <c r="C930" s="9">
        <v>10.3</v>
      </c>
      <c r="D930" s="10">
        <v>0</v>
      </c>
    </row>
    <row r="931" spans="1:4" x14ac:dyDescent="0.35">
      <c r="A931" s="11">
        <v>49570</v>
      </c>
      <c r="B931" s="12" t="s">
        <v>18</v>
      </c>
      <c r="C931" s="13">
        <v>20.2</v>
      </c>
      <c r="D931" s="14">
        <v>13.9</v>
      </c>
    </row>
    <row r="932" spans="1:4" x14ac:dyDescent="0.35">
      <c r="A932" s="7">
        <v>49571</v>
      </c>
      <c r="B932" s="8" t="s">
        <v>26</v>
      </c>
      <c r="C932" s="9">
        <v>26.4</v>
      </c>
      <c r="D932" s="10">
        <v>6.8</v>
      </c>
    </row>
    <row r="933" spans="1:4" x14ac:dyDescent="0.35">
      <c r="A933" s="11">
        <v>49572</v>
      </c>
      <c r="B933" s="12" t="s">
        <v>17</v>
      </c>
      <c r="C933" s="13">
        <v>20.6</v>
      </c>
      <c r="D933" s="14">
        <v>0</v>
      </c>
    </row>
    <row r="934" spans="1:4" x14ac:dyDescent="0.35">
      <c r="A934" s="7">
        <v>49573</v>
      </c>
      <c r="B934" s="8" t="s">
        <v>19</v>
      </c>
      <c r="C934" s="9">
        <v>12.3</v>
      </c>
      <c r="D934" s="10">
        <v>0.2</v>
      </c>
    </row>
    <row r="935" spans="1:4" x14ac:dyDescent="0.35">
      <c r="A935" s="11">
        <v>49574</v>
      </c>
      <c r="B935" s="12" t="s">
        <v>19</v>
      </c>
      <c r="C935" s="13">
        <v>11.2</v>
      </c>
      <c r="D935" s="14">
        <v>36.200000000000003</v>
      </c>
    </row>
    <row r="936" spans="1:4" x14ac:dyDescent="0.35">
      <c r="A936" s="7">
        <v>49575</v>
      </c>
      <c r="B936" s="8" t="s">
        <v>8</v>
      </c>
      <c r="C936" s="9">
        <v>22.6</v>
      </c>
      <c r="D936" s="10">
        <v>2.4</v>
      </c>
    </row>
    <row r="937" spans="1:4" x14ac:dyDescent="0.35">
      <c r="A937" s="11">
        <v>49576</v>
      </c>
      <c r="B937" s="12" t="s">
        <v>25</v>
      </c>
      <c r="C937" s="13">
        <v>16.399999999999999</v>
      </c>
      <c r="D937" s="14">
        <v>0.1</v>
      </c>
    </row>
    <row r="938" spans="1:4" x14ac:dyDescent="0.35">
      <c r="A938" s="7">
        <v>49577</v>
      </c>
      <c r="B938" s="8" t="s">
        <v>27</v>
      </c>
      <c r="C938" s="9">
        <v>23.4</v>
      </c>
      <c r="D938" s="10">
        <v>0</v>
      </c>
    </row>
    <row r="939" spans="1:4" x14ac:dyDescent="0.35">
      <c r="A939" s="11">
        <v>49578</v>
      </c>
      <c r="B939" s="12" t="s">
        <v>23</v>
      </c>
      <c r="C939" s="13">
        <v>20.2</v>
      </c>
      <c r="D939" s="14">
        <v>0.3</v>
      </c>
    </row>
    <row r="940" spans="1:4" x14ac:dyDescent="0.35">
      <c r="A940" s="7">
        <v>49579</v>
      </c>
      <c r="B940" s="8" t="s">
        <v>11</v>
      </c>
      <c r="C940" s="9">
        <v>17.600000000000001</v>
      </c>
      <c r="D940" s="10">
        <v>15</v>
      </c>
    </row>
    <row r="941" spans="1:4" x14ac:dyDescent="0.35">
      <c r="A941" s="11">
        <v>49580</v>
      </c>
      <c r="B941" s="12" t="s">
        <v>10</v>
      </c>
      <c r="C941" s="13">
        <v>21.7</v>
      </c>
      <c r="D941" s="14">
        <v>33.299999999999997</v>
      </c>
    </row>
    <row r="942" spans="1:4" x14ac:dyDescent="0.35">
      <c r="A942" s="7">
        <v>49581</v>
      </c>
      <c r="B942" s="8" t="s">
        <v>10</v>
      </c>
      <c r="C942" s="9">
        <v>18.399999999999999</v>
      </c>
      <c r="D942" s="10">
        <v>19.3</v>
      </c>
    </row>
    <row r="943" spans="1:4" x14ac:dyDescent="0.35">
      <c r="A943" s="11">
        <v>49582</v>
      </c>
      <c r="B943" s="12" t="s">
        <v>7</v>
      </c>
      <c r="C943" s="13">
        <v>20.100000000000001</v>
      </c>
      <c r="D943" s="14">
        <v>15.4</v>
      </c>
    </row>
    <row r="944" spans="1:4" x14ac:dyDescent="0.35">
      <c r="A944" s="7">
        <v>49583</v>
      </c>
      <c r="B944" s="8" t="s">
        <v>18</v>
      </c>
      <c r="C944" s="9">
        <v>16.5</v>
      </c>
      <c r="D944" s="10">
        <v>14.7</v>
      </c>
    </row>
    <row r="945" spans="1:4" x14ac:dyDescent="0.35">
      <c r="A945" s="11">
        <v>49584</v>
      </c>
      <c r="B945" s="12" t="s">
        <v>10</v>
      </c>
      <c r="C945" s="13">
        <v>12.3</v>
      </c>
      <c r="D945" s="14">
        <v>30.2</v>
      </c>
    </row>
    <row r="946" spans="1:4" x14ac:dyDescent="0.35">
      <c r="A946" s="7">
        <v>49585</v>
      </c>
      <c r="B946" s="8" t="s">
        <v>10</v>
      </c>
      <c r="C946" s="9">
        <v>29.6</v>
      </c>
      <c r="D946" s="10">
        <v>42.8</v>
      </c>
    </row>
    <row r="947" spans="1:4" x14ac:dyDescent="0.35">
      <c r="A947" s="11">
        <v>49586</v>
      </c>
      <c r="B947" s="12" t="s">
        <v>12</v>
      </c>
      <c r="C947" s="13">
        <v>26.6</v>
      </c>
      <c r="D947" s="14">
        <v>9.1999999999999993</v>
      </c>
    </row>
    <row r="948" spans="1:4" x14ac:dyDescent="0.35">
      <c r="A948" s="7">
        <v>49587</v>
      </c>
      <c r="B948" s="8" t="s">
        <v>18</v>
      </c>
      <c r="C948" s="9">
        <v>26.7</v>
      </c>
      <c r="D948" s="10">
        <v>4</v>
      </c>
    </row>
    <row r="949" spans="1:4" x14ac:dyDescent="0.35">
      <c r="A949" s="11">
        <v>49588</v>
      </c>
      <c r="B949" s="12" t="s">
        <v>15</v>
      </c>
      <c r="C949" s="13">
        <v>23.6</v>
      </c>
      <c r="D949" s="14">
        <v>0</v>
      </c>
    </row>
    <row r="950" spans="1:4" x14ac:dyDescent="0.35">
      <c r="A950" s="7">
        <v>49589</v>
      </c>
      <c r="B950" s="8" t="s">
        <v>25</v>
      </c>
      <c r="C950" s="9">
        <v>13.6</v>
      </c>
      <c r="D950" s="10">
        <v>2.8</v>
      </c>
    </row>
    <row r="951" spans="1:4" x14ac:dyDescent="0.35">
      <c r="A951" s="11">
        <v>49590</v>
      </c>
      <c r="B951" s="12" t="s">
        <v>5</v>
      </c>
      <c r="C951" s="13">
        <v>13.8</v>
      </c>
      <c r="D951" s="14">
        <v>6.5</v>
      </c>
    </row>
    <row r="952" spans="1:4" x14ac:dyDescent="0.35">
      <c r="A952" s="7">
        <v>49591</v>
      </c>
      <c r="B952" s="8" t="s">
        <v>6</v>
      </c>
      <c r="C952" s="9">
        <v>12.3</v>
      </c>
      <c r="D952" s="10">
        <v>0</v>
      </c>
    </row>
    <row r="953" spans="1:4" x14ac:dyDescent="0.35">
      <c r="A953" s="11">
        <v>49592</v>
      </c>
      <c r="B953" s="12" t="s">
        <v>7</v>
      </c>
      <c r="C953" s="13">
        <v>12.3</v>
      </c>
      <c r="D953" s="14">
        <v>0</v>
      </c>
    </row>
    <row r="954" spans="1:4" x14ac:dyDescent="0.35">
      <c r="A954" s="7">
        <v>49593</v>
      </c>
      <c r="B954" s="8" t="s">
        <v>18</v>
      </c>
      <c r="C954" s="9">
        <v>22.7</v>
      </c>
      <c r="D954" s="10">
        <v>10.3</v>
      </c>
    </row>
    <row r="955" spans="1:4" x14ac:dyDescent="0.35">
      <c r="A955" s="11">
        <v>49594</v>
      </c>
      <c r="B955" s="12" t="s">
        <v>10</v>
      </c>
      <c r="C955" s="13">
        <v>19</v>
      </c>
      <c r="D955" s="14">
        <v>0</v>
      </c>
    </row>
    <row r="956" spans="1:4" x14ac:dyDescent="0.35">
      <c r="A956" s="7">
        <v>49595</v>
      </c>
      <c r="B956" s="8" t="s">
        <v>8</v>
      </c>
      <c r="C956" s="9">
        <v>23.4</v>
      </c>
      <c r="D956" s="10">
        <v>0</v>
      </c>
    </row>
    <row r="957" spans="1:4" x14ac:dyDescent="0.35">
      <c r="A957" s="11">
        <v>49596</v>
      </c>
      <c r="B957" s="12" t="s">
        <v>15</v>
      </c>
      <c r="C957" s="13">
        <v>28.2</v>
      </c>
      <c r="D957" s="14">
        <v>0</v>
      </c>
    </row>
    <row r="958" spans="1:4" x14ac:dyDescent="0.35">
      <c r="A958" s="7">
        <v>49597</v>
      </c>
      <c r="B958" s="8" t="s">
        <v>15</v>
      </c>
      <c r="C958" s="9">
        <v>20.100000000000001</v>
      </c>
      <c r="D958" s="10">
        <v>9.6999999999999993</v>
      </c>
    </row>
    <row r="959" spans="1:4" x14ac:dyDescent="0.35">
      <c r="A959" s="11">
        <v>49598</v>
      </c>
      <c r="B959" s="12" t="s">
        <v>17</v>
      </c>
      <c r="C959" s="13">
        <v>29.6</v>
      </c>
      <c r="D959" s="14">
        <v>0</v>
      </c>
    </row>
    <row r="960" spans="1:4" x14ac:dyDescent="0.35">
      <c r="A960" s="7">
        <v>49599</v>
      </c>
      <c r="B960" s="8" t="s">
        <v>7</v>
      </c>
      <c r="C960" s="9">
        <v>25.8</v>
      </c>
      <c r="D960" s="10">
        <v>0</v>
      </c>
    </row>
    <row r="961" spans="1:4" x14ac:dyDescent="0.35">
      <c r="A961" s="11">
        <v>49600</v>
      </c>
      <c r="B961" s="12" t="s">
        <v>10</v>
      </c>
      <c r="C961" s="13">
        <v>19.600000000000001</v>
      </c>
      <c r="D961" s="14">
        <v>18.5</v>
      </c>
    </row>
    <row r="962" spans="1:4" x14ac:dyDescent="0.35">
      <c r="A962" s="7">
        <v>49601</v>
      </c>
      <c r="B962" s="8" t="s">
        <v>19</v>
      </c>
      <c r="C962" s="9">
        <v>21.5</v>
      </c>
      <c r="D962" s="10">
        <v>3</v>
      </c>
    </row>
    <row r="963" spans="1:4" x14ac:dyDescent="0.35">
      <c r="A963" s="11">
        <v>49602</v>
      </c>
      <c r="B963" s="12" t="s">
        <v>15</v>
      </c>
      <c r="C963" s="13">
        <v>24.2</v>
      </c>
      <c r="D963" s="14">
        <v>17.399999999999999</v>
      </c>
    </row>
    <row r="964" spans="1:4" x14ac:dyDescent="0.35">
      <c r="A964" s="7">
        <v>49603</v>
      </c>
      <c r="B964" s="8" t="s">
        <v>27</v>
      </c>
      <c r="C964" s="9">
        <v>12</v>
      </c>
      <c r="D964" s="10">
        <v>0</v>
      </c>
    </row>
    <row r="965" spans="1:4" x14ac:dyDescent="0.35">
      <c r="A965" s="11">
        <v>49604</v>
      </c>
      <c r="B965" s="12" t="s">
        <v>33</v>
      </c>
      <c r="C965" s="13">
        <v>23</v>
      </c>
      <c r="D965" s="14">
        <v>0</v>
      </c>
    </row>
    <row r="966" spans="1:4" x14ac:dyDescent="0.35">
      <c r="A966" s="7">
        <v>49605</v>
      </c>
      <c r="B966" s="8" t="s">
        <v>19</v>
      </c>
      <c r="C966" s="9">
        <v>19.8</v>
      </c>
      <c r="D966" s="10">
        <v>29.2</v>
      </c>
    </row>
    <row r="967" spans="1:4" x14ac:dyDescent="0.35">
      <c r="A967" s="11">
        <v>49606</v>
      </c>
      <c r="B967" s="12" t="s">
        <v>5</v>
      </c>
      <c r="C967" s="13">
        <v>14.9</v>
      </c>
      <c r="D967" s="14">
        <v>0.8</v>
      </c>
    </row>
    <row r="968" spans="1:4" x14ac:dyDescent="0.35">
      <c r="A968" s="7">
        <v>49607</v>
      </c>
      <c r="B968" s="8" t="s">
        <v>15</v>
      </c>
      <c r="C968" s="9">
        <v>17.899999999999999</v>
      </c>
      <c r="D968" s="10">
        <v>10.3</v>
      </c>
    </row>
    <row r="969" spans="1:4" x14ac:dyDescent="0.35">
      <c r="A969" s="11">
        <v>49608</v>
      </c>
      <c r="B969" s="12" t="s">
        <v>7</v>
      </c>
      <c r="C969" s="13">
        <v>26</v>
      </c>
      <c r="D969" s="14">
        <v>0</v>
      </c>
    </row>
    <row r="970" spans="1:4" x14ac:dyDescent="0.35">
      <c r="A970" s="7">
        <v>49609</v>
      </c>
      <c r="B970" s="8" t="s">
        <v>12</v>
      </c>
      <c r="C970" s="9">
        <v>21.5</v>
      </c>
      <c r="D970" s="10">
        <v>9.3000000000000007</v>
      </c>
    </row>
    <row r="971" spans="1:4" x14ac:dyDescent="0.35">
      <c r="A971" s="11">
        <v>49610</v>
      </c>
      <c r="B971" s="12" t="s">
        <v>19</v>
      </c>
      <c r="C971" s="13">
        <v>29.9</v>
      </c>
      <c r="D971" s="14">
        <v>2.4</v>
      </c>
    </row>
    <row r="972" spans="1:4" x14ac:dyDescent="0.35">
      <c r="A972" s="7">
        <v>49611</v>
      </c>
      <c r="B972" s="8" t="s">
        <v>10</v>
      </c>
      <c r="C972" s="9">
        <v>12.3</v>
      </c>
      <c r="D972" s="10">
        <v>35.1</v>
      </c>
    </row>
    <row r="973" spans="1:4" x14ac:dyDescent="0.35">
      <c r="A973" s="11">
        <v>49612</v>
      </c>
      <c r="B973" s="12" t="s">
        <v>17</v>
      </c>
      <c r="C973" s="13">
        <v>21.7</v>
      </c>
      <c r="D973" s="14">
        <v>3.9</v>
      </c>
    </row>
    <row r="974" spans="1:4" x14ac:dyDescent="0.35">
      <c r="A974" s="7">
        <v>49613</v>
      </c>
      <c r="B974" s="8" t="s">
        <v>10</v>
      </c>
      <c r="C974" s="9">
        <v>10.7</v>
      </c>
      <c r="D974" s="10">
        <v>0</v>
      </c>
    </row>
    <row r="975" spans="1:4" x14ac:dyDescent="0.35">
      <c r="A975" s="11">
        <v>49614</v>
      </c>
      <c r="B975" s="12" t="s">
        <v>5</v>
      </c>
      <c r="C975" s="13">
        <v>21.5</v>
      </c>
      <c r="D975" s="14">
        <v>0</v>
      </c>
    </row>
    <row r="976" spans="1:4" x14ac:dyDescent="0.35">
      <c r="A976" s="7">
        <v>49615</v>
      </c>
      <c r="B976" s="8" t="s">
        <v>10</v>
      </c>
      <c r="C976" s="9">
        <v>26</v>
      </c>
      <c r="D976" s="10">
        <v>33.799999999999997</v>
      </c>
    </row>
    <row r="977" spans="1:4" x14ac:dyDescent="0.35">
      <c r="A977" s="11">
        <v>49616</v>
      </c>
      <c r="B977" s="12" t="s">
        <v>15</v>
      </c>
      <c r="C977" s="13">
        <v>24.4</v>
      </c>
      <c r="D977" s="14">
        <v>15.4</v>
      </c>
    </row>
    <row r="978" spans="1:4" x14ac:dyDescent="0.35">
      <c r="A978" s="7">
        <v>49617</v>
      </c>
      <c r="B978" s="8" t="s">
        <v>5</v>
      </c>
      <c r="C978" s="9">
        <v>20.8</v>
      </c>
      <c r="D978" s="10">
        <v>0</v>
      </c>
    </row>
    <row r="979" spans="1:4" x14ac:dyDescent="0.35">
      <c r="A979" s="11">
        <v>49618</v>
      </c>
      <c r="B979" s="12" t="s">
        <v>13</v>
      </c>
      <c r="C979" s="13">
        <v>18.2</v>
      </c>
      <c r="D979" s="14">
        <v>15.7</v>
      </c>
    </row>
    <row r="980" spans="1:4" x14ac:dyDescent="0.35">
      <c r="A980" s="7">
        <v>49619</v>
      </c>
      <c r="B980" s="8" t="s">
        <v>17</v>
      </c>
      <c r="C980" s="9">
        <v>25.6</v>
      </c>
      <c r="D980" s="10">
        <v>7</v>
      </c>
    </row>
    <row r="981" spans="1:4" x14ac:dyDescent="0.35">
      <c r="A981" s="11">
        <v>49620</v>
      </c>
      <c r="B981" s="12" t="s">
        <v>11</v>
      </c>
      <c r="C981" s="13">
        <v>25.2</v>
      </c>
      <c r="D981" s="14">
        <v>0</v>
      </c>
    </row>
    <row r="982" spans="1:4" x14ac:dyDescent="0.35">
      <c r="A982" s="7">
        <v>49621</v>
      </c>
      <c r="B982" s="8" t="s">
        <v>12</v>
      </c>
      <c r="C982" s="9">
        <v>19.5</v>
      </c>
      <c r="D982" s="10">
        <v>5.3</v>
      </c>
    </row>
    <row r="983" spans="1:4" x14ac:dyDescent="0.35">
      <c r="A983" s="11">
        <v>49622</v>
      </c>
      <c r="B983" s="12" t="s">
        <v>24</v>
      </c>
      <c r="C983" s="13">
        <v>15.2</v>
      </c>
      <c r="D983" s="14">
        <v>2.1</v>
      </c>
    </row>
    <row r="984" spans="1:4" x14ac:dyDescent="0.35">
      <c r="A984" s="7">
        <v>49623</v>
      </c>
      <c r="B984" s="8" t="s">
        <v>15</v>
      </c>
      <c r="C984" s="9">
        <v>21.3</v>
      </c>
      <c r="D984" s="10">
        <v>11.4</v>
      </c>
    </row>
    <row r="985" spans="1:4" x14ac:dyDescent="0.35">
      <c r="A985" s="11">
        <v>49624</v>
      </c>
      <c r="B985" s="12" t="s">
        <v>15</v>
      </c>
      <c r="C985" s="13">
        <v>21.8</v>
      </c>
      <c r="D985" s="14">
        <v>17.399999999999999</v>
      </c>
    </row>
    <row r="986" spans="1:4" x14ac:dyDescent="0.35">
      <c r="A986" s="7">
        <v>49625</v>
      </c>
      <c r="B986" s="8" t="s">
        <v>16</v>
      </c>
      <c r="C986" s="9">
        <v>27.7</v>
      </c>
      <c r="D986" s="10">
        <v>0.5</v>
      </c>
    </row>
    <row r="987" spans="1:4" x14ac:dyDescent="0.35">
      <c r="A987" s="11">
        <v>49626</v>
      </c>
      <c r="B987" s="12" t="s">
        <v>10</v>
      </c>
      <c r="C987" s="13">
        <v>28.5</v>
      </c>
      <c r="D987" s="14">
        <v>46</v>
      </c>
    </row>
    <row r="988" spans="1:4" x14ac:dyDescent="0.35">
      <c r="A988" s="7">
        <v>49627</v>
      </c>
      <c r="B988" s="8" t="s">
        <v>27</v>
      </c>
      <c r="C988" s="9">
        <v>25.7</v>
      </c>
      <c r="D988" s="10">
        <v>0</v>
      </c>
    </row>
    <row r="989" spans="1:4" x14ac:dyDescent="0.35">
      <c r="A989" s="11">
        <v>49628</v>
      </c>
      <c r="B989" s="12" t="s">
        <v>10</v>
      </c>
      <c r="C989" s="13">
        <v>18</v>
      </c>
      <c r="D989" s="14">
        <v>0.5</v>
      </c>
    </row>
    <row r="990" spans="1:4" x14ac:dyDescent="0.35">
      <c r="A990" s="7">
        <v>49629</v>
      </c>
      <c r="B990" s="8" t="s">
        <v>6</v>
      </c>
      <c r="C990" s="9">
        <v>29.5</v>
      </c>
      <c r="D990" s="10">
        <v>0</v>
      </c>
    </row>
    <row r="991" spans="1:4" x14ac:dyDescent="0.35">
      <c r="A991" s="11">
        <v>49630</v>
      </c>
      <c r="B991" s="12" t="s">
        <v>18</v>
      </c>
      <c r="C991" s="13">
        <v>21</v>
      </c>
      <c r="D991" s="14">
        <v>10.3</v>
      </c>
    </row>
    <row r="992" spans="1:4" x14ac:dyDescent="0.35">
      <c r="A992" s="7">
        <v>49631</v>
      </c>
      <c r="B992" s="8" t="s">
        <v>20</v>
      </c>
      <c r="C992" s="9">
        <v>11.4</v>
      </c>
      <c r="D992" s="10">
        <v>3.2</v>
      </c>
    </row>
    <row r="993" spans="1:4" x14ac:dyDescent="0.35">
      <c r="A993" s="11">
        <v>49632</v>
      </c>
      <c r="B993" s="12" t="s">
        <v>10</v>
      </c>
      <c r="C993" s="13">
        <v>12.7</v>
      </c>
      <c r="D993" s="14">
        <v>0</v>
      </c>
    </row>
    <row r="994" spans="1:4" x14ac:dyDescent="0.35">
      <c r="A994" s="7">
        <v>49633</v>
      </c>
      <c r="B994" s="8" t="s">
        <v>5</v>
      </c>
      <c r="C994" s="9">
        <v>14.1</v>
      </c>
      <c r="D994" s="10">
        <v>6.2</v>
      </c>
    </row>
    <row r="995" spans="1:4" x14ac:dyDescent="0.35">
      <c r="A995" s="11">
        <v>49634</v>
      </c>
      <c r="B995" s="12" t="s">
        <v>10</v>
      </c>
      <c r="C995" s="13">
        <v>29.5</v>
      </c>
      <c r="D995" s="14">
        <v>29.9</v>
      </c>
    </row>
    <row r="996" spans="1:4" x14ac:dyDescent="0.35">
      <c r="A996" s="7">
        <v>49635</v>
      </c>
      <c r="B996" s="8" t="s">
        <v>22</v>
      </c>
      <c r="C996" s="9">
        <v>18.399999999999999</v>
      </c>
      <c r="D996" s="10">
        <v>0</v>
      </c>
    </row>
    <row r="997" spans="1:4" x14ac:dyDescent="0.35">
      <c r="A997" s="11">
        <v>49636</v>
      </c>
      <c r="B997" s="12" t="s">
        <v>10</v>
      </c>
      <c r="C997" s="13">
        <v>29.6</v>
      </c>
      <c r="D997" s="14">
        <v>43.9</v>
      </c>
    </row>
    <row r="998" spans="1:4" x14ac:dyDescent="0.35">
      <c r="A998" s="7">
        <v>49637</v>
      </c>
      <c r="B998" s="8" t="s">
        <v>15</v>
      </c>
      <c r="C998" s="9">
        <v>22.6</v>
      </c>
      <c r="D998" s="10">
        <v>14.6</v>
      </c>
    </row>
    <row r="999" spans="1:4" x14ac:dyDescent="0.35">
      <c r="A999" s="11">
        <v>49638</v>
      </c>
      <c r="B999" s="12" t="s">
        <v>14</v>
      </c>
      <c r="C999" s="13">
        <v>13.2</v>
      </c>
      <c r="D999" s="14">
        <v>6.7</v>
      </c>
    </row>
    <row r="1000" spans="1:4" x14ac:dyDescent="0.35">
      <c r="A1000" s="7">
        <v>49639</v>
      </c>
      <c r="B1000" s="8" t="s">
        <v>6</v>
      </c>
      <c r="C1000" s="9">
        <v>10.4</v>
      </c>
      <c r="D1000" s="10">
        <v>8.5</v>
      </c>
    </row>
    <row r="1001" spans="1:4" x14ac:dyDescent="0.35">
      <c r="A1001" s="11">
        <v>49640</v>
      </c>
      <c r="B1001" s="12" t="s">
        <v>13</v>
      </c>
      <c r="C1001" s="13">
        <v>16.899999999999999</v>
      </c>
      <c r="D1001" s="14">
        <v>16.399999999999999</v>
      </c>
    </row>
    <row r="1002" spans="1:4" x14ac:dyDescent="0.35">
      <c r="A1002" s="7">
        <v>49641</v>
      </c>
      <c r="B1002" s="8" t="s">
        <v>15</v>
      </c>
      <c r="C1002" s="9">
        <v>19.399999999999999</v>
      </c>
      <c r="D1002" s="10">
        <v>0</v>
      </c>
    </row>
    <row r="1003" spans="1:4" x14ac:dyDescent="0.35">
      <c r="A1003" s="11">
        <v>49642</v>
      </c>
      <c r="B1003" s="12" t="s">
        <v>24</v>
      </c>
      <c r="C1003" s="13">
        <v>16.899999999999999</v>
      </c>
      <c r="D1003" s="14">
        <v>1</v>
      </c>
    </row>
    <row r="1004" spans="1:4" x14ac:dyDescent="0.35">
      <c r="A1004" s="7">
        <v>49643</v>
      </c>
      <c r="B1004" s="8" t="s">
        <v>10</v>
      </c>
      <c r="C1004" s="9">
        <v>18.399999999999999</v>
      </c>
      <c r="D1004" s="10">
        <v>0</v>
      </c>
    </row>
    <row r="1005" spans="1:4" x14ac:dyDescent="0.35">
      <c r="A1005" s="11">
        <v>49644</v>
      </c>
      <c r="B1005" s="12" t="s">
        <v>15</v>
      </c>
      <c r="C1005" s="13">
        <v>13.4</v>
      </c>
      <c r="D1005" s="14">
        <v>12.8</v>
      </c>
    </row>
    <row r="1006" spans="1:4" x14ac:dyDescent="0.35">
      <c r="A1006" s="7">
        <v>49645</v>
      </c>
      <c r="B1006" s="8" t="s">
        <v>7</v>
      </c>
      <c r="C1006" s="9">
        <v>28.8</v>
      </c>
      <c r="D1006" s="10">
        <v>0</v>
      </c>
    </row>
    <row r="1007" spans="1:4" x14ac:dyDescent="0.35">
      <c r="A1007" s="11">
        <v>49646</v>
      </c>
      <c r="B1007" s="12" t="s">
        <v>13</v>
      </c>
      <c r="C1007" s="13">
        <v>19.5</v>
      </c>
      <c r="D1007" s="14">
        <v>1.3</v>
      </c>
    </row>
    <row r="1008" spans="1:4" x14ac:dyDescent="0.35">
      <c r="A1008" s="7">
        <v>49647</v>
      </c>
      <c r="B1008" s="8" t="s">
        <v>11</v>
      </c>
      <c r="C1008" s="9">
        <v>29</v>
      </c>
      <c r="D1008" s="10">
        <v>14</v>
      </c>
    </row>
    <row r="1009" spans="1:4" x14ac:dyDescent="0.35">
      <c r="A1009" s="11">
        <v>49648</v>
      </c>
      <c r="B1009" s="12" t="s">
        <v>10</v>
      </c>
      <c r="C1009" s="13">
        <v>29.6</v>
      </c>
      <c r="D1009" s="14">
        <v>28.7</v>
      </c>
    </row>
    <row r="1010" spans="1:4" x14ac:dyDescent="0.35">
      <c r="A1010" s="7">
        <v>49649</v>
      </c>
      <c r="B1010" s="8" t="s">
        <v>6</v>
      </c>
      <c r="C1010" s="9">
        <v>26.5</v>
      </c>
      <c r="D1010" s="10">
        <v>0</v>
      </c>
    </row>
    <row r="1011" spans="1:4" x14ac:dyDescent="0.35">
      <c r="A1011" s="11">
        <v>49650</v>
      </c>
      <c r="B1011" s="12" t="s">
        <v>18</v>
      </c>
      <c r="C1011" s="13">
        <v>24.8</v>
      </c>
      <c r="D1011" s="14">
        <v>12.1</v>
      </c>
    </row>
    <row r="1012" spans="1:4" x14ac:dyDescent="0.35">
      <c r="A1012" s="7">
        <v>49651</v>
      </c>
      <c r="B1012" s="8" t="s">
        <v>10</v>
      </c>
      <c r="C1012" s="9">
        <v>20</v>
      </c>
      <c r="D1012" s="10">
        <v>14.7</v>
      </c>
    </row>
    <row r="1013" spans="1:4" x14ac:dyDescent="0.35">
      <c r="A1013" s="11">
        <v>49652</v>
      </c>
      <c r="B1013" s="12" t="s">
        <v>19</v>
      </c>
      <c r="C1013" s="13">
        <v>16.899999999999999</v>
      </c>
      <c r="D1013" s="14">
        <v>38.299999999999997</v>
      </c>
    </row>
    <row r="1014" spans="1:4" x14ac:dyDescent="0.35">
      <c r="A1014" s="7">
        <v>49653</v>
      </c>
      <c r="B1014" s="8" t="s">
        <v>10</v>
      </c>
      <c r="C1014" s="9">
        <v>11.5</v>
      </c>
      <c r="D1014" s="10">
        <v>24.7</v>
      </c>
    </row>
    <row r="1015" spans="1:4" x14ac:dyDescent="0.35">
      <c r="A1015" s="11">
        <v>49654</v>
      </c>
      <c r="B1015" s="12" t="s">
        <v>13</v>
      </c>
      <c r="C1015" s="13">
        <v>11.4</v>
      </c>
      <c r="D1015" s="14">
        <v>0</v>
      </c>
    </row>
    <row r="1016" spans="1:4" x14ac:dyDescent="0.35">
      <c r="A1016" s="7">
        <v>49655</v>
      </c>
      <c r="B1016" s="8" t="s">
        <v>6</v>
      </c>
      <c r="C1016" s="9">
        <v>28.5</v>
      </c>
      <c r="D1016" s="10">
        <v>0</v>
      </c>
    </row>
    <row r="1017" spans="1:4" x14ac:dyDescent="0.35">
      <c r="A1017" s="11">
        <v>49656</v>
      </c>
      <c r="B1017" s="12" t="s">
        <v>22</v>
      </c>
      <c r="C1017" s="13">
        <v>27.9</v>
      </c>
      <c r="D1017" s="14">
        <v>0.7</v>
      </c>
    </row>
    <row r="1018" spans="1:4" x14ac:dyDescent="0.35">
      <c r="A1018" s="7">
        <v>49657</v>
      </c>
      <c r="B1018" s="8" t="s">
        <v>7</v>
      </c>
      <c r="C1018" s="9">
        <v>26.7</v>
      </c>
      <c r="D1018" s="10">
        <v>15.5</v>
      </c>
    </row>
    <row r="1019" spans="1:4" x14ac:dyDescent="0.35">
      <c r="A1019" s="11">
        <v>49658</v>
      </c>
      <c r="B1019" s="12" t="s">
        <v>18</v>
      </c>
      <c r="C1019" s="13">
        <v>28.3</v>
      </c>
      <c r="D1019" s="14">
        <v>6.8</v>
      </c>
    </row>
    <row r="1020" spans="1:4" x14ac:dyDescent="0.35">
      <c r="A1020" s="7">
        <v>49659</v>
      </c>
      <c r="B1020" s="8" t="s">
        <v>10</v>
      </c>
      <c r="C1020" s="9">
        <v>28.9</v>
      </c>
      <c r="D1020" s="10">
        <v>0</v>
      </c>
    </row>
    <row r="1021" spans="1:4" x14ac:dyDescent="0.35">
      <c r="A1021" s="11">
        <v>49660</v>
      </c>
      <c r="B1021" s="12" t="s">
        <v>20</v>
      </c>
      <c r="C1021" s="13">
        <v>21.6</v>
      </c>
      <c r="D1021" s="14">
        <v>4</v>
      </c>
    </row>
    <row r="1022" spans="1:4" x14ac:dyDescent="0.35">
      <c r="A1022" s="7">
        <v>49661</v>
      </c>
      <c r="B1022" s="8" t="s">
        <v>23</v>
      </c>
      <c r="C1022" s="9">
        <v>16.5</v>
      </c>
      <c r="D1022" s="10">
        <v>4.2</v>
      </c>
    </row>
    <row r="1023" spans="1:4" x14ac:dyDescent="0.35">
      <c r="A1023" s="11">
        <v>49662</v>
      </c>
      <c r="B1023" s="12" t="s">
        <v>13</v>
      </c>
      <c r="C1023" s="13">
        <v>24.6</v>
      </c>
      <c r="D1023" s="14">
        <v>10.6</v>
      </c>
    </row>
    <row r="1024" spans="1:4" x14ac:dyDescent="0.35">
      <c r="A1024" s="7">
        <v>49663</v>
      </c>
      <c r="B1024" s="8" t="s">
        <v>10</v>
      </c>
      <c r="C1024" s="9">
        <v>28.9</v>
      </c>
      <c r="D1024" s="10">
        <v>40.799999999999997</v>
      </c>
    </row>
    <row r="1025" spans="1:4" x14ac:dyDescent="0.35">
      <c r="A1025" s="11">
        <v>49664</v>
      </c>
      <c r="B1025" s="12" t="s">
        <v>10</v>
      </c>
      <c r="C1025" s="13">
        <v>22.1</v>
      </c>
      <c r="D1025" s="14">
        <v>10</v>
      </c>
    </row>
    <row r="1026" spans="1:4" x14ac:dyDescent="0.35">
      <c r="A1026" s="7">
        <v>49665</v>
      </c>
      <c r="B1026" s="8" t="s">
        <v>21</v>
      </c>
      <c r="C1026" s="9">
        <v>29.3</v>
      </c>
      <c r="D1026" s="10">
        <v>0</v>
      </c>
    </row>
    <row r="1027" spans="1:4" x14ac:dyDescent="0.35">
      <c r="A1027" s="11">
        <v>49666</v>
      </c>
      <c r="B1027" s="12" t="s">
        <v>18</v>
      </c>
      <c r="C1027" s="13">
        <v>18.8</v>
      </c>
      <c r="D1027" s="14">
        <v>4.7</v>
      </c>
    </row>
    <row r="1028" spans="1:4" x14ac:dyDescent="0.35">
      <c r="A1028" s="7">
        <v>49667</v>
      </c>
      <c r="B1028" s="8" t="s">
        <v>19</v>
      </c>
      <c r="C1028" s="9">
        <v>26.5</v>
      </c>
      <c r="D1028" s="10">
        <v>7.3</v>
      </c>
    </row>
    <row r="1029" spans="1:4" x14ac:dyDescent="0.35">
      <c r="A1029" s="11">
        <v>49668</v>
      </c>
      <c r="B1029" s="12" t="s">
        <v>11</v>
      </c>
      <c r="C1029" s="13">
        <v>24</v>
      </c>
      <c r="D1029" s="14">
        <v>0</v>
      </c>
    </row>
    <row r="1030" spans="1:4" x14ac:dyDescent="0.35">
      <c r="A1030" s="7">
        <v>49669</v>
      </c>
      <c r="B1030" s="8" t="s">
        <v>19</v>
      </c>
      <c r="C1030" s="9">
        <v>21</v>
      </c>
      <c r="D1030" s="10">
        <v>12.2</v>
      </c>
    </row>
    <row r="1031" spans="1:4" x14ac:dyDescent="0.35">
      <c r="A1031" s="11">
        <v>49670</v>
      </c>
      <c r="B1031" s="12" t="s">
        <v>17</v>
      </c>
      <c r="C1031" s="13">
        <v>28.1</v>
      </c>
      <c r="D1031" s="14">
        <v>6.7</v>
      </c>
    </row>
    <row r="1032" spans="1:4" x14ac:dyDescent="0.35">
      <c r="A1032" s="7">
        <v>49671</v>
      </c>
      <c r="B1032" s="8" t="s">
        <v>14</v>
      </c>
      <c r="C1032" s="9">
        <v>23.3</v>
      </c>
      <c r="D1032" s="10">
        <v>4.8</v>
      </c>
    </row>
    <row r="1033" spans="1:4" x14ac:dyDescent="0.35">
      <c r="A1033" s="11">
        <v>49672</v>
      </c>
      <c r="B1033" s="12" t="s">
        <v>17</v>
      </c>
      <c r="C1033" s="13">
        <v>14.3</v>
      </c>
      <c r="D1033" s="14">
        <v>1.5</v>
      </c>
    </row>
    <row r="1034" spans="1:4" x14ac:dyDescent="0.35">
      <c r="A1034" s="7">
        <v>49673</v>
      </c>
      <c r="B1034" s="8" t="s">
        <v>25</v>
      </c>
      <c r="C1034" s="9">
        <v>12.6</v>
      </c>
      <c r="D1034" s="10">
        <v>1.1000000000000001</v>
      </c>
    </row>
    <row r="1035" spans="1:4" x14ac:dyDescent="0.35">
      <c r="A1035" s="11">
        <v>49674</v>
      </c>
      <c r="B1035" s="12" t="s">
        <v>19</v>
      </c>
      <c r="C1035" s="13">
        <v>18.100000000000001</v>
      </c>
      <c r="D1035" s="14">
        <v>0</v>
      </c>
    </row>
    <row r="1036" spans="1:4" x14ac:dyDescent="0.35">
      <c r="A1036" s="7">
        <v>49675</v>
      </c>
      <c r="B1036" s="8" t="s">
        <v>15</v>
      </c>
      <c r="C1036" s="9">
        <v>19</v>
      </c>
      <c r="D1036" s="10">
        <v>11</v>
      </c>
    </row>
    <row r="1037" spans="1:4" x14ac:dyDescent="0.35">
      <c r="A1037" s="11">
        <v>49676</v>
      </c>
      <c r="B1037" s="12" t="s">
        <v>14</v>
      </c>
      <c r="C1037" s="13">
        <v>13.1</v>
      </c>
      <c r="D1037" s="14">
        <v>0</v>
      </c>
    </row>
    <row r="1038" spans="1:4" x14ac:dyDescent="0.35">
      <c r="A1038" s="7">
        <v>49677</v>
      </c>
      <c r="B1038" s="8" t="s">
        <v>13</v>
      </c>
      <c r="C1038" s="9">
        <v>17.3</v>
      </c>
      <c r="D1038" s="10">
        <v>1.1000000000000001</v>
      </c>
    </row>
    <row r="1039" spans="1:4" x14ac:dyDescent="0.35">
      <c r="A1039" s="11">
        <v>49678</v>
      </c>
      <c r="B1039" s="12" t="s">
        <v>17</v>
      </c>
      <c r="C1039" s="13">
        <v>23.7</v>
      </c>
      <c r="D1039" s="14">
        <v>5.9</v>
      </c>
    </row>
    <row r="1040" spans="1:4" x14ac:dyDescent="0.35">
      <c r="A1040" s="7">
        <v>49679</v>
      </c>
      <c r="B1040" s="8" t="s">
        <v>33</v>
      </c>
      <c r="C1040" s="9">
        <v>26.3</v>
      </c>
      <c r="D1040" s="10">
        <v>0</v>
      </c>
    </row>
    <row r="1041" spans="1:4" x14ac:dyDescent="0.35">
      <c r="A1041" s="11">
        <v>49680</v>
      </c>
      <c r="B1041" s="12" t="s">
        <v>15</v>
      </c>
      <c r="C1041" s="13">
        <v>16.399999999999999</v>
      </c>
      <c r="D1041" s="14">
        <v>0</v>
      </c>
    </row>
    <row r="1042" spans="1:4" x14ac:dyDescent="0.35">
      <c r="A1042" s="7">
        <v>49681</v>
      </c>
      <c r="B1042" s="8" t="s">
        <v>9</v>
      </c>
      <c r="C1042" s="9">
        <v>13</v>
      </c>
      <c r="D1042" s="10">
        <v>0</v>
      </c>
    </row>
    <row r="1043" spans="1:4" x14ac:dyDescent="0.35">
      <c r="A1043" s="11">
        <v>49682</v>
      </c>
      <c r="B1043" s="12" t="s">
        <v>11</v>
      </c>
      <c r="C1043" s="13">
        <v>28.6</v>
      </c>
      <c r="D1043" s="14">
        <v>1</v>
      </c>
    </row>
    <row r="1044" spans="1:4" x14ac:dyDescent="0.35">
      <c r="A1044" s="7">
        <v>49683</v>
      </c>
      <c r="B1044" s="8" t="s">
        <v>10</v>
      </c>
      <c r="C1044" s="9">
        <v>11.1</v>
      </c>
      <c r="D1044" s="10">
        <v>2.4</v>
      </c>
    </row>
    <row r="1045" spans="1:4" x14ac:dyDescent="0.35">
      <c r="A1045" s="11">
        <v>49684</v>
      </c>
      <c r="B1045" s="12" t="s">
        <v>24</v>
      </c>
      <c r="C1045" s="13">
        <v>12.9</v>
      </c>
      <c r="D1045" s="14">
        <v>2.9</v>
      </c>
    </row>
    <row r="1046" spans="1:4" x14ac:dyDescent="0.35">
      <c r="A1046" s="7">
        <v>49685</v>
      </c>
      <c r="B1046" s="8" t="s">
        <v>30</v>
      </c>
      <c r="C1046" s="9">
        <v>28.4</v>
      </c>
      <c r="D1046" s="10">
        <v>0.9</v>
      </c>
    </row>
    <row r="1047" spans="1:4" x14ac:dyDescent="0.35">
      <c r="A1047" s="11">
        <v>49686</v>
      </c>
      <c r="B1047" s="12" t="s">
        <v>19</v>
      </c>
      <c r="C1047" s="13">
        <v>21.8</v>
      </c>
      <c r="D1047" s="14">
        <v>3.4</v>
      </c>
    </row>
    <row r="1048" spans="1:4" x14ac:dyDescent="0.35">
      <c r="A1048" s="7">
        <v>49687</v>
      </c>
      <c r="B1048" s="8" t="s">
        <v>6</v>
      </c>
      <c r="C1048" s="9">
        <v>20.8</v>
      </c>
      <c r="D1048" s="10">
        <v>11.8</v>
      </c>
    </row>
    <row r="1049" spans="1:4" x14ac:dyDescent="0.35">
      <c r="A1049" s="11">
        <v>49688</v>
      </c>
      <c r="B1049" s="12" t="s">
        <v>13</v>
      </c>
      <c r="C1049" s="13">
        <v>17.399999999999999</v>
      </c>
      <c r="D1049" s="14">
        <v>0</v>
      </c>
    </row>
    <row r="1050" spans="1:4" x14ac:dyDescent="0.35">
      <c r="A1050" s="7">
        <v>49689</v>
      </c>
      <c r="B1050" s="8" t="s">
        <v>6</v>
      </c>
      <c r="C1050" s="9">
        <v>24.8</v>
      </c>
      <c r="D1050" s="10">
        <v>0</v>
      </c>
    </row>
    <row r="1051" spans="1:4" x14ac:dyDescent="0.35">
      <c r="A1051" s="11">
        <v>49690</v>
      </c>
      <c r="B1051" s="12" t="s">
        <v>9</v>
      </c>
      <c r="C1051" s="13">
        <v>12.9</v>
      </c>
      <c r="D1051" s="14">
        <v>0</v>
      </c>
    </row>
    <row r="1052" spans="1:4" x14ac:dyDescent="0.35">
      <c r="A1052" s="7">
        <v>49691</v>
      </c>
      <c r="B1052" s="8" t="s">
        <v>17</v>
      </c>
      <c r="C1052" s="9">
        <v>25.9</v>
      </c>
      <c r="D1052" s="10">
        <v>0</v>
      </c>
    </row>
    <row r="1053" spans="1:4" x14ac:dyDescent="0.35">
      <c r="A1053" s="11">
        <v>49692</v>
      </c>
      <c r="B1053" s="12" t="s">
        <v>10</v>
      </c>
      <c r="C1053" s="13">
        <v>11.5</v>
      </c>
      <c r="D1053" s="14">
        <v>23.2</v>
      </c>
    </row>
    <row r="1054" spans="1:4" x14ac:dyDescent="0.35">
      <c r="A1054" s="7">
        <v>49693</v>
      </c>
      <c r="B1054" s="8" t="s">
        <v>20</v>
      </c>
      <c r="C1054" s="9">
        <v>25.5</v>
      </c>
      <c r="D1054" s="10">
        <v>0</v>
      </c>
    </row>
    <row r="1055" spans="1:4" x14ac:dyDescent="0.35">
      <c r="A1055" s="11">
        <v>49694</v>
      </c>
      <c r="B1055" s="12" t="s">
        <v>33</v>
      </c>
      <c r="C1055" s="13">
        <v>22.6</v>
      </c>
      <c r="D1055" s="14">
        <v>2.2000000000000002</v>
      </c>
    </row>
    <row r="1056" spans="1:4" x14ac:dyDescent="0.35">
      <c r="A1056" s="7">
        <v>49695</v>
      </c>
      <c r="B1056" s="8" t="s">
        <v>10</v>
      </c>
      <c r="C1056" s="9">
        <v>14.2</v>
      </c>
      <c r="D1056" s="10">
        <v>0</v>
      </c>
    </row>
    <row r="1057" spans="1:4" x14ac:dyDescent="0.35">
      <c r="A1057" s="11">
        <v>49696</v>
      </c>
      <c r="B1057" s="12" t="s">
        <v>13</v>
      </c>
      <c r="C1057" s="13">
        <v>26.9</v>
      </c>
      <c r="D1057" s="14">
        <v>9.1999999999999993</v>
      </c>
    </row>
    <row r="1058" spans="1:4" x14ac:dyDescent="0.35">
      <c r="A1058" s="7">
        <v>49697</v>
      </c>
      <c r="B1058" s="8" t="s">
        <v>19</v>
      </c>
      <c r="C1058" s="9">
        <v>30</v>
      </c>
      <c r="D1058" s="10">
        <v>32.299999999999997</v>
      </c>
    </row>
    <row r="1059" spans="1:4" x14ac:dyDescent="0.35">
      <c r="A1059" s="11">
        <v>49698</v>
      </c>
      <c r="B1059" s="12" t="s">
        <v>27</v>
      </c>
      <c r="C1059" s="13">
        <v>16.2</v>
      </c>
      <c r="D1059" s="14">
        <v>5.2</v>
      </c>
    </row>
    <row r="1060" spans="1:4" x14ac:dyDescent="0.35">
      <c r="A1060" s="7">
        <v>49699</v>
      </c>
      <c r="B1060" s="8" t="s">
        <v>11</v>
      </c>
      <c r="C1060" s="9">
        <v>12.2</v>
      </c>
      <c r="D1060" s="10">
        <v>0</v>
      </c>
    </row>
    <row r="1061" spans="1:4" x14ac:dyDescent="0.35">
      <c r="A1061" s="11">
        <v>49700</v>
      </c>
      <c r="B1061" s="12" t="s">
        <v>15</v>
      </c>
      <c r="C1061" s="13">
        <v>28.7</v>
      </c>
      <c r="D1061" s="14">
        <v>0.5</v>
      </c>
    </row>
    <row r="1062" spans="1:4" x14ac:dyDescent="0.35">
      <c r="A1062" s="7">
        <v>49701</v>
      </c>
      <c r="B1062" s="8" t="s">
        <v>6</v>
      </c>
      <c r="C1062" s="9">
        <v>23.3</v>
      </c>
      <c r="D1062" s="10">
        <v>11.1</v>
      </c>
    </row>
    <row r="1063" spans="1:4" x14ac:dyDescent="0.35">
      <c r="A1063" s="11">
        <v>49702</v>
      </c>
      <c r="B1063" s="12" t="s">
        <v>15</v>
      </c>
      <c r="C1063" s="13">
        <v>30</v>
      </c>
      <c r="D1063" s="14">
        <v>16.100000000000001</v>
      </c>
    </row>
    <row r="1064" spans="1:4" x14ac:dyDescent="0.35">
      <c r="A1064" s="7">
        <v>49703</v>
      </c>
      <c r="B1064" s="8" t="s">
        <v>18</v>
      </c>
      <c r="C1064" s="9">
        <v>16</v>
      </c>
      <c r="D1064" s="10">
        <v>9.8000000000000007</v>
      </c>
    </row>
    <row r="1065" spans="1:4" x14ac:dyDescent="0.35">
      <c r="A1065" s="11">
        <v>49704</v>
      </c>
      <c r="B1065" s="12" t="s">
        <v>20</v>
      </c>
      <c r="C1065" s="13">
        <v>21.6</v>
      </c>
      <c r="D1065" s="14">
        <v>3.4</v>
      </c>
    </row>
    <row r="1066" spans="1:4" x14ac:dyDescent="0.35">
      <c r="A1066" s="7">
        <v>49705</v>
      </c>
      <c r="B1066" s="8" t="s">
        <v>19</v>
      </c>
      <c r="C1066" s="9">
        <v>27.9</v>
      </c>
      <c r="D1066" s="10">
        <v>4.8</v>
      </c>
    </row>
    <row r="1067" spans="1:4" x14ac:dyDescent="0.35">
      <c r="A1067" s="11">
        <v>49706</v>
      </c>
      <c r="B1067" s="12" t="s">
        <v>13</v>
      </c>
      <c r="C1067" s="13">
        <v>17.5</v>
      </c>
      <c r="D1067" s="14">
        <v>14.7</v>
      </c>
    </row>
    <row r="1068" spans="1:4" x14ac:dyDescent="0.35">
      <c r="A1068" s="7">
        <v>49707</v>
      </c>
      <c r="B1068" s="8" t="s">
        <v>7</v>
      </c>
      <c r="C1068" s="9">
        <v>20.7</v>
      </c>
      <c r="D1068" s="10">
        <v>0</v>
      </c>
    </row>
    <row r="1069" spans="1:4" x14ac:dyDescent="0.35">
      <c r="A1069" s="11">
        <v>49708</v>
      </c>
      <c r="B1069" s="12" t="s">
        <v>10</v>
      </c>
      <c r="C1069" s="13">
        <v>10.8</v>
      </c>
      <c r="D1069" s="14">
        <v>36.4</v>
      </c>
    </row>
    <row r="1070" spans="1:4" x14ac:dyDescent="0.35">
      <c r="A1070" s="7">
        <v>49709</v>
      </c>
      <c r="B1070" s="8" t="s">
        <v>19</v>
      </c>
      <c r="C1070" s="9">
        <v>27.6</v>
      </c>
      <c r="D1070" s="10">
        <v>32.799999999999997</v>
      </c>
    </row>
    <row r="1071" spans="1:4" x14ac:dyDescent="0.35">
      <c r="A1071" s="11">
        <v>49710</v>
      </c>
      <c r="B1071" s="12" t="s">
        <v>11</v>
      </c>
      <c r="C1071" s="13">
        <v>10.8</v>
      </c>
      <c r="D1071" s="14">
        <v>11.6</v>
      </c>
    </row>
    <row r="1072" spans="1:4" x14ac:dyDescent="0.35">
      <c r="A1072" s="7">
        <v>49711</v>
      </c>
      <c r="B1072" s="8" t="s">
        <v>17</v>
      </c>
      <c r="C1072" s="9">
        <v>13.7</v>
      </c>
      <c r="D1072" s="10">
        <v>0</v>
      </c>
    </row>
    <row r="1073" spans="1:4" x14ac:dyDescent="0.35">
      <c r="A1073" s="11">
        <v>49712</v>
      </c>
      <c r="B1073" s="12" t="s">
        <v>18</v>
      </c>
      <c r="C1073" s="13">
        <v>19.5</v>
      </c>
      <c r="D1073" s="14">
        <v>0</v>
      </c>
    </row>
    <row r="1074" spans="1:4" x14ac:dyDescent="0.35">
      <c r="A1074" s="7">
        <v>49713</v>
      </c>
      <c r="B1074" s="8" t="s">
        <v>9</v>
      </c>
      <c r="C1074" s="9">
        <v>21.6</v>
      </c>
      <c r="D1074" s="10">
        <v>11.6</v>
      </c>
    </row>
    <row r="1075" spans="1:4" x14ac:dyDescent="0.35">
      <c r="A1075" s="11">
        <v>49714</v>
      </c>
      <c r="B1075" s="12" t="s">
        <v>17</v>
      </c>
      <c r="C1075" s="13">
        <v>21.6</v>
      </c>
      <c r="D1075" s="14">
        <v>2.7</v>
      </c>
    </row>
    <row r="1076" spans="1:4" x14ac:dyDescent="0.35">
      <c r="A1076" s="7">
        <v>49715</v>
      </c>
      <c r="B1076" s="8" t="s">
        <v>24</v>
      </c>
      <c r="C1076" s="9">
        <v>16.100000000000001</v>
      </c>
      <c r="D1076" s="10">
        <v>0</v>
      </c>
    </row>
    <row r="1077" spans="1:4" x14ac:dyDescent="0.35">
      <c r="A1077" s="11">
        <v>49716</v>
      </c>
      <c r="B1077" s="12" t="s">
        <v>6</v>
      </c>
      <c r="C1077" s="13">
        <v>29.4</v>
      </c>
      <c r="D1077" s="14">
        <v>12.5</v>
      </c>
    </row>
    <row r="1078" spans="1:4" x14ac:dyDescent="0.35">
      <c r="A1078" s="7">
        <v>49717</v>
      </c>
      <c r="B1078" s="8" t="s">
        <v>26</v>
      </c>
      <c r="C1078" s="9">
        <v>17.8</v>
      </c>
      <c r="D1078" s="10">
        <v>5.9</v>
      </c>
    </row>
    <row r="1079" spans="1:4" x14ac:dyDescent="0.35">
      <c r="A1079" s="11">
        <v>49718</v>
      </c>
      <c r="B1079" s="12" t="s">
        <v>19</v>
      </c>
      <c r="C1079" s="13">
        <v>26.1</v>
      </c>
      <c r="D1079" s="14">
        <v>14.8</v>
      </c>
    </row>
    <row r="1080" spans="1:4" x14ac:dyDescent="0.35">
      <c r="A1080" s="7">
        <v>49719</v>
      </c>
      <c r="B1080" s="8" t="s">
        <v>10</v>
      </c>
      <c r="C1080" s="9">
        <v>13.8</v>
      </c>
      <c r="D1080" s="10">
        <v>0</v>
      </c>
    </row>
    <row r="1081" spans="1:4" x14ac:dyDescent="0.35">
      <c r="A1081" s="11">
        <v>49720</v>
      </c>
      <c r="B1081" s="12" t="s">
        <v>12</v>
      </c>
      <c r="C1081" s="13">
        <v>16.100000000000001</v>
      </c>
      <c r="D1081" s="14">
        <v>6.2</v>
      </c>
    </row>
    <row r="1082" spans="1:4" x14ac:dyDescent="0.35">
      <c r="A1082" s="7">
        <v>49721</v>
      </c>
      <c r="B1082" s="8" t="s">
        <v>10</v>
      </c>
      <c r="C1082" s="9">
        <v>23.2</v>
      </c>
      <c r="D1082" s="10">
        <v>45.8</v>
      </c>
    </row>
    <row r="1083" spans="1:4" x14ac:dyDescent="0.35">
      <c r="A1083" s="11">
        <v>49722</v>
      </c>
      <c r="B1083" s="12" t="s">
        <v>12</v>
      </c>
      <c r="C1083" s="13">
        <v>18.899999999999999</v>
      </c>
      <c r="D1083" s="14">
        <v>0</v>
      </c>
    </row>
    <row r="1084" spans="1:4" x14ac:dyDescent="0.35">
      <c r="A1084" s="7">
        <v>49723</v>
      </c>
      <c r="B1084" s="8" t="s">
        <v>19</v>
      </c>
      <c r="C1084" s="9">
        <v>28.9</v>
      </c>
      <c r="D1084" s="10">
        <v>34.1</v>
      </c>
    </row>
    <row r="1085" spans="1:4" x14ac:dyDescent="0.35">
      <c r="A1085" s="11">
        <v>49724</v>
      </c>
      <c r="B1085" s="12" t="s">
        <v>10</v>
      </c>
      <c r="C1085" s="13">
        <v>19.3</v>
      </c>
      <c r="D1085" s="14">
        <v>49.6</v>
      </c>
    </row>
    <row r="1086" spans="1:4" x14ac:dyDescent="0.35">
      <c r="A1086" s="7">
        <v>49725</v>
      </c>
      <c r="B1086" s="8" t="s">
        <v>18</v>
      </c>
      <c r="C1086" s="9">
        <v>23.9</v>
      </c>
      <c r="D1086" s="10">
        <v>11.7</v>
      </c>
    </row>
    <row r="1087" spans="1:4" x14ac:dyDescent="0.35">
      <c r="A1087" s="11">
        <v>49726</v>
      </c>
      <c r="B1087" s="12" t="s">
        <v>13</v>
      </c>
      <c r="C1087" s="13">
        <v>28.6</v>
      </c>
      <c r="D1087" s="14">
        <v>11.5</v>
      </c>
    </row>
    <row r="1088" spans="1:4" x14ac:dyDescent="0.35">
      <c r="A1088" s="7">
        <v>49727</v>
      </c>
      <c r="B1088" s="8" t="s">
        <v>26</v>
      </c>
      <c r="C1088" s="9">
        <v>14.5</v>
      </c>
      <c r="D1088" s="10">
        <v>0.3</v>
      </c>
    </row>
    <row r="1089" spans="1:4" x14ac:dyDescent="0.35">
      <c r="A1089" s="11">
        <v>49728</v>
      </c>
      <c r="B1089" s="12" t="s">
        <v>10</v>
      </c>
      <c r="C1089" s="13">
        <v>13</v>
      </c>
      <c r="D1089" s="14">
        <v>0</v>
      </c>
    </row>
    <row r="1090" spans="1:4" x14ac:dyDescent="0.35">
      <c r="A1090" s="7">
        <v>49729</v>
      </c>
      <c r="B1090" s="8" t="s">
        <v>19</v>
      </c>
      <c r="C1090" s="9">
        <v>16.2</v>
      </c>
      <c r="D1090" s="10">
        <v>9.1999999999999993</v>
      </c>
    </row>
    <row r="1091" spans="1:4" x14ac:dyDescent="0.35">
      <c r="A1091" s="11">
        <v>49730</v>
      </c>
      <c r="B1091" s="12" t="s">
        <v>15</v>
      </c>
      <c r="C1091" s="13">
        <v>27.1</v>
      </c>
      <c r="D1091" s="14">
        <v>6.3</v>
      </c>
    </row>
    <row r="1092" spans="1:4" x14ac:dyDescent="0.35">
      <c r="A1092" s="7">
        <v>49731</v>
      </c>
      <c r="B1092" s="8" t="s">
        <v>10</v>
      </c>
      <c r="C1092" s="9">
        <v>15.6</v>
      </c>
      <c r="D1092" s="10">
        <v>28</v>
      </c>
    </row>
    <row r="1093" spans="1:4" x14ac:dyDescent="0.35">
      <c r="A1093" s="11">
        <v>49732</v>
      </c>
      <c r="B1093" s="12" t="s">
        <v>26</v>
      </c>
      <c r="C1093" s="13">
        <v>28.9</v>
      </c>
      <c r="D1093" s="14">
        <v>6.8</v>
      </c>
    </row>
    <row r="1094" spans="1:4" x14ac:dyDescent="0.35">
      <c r="A1094" s="7">
        <v>49733</v>
      </c>
      <c r="B1094" s="8" t="s">
        <v>6</v>
      </c>
      <c r="C1094" s="9">
        <v>13.8</v>
      </c>
      <c r="D1094" s="10">
        <v>11.9</v>
      </c>
    </row>
    <row r="1095" spans="1:4" x14ac:dyDescent="0.35">
      <c r="A1095" s="11">
        <v>49734</v>
      </c>
      <c r="B1095" s="12" t="s">
        <v>6</v>
      </c>
      <c r="C1095" s="13">
        <v>17.8</v>
      </c>
      <c r="D1095" s="14">
        <v>1.5</v>
      </c>
    </row>
    <row r="1096" spans="1:4" x14ac:dyDescent="0.35">
      <c r="A1096" s="7">
        <v>49735</v>
      </c>
      <c r="B1096" s="8" t="s">
        <v>22</v>
      </c>
      <c r="C1096" s="9">
        <v>25.1</v>
      </c>
      <c r="D1096" s="10">
        <v>0</v>
      </c>
    </row>
    <row r="1097" spans="1:4" x14ac:dyDescent="0.35">
      <c r="A1097" s="11">
        <v>49736</v>
      </c>
      <c r="B1097" s="12" t="s">
        <v>22</v>
      </c>
      <c r="C1097" s="13">
        <v>29.5</v>
      </c>
      <c r="D1097" s="14">
        <v>0</v>
      </c>
    </row>
    <row r="1098" spans="1:4" x14ac:dyDescent="0.35">
      <c r="A1098" s="7">
        <v>49737</v>
      </c>
      <c r="B1098" s="8" t="s">
        <v>26</v>
      </c>
      <c r="C1098" s="9">
        <v>16.100000000000001</v>
      </c>
      <c r="D1098" s="10">
        <v>7.1</v>
      </c>
    </row>
    <row r="1099" spans="1:4" x14ac:dyDescent="0.35">
      <c r="A1099" s="11">
        <v>49738</v>
      </c>
      <c r="B1099" s="12" t="s">
        <v>9</v>
      </c>
      <c r="C1099" s="13">
        <v>18</v>
      </c>
      <c r="D1099" s="14">
        <v>12</v>
      </c>
    </row>
    <row r="1100" spans="1:4" x14ac:dyDescent="0.35">
      <c r="A1100" s="7">
        <v>49739</v>
      </c>
      <c r="B1100" s="8" t="s">
        <v>10</v>
      </c>
      <c r="C1100" s="9">
        <v>12.2</v>
      </c>
      <c r="D1100" s="10">
        <v>26.8</v>
      </c>
    </row>
    <row r="1101" spans="1:4" x14ac:dyDescent="0.35">
      <c r="A1101" s="11">
        <v>49740</v>
      </c>
      <c r="B1101" s="12" t="s">
        <v>14</v>
      </c>
      <c r="C1101" s="13">
        <v>20.7</v>
      </c>
      <c r="D1101" s="14">
        <v>4.7</v>
      </c>
    </row>
    <row r="1102" spans="1:4" x14ac:dyDescent="0.35">
      <c r="A1102" s="7">
        <v>49741</v>
      </c>
      <c r="B1102" s="8" t="s">
        <v>10</v>
      </c>
      <c r="C1102" s="9">
        <v>20.100000000000001</v>
      </c>
      <c r="D1102" s="10">
        <v>47.4</v>
      </c>
    </row>
    <row r="1103" spans="1:4" x14ac:dyDescent="0.35">
      <c r="A1103" s="11">
        <v>49742</v>
      </c>
      <c r="B1103" s="12" t="s">
        <v>10</v>
      </c>
      <c r="C1103" s="13">
        <v>14.9</v>
      </c>
      <c r="D1103" s="14">
        <v>43.8</v>
      </c>
    </row>
    <row r="1104" spans="1:4" x14ac:dyDescent="0.35">
      <c r="A1104" s="7">
        <v>49743</v>
      </c>
      <c r="B1104" s="8" t="s">
        <v>10</v>
      </c>
      <c r="C1104" s="9">
        <v>19</v>
      </c>
      <c r="D1104" s="10">
        <v>0</v>
      </c>
    </row>
    <row r="1105" spans="1:4" x14ac:dyDescent="0.35">
      <c r="A1105" s="11">
        <v>49744</v>
      </c>
      <c r="B1105" s="12" t="s">
        <v>6</v>
      </c>
      <c r="C1105" s="13">
        <v>12.5</v>
      </c>
      <c r="D1105" s="14">
        <v>0</v>
      </c>
    </row>
    <row r="1106" spans="1:4" x14ac:dyDescent="0.35">
      <c r="A1106" s="7">
        <v>49745</v>
      </c>
      <c r="B1106" s="8" t="s">
        <v>13</v>
      </c>
      <c r="C1106" s="9">
        <v>15.2</v>
      </c>
      <c r="D1106" s="10">
        <v>13.9</v>
      </c>
    </row>
    <row r="1107" spans="1:4" x14ac:dyDescent="0.35">
      <c r="A1107" s="11">
        <v>49746</v>
      </c>
      <c r="B1107" s="12" t="s">
        <v>19</v>
      </c>
      <c r="C1107" s="13">
        <v>29.2</v>
      </c>
      <c r="D1107" s="14">
        <v>26.8</v>
      </c>
    </row>
    <row r="1108" spans="1:4" x14ac:dyDescent="0.35">
      <c r="A1108" s="7">
        <v>49747</v>
      </c>
      <c r="B1108" s="8" t="s">
        <v>6</v>
      </c>
      <c r="C1108" s="9">
        <v>13.9</v>
      </c>
      <c r="D1108" s="10">
        <v>1.1000000000000001</v>
      </c>
    </row>
    <row r="1109" spans="1:4" x14ac:dyDescent="0.35">
      <c r="A1109" s="11">
        <v>49748</v>
      </c>
      <c r="B1109" s="12" t="s">
        <v>15</v>
      </c>
      <c r="C1109" s="13">
        <v>11.4</v>
      </c>
      <c r="D1109" s="14">
        <v>0</v>
      </c>
    </row>
    <row r="1110" spans="1:4" x14ac:dyDescent="0.35">
      <c r="A1110" s="7">
        <v>49749</v>
      </c>
      <c r="B1110" s="8" t="s">
        <v>9</v>
      </c>
      <c r="C1110" s="9">
        <v>15.8</v>
      </c>
      <c r="D1110" s="10">
        <v>7</v>
      </c>
    </row>
    <row r="1111" spans="1:4" x14ac:dyDescent="0.35">
      <c r="A1111" s="11">
        <v>49750</v>
      </c>
      <c r="B1111" s="12" t="s">
        <v>10</v>
      </c>
      <c r="C1111" s="13">
        <v>10.199999999999999</v>
      </c>
      <c r="D1111" s="14">
        <v>43.3</v>
      </c>
    </row>
    <row r="1112" spans="1:4" x14ac:dyDescent="0.35">
      <c r="A1112" s="7">
        <v>49751</v>
      </c>
      <c r="B1112" s="8" t="s">
        <v>13</v>
      </c>
      <c r="C1112" s="9">
        <v>19.600000000000001</v>
      </c>
      <c r="D1112" s="10">
        <v>8.9</v>
      </c>
    </row>
    <row r="1113" spans="1:4" x14ac:dyDescent="0.35">
      <c r="A1113" s="11">
        <v>49752</v>
      </c>
      <c r="B1113" s="12" t="s">
        <v>6</v>
      </c>
      <c r="C1113" s="13">
        <v>15.5</v>
      </c>
      <c r="D1113" s="14">
        <v>10.1</v>
      </c>
    </row>
    <row r="1114" spans="1:4" x14ac:dyDescent="0.35">
      <c r="A1114" s="7">
        <v>49753</v>
      </c>
      <c r="B1114" s="8" t="s">
        <v>15</v>
      </c>
      <c r="C1114" s="9">
        <v>19.899999999999999</v>
      </c>
      <c r="D1114" s="10">
        <v>16.2</v>
      </c>
    </row>
    <row r="1115" spans="1:4" x14ac:dyDescent="0.35">
      <c r="A1115" s="11">
        <v>49754</v>
      </c>
      <c r="B1115" s="12" t="s">
        <v>18</v>
      </c>
      <c r="C1115" s="13">
        <v>10.7</v>
      </c>
      <c r="D1115" s="14">
        <v>2.8</v>
      </c>
    </row>
    <row r="1116" spans="1:4" x14ac:dyDescent="0.35">
      <c r="A1116" s="7">
        <v>49755</v>
      </c>
      <c r="B1116" s="8" t="s">
        <v>26</v>
      </c>
      <c r="C1116" s="9">
        <v>11.5</v>
      </c>
      <c r="D1116" s="10">
        <v>5.9</v>
      </c>
    </row>
    <row r="1117" spans="1:4" x14ac:dyDescent="0.35">
      <c r="A1117" s="11">
        <v>49756</v>
      </c>
      <c r="B1117" s="12" t="s">
        <v>14</v>
      </c>
      <c r="C1117" s="13">
        <v>28.4</v>
      </c>
      <c r="D1117" s="14">
        <v>1</v>
      </c>
    </row>
    <row r="1118" spans="1:4" x14ac:dyDescent="0.35">
      <c r="A1118" s="7">
        <v>49757</v>
      </c>
      <c r="B1118" s="8" t="s">
        <v>19</v>
      </c>
      <c r="C1118" s="9">
        <v>22.3</v>
      </c>
      <c r="D1118" s="10">
        <v>5.0999999999999996</v>
      </c>
    </row>
    <row r="1119" spans="1:4" x14ac:dyDescent="0.35">
      <c r="A1119" s="11">
        <v>49758</v>
      </c>
      <c r="B1119" s="12" t="s">
        <v>13</v>
      </c>
      <c r="C1119" s="13">
        <v>28.7</v>
      </c>
      <c r="D1119" s="14">
        <v>11.5</v>
      </c>
    </row>
    <row r="1120" spans="1:4" x14ac:dyDescent="0.35">
      <c r="A1120" s="7">
        <v>49759</v>
      </c>
      <c r="B1120" s="8" t="s">
        <v>6</v>
      </c>
      <c r="C1120" s="9">
        <v>19.100000000000001</v>
      </c>
      <c r="D1120" s="10">
        <v>0</v>
      </c>
    </row>
    <row r="1121" spans="1:4" x14ac:dyDescent="0.35">
      <c r="A1121" s="11">
        <v>49760</v>
      </c>
      <c r="B1121" s="12" t="s">
        <v>10</v>
      </c>
      <c r="C1121" s="13">
        <v>10.199999999999999</v>
      </c>
      <c r="D1121" s="14">
        <v>7.6</v>
      </c>
    </row>
    <row r="1122" spans="1:4" x14ac:dyDescent="0.35">
      <c r="A1122" s="7">
        <v>49761</v>
      </c>
      <c r="B1122" s="8" t="s">
        <v>10</v>
      </c>
      <c r="C1122" s="9">
        <v>18.399999999999999</v>
      </c>
      <c r="D1122" s="10">
        <v>0</v>
      </c>
    </row>
    <row r="1123" spans="1:4" x14ac:dyDescent="0.35">
      <c r="A1123" s="11">
        <v>49762</v>
      </c>
      <c r="B1123" s="12" t="s">
        <v>19</v>
      </c>
      <c r="C1123" s="13">
        <v>29.3</v>
      </c>
      <c r="D1123" s="14">
        <v>0</v>
      </c>
    </row>
    <row r="1124" spans="1:4" x14ac:dyDescent="0.35">
      <c r="A1124" s="7">
        <v>49763</v>
      </c>
      <c r="B1124" s="8" t="s">
        <v>17</v>
      </c>
      <c r="C1124" s="9">
        <v>26.7</v>
      </c>
      <c r="D1124" s="10">
        <v>5.7</v>
      </c>
    </row>
    <row r="1125" spans="1:4" x14ac:dyDescent="0.35">
      <c r="A1125" s="11">
        <v>49764</v>
      </c>
      <c r="B1125" s="12" t="s">
        <v>8</v>
      </c>
      <c r="C1125" s="13">
        <v>22.2</v>
      </c>
      <c r="D1125" s="14">
        <v>0.9</v>
      </c>
    </row>
    <row r="1126" spans="1:4" x14ac:dyDescent="0.35">
      <c r="A1126" s="7">
        <v>49765</v>
      </c>
      <c r="B1126" s="8" t="s">
        <v>13</v>
      </c>
      <c r="C1126" s="9">
        <v>25.5</v>
      </c>
      <c r="D1126" s="10">
        <v>5.8</v>
      </c>
    </row>
    <row r="1127" spans="1:4" x14ac:dyDescent="0.35">
      <c r="A1127" s="11">
        <v>49766</v>
      </c>
      <c r="B1127" s="12" t="s">
        <v>19</v>
      </c>
      <c r="C1127" s="13">
        <v>23.5</v>
      </c>
      <c r="D1127" s="14">
        <v>32</v>
      </c>
    </row>
    <row r="1128" spans="1:4" x14ac:dyDescent="0.35">
      <c r="A1128" s="7">
        <v>49767</v>
      </c>
      <c r="B1128" s="8" t="s">
        <v>5</v>
      </c>
      <c r="C1128" s="9">
        <v>28.4</v>
      </c>
      <c r="D1128" s="10">
        <v>5.7</v>
      </c>
    </row>
    <row r="1129" spans="1:4" x14ac:dyDescent="0.35">
      <c r="A1129" s="11">
        <v>49768</v>
      </c>
      <c r="B1129" s="12" t="s">
        <v>22</v>
      </c>
      <c r="C1129" s="13">
        <v>13.7</v>
      </c>
      <c r="D1129" s="14">
        <v>6</v>
      </c>
    </row>
    <row r="1130" spans="1:4" x14ac:dyDescent="0.35">
      <c r="A1130" s="7">
        <v>49769</v>
      </c>
      <c r="B1130" s="8" t="s">
        <v>9</v>
      </c>
      <c r="C1130" s="9">
        <v>22.1</v>
      </c>
      <c r="D1130" s="10">
        <v>11.7</v>
      </c>
    </row>
    <row r="1131" spans="1:4" x14ac:dyDescent="0.35">
      <c r="A1131" s="11">
        <v>49770</v>
      </c>
      <c r="B1131" s="12" t="s">
        <v>11</v>
      </c>
      <c r="C1131" s="13">
        <v>16.899999999999999</v>
      </c>
      <c r="D1131" s="14">
        <v>18.2</v>
      </c>
    </row>
    <row r="1132" spans="1:4" x14ac:dyDescent="0.35">
      <c r="A1132" s="7">
        <v>49771</v>
      </c>
      <c r="B1132" s="8" t="s">
        <v>22</v>
      </c>
      <c r="C1132" s="9">
        <v>28</v>
      </c>
      <c r="D1132" s="10">
        <v>0</v>
      </c>
    </row>
    <row r="1133" spans="1:4" x14ac:dyDescent="0.35">
      <c r="A1133" s="11">
        <v>49772</v>
      </c>
      <c r="B1133" s="12" t="s">
        <v>10</v>
      </c>
      <c r="C1133" s="13">
        <v>13.5</v>
      </c>
      <c r="D1133" s="14">
        <v>3.7</v>
      </c>
    </row>
    <row r="1134" spans="1:4" x14ac:dyDescent="0.35">
      <c r="A1134" s="7">
        <v>49773</v>
      </c>
      <c r="B1134" s="8" t="s">
        <v>19</v>
      </c>
      <c r="C1134" s="9">
        <v>13.4</v>
      </c>
      <c r="D1134" s="10">
        <v>22.5</v>
      </c>
    </row>
    <row r="1135" spans="1:4" x14ac:dyDescent="0.35">
      <c r="A1135" s="11">
        <v>49774</v>
      </c>
      <c r="B1135" s="12" t="s">
        <v>6</v>
      </c>
      <c r="C1135" s="13">
        <v>19.899999999999999</v>
      </c>
      <c r="D1135" s="14">
        <v>11.6</v>
      </c>
    </row>
    <row r="1136" spans="1:4" x14ac:dyDescent="0.35">
      <c r="A1136" s="7">
        <v>49775</v>
      </c>
      <c r="B1136" s="8" t="s">
        <v>7</v>
      </c>
      <c r="C1136" s="9">
        <v>24.2</v>
      </c>
      <c r="D1136" s="10">
        <v>11</v>
      </c>
    </row>
    <row r="1137" spans="1:4" x14ac:dyDescent="0.35">
      <c r="A1137" s="11">
        <v>49776</v>
      </c>
      <c r="B1137" s="12" t="s">
        <v>27</v>
      </c>
      <c r="C1137" s="13">
        <v>20.399999999999999</v>
      </c>
      <c r="D1137" s="14">
        <v>0</v>
      </c>
    </row>
    <row r="1138" spans="1:4" x14ac:dyDescent="0.35">
      <c r="A1138" s="7">
        <v>49777</v>
      </c>
      <c r="B1138" s="8" t="s">
        <v>27</v>
      </c>
      <c r="C1138" s="9">
        <v>16.600000000000001</v>
      </c>
      <c r="D1138" s="10">
        <v>3.9</v>
      </c>
    </row>
    <row r="1139" spans="1:4" x14ac:dyDescent="0.35">
      <c r="A1139" s="11">
        <v>49778</v>
      </c>
      <c r="B1139" s="12" t="s">
        <v>33</v>
      </c>
      <c r="C1139" s="13">
        <v>14.3</v>
      </c>
      <c r="D1139" s="14">
        <v>0</v>
      </c>
    </row>
    <row r="1140" spans="1:4" x14ac:dyDescent="0.35">
      <c r="A1140" s="7">
        <v>49779</v>
      </c>
      <c r="B1140" s="8" t="s">
        <v>26</v>
      </c>
      <c r="C1140" s="9">
        <v>24.4</v>
      </c>
      <c r="D1140" s="10">
        <v>4.4000000000000004</v>
      </c>
    </row>
    <row r="1141" spans="1:4" x14ac:dyDescent="0.35">
      <c r="A1141" s="11">
        <v>49780</v>
      </c>
      <c r="B1141" s="12" t="s">
        <v>10</v>
      </c>
      <c r="C1141" s="13">
        <v>26.7</v>
      </c>
      <c r="D1141" s="14">
        <v>30.4</v>
      </c>
    </row>
    <row r="1142" spans="1:4" x14ac:dyDescent="0.35">
      <c r="A1142" s="7">
        <v>49781</v>
      </c>
      <c r="B1142" s="8" t="s">
        <v>13</v>
      </c>
      <c r="C1142" s="9">
        <v>20.100000000000001</v>
      </c>
      <c r="D1142" s="10">
        <v>3.1</v>
      </c>
    </row>
    <row r="1143" spans="1:4" x14ac:dyDescent="0.35">
      <c r="A1143" s="11">
        <v>49782</v>
      </c>
      <c r="B1143" s="12" t="s">
        <v>6</v>
      </c>
      <c r="C1143" s="13">
        <v>13.5</v>
      </c>
      <c r="D1143" s="14">
        <v>6.9</v>
      </c>
    </row>
    <row r="1144" spans="1:4" x14ac:dyDescent="0.35">
      <c r="A1144" s="7">
        <v>49783</v>
      </c>
      <c r="B1144" s="8" t="s">
        <v>7</v>
      </c>
      <c r="C1144" s="9">
        <v>18.8</v>
      </c>
      <c r="D1144" s="10">
        <v>21.5</v>
      </c>
    </row>
    <row r="1145" spans="1:4" x14ac:dyDescent="0.35">
      <c r="A1145" s="11">
        <v>49784</v>
      </c>
      <c r="B1145" s="12" t="s">
        <v>19</v>
      </c>
      <c r="C1145" s="13">
        <v>18</v>
      </c>
      <c r="D1145" s="14">
        <v>13.9</v>
      </c>
    </row>
    <row r="1146" spans="1:4" x14ac:dyDescent="0.35">
      <c r="A1146" s="7">
        <v>49785</v>
      </c>
      <c r="B1146" s="8" t="s">
        <v>27</v>
      </c>
      <c r="C1146" s="9">
        <v>16.899999999999999</v>
      </c>
      <c r="D1146" s="10">
        <v>1.8</v>
      </c>
    </row>
    <row r="1147" spans="1:4" x14ac:dyDescent="0.35">
      <c r="A1147" s="11">
        <v>49786</v>
      </c>
      <c r="B1147" s="12" t="s">
        <v>6</v>
      </c>
      <c r="C1147" s="13">
        <v>23.7</v>
      </c>
      <c r="D1147" s="14">
        <v>13</v>
      </c>
    </row>
    <row r="1148" spans="1:4" x14ac:dyDescent="0.35">
      <c r="A1148" s="7">
        <v>49787</v>
      </c>
      <c r="B1148" s="8" t="s">
        <v>32</v>
      </c>
      <c r="C1148" s="9">
        <v>17.600000000000001</v>
      </c>
      <c r="D1148" s="10">
        <v>0.6</v>
      </c>
    </row>
    <row r="1149" spans="1:4" x14ac:dyDescent="0.35">
      <c r="A1149" s="11">
        <v>49788</v>
      </c>
      <c r="B1149" s="12" t="s">
        <v>7</v>
      </c>
      <c r="C1149" s="13">
        <v>29.1</v>
      </c>
      <c r="D1149" s="14">
        <v>8.3000000000000007</v>
      </c>
    </row>
    <row r="1150" spans="1:4" x14ac:dyDescent="0.35">
      <c r="A1150" s="7">
        <v>49789</v>
      </c>
      <c r="B1150" s="8" t="s">
        <v>9</v>
      </c>
      <c r="C1150" s="9">
        <v>26.8</v>
      </c>
      <c r="D1150" s="10">
        <v>11.2</v>
      </c>
    </row>
    <row r="1151" spans="1:4" x14ac:dyDescent="0.35">
      <c r="A1151" s="11">
        <v>49790</v>
      </c>
      <c r="B1151" s="12" t="s">
        <v>18</v>
      </c>
      <c r="C1151" s="13">
        <v>10.5</v>
      </c>
      <c r="D1151" s="14">
        <v>0</v>
      </c>
    </row>
    <row r="1152" spans="1:4" x14ac:dyDescent="0.35">
      <c r="A1152" s="7">
        <v>49791</v>
      </c>
      <c r="B1152" s="8" t="s">
        <v>11</v>
      </c>
      <c r="C1152" s="9">
        <v>13.5</v>
      </c>
      <c r="D1152" s="10">
        <v>0</v>
      </c>
    </row>
    <row r="1153" spans="1:4" x14ac:dyDescent="0.35">
      <c r="A1153" s="11">
        <v>49792</v>
      </c>
      <c r="B1153" s="12" t="s">
        <v>10</v>
      </c>
      <c r="C1153" s="13">
        <v>14</v>
      </c>
      <c r="D1153" s="14">
        <v>22</v>
      </c>
    </row>
    <row r="1154" spans="1:4" x14ac:dyDescent="0.35">
      <c r="A1154" s="7">
        <v>49793</v>
      </c>
      <c r="B1154" s="8" t="s">
        <v>11</v>
      </c>
      <c r="C1154" s="9">
        <v>26.7</v>
      </c>
      <c r="D1154" s="10">
        <v>8</v>
      </c>
    </row>
    <row r="1155" spans="1:4" x14ac:dyDescent="0.35">
      <c r="A1155" s="11">
        <v>49794</v>
      </c>
      <c r="B1155" s="12" t="s">
        <v>26</v>
      </c>
      <c r="C1155" s="13">
        <v>11.2</v>
      </c>
      <c r="D1155" s="14">
        <v>6.1</v>
      </c>
    </row>
    <row r="1156" spans="1:4" x14ac:dyDescent="0.35">
      <c r="A1156" s="7">
        <v>49795</v>
      </c>
      <c r="B1156" s="8" t="s">
        <v>27</v>
      </c>
      <c r="C1156" s="9">
        <v>24.7</v>
      </c>
      <c r="D1156" s="10">
        <v>0</v>
      </c>
    </row>
    <row r="1157" spans="1:4" x14ac:dyDescent="0.35">
      <c r="A1157" s="11">
        <v>49796</v>
      </c>
      <c r="B1157" s="12" t="s">
        <v>29</v>
      </c>
      <c r="C1157" s="13">
        <v>27.2</v>
      </c>
      <c r="D1157" s="14">
        <v>0.3</v>
      </c>
    </row>
    <row r="1158" spans="1:4" x14ac:dyDescent="0.35">
      <c r="A1158" s="7">
        <v>49797</v>
      </c>
      <c r="B1158" s="8" t="s">
        <v>30</v>
      </c>
      <c r="C1158" s="9">
        <v>11</v>
      </c>
      <c r="D1158" s="10">
        <v>0</v>
      </c>
    </row>
    <row r="1159" spans="1:4" x14ac:dyDescent="0.35">
      <c r="A1159" s="11">
        <v>49798</v>
      </c>
      <c r="B1159" s="12" t="s">
        <v>12</v>
      </c>
      <c r="C1159" s="13">
        <v>10.9</v>
      </c>
      <c r="D1159" s="14">
        <v>4.4000000000000004</v>
      </c>
    </row>
    <row r="1160" spans="1:4" x14ac:dyDescent="0.35">
      <c r="A1160" s="7">
        <v>49799</v>
      </c>
      <c r="B1160" s="8" t="s">
        <v>7</v>
      </c>
      <c r="C1160" s="9">
        <v>27.4</v>
      </c>
      <c r="D1160" s="10">
        <v>6</v>
      </c>
    </row>
    <row r="1161" spans="1:4" x14ac:dyDescent="0.35">
      <c r="A1161" s="11">
        <v>49800</v>
      </c>
      <c r="B1161" s="12" t="s">
        <v>6</v>
      </c>
      <c r="C1161" s="13">
        <v>20</v>
      </c>
      <c r="D1161" s="14">
        <v>7.6</v>
      </c>
    </row>
    <row r="1162" spans="1:4" x14ac:dyDescent="0.35">
      <c r="A1162" s="7">
        <v>49801</v>
      </c>
      <c r="B1162" s="8" t="s">
        <v>18</v>
      </c>
      <c r="C1162" s="9">
        <v>23.5</v>
      </c>
      <c r="D1162" s="10">
        <v>2.5</v>
      </c>
    </row>
    <row r="1163" spans="1:4" x14ac:dyDescent="0.35">
      <c r="A1163" s="11">
        <v>49802</v>
      </c>
      <c r="B1163" s="12" t="s">
        <v>11</v>
      </c>
      <c r="C1163" s="13">
        <v>28.5</v>
      </c>
      <c r="D1163" s="14">
        <v>0</v>
      </c>
    </row>
    <row r="1164" spans="1:4" x14ac:dyDescent="0.35">
      <c r="A1164" s="7">
        <v>49803</v>
      </c>
      <c r="B1164" s="8" t="s">
        <v>27</v>
      </c>
      <c r="C1164" s="9">
        <v>10.8</v>
      </c>
      <c r="D1164" s="10">
        <v>5.8</v>
      </c>
    </row>
    <row r="1165" spans="1:4" x14ac:dyDescent="0.35">
      <c r="A1165" s="11">
        <v>49804</v>
      </c>
      <c r="B1165" s="12" t="s">
        <v>15</v>
      </c>
      <c r="C1165" s="13">
        <v>18.899999999999999</v>
      </c>
      <c r="D1165" s="14">
        <v>9.5</v>
      </c>
    </row>
    <row r="1166" spans="1:4" x14ac:dyDescent="0.35">
      <c r="A1166" s="7">
        <v>49805</v>
      </c>
      <c r="B1166" s="8" t="s">
        <v>13</v>
      </c>
      <c r="C1166" s="9">
        <v>24</v>
      </c>
      <c r="D1166" s="10">
        <v>4</v>
      </c>
    </row>
    <row r="1167" spans="1:4" x14ac:dyDescent="0.35">
      <c r="A1167" s="11">
        <v>49806</v>
      </c>
      <c r="B1167" s="12" t="s">
        <v>12</v>
      </c>
      <c r="C1167" s="13">
        <v>12.7</v>
      </c>
      <c r="D1167" s="14">
        <v>3</v>
      </c>
    </row>
    <row r="1168" spans="1:4" x14ac:dyDescent="0.35">
      <c r="A1168" s="7">
        <v>49807</v>
      </c>
      <c r="B1168" s="8" t="s">
        <v>7</v>
      </c>
      <c r="C1168" s="9">
        <v>13.4</v>
      </c>
      <c r="D1168" s="10">
        <v>6.2</v>
      </c>
    </row>
    <row r="1169" spans="1:4" x14ac:dyDescent="0.35">
      <c r="A1169" s="11">
        <v>49808</v>
      </c>
      <c r="B1169" s="12" t="s">
        <v>10</v>
      </c>
      <c r="C1169" s="13">
        <v>15.9</v>
      </c>
      <c r="D1169" s="14">
        <v>0</v>
      </c>
    </row>
    <row r="1170" spans="1:4" x14ac:dyDescent="0.35">
      <c r="A1170" s="7">
        <v>49809</v>
      </c>
      <c r="B1170" s="8" t="s">
        <v>11</v>
      </c>
      <c r="C1170" s="9">
        <v>19.399999999999999</v>
      </c>
      <c r="D1170" s="10">
        <v>21.2</v>
      </c>
    </row>
    <row r="1171" spans="1:4" x14ac:dyDescent="0.35">
      <c r="A1171" s="11">
        <v>49810</v>
      </c>
      <c r="B1171" s="12" t="s">
        <v>15</v>
      </c>
      <c r="C1171" s="13">
        <v>16.3</v>
      </c>
      <c r="D1171" s="14">
        <v>17.600000000000001</v>
      </c>
    </row>
    <row r="1172" spans="1:4" x14ac:dyDescent="0.35">
      <c r="A1172" s="7">
        <v>49811</v>
      </c>
      <c r="B1172" s="8" t="s">
        <v>11</v>
      </c>
      <c r="C1172" s="9">
        <v>28</v>
      </c>
      <c r="D1172" s="10">
        <v>20.399999999999999</v>
      </c>
    </row>
    <row r="1173" spans="1:4" x14ac:dyDescent="0.35">
      <c r="A1173" s="11">
        <v>49812</v>
      </c>
      <c r="B1173" s="12" t="s">
        <v>12</v>
      </c>
      <c r="C1173" s="13">
        <v>19</v>
      </c>
      <c r="D1173" s="14">
        <v>5.2</v>
      </c>
    </row>
    <row r="1174" spans="1:4" x14ac:dyDescent="0.35">
      <c r="A1174" s="7">
        <v>49813</v>
      </c>
      <c r="B1174" s="8" t="s">
        <v>27</v>
      </c>
      <c r="C1174" s="9">
        <v>24.1</v>
      </c>
      <c r="D1174" s="10">
        <v>4.8</v>
      </c>
    </row>
    <row r="1175" spans="1:4" x14ac:dyDescent="0.35">
      <c r="A1175" s="11">
        <v>49814</v>
      </c>
      <c r="B1175" s="12" t="s">
        <v>10</v>
      </c>
      <c r="C1175" s="13">
        <v>15.2</v>
      </c>
      <c r="D1175" s="14">
        <v>25.7</v>
      </c>
    </row>
    <row r="1176" spans="1:4" x14ac:dyDescent="0.35">
      <c r="A1176" s="7">
        <v>49815</v>
      </c>
      <c r="B1176" s="8" t="s">
        <v>11</v>
      </c>
      <c r="C1176" s="9">
        <v>16.3</v>
      </c>
      <c r="D1176" s="10">
        <v>21</v>
      </c>
    </row>
    <row r="1177" spans="1:4" x14ac:dyDescent="0.35">
      <c r="A1177" s="11">
        <v>49816</v>
      </c>
      <c r="B1177" s="12" t="s">
        <v>7</v>
      </c>
      <c r="C1177" s="13">
        <v>26.9</v>
      </c>
      <c r="D1177" s="14">
        <v>0</v>
      </c>
    </row>
    <row r="1178" spans="1:4" x14ac:dyDescent="0.35">
      <c r="A1178" s="7">
        <v>49817</v>
      </c>
      <c r="B1178" s="8" t="s">
        <v>9</v>
      </c>
      <c r="C1178" s="9">
        <v>25</v>
      </c>
      <c r="D1178" s="10">
        <v>0.5</v>
      </c>
    </row>
    <row r="1179" spans="1:4" x14ac:dyDescent="0.35">
      <c r="A1179" s="11">
        <v>49818</v>
      </c>
      <c r="B1179" s="12" t="s">
        <v>17</v>
      </c>
      <c r="C1179" s="13">
        <v>25.1</v>
      </c>
      <c r="D1179" s="14">
        <v>5.2</v>
      </c>
    </row>
    <row r="1180" spans="1:4" x14ac:dyDescent="0.35">
      <c r="A1180" s="7">
        <v>49819</v>
      </c>
      <c r="B1180" s="8" t="s">
        <v>12</v>
      </c>
      <c r="C1180" s="9">
        <v>29.2</v>
      </c>
      <c r="D1180" s="10">
        <v>7.1</v>
      </c>
    </row>
    <row r="1181" spans="1:4" x14ac:dyDescent="0.35">
      <c r="A1181" s="11">
        <v>49820</v>
      </c>
      <c r="B1181" s="12" t="s">
        <v>13</v>
      </c>
      <c r="C1181" s="13">
        <v>18.100000000000001</v>
      </c>
      <c r="D1181" s="14">
        <v>5.0999999999999996</v>
      </c>
    </row>
    <row r="1182" spans="1:4" x14ac:dyDescent="0.35">
      <c r="A1182" s="7">
        <v>49821</v>
      </c>
      <c r="B1182" s="8" t="s">
        <v>11</v>
      </c>
      <c r="C1182" s="9">
        <v>12.5</v>
      </c>
      <c r="D1182" s="10">
        <v>0</v>
      </c>
    </row>
    <row r="1183" spans="1:4" x14ac:dyDescent="0.35">
      <c r="A1183" s="11">
        <v>49822</v>
      </c>
      <c r="B1183" s="12" t="s">
        <v>11</v>
      </c>
      <c r="C1183" s="13">
        <v>19.100000000000001</v>
      </c>
      <c r="D1183" s="14">
        <v>0.3</v>
      </c>
    </row>
    <row r="1184" spans="1:4" x14ac:dyDescent="0.35">
      <c r="A1184" s="7">
        <v>49823</v>
      </c>
      <c r="B1184" s="8" t="s">
        <v>19</v>
      </c>
      <c r="C1184" s="9">
        <v>27.4</v>
      </c>
      <c r="D1184" s="10">
        <v>0</v>
      </c>
    </row>
    <row r="1185" spans="1:4" x14ac:dyDescent="0.35">
      <c r="A1185" s="11">
        <v>49824</v>
      </c>
      <c r="B1185" s="12" t="s">
        <v>7</v>
      </c>
      <c r="C1185" s="13">
        <v>21.1</v>
      </c>
      <c r="D1185" s="14">
        <v>10.4</v>
      </c>
    </row>
    <row r="1186" spans="1:4" x14ac:dyDescent="0.35">
      <c r="A1186" s="7">
        <v>49825</v>
      </c>
      <c r="B1186" s="8" t="s">
        <v>27</v>
      </c>
      <c r="C1186" s="9">
        <v>13.4</v>
      </c>
      <c r="D1186" s="10">
        <v>0</v>
      </c>
    </row>
    <row r="1187" spans="1:4" x14ac:dyDescent="0.35">
      <c r="A1187" s="11">
        <v>49826</v>
      </c>
      <c r="B1187" s="12" t="s">
        <v>5</v>
      </c>
      <c r="C1187" s="13">
        <v>11.9</v>
      </c>
      <c r="D1187" s="14">
        <v>7.3</v>
      </c>
    </row>
    <row r="1188" spans="1:4" x14ac:dyDescent="0.35">
      <c r="A1188" s="7">
        <v>49827</v>
      </c>
      <c r="B1188" s="8" t="s">
        <v>13</v>
      </c>
      <c r="C1188" s="9">
        <v>20.399999999999999</v>
      </c>
      <c r="D1188" s="10">
        <v>4.3</v>
      </c>
    </row>
    <row r="1189" spans="1:4" x14ac:dyDescent="0.35">
      <c r="A1189" s="11">
        <v>49828</v>
      </c>
      <c r="B1189" s="12" t="s">
        <v>7</v>
      </c>
      <c r="C1189" s="13">
        <v>29.5</v>
      </c>
      <c r="D1189" s="14">
        <v>18.600000000000001</v>
      </c>
    </row>
    <row r="1190" spans="1:4" x14ac:dyDescent="0.35">
      <c r="A1190" s="7">
        <v>49829</v>
      </c>
      <c r="B1190" s="8" t="s">
        <v>12</v>
      </c>
      <c r="C1190" s="9">
        <v>24.1</v>
      </c>
      <c r="D1190" s="10">
        <v>5</v>
      </c>
    </row>
    <row r="1191" spans="1:4" x14ac:dyDescent="0.35">
      <c r="A1191" s="11">
        <v>49830</v>
      </c>
      <c r="B1191" s="12" t="s">
        <v>14</v>
      </c>
      <c r="C1191" s="13">
        <v>11.5</v>
      </c>
      <c r="D1191" s="14">
        <v>3.6</v>
      </c>
    </row>
    <row r="1192" spans="1:4" x14ac:dyDescent="0.35">
      <c r="A1192" s="7">
        <v>49831</v>
      </c>
      <c r="B1192" s="8" t="s">
        <v>25</v>
      </c>
      <c r="C1192" s="9">
        <v>21.2</v>
      </c>
      <c r="D1192" s="10">
        <v>1.8</v>
      </c>
    </row>
    <row r="1193" spans="1:4" x14ac:dyDescent="0.35">
      <c r="A1193" s="11">
        <v>49832</v>
      </c>
      <c r="B1193" s="12" t="s">
        <v>10</v>
      </c>
      <c r="C1193" s="13">
        <v>22.2</v>
      </c>
      <c r="D1193" s="14">
        <v>40.299999999999997</v>
      </c>
    </row>
    <row r="1194" spans="1:4" x14ac:dyDescent="0.35">
      <c r="A1194" s="7">
        <v>49833</v>
      </c>
      <c r="B1194" s="8" t="s">
        <v>10</v>
      </c>
      <c r="C1194" s="9">
        <v>14.6</v>
      </c>
      <c r="D1194" s="10">
        <v>2.6</v>
      </c>
    </row>
    <row r="1195" spans="1:4" x14ac:dyDescent="0.35">
      <c r="A1195" s="11">
        <v>49834</v>
      </c>
      <c r="B1195" s="12" t="s">
        <v>13</v>
      </c>
      <c r="C1195" s="13">
        <v>23.3</v>
      </c>
      <c r="D1195" s="14">
        <v>8.1</v>
      </c>
    </row>
    <row r="1196" spans="1:4" x14ac:dyDescent="0.35">
      <c r="A1196" s="7">
        <v>49835</v>
      </c>
      <c r="B1196" s="8" t="s">
        <v>13</v>
      </c>
      <c r="C1196" s="9">
        <v>16.2</v>
      </c>
      <c r="D1196" s="10">
        <v>10.4</v>
      </c>
    </row>
    <row r="1197" spans="1:4" x14ac:dyDescent="0.35">
      <c r="A1197" s="11">
        <v>49836</v>
      </c>
      <c r="B1197" s="12" t="s">
        <v>10</v>
      </c>
      <c r="C1197" s="13">
        <v>25.9</v>
      </c>
      <c r="D1197" s="14">
        <v>0</v>
      </c>
    </row>
    <row r="1198" spans="1:4" x14ac:dyDescent="0.35">
      <c r="A1198" s="7">
        <v>49837</v>
      </c>
      <c r="B1198" s="8" t="s">
        <v>5</v>
      </c>
      <c r="C1198" s="9">
        <v>14.6</v>
      </c>
      <c r="D1198" s="10">
        <v>7</v>
      </c>
    </row>
    <row r="1199" spans="1:4" x14ac:dyDescent="0.35">
      <c r="A1199" s="11">
        <v>49838</v>
      </c>
      <c r="B1199" s="12" t="s">
        <v>18</v>
      </c>
      <c r="C1199" s="13">
        <v>15.1</v>
      </c>
      <c r="D1199" s="14">
        <v>11.7</v>
      </c>
    </row>
    <row r="1200" spans="1:4" x14ac:dyDescent="0.35">
      <c r="A1200" s="7">
        <v>49839</v>
      </c>
      <c r="B1200" s="8" t="s">
        <v>19</v>
      </c>
      <c r="C1200" s="9">
        <v>14.1</v>
      </c>
      <c r="D1200" s="10">
        <v>6.5</v>
      </c>
    </row>
    <row r="1201" spans="1:4" x14ac:dyDescent="0.35">
      <c r="A1201" s="11">
        <v>49840</v>
      </c>
      <c r="B1201" s="12" t="s">
        <v>27</v>
      </c>
      <c r="C1201" s="13">
        <v>22.1</v>
      </c>
      <c r="D1201" s="14">
        <v>1.8</v>
      </c>
    </row>
    <row r="1202" spans="1:4" x14ac:dyDescent="0.35">
      <c r="A1202" s="7">
        <v>49841</v>
      </c>
      <c r="B1202" s="8" t="s">
        <v>11</v>
      </c>
      <c r="C1202" s="9">
        <v>27.2</v>
      </c>
      <c r="D1202" s="10">
        <v>21.9</v>
      </c>
    </row>
    <row r="1203" spans="1:4" x14ac:dyDescent="0.35">
      <c r="A1203" s="11">
        <v>49842</v>
      </c>
      <c r="B1203" s="12" t="s">
        <v>6</v>
      </c>
      <c r="C1203" s="13">
        <v>10.8</v>
      </c>
      <c r="D1203" s="14">
        <v>0</v>
      </c>
    </row>
    <row r="1204" spans="1:4" x14ac:dyDescent="0.35">
      <c r="A1204" s="7">
        <v>49843</v>
      </c>
      <c r="B1204" s="8" t="s">
        <v>7</v>
      </c>
      <c r="C1204" s="9">
        <v>24.6</v>
      </c>
      <c r="D1204" s="10">
        <v>0</v>
      </c>
    </row>
    <row r="1205" spans="1:4" x14ac:dyDescent="0.35">
      <c r="A1205" s="11">
        <v>49844</v>
      </c>
      <c r="B1205" s="12" t="s">
        <v>10</v>
      </c>
      <c r="C1205" s="13">
        <v>27.8</v>
      </c>
      <c r="D1205" s="14">
        <v>26.3</v>
      </c>
    </row>
    <row r="1206" spans="1:4" x14ac:dyDescent="0.35">
      <c r="A1206" s="7">
        <v>49845</v>
      </c>
      <c r="B1206" s="8" t="s">
        <v>14</v>
      </c>
      <c r="C1206" s="9">
        <v>12.9</v>
      </c>
      <c r="D1206" s="10">
        <v>2.8</v>
      </c>
    </row>
    <row r="1207" spans="1:4" x14ac:dyDescent="0.35">
      <c r="A1207" s="11">
        <v>49846</v>
      </c>
      <c r="B1207" s="12" t="s">
        <v>13</v>
      </c>
      <c r="C1207" s="13">
        <v>13.9</v>
      </c>
      <c r="D1207" s="14">
        <v>0.6</v>
      </c>
    </row>
    <row r="1208" spans="1:4" x14ac:dyDescent="0.35">
      <c r="A1208" s="7">
        <v>49847</v>
      </c>
      <c r="B1208" s="8" t="s">
        <v>29</v>
      </c>
      <c r="C1208" s="9">
        <v>27.6</v>
      </c>
      <c r="D1208" s="10">
        <v>0.6</v>
      </c>
    </row>
    <row r="1209" spans="1:4" x14ac:dyDescent="0.35">
      <c r="A1209" s="11">
        <v>49848</v>
      </c>
      <c r="B1209" s="12" t="s">
        <v>11</v>
      </c>
      <c r="C1209" s="13">
        <v>18.600000000000001</v>
      </c>
      <c r="D1209" s="14">
        <v>21.5</v>
      </c>
    </row>
    <row r="1210" spans="1:4" x14ac:dyDescent="0.35">
      <c r="A1210" s="7">
        <v>49849</v>
      </c>
      <c r="B1210" s="8" t="s">
        <v>6</v>
      </c>
      <c r="C1210" s="9">
        <v>17.8</v>
      </c>
      <c r="D1210" s="10">
        <v>0</v>
      </c>
    </row>
    <row r="1211" spans="1:4" x14ac:dyDescent="0.35">
      <c r="A1211" s="11">
        <v>49850</v>
      </c>
      <c r="B1211" s="12" t="s">
        <v>15</v>
      </c>
      <c r="C1211" s="13">
        <v>20.8</v>
      </c>
      <c r="D1211" s="14">
        <v>8.5</v>
      </c>
    </row>
    <row r="1212" spans="1:4" x14ac:dyDescent="0.35">
      <c r="A1212" s="7">
        <v>49851</v>
      </c>
      <c r="B1212" s="8" t="s">
        <v>22</v>
      </c>
      <c r="C1212" s="9">
        <v>16.399999999999999</v>
      </c>
      <c r="D1212" s="10">
        <v>6.8</v>
      </c>
    </row>
    <row r="1213" spans="1:4" x14ac:dyDescent="0.35">
      <c r="A1213" s="11">
        <v>49852</v>
      </c>
      <c r="B1213" s="12" t="s">
        <v>27</v>
      </c>
      <c r="C1213" s="13">
        <v>14.6</v>
      </c>
      <c r="D1213" s="14">
        <v>0</v>
      </c>
    </row>
    <row r="1214" spans="1:4" x14ac:dyDescent="0.35">
      <c r="A1214" s="7">
        <v>49853</v>
      </c>
      <c r="B1214" s="8" t="s">
        <v>9</v>
      </c>
      <c r="C1214" s="9">
        <v>27.1</v>
      </c>
      <c r="D1214" s="10">
        <v>1.2</v>
      </c>
    </row>
    <row r="1215" spans="1:4" x14ac:dyDescent="0.35">
      <c r="A1215" s="11">
        <v>49854</v>
      </c>
      <c r="B1215" s="12" t="s">
        <v>10</v>
      </c>
      <c r="C1215" s="13">
        <v>18.3</v>
      </c>
      <c r="D1215" s="14">
        <v>3.7</v>
      </c>
    </row>
    <row r="1216" spans="1:4" x14ac:dyDescent="0.35">
      <c r="A1216" s="7">
        <v>49855</v>
      </c>
      <c r="B1216" s="8" t="s">
        <v>29</v>
      </c>
      <c r="C1216" s="9">
        <v>27.1</v>
      </c>
      <c r="D1216" s="10">
        <v>0.2</v>
      </c>
    </row>
    <row r="1217" spans="1:4" x14ac:dyDescent="0.35">
      <c r="A1217" s="11">
        <v>49856</v>
      </c>
      <c r="B1217" s="12" t="s">
        <v>15</v>
      </c>
      <c r="C1217" s="13">
        <v>12.9</v>
      </c>
      <c r="D1217" s="14">
        <v>10.199999999999999</v>
      </c>
    </row>
    <row r="1218" spans="1:4" x14ac:dyDescent="0.35">
      <c r="A1218" s="7">
        <v>49857</v>
      </c>
      <c r="B1218" s="8" t="s">
        <v>19</v>
      </c>
      <c r="C1218" s="9">
        <v>19.100000000000001</v>
      </c>
      <c r="D1218" s="10">
        <v>19.600000000000001</v>
      </c>
    </row>
    <row r="1219" spans="1:4" x14ac:dyDescent="0.35">
      <c r="A1219" s="11">
        <v>49858</v>
      </c>
      <c r="B1219" s="12" t="s">
        <v>6</v>
      </c>
      <c r="C1219" s="13">
        <v>19.2</v>
      </c>
      <c r="D1219" s="14">
        <v>3.6</v>
      </c>
    </row>
    <row r="1220" spans="1:4" x14ac:dyDescent="0.35">
      <c r="A1220" s="7">
        <v>49859</v>
      </c>
      <c r="B1220" s="8" t="s">
        <v>9</v>
      </c>
      <c r="C1220" s="9">
        <v>25.2</v>
      </c>
      <c r="D1220" s="10">
        <v>0</v>
      </c>
    </row>
    <row r="1221" spans="1:4" x14ac:dyDescent="0.35">
      <c r="A1221" s="11">
        <v>49860</v>
      </c>
      <c r="B1221" s="12" t="s">
        <v>15</v>
      </c>
      <c r="C1221" s="13">
        <v>13.5</v>
      </c>
      <c r="D1221" s="14">
        <v>6.3</v>
      </c>
    </row>
    <row r="1222" spans="1:4" x14ac:dyDescent="0.35">
      <c r="A1222" s="7">
        <v>49861</v>
      </c>
      <c r="B1222" s="8" t="s">
        <v>12</v>
      </c>
      <c r="C1222" s="9">
        <v>19.2</v>
      </c>
      <c r="D1222" s="10">
        <v>7.7</v>
      </c>
    </row>
    <row r="1223" spans="1:4" x14ac:dyDescent="0.35">
      <c r="A1223" s="11">
        <v>49862</v>
      </c>
      <c r="B1223" s="12" t="s">
        <v>14</v>
      </c>
      <c r="C1223" s="13">
        <v>24.1</v>
      </c>
      <c r="D1223" s="14">
        <v>7.8</v>
      </c>
    </row>
    <row r="1224" spans="1:4" x14ac:dyDescent="0.35">
      <c r="A1224" s="7">
        <v>49863</v>
      </c>
      <c r="B1224" s="8" t="s">
        <v>10</v>
      </c>
      <c r="C1224" s="9">
        <v>17.8</v>
      </c>
      <c r="D1224" s="10">
        <v>13.4</v>
      </c>
    </row>
    <row r="1225" spans="1:4" x14ac:dyDescent="0.35">
      <c r="A1225" s="11">
        <v>49864</v>
      </c>
      <c r="B1225" s="12" t="s">
        <v>7</v>
      </c>
      <c r="C1225" s="13">
        <v>24.7</v>
      </c>
      <c r="D1225" s="14">
        <v>21.1</v>
      </c>
    </row>
    <row r="1226" spans="1:4" x14ac:dyDescent="0.35">
      <c r="A1226" s="7">
        <v>49865</v>
      </c>
      <c r="B1226" s="8" t="s">
        <v>20</v>
      </c>
      <c r="C1226" s="9">
        <v>16.8</v>
      </c>
      <c r="D1226" s="10">
        <v>0</v>
      </c>
    </row>
    <row r="1227" spans="1:4" x14ac:dyDescent="0.35">
      <c r="A1227" s="11">
        <v>49866</v>
      </c>
      <c r="B1227" s="12" t="s">
        <v>5</v>
      </c>
      <c r="C1227" s="13">
        <v>10.7</v>
      </c>
      <c r="D1227" s="14">
        <v>3</v>
      </c>
    </row>
    <row r="1228" spans="1:4" x14ac:dyDescent="0.35">
      <c r="A1228" s="7">
        <v>49867</v>
      </c>
      <c r="B1228" s="8" t="s">
        <v>6</v>
      </c>
      <c r="C1228" s="9">
        <v>29.3</v>
      </c>
      <c r="D1228" s="10">
        <v>8.3000000000000007</v>
      </c>
    </row>
    <row r="1229" spans="1:4" x14ac:dyDescent="0.35">
      <c r="A1229" s="11">
        <v>49868</v>
      </c>
      <c r="B1229" s="12" t="s">
        <v>25</v>
      </c>
      <c r="C1229" s="13">
        <v>28.2</v>
      </c>
      <c r="D1229" s="14">
        <v>0</v>
      </c>
    </row>
    <row r="1230" spans="1:4" x14ac:dyDescent="0.35">
      <c r="A1230" s="7">
        <v>49869</v>
      </c>
      <c r="B1230" s="8" t="s">
        <v>10</v>
      </c>
      <c r="C1230" s="9">
        <v>17.3</v>
      </c>
      <c r="D1230" s="10">
        <v>33.6</v>
      </c>
    </row>
    <row r="1231" spans="1:4" x14ac:dyDescent="0.35">
      <c r="A1231" s="11">
        <v>49870</v>
      </c>
      <c r="B1231" s="12" t="s">
        <v>6</v>
      </c>
      <c r="C1231" s="13">
        <v>24.6</v>
      </c>
      <c r="D1231" s="14">
        <v>0</v>
      </c>
    </row>
    <row r="1232" spans="1:4" x14ac:dyDescent="0.35">
      <c r="A1232" s="7">
        <v>49871</v>
      </c>
      <c r="B1232" s="8" t="s">
        <v>12</v>
      </c>
      <c r="C1232" s="9">
        <v>12.6</v>
      </c>
      <c r="D1232" s="10">
        <v>0.6</v>
      </c>
    </row>
    <row r="1233" spans="1:4" x14ac:dyDescent="0.35">
      <c r="A1233" s="11">
        <v>49872</v>
      </c>
      <c r="B1233" s="12" t="s">
        <v>19</v>
      </c>
      <c r="C1233" s="13">
        <v>27.3</v>
      </c>
      <c r="D1233" s="14">
        <v>0</v>
      </c>
    </row>
    <row r="1234" spans="1:4" x14ac:dyDescent="0.35">
      <c r="A1234" s="7">
        <v>49873</v>
      </c>
      <c r="B1234" s="8" t="s">
        <v>8</v>
      </c>
      <c r="C1234" s="9">
        <v>14.4</v>
      </c>
      <c r="D1234" s="10">
        <v>2</v>
      </c>
    </row>
    <row r="1235" spans="1:4" x14ac:dyDescent="0.35">
      <c r="A1235" s="11">
        <v>49874</v>
      </c>
      <c r="B1235" s="12" t="s">
        <v>10</v>
      </c>
      <c r="C1235" s="13">
        <v>11.2</v>
      </c>
      <c r="D1235" s="14">
        <v>32.6</v>
      </c>
    </row>
    <row r="1236" spans="1:4" x14ac:dyDescent="0.35">
      <c r="A1236" s="7">
        <v>49875</v>
      </c>
      <c r="B1236" s="8" t="s">
        <v>19</v>
      </c>
      <c r="C1236" s="9">
        <v>11.4</v>
      </c>
      <c r="D1236" s="10">
        <v>5.5</v>
      </c>
    </row>
    <row r="1237" spans="1:4" x14ac:dyDescent="0.35">
      <c r="A1237" s="11">
        <v>49876</v>
      </c>
      <c r="B1237" s="12" t="s">
        <v>14</v>
      </c>
      <c r="C1237" s="13">
        <v>22.9</v>
      </c>
      <c r="D1237" s="14">
        <v>0</v>
      </c>
    </row>
    <row r="1238" spans="1:4" x14ac:dyDescent="0.35">
      <c r="A1238" s="7">
        <v>49877</v>
      </c>
      <c r="B1238" s="8" t="s">
        <v>7</v>
      </c>
      <c r="C1238" s="9">
        <v>14.3</v>
      </c>
      <c r="D1238" s="10">
        <v>13.2</v>
      </c>
    </row>
    <row r="1239" spans="1:4" x14ac:dyDescent="0.35">
      <c r="A1239" s="11">
        <v>49878</v>
      </c>
      <c r="B1239" s="12" t="s">
        <v>10</v>
      </c>
      <c r="C1239" s="13">
        <v>22.9</v>
      </c>
      <c r="D1239" s="14">
        <v>22.9</v>
      </c>
    </row>
    <row r="1240" spans="1:4" x14ac:dyDescent="0.35">
      <c r="A1240" s="7">
        <v>49879</v>
      </c>
      <c r="B1240" s="8" t="s">
        <v>11</v>
      </c>
      <c r="C1240" s="9">
        <v>11.8</v>
      </c>
      <c r="D1240" s="10">
        <v>0</v>
      </c>
    </row>
    <row r="1241" spans="1:4" x14ac:dyDescent="0.35">
      <c r="A1241" s="11">
        <v>49880</v>
      </c>
      <c r="B1241" s="12" t="s">
        <v>18</v>
      </c>
      <c r="C1241" s="13">
        <v>24.5</v>
      </c>
      <c r="D1241" s="14">
        <v>0</v>
      </c>
    </row>
    <row r="1242" spans="1:4" x14ac:dyDescent="0.35">
      <c r="A1242" s="7">
        <v>49881</v>
      </c>
      <c r="B1242" s="8" t="s">
        <v>15</v>
      </c>
      <c r="C1242" s="9">
        <v>25.5</v>
      </c>
      <c r="D1242" s="10">
        <v>19.3</v>
      </c>
    </row>
    <row r="1243" spans="1:4" x14ac:dyDescent="0.35">
      <c r="A1243" s="11">
        <v>49882</v>
      </c>
      <c r="B1243" s="12" t="s">
        <v>19</v>
      </c>
      <c r="C1243" s="13">
        <v>14.7</v>
      </c>
      <c r="D1243" s="14">
        <v>18.3</v>
      </c>
    </row>
    <row r="1244" spans="1:4" x14ac:dyDescent="0.35">
      <c r="A1244" s="7">
        <v>49883</v>
      </c>
      <c r="B1244" s="8" t="s">
        <v>15</v>
      </c>
      <c r="C1244" s="9">
        <v>28.7</v>
      </c>
      <c r="D1244" s="10">
        <v>0</v>
      </c>
    </row>
    <row r="1245" spans="1:4" x14ac:dyDescent="0.35">
      <c r="A1245" s="11">
        <v>49884</v>
      </c>
      <c r="B1245" s="12" t="s">
        <v>10</v>
      </c>
      <c r="C1245" s="13">
        <v>16.7</v>
      </c>
      <c r="D1245" s="14">
        <v>0</v>
      </c>
    </row>
    <row r="1246" spans="1:4" x14ac:dyDescent="0.35">
      <c r="A1246" s="7">
        <v>49885</v>
      </c>
      <c r="B1246" s="8" t="s">
        <v>15</v>
      </c>
      <c r="C1246" s="9">
        <v>17.399999999999999</v>
      </c>
      <c r="D1246" s="10">
        <v>13.7</v>
      </c>
    </row>
    <row r="1247" spans="1:4" x14ac:dyDescent="0.35">
      <c r="A1247" s="11">
        <v>49886</v>
      </c>
      <c r="B1247" s="12" t="s">
        <v>10</v>
      </c>
      <c r="C1247" s="13">
        <v>15.6</v>
      </c>
      <c r="D1247" s="14">
        <v>0</v>
      </c>
    </row>
    <row r="1248" spans="1:4" x14ac:dyDescent="0.35">
      <c r="A1248" s="7">
        <v>49887</v>
      </c>
      <c r="B1248" s="8" t="s">
        <v>19</v>
      </c>
      <c r="C1248" s="9">
        <v>21.7</v>
      </c>
      <c r="D1248" s="10">
        <v>0</v>
      </c>
    </row>
    <row r="1249" spans="1:4" x14ac:dyDescent="0.35">
      <c r="A1249" s="11">
        <v>49888</v>
      </c>
      <c r="B1249" s="12" t="s">
        <v>7</v>
      </c>
      <c r="C1249" s="13">
        <v>26</v>
      </c>
      <c r="D1249" s="14">
        <v>0</v>
      </c>
    </row>
    <row r="1250" spans="1:4" x14ac:dyDescent="0.35">
      <c r="A1250" s="7">
        <v>49889</v>
      </c>
      <c r="B1250" s="8" t="s">
        <v>22</v>
      </c>
      <c r="C1250" s="9">
        <v>24.5</v>
      </c>
      <c r="D1250" s="10">
        <v>9</v>
      </c>
    </row>
    <row r="1251" spans="1:4" x14ac:dyDescent="0.35">
      <c r="A1251" s="11">
        <v>49890</v>
      </c>
      <c r="B1251" s="12" t="s">
        <v>17</v>
      </c>
      <c r="C1251" s="13">
        <v>23.2</v>
      </c>
      <c r="D1251" s="14">
        <v>0</v>
      </c>
    </row>
    <row r="1252" spans="1:4" x14ac:dyDescent="0.35">
      <c r="A1252" s="7">
        <v>49891</v>
      </c>
      <c r="B1252" s="8" t="s">
        <v>24</v>
      </c>
      <c r="C1252" s="9">
        <v>17.600000000000001</v>
      </c>
      <c r="D1252" s="10">
        <v>0.8</v>
      </c>
    </row>
    <row r="1253" spans="1:4" x14ac:dyDescent="0.35">
      <c r="A1253" s="11">
        <v>49892</v>
      </c>
      <c r="B1253" s="12" t="s">
        <v>7</v>
      </c>
      <c r="C1253" s="13">
        <v>13.9</v>
      </c>
      <c r="D1253" s="14">
        <v>8.8000000000000007</v>
      </c>
    </row>
    <row r="1254" spans="1:4" x14ac:dyDescent="0.35">
      <c r="A1254" s="7">
        <v>49893</v>
      </c>
      <c r="B1254" s="8" t="s">
        <v>27</v>
      </c>
      <c r="C1254" s="9">
        <v>20.7</v>
      </c>
      <c r="D1254" s="10">
        <v>4.3</v>
      </c>
    </row>
    <row r="1255" spans="1:4" x14ac:dyDescent="0.35">
      <c r="A1255" s="11">
        <v>49894</v>
      </c>
      <c r="B1255" s="12" t="s">
        <v>5</v>
      </c>
      <c r="C1255" s="13">
        <v>10.1</v>
      </c>
      <c r="D1255" s="14">
        <v>1.7</v>
      </c>
    </row>
    <row r="1256" spans="1:4" x14ac:dyDescent="0.35">
      <c r="A1256" s="7">
        <v>49895</v>
      </c>
      <c r="B1256" s="8" t="s">
        <v>7</v>
      </c>
      <c r="C1256" s="9">
        <v>26.2</v>
      </c>
      <c r="D1256" s="10">
        <v>22.7</v>
      </c>
    </row>
    <row r="1257" spans="1:4" x14ac:dyDescent="0.35">
      <c r="A1257" s="11">
        <v>49896</v>
      </c>
      <c r="B1257" s="12" t="s">
        <v>19</v>
      </c>
      <c r="C1257" s="13">
        <v>27.6</v>
      </c>
      <c r="D1257" s="14">
        <v>13.8</v>
      </c>
    </row>
    <row r="1258" spans="1:4" x14ac:dyDescent="0.35">
      <c r="A1258" s="7">
        <v>49897</v>
      </c>
      <c r="B1258" s="8" t="s">
        <v>6</v>
      </c>
      <c r="C1258" s="9">
        <v>20.6</v>
      </c>
      <c r="D1258" s="10">
        <v>4.7</v>
      </c>
    </row>
    <row r="1259" spans="1:4" x14ac:dyDescent="0.35">
      <c r="A1259" s="11">
        <v>49898</v>
      </c>
      <c r="B1259" s="12" t="s">
        <v>9</v>
      </c>
      <c r="C1259" s="13">
        <v>21.4</v>
      </c>
      <c r="D1259" s="14">
        <v>5</v>
      </c>
    </row>
    <row r="1260" spans="1:4" x14ac:dyDescent="0.35">
      <c r="A1260" s="7">
        <v>49899</v>
      </c>
      <c r="B1260" s="8" t="s">
        <v>6</v>
      </c>
      <c r="C1260" s="9">
        <v>17.100000000000001</v>
      </c>
      <c r="D1260" s="10">
        <v>0</v>
      </c>
    </row>
    <row r="1261" spans="1:4" x14ac:dyDescent="0.35">
      <c r="A1261" s="11">
        <v>49900</v>
      </c>
      <c r="B1261" s="12" t="s">
        <v>10</v>
      </c>
      <c r="C1261" s="13">
        <v>19.5</v>
      </c>
      <c r="D1261" s="14">
        <v>20.5</v>
      </c>
    </row>
    <row r="1262" spans="1:4" x14ac:dyDescent="0.35">
      <c r="A1262" s="7">
        <v>49901</v>
      </c>
      <c r="B1262" s="8" t="s">
        <v>13</v>
      </c>
      <c r="C1262" s="9">
        <v>15.9</v>
      </c>
      <c r="D1262" s="10">
        <v>0</v>
      </c>
    </row>
    <row r="1263" spans="1:4" x14ac:dyDescent="0.35">
      <c r="A1263" s="11">
        <v>49902</v>
      </c>
      <c r="B1263" s="12" t="s">
        <v>10</v>
      </c>
      <c r="C1263" s="13">
        <v>21.1</v>
      </c>
      <c r="D1263" s="14">
        <v>46.8</v>
      </c>
    </row>
    <row r="1264" spans="1:4" x14ac:dyDescent="0.35">
      <c r="A1264" s="7">
        <v>49903</v>
      </c>
      <c r="B1264" s="8" t="s">
        <v>19</v>
      </c>
      <c r="C1264" s="9">
        <v>20.2</v>
      </c>
      <c r="D1264" s="10">
        <v>36.6</v>
      </c>
    </row>
    <row r="1265" spans="1:4" x14ac:dyDescent="0.35">
      <c r="A1265" s="11">
        <v>49904</v>
      </c>
      <c r="B1265" s="12" t="s">
        <v>12</v>
      </c>
      <c r="C1265" s="13">
        <v>25</v>
      </c>
      <c r="D1265" s="14">
        <v>7.8</v>
      </c>
    </row>
    <row r="1266" spans="1:4" x14ac:dyDescent="0.35">
      <c r="A1266" s="7">
        <v>49905</v>
      </c>
      <c r="B1266" s="8" t="s">
        <v>10</v>
      </c>
      <c r="C1266" s="9">
        <v>22.1</v>
      </c>
      <c r="D1266" s="10">
        <v>8.8000000000000007</v>
      </c>
    </row>
    <row r="1267" spans="1:4" x14ac:dyDescent="0.35">
      <c r="A1267" s="11">
        <v>49906</v>
      </c>
      <c r="B1267" s="12" t="s">
        <v>33</v>
      </c>
      <c r="C1267" s="13">
        <v>28.9</v>
      </c>
      <c r="D1267" s="14">
        <v>0.5</v>
      </c>
    </row>
    <row r="1268" spans="1:4" x14ac:dyDescent="0.35">
      <c r="A1268" s="7">
        <v>49907</v>
      </c>
      <c r="B1268" s="8" t="s">
        <v>11</v>
      </c>
      <c r="C1268" s="9">
        <v>19.600000000000001</v>
      </c>
      <c r="D1268" s="10">
        <v>0</v>
      </c>
    </row>
    <row r="1269" spans="1:4" x14ac:dyDescent="0.35">
      <c r="A1269" s="11">
        <v>49908</v>
      </c>
      <c r="B1269" s="12" t="s">
        <v>7</v>
      </c>
      <c r="C1269" s="13">
        <v>18</v>
      </c>
      <c r="D1269" s="14">
        <v>13.2</v>
      </c>
    </row>
    <row r="1270" spans="1:4" x14ac:dyDescent="0.35">
      <c r="A1270" s="7">
        <v>49909</v>
      </c>
      <c r="B1270" s="8" t="s">
        <v>12</v>
      </c>
      <c r="C1270" s="9">
        <v>28.3</v>
      </c>
      <c r="D1270" s="10">
        <v>0</v>
      </c>
    </row>
    <row r="1271" spans="1:4" x14ac:dyDescent="0.35">
      <c r="A1271" s="11">
        <v>49910</v>
      </c>
      <c r="B1271" s="12" t="s">
        <v>6</v>
      </c>
      <c r="C1271" s="13">
        <v>25.2</v>
      </c>
      <c r="D1271" s="14">
        <v>0</v>
      </c>
    </row>
    <row r="1272" spans="1:4" x14ac:dyDescent="0.35">
      <c r="A1272" s="7">
        <v>49911</v>
      </c>
      <c r="B1272" s="8" t="s">
        <v>10</v>
      </c>
      <c r="C1272" s="9">
        <v>22.5</v>
      </c>
      <c r="D1272" s="10">
        <v>0</v>
      </c>
    </row>
    <row r="1273" spans="1:4" x14ac:dyDescent="0.35">
      <c r="A1273" s="11">
        <v>49912</v>
      </c>
      <c r="B1273" s="12" t="s">
        <v>13</v>
      </c>
      <c r="C1273" s="13">
        <v>19.899999999999999</v>
      </c>
      <c r="D1273" s="14">
        <v>6.7</v>
      </c>
    </row>
    <row r="1274" spans="1:4" x14ac:dyDescent="0.35">
      <c r="A1274" s="7">
        <v>49913</v>
      </c>
      <c r="B1274" s="8" t="s">
        <v>11</v>
      </c>
      <c r="C1274" s="9">
        <v>10.8</v>
      </c>
      <c r="D1274" s="10">
        <v>19.600000000000001</v>
      </c>
    </row>
    <row r="1275" spans="1:4" x14ac:dyDescent="0.35">
      <c r="A1275" s="11">
        <v>49914</v>
      </c>
      <c r="B1275" s="12" t="s">
        <v>19</v>
      </c>
      <c r="C1275" s="13">
        <v>18.399999999999999</v>
      </c>
      <c r="D1275" s="14">
        <v>0.6</v>
      </c>
    </row>
    <row r="1276" spans="1:4" x14ac:dyDescent="0.35">
      <c r="A1276" s="7">
        <v>49915</v>
      </c>
      <c r="B1276" s="8" t="s">
        <v>26</v>
      </c>
      <c r="C1276" s="9">
        <v>27.6</v>
      </c>
      <c r="D1276" s="10">
        <v>3.7</v>
      </c>
    </row>
    <row r="1277" spans="1:4" x14ac:dyDescent="0.35">
      <c r="A1277" s="11">
        <v>49916</v>
      </c>
      <c r="B1277" s="12" t="s">
        <v>26</v>
      </c>
      <c r="C1277" s="13">
        <v>11.3</v>
      </c>
      <c r="D1277" s="14">
        <v>1.9</v>
      </c>
    </row>
    <row r="1278" spans="1:4" x14ac:dyDescent="0.35">
      <c r="A1278" s="7">
        <v>49917</v>
      </c>
      <c r="B1278" s="8" t="s">
        <v>26</v>
      </c>
      <c r="C1278" s="9">
        <v>28.7</v>
      </c>
      <c r="D1278" s="10">
        <v>0</v>
      </c>
    </row>
    <row r="1279" spans="1:4" x14ac:dyDescent="0.35">
      <c r="A1279" s="11">
        <v>49918</v>
      </c>
      <c r="B1279" s="12" t="s">
        <v>21</v>
      </c>
      <c r="C1279" s="13">
        <v>15</v>
      </c>
      <c r="D1279" s="14">
        <v>1.7</v>
      </c>
    </row>
    <row r="1280" spans="1:4" x14ac:dyDescent="0.35">
      <c r="A1280" s="7">
        <v>49919</v>
      </c>
      <c r="B1280" s="8" t="s">
        <v>7</v>
      </c>
      <c r="C1280" s="9">
        <v>15.1</v>
      </c>
      <c r="D1280" s="10">
        <v>13.5</v>
      </c>
    </row>
    <row r="1281" spans="1:4" x14ac:dyDescent="0.35">
      <c r="A1281" s="11">
        <v>49920</v>
      </c>
      <c r="B1281" s="12" t="s">
        <v>19</v>
      </c>
      <c r="C1281" s="13">
        <v>19.399999999999999</v>
      </c>
      <c r="D1281" s="14">
        <v>29.6</v>
      </c>
    </row>
    <row r="1282" spans="1:4" x14ac:dyDescent="0.35">
      <c r="A1282" s="7">
        <v>49921</v>
      </c>
      <c r="B1282" s="8" t="s">
        <v>7</v>
      </c>
      <c r="C1282" s="9">
        <v>21.9</v>
      </c>
      <c r="D1282" s="10">
        <v>1.6</v>
      </c>
    </row>
    <row r="1283" spans="1:4" x14ac:dyDescent="0.35">
      <c r="A1283" s="11">
        <v>49922</v>
      </c>
      <c r="B1283" s="12" t="s">
        <v>18</v>
      </c>
      <c r="C1283" s="13">
        <v>19.399999999999999</v>
      </c>
      <c r="D1283" s="14">
        <v>9.8000000000000007</v>
      </c>
    </row>
    <row r="1284" spans="1:4" x14ac:dyDescent="0.35">
      <c r="A1284" s="7">
        <v>49923</v>
      </c>
      <c r="B1284" s="8" t="s">
        <v>7</v>
      </c>
      <c r="C1284" s="9">
        <v>21.8</v>
      </c>
      <c r="D1284" s="10">
        <v>18.5</v>
      </c>
    </row>
    <row r="1285" spans="1:4" x14ac:dyDescent="0.35">
      <c r="A1285" s="11">
        <v>49924</v>
      </c>
      <c r="B1285" s="12" t="s">
        <v>17</v>
      </c>
      <c r="C1285" s="13">
        <v>29.3</v>
      </c>
      <c r="D1285" s="14">
        <v>2.8</v>
      </c>
    </row>
    <row r="1286" spans="1:4" x14ac:dyDescent="0.35">
      <c r="A1286" s="7">
        <v>49925</v>
      </c>
      <c r="B1286" s="8" t="s">
        <v>19</v>
      </c>
      <c r="C1286" s="9">
        <v>14.4</v>
      </c>
      <c r="D1286" s="10">
        <v>0</v>
      </c>
    </row>
    <row r="1287" spans="1:4" x14ac:dyDescent="0.35">
      <c r="A1287" s="11">
        <v>49926</v>
      </c>
      <c r="B1287" s="12" t="s">
        <v>10</v>
      </c>
      <c r="C1287" s="13">
        <v>14.5</v>
      </c>
      <c r="D1287" s="14">
        <v>0</v>
      </c>
    </row>
    <row r="1288" spans="1:4" x14ac:dyDescent="0.35">
      <c r="A1288" s="7">
        <v>49927</v>
      </c>
      <c r="B1288" s="8" t="s">
        <v>15</v>
      </c>
      <c r="C1288" s="9">
        <v>18.399999999999999</v>
      </c>
      <c r="D1288" s="10">
        <v>10.1</v>
      </c>
    </row>
    <row r="1289" spans="1:4" x14ac:dyDescent="0.35">
      <c r="A1289" s="11">
        <v>49928</v>
      </c>
      <c r="B1289" s="12" t="s">
        <v>18</v>
      </c>
      <c r="C1289" s="13">
        <v>29.8</v>
      </c>
      <c r="D1289" s="14">
        <v>0</v>
      </c>
    </row>
    <row r="1290" spans="1:4" x14ac:dyDescent="0.35">
      <c r="A1290" s="7">
        <v>49929</v>
      </c>
      <c r="B1290" s="8" t="s">
        <v>7</v>
      </c>
      <c r="C1290" s="9">
        <v>27.3</v>
      </c>
      <c r="D1290" s="10">
        <v>18.600000000000001</v>
      </c>
    </row>
    <row r="1291" spans="1:4" x14ac:dyDescent="0.35">
      <c r="A1291" s="11">
        <v>49930</v>
      </c>
      <c r="B1291" s="12" t="s">
        <v>9</v>
      </c>
      <c r="C1291" s="13">
        <v>22.7</v>
      </c>
      <c r="D1291" s="14">
        <v>0</v>
      </c>
    </row>
    <row r="1292" spans="1:4" x14ac:dyDescent="0.35">
      <c r="A1292" s="7">
        <v>49931</v>
      </c>
      <c r="B1292" s="8" t="s">
        <v>10</v>
      </c>
      <c r="C1292" s="9">
        <v>27.3</v>
      </c>
      <c r="D1292" s="10">
        <v>18.399999999999999</v>
      </c>
    </row>
    <row r="1293" spans="1:4" x14ac:dyDescent="0.35">
      <c r="A1293" s="11">
        <v>49932</v>
      </c>
      <c r="B1293" s="12" t="s">
        <v>18</v>
      </c>
      <c r="C1293" s="13">
        <v>12.9</v>
      </c>
      <c r="D1293" s="14">
        <v>0</v>
      </c>
    </row>
    <row r="1294" spans="1:4" x14ac:dyDescent="0.35">
      <c r="A1294" s="7">
        <v>49933</v>
      </c>
      <c r="B1294" s="8" t="s">
        <v>19</v>
      </c>
      <c r="C1294" s="9">
        <v>24.3</v>
      </c>
      <c r="D1294" s="10">
        <v>1.9</v>
      </c>
    </row>
    <row r="1295" spans="1:4" x14ac:dyDescent="0.35">
      <c r="A1295" s="11">
        <v>49934</v>
      </c>
      <c r="B1295" s="12" t="s">
        <v>18</v>
      </c>
      <c r="C1295" s="13">
        <v>20.6</v>
      </c>
      <c r="D1295" s="14">
        <v>14.6</v>
      </c>
    </row>
    <row r="1296" spans="1:4" x14ac:dyDescent="0.35">
      <c r="A1296" s="7">
        <v>49935</v>
      </c>
      <c r="B1296" s="8" t="s">
        <v>5</v>
      </c>
      <c r="C1296" s="9">
        <v>24.2</v>
      </c>
      <c r="D1296" s="10">
        <v>0</v>
      </c>
    </row>
    <row r="1297" spans="1:4" x14ac:dyDescent="0.35">
      <c r="A1297" s="11">
        <v>49936</v>
      </c>
      <c r="B1297" s="12" t="s">
        <v>10</v>
      </c>
      <c r="C1297" s="13">
        <v>15.2</v>
      </c>
      <c r="D1297" s="14">
        <v>0</v>
      </c>
    </row>
    <row r="1298" spans="1:4" x14ac:dyDescent="0.35">
      <c r="A1298" s="7">
        <v>49937</v>
      </c>
      <c r="B1298" s="8" t="s">
        <v>25</v>
      </c>
      <c r="C1298" s="9">
        <v>27.3</v>
      </c>
      <c r="D1298" s="10">
        <v>2.5</v>
      </c>
    </row>
    <row r="1299" spans="1:4" x14ac:dyDescent="0.35">
      <c r="A1299" s="11">
        <v>49938</v>
      </c>
      <c r="B1299" s="12" t="s">
        <v>25</v>
      </c>
      <c r="C1299" s="13">
        <v>28</v>
      </c>
      <c r="D1299" s="14">
        <v>0</v>
      </c>
    </row>
    <row r="1300" spans="1:4" x14ac:dyDescent="0.35">
      <c r="A1300" s="7">
        <v>49939</v>
      </c>
      <c r="B1300" s="8" t="s">
        <v>31</v>
      </c>
      <c r="C1300" s="9">
        <v>16.100000000000001</v>
      </c>
      <c r="D1300" s="10">
        <v>0</v>
      </c>
    </row>
    <row r="1301" spans="1:4" x14ac:dyDescent="0.35">
      <c r="A1301" s="11">
        <v>49940</v>
      </c>
      <c r="B1301" s="12" t="s">
        <v>19</v>
      </c>
      <c r="C1301" s="13">
        <v>18.8</v>
      </c>
      <c r="D1301" s="14">
        <v>16.899999999999999</v>
      </c>
    </row>
    <row r="1302" spans="1:4" x14ac:dyDescent="0.35">
      <c r="A1302" s="7">
        <v>49941</v>
      </c>
      <c r="B1302" s="8" t="s">
        <v>10</v>
      </c>
      <c r="C1302" s="9">
        <v>13.2</v>
      </c>
      <c r="D1302" s="10">
        <v>10.4</v>
      </c>
    </row>
    <row r="1303" spans="1:4" x14ac:dyDescent="0.35">
      <c r="A1303" s="11">
        <v>49942</v>
      </c>
      <c r="B1303" s="12" t="s">
        <v>5</v>
      </c>
      <c r="C1303" s="13">
        <v>17.899999999999999</v>
      </c>
      <c r="D1303" s="14">
        <v>3.5</v>
      </c>
    </row>
    <row r="1304" spans="1:4" x14ac:dyDescent="0.35">
      <c r="A1304" s="7">
        <v>49943</v>
      </c>
      <c r="B1304" s="8" t="s">
        <v>7</v>
      </c>
      <c r="C1304" s="9">
        <v>18.3</v>
      </c>
      <c r="D1304" s="10">
        <v>16.7</v>
      </c>
    </row>
    <row r="1305" spans="1:4" x14ac:dyDescent="0.35">
      <c r="A1305" s="11">
        <v>49944</v>
      </c>
      <c r="B1305" s="12" t="s">
        <v>17</v>
      </c>
      <c r="C1305" s="13">
        <v>25.7</v>
      </c>
      <c r="D1305" s="14">
        <v>2</v>
      </c>
    </row>
    <row r="1306" spans="1:4" x14ac:dyDescent="0.35">
      <c r="A1306" s="7">
        <v>49945</v>
      </c>
      <c r="B1306" s="8" t="s">
        <v>10</v>
      </c>
      <c r="C1306" s="9">
        <v>29.2</v>
      </c>
      <c r="D1306" s="10">
        <v>31.5</v>
      </c>
    </row>
    <row r="1307" spans="1:4" x14ac:dyDescent="0.35">
      <c r="A1307" s="11">
        <v>49946</v>
      </c>
      <c r="B1307" s="12" t="s">
        <v>7</v>
      </c>
      <c r="C1307" s="13">
        <v>21.5</v>
      </c>
      <c r="D1307" s="14">
        <v>0</v>
      </c>
    </row>
    <row r="1308" spans="1:4" x14ac:dyDescent="0.35">
      <c r="A1308" s="7">
        <v>49947</v>
      </c>
      <c r="B1308" s="8" t="s">
        <v>11</v>
      </c>
      <c r="C1308" s="9">
        <v>29.5</v>
      </c>
      <c r="D1308" s="10">
        <v>12.2</v>
      </c>
    </row>
    <row r="1309" spans="1:4" x14ac:dyDescent="0.35">
      <c r="A1309" s="11">
        <v>49948</v>
      </c>
      <c r="B1309" s="12" t="s">
        <v>7</v>
      </c>
      <c r="C1309" s="13">
        <v>17.7</v>
      </c>
      <c r="D1309" s="14">
        <v>10.1</v>
      </c>
    </row>
    <row r="1310" spans="1:4" x14ac:dyDescent="0.35">
      <c r="A1310" s="7">
        <v>49949</v>
      </c>
      <c r="B1310" s="8" t="s">
        <v>19</v>
      </c>
      <c r="C1310" s="9">
        <v>26.7</v>
      </c>
      <c r="D1310" s="10">
        <v>1.2</v>
      </c>
    </row>
    <row r="1311" spans="1:4" x14ac:dyDescent="0.35">
      <c r="A1311" s="11">
        <v>49950</v>
      </c>
      <c r="B1311" s="12" t="s">
        <v>10</v>
      </c>
      <c r="C1311" s="13">
        <v>13.3</v>
      </c>
      <c r="D1311" s="14">
        <v>0.5</v>
      </c>
    </row>
    <row r="1312" spans="1:4" x14ac:dyDescent="0.35">
      <c r="A1312" s="7">
        <v>49951</v>
      </c>
      <c r="B1312" s="8" t="s">
        <v>7</v>
      </c>
      <c r="C1312" s="9">
        <v>13.4</v>
      </c>
      <c r="D1312" s="10">
        <v>23.4</v>
      </c>
    </row>
    <row r="1313" spans="1:4" x14ac:dyDescent="0.35">
      <c r="A1313" s="11">
        <v>49952</v>
      </c>
      <c r="B1313" s="12" t="s">
        <v>11</v>
      </c>
      <c r="C1313" s="13">
        <v>22.1</v>
      </c>
      <c r="D1313" s="14">
        <v>17.7</v>
      </c>
    </row>
    <row r="1314" spans="1:4" x14ac:dyDescent="0.35">
      <c r="A1314" s="7">
        <v>49953</v>
      </c>
      <c r="B1314" s="8" t="s">
        <v>22</v>
      </c>
      <c r="C1314" s="9">
        <v>11.4</v>
      </c>
      <c r="D1314" s="10">
        <v>0</v>
      </c>
    </row>
    <row r="1315" spans="1:4" x14ac:dyDescent="0.35">
      <c r="A1315" s="11">
        <v>49954</v>
      </c>
      <c r="B1315" s="12" t="s">
        <v>15</v>
      </c>
      <c r="C1315" s="13">
        <v>26</v>
      </c>
      <c r="D1315" s="14">
        <v>4.9000000000000004</v>
      </c>
    </row>
    <row r="1316" spans="1:4" x14ac:dyDescent="0.35">
      <c r="A1316" s="7">
        <v>49955</v>
      </c>
      <c r="B1316" s="8" t="s">
        <v>15</v>
      </c>
      <c r="C1316" s="9">
        <v>27.8</v>
      </c>
      <c r="D1316" s="10">
        <v>6.7</v>
      </c>
    </row>
    <row r="1317" spans="1:4" x14ac:dyDescent="0.35">
      <c r="A1317" s="11">
        <v>49956</v>
      </c>
      <c r="B1317" s="12" t="s">
        <v>7</v>
      </c>
      <c r="C1317" s="13">
        <v>29.3</v>
      </c>
      <c r="D1317" s="14">
        <v>1.7</v>
      </c>
    </row>
    <row r="1318" spans="1:4" x14ac:dyDescent="0.35">
      <c r="A1318" s="7">
        <v>49957</v>
      </c>
      <c r="B1318" s="8" t="s">
        <v>23</v>
      </c>
      <c r="C1318" s="9">
        <v>24.7</v>
      </c>
      <c r="D1318" s="10">
        <v>2.5</v>
      </c>
    </row>
    <row r="1319" spans="1:4" x14ac:dyDescent="0.35">
      <c r="A1319" s="11">
        <v>49958</v>
      </c>
      <c r="B1319" s="12" t="s">
        <v>4</v>
      </c>
      <c r="C1319" s="13">
        <v>16.600000000000001</v>
      </c>
      <c r="D1319" s="14">
        <v>0.1</v>
      </c>
    </row>
    <row r="1320" spans="1:4" x14ac:dyDescent="0.35">
      <c r="A1320" s="7">
        <v>49959</v>
      </c>
      <c r="B1320" s="8" t="s">
        <v>18</v>
      </c>
      <c r="C1320" s="9">
        <v>27.5</v>
      </c>
      <c r="D1320" s="10">
        <v>0</v>
      </c>
    </row>
    <row r="1321" spans="1:4" x14ac:dyDescent="0.35">
      <c r="A1321" s="11">
        <v>49960</v>
      </c>
      <c r="B1321" s="12" t="s">
        <v>15</v>
      </c>
      <c r="C1321" s="13">
        <v>22.7</v>
      </c>
      <c r="D1321" s="14">
        <v>0</v>
      </c>
    </row>
    <row r="1322" spans="1:4" x14ac:dyDescent="0.35">
      <c r="A1322" s="7">
        <v>49961</v>
      </c>
      <c r="B1322" s="8" t="s">
        <v>12</v>
      </c>
      <c r="C1322" s="9">
        <v>20.100000000000001</v>
      </c>
      <c r="D1322" s="10">
        <v>10.5</v>
      </c>
    </row>
    <row r="1323" spans="1:4" x14ac:dyDescent="0.35">
      <c r="A1323" s="11">
        <v>49962</v>
      </c>
      <c r="B1323" s="12" t="s">
        <v>7</v>
      </c>
      <c r="C1323" s="13">
        <v>16.100000000000001</v>
      </c>
      <c r="D1323" s="14">
        <v>8.1</v>
      </c>
    </row>
    <row r="1324" spans="1:4" x14ac:dyDescent="0.35">
      <c r="A1324" s="7">
        <v>49963</v>
      </c>
      <c r="B1324" s="8" t="s">
        <v>7</v>
      </c>
      <c r="C1324" s="9">
        <v>13.9</v>
      </c>
      <c r="D1324" s="10">
        <v>0</v>
      </c>
    </row>
    <row r="1325" spans="1:4" x14ac:dyDescent="0.35">
      <c r="A1325" s="11">
        <v>49964</v>
      </c>
      <c r="B1325" s="12" t="s">
        <v>12</v>
      </c>
      <c r="C1325" s="13">
        <v>22.3</v>
      </c>
      <c r="D1325" s="14">
        <v>0</v>
      </c>
    </row>
    <row r="1326" spans="1:4" x14ac:dyDescent="0.35">
      <c r="A1326" s="7">
        <v>49965</v>
      </c>
      <c r="B1326" s="8" t="s">
        <v>26</v>
      </c>
      <c r="C1326" s="9">
        <v>13</v>
      </c>
      <c r="D1326" s="10">
        <v>0</v>
      </c>
    </row>
    <row r="1327" spans="1:4" x14ac:dyDescent="0.35">
      <c r="A1327" s="11">
        <v>49966</v>
      </c>
      <c r="B1327" s="12" t="s">
        <v>11</v>
      </c>
      <c r="C1327" s="13">
        <v>16.2</v>
      </c>
      <c r="D1327" s="14">
        <v>0</v>
      </c>
    </row>
    <row r="1328" spans="1:4" x14ac:dyDescent="0.35">
      <c r="A1328" s="7">
        <v>49967</v>
      </c>
      <c r="B1328" s="8" t="s">
        <v>14</v>
      </c>
      <c r="C1328" s="9">
        <v>24.8</v>
      </c>
      <c r="D1328" s="10">
        <v>0</v>
      </c>
    </row>
    <row r="1329" spans="1:4" x14ac:dyDescent="0.35">
      <c r="A1329" s="11">
        <v>49968</v>
      </c>
      <c r="B1329" s="12" t="s">
        <v>13</v>
      </c>
      <c r="C1329" s="13">
        <v>29.7</v>
      </c>
      <c r="D1329" s="14">
        <v>0</v>
      </c>
    </row>
    <row r="1330" spans="1:4" x14ac:dyDescent="0.35">
      <c r="A1330" s="7">
        <v>49969</v>
      </c>
      <c r="B1330" s="8" t="s">
        <v>10</v>
      </c>
      <c r="C1330" s="9">
        <v>17.600000000000001</v>
      </c>
      <c r="D1330" s="10">
        <v>14.7</v>
      </c>
    </row>
    <row r="1331" spans="1:4" x14ac:dyDescent="0.35">
      <c r="A1331" s="11">
        <v>49970</v>
      </c>
      <c r="B1331" s="12" t="s">
        <v>10</v>
      </c>
      <c r="C1331" s="13">
        <v>10.4</v>
      </c>
      <c r="D1331" s="14">
        <v>27.7</v>
      </c>
    </row>
    <row r="1332" spans="1:4" x14ac:dyDescent="0.35">
      <c r="A1332" s="7">
        <v>49971</v>
      </c>
      <c r="B1332" s="8" t="s">
        <v>15</v>
      </c>
      <c r="C1332" s="9">
        <v>17</v>
      </c>
      <c r="D1332" s="10">
        <v>1.1000000000000001</v>
      </c>
    </row>
    <row r="1333" spans="1:4" x14ac:dyDescent="0.35">
      <c r="A1333" s="11">
        <v>49972</v>
      </c>
      <c r="B1333" s="12" t="s">
        <v>18</v>
      </c>
      <c r="C1333" s="13">
        <v>15.7</v>
      </c>
      <c r="D1333" s="14">
        <v>5.9</v>
      </c>
    </row>
    <row r="1334" spans="1:4" x14ac:dyDescent="0.35">
      <c r="A1334" s="7">
        <v>49973</v>
      </c>
      <c r="B1334" s="8" t="s">
        <v>19</v>
      </c>
      <c r="C1334" s="9">
        <v>23.8</v>
      </c>
      <c r="D1334" s="10">
        <v>4.3</v>
      </c>
    </row>
    <row r="1335" spans="1:4" x14ac:dyDescent="0.35">
      <c r="A1335" s="11">
        <v>49974</v>
      </c>
      <c r="B1335" s="12" t="s">
        <v>11</v>
      </c>
      <c r="C1335" s="13">
        <v>16.2</v>
      </c>
      <c r="D1335" s="14">
        <v>8.6999999999999993</v>
      </c>
    </row>
    <row r="1336" spans="1:4" x14ac:dyDescent="0.35">
      <c r="A1336" s="7">
        <v>49975</v>
      </c>
      <c r="B1336" s="8" t="s">
        <v>5</v>
      </c>
      <c r="C1336" s="9">
        <v>23.3</v>
      </c>
      <c r="D1336" s="10">
        <v>5.8</v>
      </c>
    </row>
    <row r="1337" spans="1:4" x14ac:dyDescent="0.35">
      <c r="A1337" s="11">
        <v>49976</v>
      </c>
      <c r="B1337" s="12" t="s">
        <v>7</v>
      </c>
      <c r="C1337" s="13">
        <v>18.7</v>
      </c>
      <c r="D1337" s="14">
        <v>1.1000000000000001</v>
      </c>
    </row>
    <row r="1338" spans="1:4" x14ac:dyDescent="0.35">
      <c r="A1338" s="7">
        <v>49977</v>
      </c>
      <c r="B1338" s="8" t="s">
        <v>17</v>
      </c>
      <c r="C1338" s="9">
        <v>27.9</v>
      </c>
      <c r="D1338" s="10">
        <v>2.6</v>
      </c>
    </row>
    <row r="1339" spans="1:4" x14ac:dyDescent="0.35">
      <c r="A1339" s="11">
        <v>49978</v>
      </c>
      <c r="B1339" s="12" t="s">
        <v>18</v>
      </c>
      <c r="C1339" s="13">
        <v>19.8</v>
      </c>
      <c r="D1339" s="14">
        <v>0</v>
      </c>
    </row>
    <row r="1340" spans="1:4" x14ac:dyDescent="0.35">
      <c r="A1340" s="7">
        <v>49979</v>
      </c>
      <c r="B1340" s="8" t="s">
        <v>11</v>
      </c>
      <c r="C1340" s="9">
        <v>16.7</v>
      </c>
      <c r="D1340" s="10">
        <v>3.5</v>
      </c>
    </row>
    <row r="1341" spans="1:4" x14ac:dyDescent="0.35">
      <c r="A1341" s="11">
        <v>49980</v>
      </c>
      <c r="B1341" s="12" t="s">
        <v>23</v>
      </c>
      <c r="C1341" s="13">
        <v>28.6</v>
      </c>
      <c r="D1341" s="14">
        <v>0</v>
      </c>
    </row>
    <row r="1342" spans="1:4" x14ac:dyDescent="0.35">
      <c r="A1342" s="7">
        <v>49981</v>
      </c>
      <c r="B1342" s="8" t="s">
        <v>10</v>
      </c>
      <c r="C1342" s="9">
        <v>10.8</v>
      </c>
      <c r="D1342" s="10">
        <v>32.9</v>
      </c>
    </row>
    <row r="1343" spans="1:4" x14ac:dyDescent="0.35">
      <c r="A1343" s="11">
        <v>49982</v>
      </c>
      <c r="B1343" s="12" t="s">
        <v>18</v>
      </c>
      <c r="C1343" s="13">
        <v>12.8</v>
      </c>
      <c r="D1343" s="14">
        <v>0</v>
      </c>
    </row>
    <row r="1344" spans="1:4" x14ac:dyDescent="0.35">
      <c r="A1344" s="7">
        <v>49983</v>
      </c>
      <c r="B1344" s="8" t="s">
        <v>26</v>
      </c>
      <c r="C1344" s="9">
        <v>17.600000000000001</v>
      </c>
      <c r="D1344" s="10">
        <v>0</v>
      </c>
    </row>
    <row r="1345" spans="1:4" x14ac:dyDescent="0.35">
      <c r="A1345" s="11">
        <v>49984</v>
      </c>
      <c r="B1345" s="12" t="s">
        <v>22</v>
      </c>
      <c r="C1345" s="13">
        <v>24.1</v>
      </c>
      <c r="D1345" s="14">
        <v>0</v>
      </c>
    </row>
    <row r="1346" spans="1:4" x14ac:dyDescent="0.35">
      <c r="A1346" s="7">
        <v>49985</v>
      </c>
      <c r="B1346" s="8" t="s">
        <v>11</v>
      </c>
      <c r="C1346" s="9">
        <v>11.4</v>
      </c>
      <c r="D1346" s="10">
        <v>18.2</v>
      </c>
    </row>
    <row r="1347" spans="1:4" x14ac:dyDescent="0.35">
      <c r="A1347" s="11">
        <v>49986</v>
      </c>
      <c r="B1347" s="12" t="s">
        <v>9</v>
      </c>
      <c r="C1347" s="13">
        <v>21.9</v>
      </c>
      <c r="D1347" s="14">
        <v>5.4</v>
      </c>
    </row>
    <row r="1348" spans="1:4" x14ac:dyDescent="0.35">
      <c r="A1348" s="7">
        <v>49987</v>
      </c>
      <c r="B1348" s="8" t="s">
        <v>26</v>
      </c>
      <c r="C1348" s="9">
        <v>16.8</v>
      </c>
      <c r="D1348" s="10">
        <v>1.6</v>
      </c>
    </row>
    <row r="1349" spans="1:4" x14ac:dyDescent="0.35">
      <c r="A1349" s="11">
        <v>49988</v>
      </c>
      <c r="B1349" s="12" t="s">
        <v>6</v>
      </c>
      <c r="C1349" s="13">
        <v>26</v>
      </c>
      <c r="D1349" s="14">
        <v>0</v>
      </c>
    </row>
    <row r="1350" spans="1:4" x14ac:dyDescent="0.35">
      <c r="A1350" s="7">
        <v>49989</v>
      </c>
      <c r="B1350" s="8" t="s">
        <v>11</v>
      </c>
      <c r="C1350" s="9">
        <v>20.2</v>
      </c>
      <c r="D1350" s="10">
        <v>10</v>
      </c>
    </row>
    <row r="1351" spans="1:4" x14ac:dyDescent="0.35">
      <c r="A1351" s="11">
        <v>49990</v>
      </c>
      <c r="B1351" s="12" t="s">
        <v>19</v>
      </c>
      <c r="C1351" s="13">
        <v>20.3</v>
      </c>
      <c r="D1351" s="14">
        <v>37.799999999999997</v>
      </c>
    </row>
    <row r="1352" spans="1:4" x14ac:dyDescent="0.35">
      <c r="A1352" s="7">
        <v>49991</v>
      </c>
      <c r="B1352" s="8" t="s">
        <v>7</v>
      </c>
      <c r="C1352" s="9">
        <v>27.5</v>
      </c>
      <c r="D1352" s="10">
        <v>20.8</v>
      </c>
    </row>
    <row r="1353" spans="1:4" x14ac:dyDescent="0.35">
      <c r="A1353" s="11">
        <v>49992</v>
      </c>
      <c r="B1353" s="12" t="s">
        <v>19</v>
      </c>
      <c r="C1353" s="13">
        <v>24.2</v>
      </c>
      <c r="D1353" s="14">
        <v>2.9</v>
      </c>
    </row>
    <row r="1354" spans="1:4" x14ac:dyDescent="0.35">
      <c r="A1354" s="7">
        <v>49993</v>
      </c>
      <c r="B1354" s="8" t="s">
        <v>11</v>
      </c>
      <c r="C1354" s="9">
        <v>10.7</v>
      </c>
      <c r="D1354" s="10">
        <v>14.3</v>
      </c>
    </row>
    <row r="1355" spans="1:4" x14ac:dyDescent="0.35">
      <c r="A1355" s="11">
        <v>49994</v>
      </c>
      <c r="B1355" s="12" t="s">
        <v>19</v>
      </c>
      <c r="C1355" s="13">
        <v>17.3</v>
      </c>
      <c r="D1355" s="14">
        <v>0</v>
      </c>
    </row>
    <row r="1356" spans="1:4" x14ac:dyDescent="0.35">
      <c r="A1356" s="7">
        <v>49995</v>
      </c>
      <c r="B1356" s="8" t="s">
        <v>11</v>
      </c>
      <c r="C1356" s="9">
        <v>13.5</v>
      </c>
      <c r="D1356" s="10">
        <v>21.1</v>
      </c>
    </row>
    <row r="1357" spans="1:4" x14ac:dyDescent="0.35">
      <c r="A1357" s="11">
        <v>49996</v>
      </c>
      <c r="B1357" s="12" t="s">
        <v>6</v>
      </c>
      <c r="C1357" s="13">
        <v>13.6</v>
      </c>
      <c r="D1357" s="14">
        <v>6</v>
      </c>
    </row>
    <row r="1358" spans="1:4" x14ac:dyDescent="0.35">
      <c r="A1358" s="7">
        <v>49997</v>
      </c>
      <c r="B1358" s="8" t="s">
        <v>5</v>
      </c>
      <c r="C1358" s="9">
        <v>19.899999999999999</v>
      </c>
      <c r="D1358" s="10">
        <v>0</v>
      </c>
    </row>
    <row r="1359" spans="1:4" x14ac:dyDescent="0.35">
      <c r="A1359" s="11">
        <v>49998</v>
      </c>
      <c r="B1359" s="12" t="s">
        <v>18</v>
      </c>
      <c r="C1359" s="13">
        <v>13.1</v>
      </c>
      <c r="D1359" s="14">
        <v>10.199999999999999</v>
      </c>
    </row>
    <row r="1360" spans="1:4" x14ac:dyDescent="0.35">
      <c r="A1360" s="7">
        <v>49999</v>
      </c>
      <c r="B1360" s="8" t="s">
        <v>21</v>
      </c>
      <c r="C1360" s="9">
        <v>29.8</v>
      </c>
      <c r="D1360" s="10">
        <v>1.9</v>
      </c>
    </row>
    <row r="1361" spans="1:4" x14ac:dyDescent="0.35">
      <c r="A1361" s="11">
        <v>50000</v>
      </c>
      <c r="B1361" s="12" t="s">
        <v>28</v>
      </c>
      <c r="C1361" s="13">
        <v>23.7</v>
      </c>
      <c r="D1361" s="14">
        <v>0.3</v>
      </c>
    </row>
    <row r="1362" spans="1:4" x14ac:dyDescent="0.35">
      <c r="A1362" s="7">
        <v>50001</v>
      </c>
      <c r="B1362" s="8" t="s">
        <v>19</v>
      </c>
      <c r="C1362" s="9">
        <v>14</v>
      </c>
      <c r="D1362" s="10">
        <v>0</v>
      </c>
    </row>
    <row r="1363" spans="1:4" x14ac:dyDescent="0.35">
      <c r="A1363" s="11">
        <v>50002</v>
      </c>
      <c r="B1363" s="12" t="s">
        <v>30</v>
      </c>
      <c r="C1363" s="13">
        <v>19</v>
      </c>
      <c r="D1363" s="14">
        <v>0.5</v>
      </c>
    </row>
    <row r="1364" spans="1:4" x14ac:dyDescent="0.35">
      <c r="A1364" s="7">
        <v>50003</v>
      </c>
      <c r="B1364" s="8" t="s">
        <v>32</v>
      </c>
      <c r="C1364" s="9">
        <v>23.9</v>
      </c>
      <c r="D1364" s="10">
        <v>0.5</v>
      </c>
    </row>
    <row r="1365" spans="1:4" x14ac:dyDescent="0.35">
      <c r="A1365" s="11">
        <v>50004</v>
      </c>
      <c r="B1365" s="12" t="s">
        <v>19</v>
      </c>
      <c r="C1365" s="13">
        <v>12.8</v>
      </c>
      <c r="D1365" s="14">
        <v>26.7</v>
      </c>
    </row>
    <row r="1366" spans="1:4" x14ac:dyDescent="0.35">
      <c r="A1366" s="7">
        <v>50005</v>
      </c>
      <c r="B1366" s="8" t="s">
        <v>7</v>
      </c>
      <c r="C1366" s="9">
        <v>26.9</v>
      </c>
      <c r="D1366" s="10">
        <v>4.5</v>
      </c>
    </row>
    <row r="1367" spans="1:4" x14ac:dyDescent="0.35">
      <c r="A1367" s="11">
        <v>50006</v>
      </c>
      <c r="B1367" s="12" t="s">
        <v>26</v>
      </c>
      <c r="C1367" s="13">
        <v>10.6</v>
      </c>
      <c r="D1367" s="14">
        <v>0</v>
      </c>
    </row>
    <row r="1368" spans="1:4" x14ac:dyDescent="0.35">
      <c r="A1368" s="7">
        <v>50007</v>
      </c>
      <c r="B1368" s="8" t="s">
        <v>11</v>
      </c>
      <c r="C1368" s="9">
        <v>21.1</v>
      </c>
      <c r="D1368" s="10">
        <v>10.6</v>
      </c>
    </row>
    <row r="1369" spans="1:4" x14ac:dyDescent="0.35">
      <c r="A1369" s="11">
        <v>50008</v>
      </c>
      <c r="B1369" s="12" t="s">
        <v>6</v>
      </c>
      <c r="C1369" s="13">
        <v>11.7</v>
      </c>
      <c r="D1369" s="14">
        <v>9.9</v>
      </c>
    </row>
    <row r="1370" spans="1:4" x14ac:dyDescent="0.35">
      <c r="A1370" s="7">
        <v>50009</v>
      </c>
      <c r="B1370" s="8" t="s">
        <v>8</v>
      </c>
      <c r="C1370" s="9">
        <v>20.5</v>
      </c>
      <c r="D1370" s="10">
        <v>3.7</v>
      </c>
    </row>
    <row r="1371" spans="1:4" x14ac:dyDescent="0.35">
      <c r="A1371" s="11">
        <v>50010</v>
      </c>
      <c r="B1371" s="12" t="s">
        <v>19</v>
      </c>
      <c r="C1371" s="13">
        <v>27.4</v>
      </c>
      <c r="D1371" s="14">
        <v>10.4</v>
      </c>
    </row>
    <row r="1372" spans="1:4" x14ac:dyDescent="0.35">
      <c r="A1372" s="7">
        <v>50011</v>
      </c>
      <c r="B1372" s="8" t="s">
        <v>10</v>
      </c>
      <c r="C1372" s="9">
        <v>15.8</v>
      </c>
      <c r="D1372" s="10">
        <v>10.199999999999999</v>
      </c>
    </row>
    <row r="1373" spans="1:4" x14ac:dyDescent="0.35">
      <c r="A1373" s="11">
        <v>50012</v>
      </c>
      <c r="B1373" s="12" t="s">
        <v>19</v>
      </c>
      <c r="C1373" s="13">
        <v>19.600000000000001</v>
      </c>
      <c r="D1373" s="14">
        <v>0</v>
      </c>
    </row>
    <row r="1374" spans="1:4" x14ac:dyDescent="0.35">
      <c r="A1374" s="7">
        <v>50013</v>
      </c>
      <c r="B1374" s="8" t="s">
        <v>10</v>
      </c>
      <c r="C1374" s="9">
        <v>16.899999999999999</v>
      </c>
      <c r="D1374" s="10">
        <v>48.4</v>
      </c>
    </row>
    <row r="1375" spans="1:4" x14ac:dyDescent="0.35">
      <c r="A1375" s="11">
        <v>50014</v>
      </c>
      <c r="B1375" s="12" t="s">
        <v>19</v>
      </c>
      <c r="C1375" s="13">
        <v>12.2</v>
      </c>
      <c r="D1375" s="14">
        <v>0</v>
      </c>
    </row>
    <row r="1376" spans="1:4" x14ac:dyDescent="0.35">
      <c r="A1376" s="7">
        <v>50015</v>
      </c>
      <c r="B1376" s="8" t="s">
        <v>10</v>
      </c>
      <c r="C1376" s="9">
        <v>16.600000000000001</v>
      </c>
      <c r="D1376" s="10">
        <v>14.1</v>
      </c>
    </row>
    <row r="1377" spans="1:4" x14ac:dyDescent="0.35">
      <c r="A1377" s="11">
        <v>50016</v>
      </c>
      <c r="B1377" s="12" t="s">
        <v>11</v>
      </c>
      <c r="C1377" s="13">
        <v>27.6</v>
      </c>
      <c r="D1377" s="14">
        <v>0</v>
      </c>
    </row>
    <row r="1378" spans="1:4" x14ac:dyDescent="0.35">
      <c r="A1378" s="7">
        <v>50017</v>
      </c>
      <c r="B1378" s="8" t="s">
        <v>15</v>
      </c>
      <c r="C1378" s="9">
        <v>24.8</v>
      </c>
      <c r="D1378" s="10">
        <v>0</v>
      </c>
    </row>
    <row r="1379" spans="1:4" x14ac:dyDescent="0.35">
      <c r="A1379" s="11">
        <v>50018</v>
      </c>
      <c r="B1379" s="12" t="s">
        <v>10</v>
      </c>
      <c r="C1379" s="13">
        <v>23.1</v>
      </c>
      <c r="D1379" s="14">
        <v>29.8</v>
      </c>
    </row>
    <row r="1380" spans="1:4" x14ac:dyDescent="0.35">
      <c r="A1380" s="7">
        <v>50019</v>
      </c>
      <c r="B1380" s="8" t="s">
        <v>27</v>
      </c>
      <c r="C1380" s="9">
        <v>12.4</v>
      </c>
      <c r="D1380" s="10">
        <v>6.1</v>
      </c>
    </row>
    <row r="1381" spans="1:4" x14ac:dyDescent="0.35">
      <c r="A1381" s="11">
        <v>50020</v>
      </c>
      <c r="B1381" s="12" t="s">
        <v>19</v>
      </c>
      <c r="C1381" s="13">
        <v>13.9</v>
      </c>
      <c r="D1381" s="14">
        <v>21.5</v>
      </c>
    </row>
    <row r="1382" spans="1:4" x14ac:dyDescent="0.35">
      <c r="A1382" s="7">
        <v>50021</v>
      </c>
      <c r="B1382" s="8" t="s">
        <v>20</v>
      </c>
      <c r="C1382" s="9">
        <v>16.600000000000001</v>
      </c>
      <c r="D1382" s="10">
        <v>4.7</v>
      </c>
    </row>
    <row r="1383" spans="1:4" x14ac:dyDescent="0.35">
      <c r="A1383" s="11">
        <v>50022</v>
      </c>
      <c r="B1383" s="12" t="s">
        <v>13</v>
      </c>
      <c r="C1383" s="13">
        <v>17.7</v>
      </c>
      <c r="D1383" s="14">
        <v>14</v>
      </c>
    </row>
    <row r="1384" spans="1:4" x14ac:dyDescent="0.35">
      <c r="A1384" s="7">
        <v>50023</v>
      </c>
      <c r="B1384" s="8" t="s">
        <v>11</v>
      </c>
      <c r="C1384" s="9">
        <v>19</v>
      </c>
      <c r="D1384" s="10">
        <v>1.7</v>
      </c>
    </row>
    <row r="1385" spans="1:4" x14ac:dyDescent="0.35">
      <c r="A1385" s="11">
        <v>50024</v>
      </c>
      <c r="B1385" s="12" t="s">
        <v>7</v>
      </c>
      <c r="C1385" s="13">
        <v>29.9</v>
      </c>
      <c r="D1385" s="14">
        <v>0</v>
      </c>
    </row>
    <row r="1386" spans="1:4" x14ac:dyDescent="0.35">
      <c r="A1386" s="7">
        <v>50025</v>
      </c>
      <c r="B1386" s="8" t="s">
        <v>19</v>
      </c>
      <c r="C1386" s="9">
        <v>23.7</v>
      </c>
      <c r="D1386" s="10">
        <v>31.4</v>
      </c>
    </row>
    <row r="1387" spans="1:4" x14ac:dyDescent="0.35">
      <c r="A1387" s="11">
        <v>50026</v>
      </c>
      <c r="B1387" s="12" t="s">
        <v>10</v>
      </c>
      <c r="C1387" s="13">
        <v>25.4</v>
      </c>
      <c r="D1387" s="14">
        <v>0</v>
      </c>
    </row>
    <row r="1388" spans="1:4" x14ac:dyDescent="0.35">
      <c r="A1388" s="7">
        <v>50027</v>
      </c>
      <c r="B1388" s="8" t="s">
        <v>18</v>
      </c>
      <c r="C1388" s="9">
        <v>24.3</v>
      </c>
      <c r="D1388" s="10">
        <v>15.8</v>
      </c>
    </row>
    <row r="1389" spans="1:4" x14ac:dyDescent="0.35">
      <c r="A1389" s="11">
        <v>50028</v>
      </c>
      <c r="B1389" s="12" t="s">
        <v>7</v>
      </c>
      <c r="C1389" s="13">
        <v>10.8</v>
      </c>
      <c r="D1389" s="14">
        <v>0</v>
      </c>
    </row>
    <row r="1390" spans="1:4" x14ac:dyDescent="0.35">
      <c r="A1390" s="7">
        <v>50029</v>
      </c>
      <c r="B1390" s="8" t="s">
        <v>10</v>
      </c>
      <c r="C1390" s="9">
        <v>19</v>
      </c>
      <c r="D1390" s="10">
        <v>9.1</v>
      </c>
    </row>
    <row r="1391" spans="1:4" x14ac:dyDescent="0.35">
      <c r="A1391" s="11">
        <v>50030</v>
      </c>
      <c r="B1391" s="12" t="s">
        <v>15</v>
      </c>
      <c r="C1391" s="13">
        <v>27.8</v>
      </c>
      <c r="D1391" s="14">
        <v>15.2</v>
      </c>
    </row>
    <row r="1392" spans="1:4" x14ac:dyDescent="0.35">
      <c r="A1392" s="7">
        <v>50031</v>
      </c>
      <c r="B1392" s="8" t="s">
        <v>7</v>
      </c>
      <c r="C1392" s="9">
        <v>28.8</v>
      </c>
      <c r="D1392" s="10">
        <v>0</v>
      </c>
    </row>
    <row r="1393" spans="1:4" x14ac:dyDescent="0.35">
      <c r="A1393" s="11">
        <v>50032</v>
      </c>
      <c r="B1393" s="12" t="s">
        <v>5</v>
      </c>
      <c r="C1393" s="13">
        <v>12.6</v>
      </c>
      <c r="D1393" s="14">
        <v>0.8</v>
      </c>
    </row>
    <row r="1394" spans="1:4" x14ac:dyDescent="0.35">
      <c r="A1394" s="7">
        <v>50033</v>
      </c>
      <c r="B1394" s="8" t="s">
        <v>5</v>
      </c>
      <c r="C1394" s="9">
        <v>20.7</v>
      </c>
      <c r="D1394" s="10">
        <v>0</v>
      </c>
    </row>
    <row r="1395" spans="1:4" x14ac:dyDescent="0.35">
      <c r="A1395" s="11">
        <v>50034</v>
      </c>
      <c r="B1395" s="12" t="s">
        <v>19</v>
      </c>
      <c r="C1395" s="13">
        <v>19.399999999999999</v>
      </c>
      <c r="D1395" s="14">
        <v>19.3</v>
      </c>
    </row>
    <row r="1396" spans="1:4" x14ac:dyDescent="0.35">
      <c r="A1396" s="7">
        <v>50035</v>
      </c>
      <c r="B1396" s="8" t="s">
        <v>10</v>
      </c>
      <c r="C1396" s="9">
        <v>24.3</v>
      </c>
      <c r="D1396" s="10">
        <v>8.8000000000000007</v>
      </c>
    </row>
    <row r="1397" spans="1:4" x14ac:dyDescent="0.35">
      <c r="A1397" s="11">
        <v>50036</v>
      </c>
      <c r="B1397" s="12" t="s">
        <v>19</v>
      </c>
      <c r="C1397" s="13">
        <v>21.2</v>
      </c>
      <c r="D1397" s="14">
        <v>36</v>
      </c>
    </row>
    <row r="1398" spans="1:4" x14ac:dyDescent="0.35">
      <c r="A1398" s="7">
        <v>50037</v>
      </c>
      <c r="B1398" s="8" t="s">
        <v>5</v>
      </c>
      <c r="C1398" s="9">
        <v>28.4</v>
      </c>
      <c r="D1398" s="10">
        <v>0</v>
      </c>
    </row>
    <row r="1399" spans="1:4" x14ac:dyDescent="0.35">
      <c r="A1399" s="11">
        <v>50038</v>
      </c>
      <c r="B1399" s="12" t="s">
        <v>27</v>
      </c>
      <c r="C1399" s="13">
        <v>17.100000000000001</v>
      </c>
      <c r="D1399" s="14">
        <v>5.4</v>
      </c>
    </row>
    <row r="1400" spans="1:4" x14ac:dyDescent="0.35">
      <c r="A1400" s="7">
        <v>50039</v>
      </c>
      <c r="B1400" s="8" t="s">
        <v>10</v>
      </c>
      <c r="C1400" s="9">
        <v>24.4</v>
      </c>
      <c r="D1400" s="10">
        <v>23.8</v>
      </c>
    </row>
    <row r="1401" spans="1:4" x14ac:dyDescent="0.35">
      <c r="A1401" s="11">
        <v>50040</v>
      </c>
      <c r="B1401" s="12" t="s">
        <v>18</v>
      </c>
      <c r="C1401" s="13">
        <v>18.5</v>
      </c>
      <c r="D1401" s="14">
        <v>6</v>
      </c>
    </row>
    <row r="1402" spans="1:4" x14ac:dyDescent="0.35">
      <c r="A1402" s="7">
        <v>50041</v>
      </c>
      <c r="B1402" s="8" t="s">
        <v>19</v>
      </c>
      <c r="C1402" s="9">
        <v>24.1</v>
      </c>
      <c r="D1402" s="10">
        <v>21.5</v>
      </c>
    </row>
    <row r="1403" spans="1:4" x14ac:dyDescent="0.35">
      <c r="A1403" s="11">
        <v>50042</v>
      </c>
      <c r="B1403" s="12" t="s">
        <v>22</v>
      </c>
      <c r="C1403" s="13">
        <v>17.899999999999999</v>
      </c>
      <c r="D1403" s="14">
        <v>5.4</v>
      </c>
    </row>
    <row r="1404" spans="1:4" x14ac:dyDescent="0.35">
      <c r="A1404" s="7">
        <v>50043</v>
      </c>
      <c r="B1404" s="8" t="s">
        <v>22</v>
      </c>
      <c r="C1404" s="9">
        <v>15.8</v>
      </c>
      <c r="D1404" s="10">
        <v>7.4</v>
      </c>
    </row>
    <row r="1405" spans="1:4" x14ac:dyDescent="0.35">
      <c r="A1405" s="11">
        <v>50044</v>
      </c>
      <c r="B1405" s="12" t="s">
        <v>30</v>
      </c>
      <c r="C1405" s="13">
        <v>19.600000000000001</v>
      </c>
      <c r="D1405" s="14">
        <v>0.3</v>
      </c>
    </row>
    <row r="1406" spans="1:4" x14ac:dyDescent="0.35">
      <c r="A1406" s="7">
        <v>50045</v>
      </c>
      <c r="B1406" s="8" t="s">
        <v>19</v>
      </c>
      <c r="C1406" s="9">
        <v>17.7</v>
      </c>
      <c r="D1406" s="10">
        <v>0</v>
      </c>
    </row>
    <row r="1407" spans="1:4" x14ac:dyDescent="0.35">
      <c r="A1407" s="11">
        <v>50046</v>
      </c>
      <c r="B1407" s="12" t="s">
        <v>27</v>
      </c>
      <c r="C1407" s="13">
        <v>19.899999999999999</v>
      </c>
      <c r="D1407" s="14">
        <v>4.7</v>
      </c>
    </row>
    <row r="1408" spans="1:4" x14ac:dyDescent="0.35">
      <c r="A1408" s="7">
        <v>50047</v>
      </c>
      <c r="B1408" s="8" t="s">
        <v>5</v>
      </c>
      <c r="C1408" s="9">
        <v>10.6</v>
      </c>
      <c r="D1408" s="10">
        <v>4.8</v>
      </c>
    </row>
    <row r="1409" spans="1:4" x14ac:dyDescent="0.35">
      <c r="A1409" s="11">
        <v>50048</v>
      </c>
      <c r="B1409" s="12" t="s">
        <v>19</v>
      </c>
      <c r="C1409" s="13">
        <v>25.6</v>
      </c>
      <c r="D1409" s="14">
        <v>17.399999999999999</v>
      </c>
    </row>
    <row r="1410" spans="1:4" x14ac:dyDescent="0.35">
      <c r="A1410" s="7">
        <v>50049</v>
      </c>
      <c r="B1410" s="8" t="s">
        <v>9</v>
      </c>
      <c r="C1410" s="9">
        <v>22.4</v>
      </c>
      <c r="D1410" s="10">
        <v>7.7</v>
      </c>
    </row>
    <row r="1411" spans="1:4" x14ac:dyDescent="0.35">
      <c r="A1411" s="11">
        <v>50050</v>
      </c>
      <c r="B1411" s="12" t="s">
        <v>8</v>
      </c>
      <c r="C1411" s="13">
        <v>14.5</v>
      </c>
      <c r="D1411" s="14">
        <v>3.8</v>
      </c>
    </row>
    <row r="1412" spans="1:4" x14ac:dyDescent="0.35">
      <c r="A1412" s="7">
        <v>50051</v>
      </c>
      <c r="B1412" s="8" t="s">
        <v>9</v>
      </c>
      <c r="C1412" s="9">
        <v>15</v>
      </c>
      <c r="D1412" s="10">
        <v>4.2</v>
      </c>
    </row>
    <row r="1413" spans="1:4" x14ac:dyDescent="0.35">
      <c r="A1413" s="11">
        <v>50052</v>
      </c>
      <c r="B1413" s="12" t="s">
        <v>13</v>
      </c>
      <c r="C1413" s="13">
        <v>24</v>
      </c>
      <c r="D1413" s="14">
        <v>11.5</v>
      </c>
    </row>
    <row r="1414" spans="1:4" x14ac:dyDescent="0.35">
      <c r="A1414" s="7">
        <v>50053</v>
      </c>
      <c r="B1414" s="8" t="s">
        <v>23</v>
      </c>
      <c r="C1414" s="9">
        <v>20.7</v>
      </c>
      <c r="D1414" s="10">
        <v>2.9</v>
      </c>
    </row>
    <row r="1415" spans="1:4" x14ac:dyDescent="0.35">
      <c r="A1415" s="11">
        <v>50054</v>
      </c>
      <c r="B1415" s="12" t="s">
        <v>28</v>
      </c>
      <c r="C1415" s="13">
        <v>13.5</v>
      </c>
      <c r="D1415" s="14">
        <v>0.7</v>
      </c>
    </row>
    <row r="1416" spans="1:4" x14ac:dyDescent="0.35">
      <c r="A1416" s="7">
        <v>50055</v>
      </c>
      <c r="B1416" s="8" t="s">
        <v>19</v>
      </c>
      <c r="C1416" s="9">
        <v>23.7</v>
      </c>
      <c r="D1416" s="10">
        <v>13.1</v>
      </c>
    </row>
    <row r="1417" spans="1:4" x14ac:dyDescent="0.35">
      <c r="A1417" s="11">
        <v>50056</v>
      </c>
      <c r="B1417" s="12" t="s">
        <v>10</v>
      </c>
      <c r="C1417" s="13">
        <v>12.1</v>
      </c>
      <c r="D1417" s="14">
        <v>36</v>
      </c>
    </row>
    <row r="1418" spans="1:4" x14ac:dyDescent="0.35">
      <c r="A1418" s="7">
        <v>50057</v>
      </c>
      <c r="B1418" s="8" t="s">
        <v>13</v>
      </c>
      <c r="C1418" s="9">
        <v>21.8</v>
      </c>
      <c r="D1418" s="10">
        <v>10.9</v>
      </c>
    </row>
    <row r="1419" spans="1:4" x14ac:dyDescent="0.35">
      <c r="A1419" s="11">
        <v>50058</v>
      </c>
      <c r="B1419" s="12" t="s">
        <v>22</v>
      </c>
      <c r="C1419" s="13">
        <v>17.399999999999999</v>
      </c>
      <c r="D1419" s="14">
        <v>0</v>
      </c>
    </row>
    <row r="1420" spans="1:4" x14ac:dyDescent="0.35">
      <c r="A1420" s="7">
        <v>50059</v>
      </c>
      <c r="B1420" s="8" t="s">
        <v>6</v>
      </c>
      <c r="C1420" s="9">
        <v>15.6</v>
      </c>
      <c r="D1420" s="10">
        <v>0</v>
      </c>
    </row>
    <row r="1421" spans="1:4" x14ac:dyDescent="0.35">
      <c r="A1421" s="11">
        <v>50060</v>
      </c>
      <c r="B1421" s="12" t="s">
        <v>13</v>
      </c>
      <c r="C1421" s="13">
        <v>13.7</v>
      </c>
      <c r="D1421" s="14">
        <v>0</v>
      </c>
    </row>
    <row r="1422" spans="1:4" x14ac:dyDescent="0.35">
      <c r="A1422" s="7">
        <v>50061</v>
      </c>
      <c r="B1422" s="8" t="s">
        <v>10</v>
      </c>
      <c r="C1422" s="9">
        <v>24.7</v>
      </c>
      <c r="D1422" s="10">
        <v>16.2</v>
      </c>
    </row>
    <row r="1423" spans="1:4" x14ac:dyDescent="0.35">
      <c r="A1423" s="11">
        <v>50062</v>
      </c>
      <c r="B1423" s="12" t="s">
        <v>15</v>
      </c>
      <c r="C1423" s="13">
        <v>25.3</v>
      </c>
      <c r="D1423" s="14">
        <v>14.2</v>
      </c>
    </row>
    <row r="1424" spans="1:4" x14ac:dyDescent="0.35">
      <c r="A1424" s="7">
        <v>50063</v>
      </c>
      <c r="B1424" s="8" t="s">
        <v>15</v>
      </c>
      <c r="C1424" s="9">
        <v>18.399999999999999</v>
      </c>
      <c r="D1424" s="10">
        <v>0</v>
      </c>
    </row>
    <row r="1425" spans="1:4" x14ac:dyDescent="0.35">
      <c r="A1425" s="11">
        <v>50064</v>
      </c>
      <c r="B1425" s="12" t="s">
        <v>14</v>
      </c>
      <c r="C1425" s="13">
        <v>10.199999999999999</v>
      </c>
      <c r="D1425" s="14">
        <v>0</v>
      </c>
    </row>
    <row r="1426" spans="1:4" x14ac:dyDescent="0.35">
      <c r="A1426" s="7">
        <v>50065</v>
      </c>
      <c r="B1426" s="8" t="s">
        <v>33</v>
      </c>
      <c r="C1426" s="9">
        <v>26.9</v>
      </c>
      <c r="D1426" s="10">
        <v>0</v>
      </c>
    </row>
    <row r="1427" spans="1:4" x14ac:dyDescent="0.35">
      <c r="A1427" s="11">
        <v>50066</v>
      </c>
      <c r="B1427" s="12" t="s">
        <v>8</v>
      </c>
      <c r="C1427" s="13">
        <v>28.2</v>
      </c>
      <c r="D1427" s="14">
        <v>0</v>
      </c>
    </row>
    <row r="1428" spans="1:4" x14ac:dyDescent="0.35">
      <c r="A1428" s="7">
        <v>50067</v>
      </c>
      <c r="B1428" s="8" t="s">
        <v>7</v>
      </c>
      <c r="C1428" s="9">
        <v>15.9</v>
      </c>
      <c r="D1428" s="10">
        <v>0</v>
      </c>
    </row>
    <row r="1429" spans="1:4" x14ac:dyDescent="0.35">
      <c r="A1429" s="11">
        <v>50068</v>
      </c>
      <c r="B1429" s="12" t="s">
        <v>10</v>
      </c>
      <c r="C1429" s="13">
        <v>19.7</v>
      </c>
      <c r="D1429" s="14">
        <v>0</v>
      </c>
    </row>
    <row r="1430" spans="1:4" x14ac:dyDescent="0.35">
      <c r="A1430" s="7">
        <v>50069</v>
      </c>
      <c r="B1430" s="8" t="s">
        <v>7</v>
      </c>
      <c r="C1430" s="9">
        <v>16</v>
      </c>
      <c r="D1430" s="10">
        <v>0</v>
      </c>
    </row>
    <row r="1431" spans="1:4" x14ac:dyDescent="0.35">
      <c r="A1431" s="11">
        <v>50070</v>
      </c>
      <c r="B1431" s="12" t="s">
        <v>6</v>
      </c>
      <c r="C1431" s="13">
        <v>20.8</v>
      </c>
      <c r="D1431" s="14">
        <v>0</v>
      </c>
    </row>
    <row r="1432" spans="1:4" x14ac:dyDescent="0.35">
      <c r="A1432" s="7">
        <v>50071</v>
      </c>
      <c r="B1432" s="8" t="s">
        <v>23</v>
      </c>
      <c r="C1432" s="9">
        <v>12.5</v>
      </c>
      <c r="D1432" s="10">
        <v>0</v>
      </c>
    </row>
    <row r="1433" spans="1:4" x14ac:dyDescent="0.35">
      <c r="A1433" s="11">
        <v>50072</v>
      </c>
      <c r="B1433" s="12" t="s">
        <v>15</v>
      </c>
      <c r="C1433" s="13">
        <v>12.7</v>
      </c>
      <c r="D1433" s="14">
        <v>2.4</v>
      </c>
    </row>
    <row r="1434" spans="1:4" x14ac:dyDescent="0.35">
      <c r="A1434" s="7">
        <v>50073</v>
      </c>
      <c r="B1434" s="8" t="s">
        <v>18</v>
      </c>
      <c r="C1434" s="9">
        <v>23.5</v>
      </c>
      <c r="D1434" s="10">
        <v>11.5</v>
      </c>
    </row>
    <row r="1435" spans="1:4" x14ac:dyDescent="0.35">
      <c r="A1435" s="11">
        <v>50074</v>
      </c>
      <c r="B1435" s="12" t="s">
        <v>14</v>
      </c>
      <c r="C1435" s="13">
        <v>17.8</v>
      </c>
      <c r="D1435" s="14">
        <v>1.8</v>
      </c>
    </row>
    <row r="1436" spans="1:4" x14ac:dyDescent="0.35">
      <c r="A1436" s="7">
        <v>50075</v>
      </c>
      <c r="B1436" s="8" t="s">
        <v>11</v>
      </c>
      <c r="C1436" s="9">
        <v>11</v>
      </c>
      <c r="D1436" s="10">
        <v>0</v>
      </c>
    </row>
    <row r="1437" spans="1:4" x14ac:dyDescent="0.35">
      <c r="A1437" s="11">
        <v>50076</v>
      </c>
      <c r="B1437" s="12" t="s">
        <v>12</v>
      </c>
      <c r="C1437" s="13">
        <v>21.3</v>
      </c>
      <c r="D1437" s="14">
        <v>5.2</v>
      </c>
    </row>
    <row r="1438" spans="1:4" x14ac:dyDescent="0.35">
      <c r="A1438" s="7">
        <v>50077</v>
      </c>
      <c r="B1438" s="8" t="s">
        <v>7</v>
      </c>
      <c r="C1438" s="9">
        <v>19.600000000000001</v>
      </c>
      <c r="D1438" s="10">
        <v>8.1</v>
      </c>
    </row>
    <row r="1439" spans="1:4" x14ac:dyDescent="0.35">
      <c r="A1439" s="11">
        <v>50078</v>
      </c>
      <c r="B1439" s="12" t="s">
        <v>11</v>
      </c>
      <c r="C1439" s="13">
        <v>25.7</v>
      </c>
      <c r="D1439" s="14">
        <v>4.2</v>
      </c>
    </row>
    <row r="1440" spans="1:4" x14ac:dyDescent="0.35">
      <c r="A1440" s="7">
        <v>50079</v>
      </c>
      <c r="B1440" s="8" t="s">
        <v>10</v>
      </c>
      <c r="C1440" s="9">
        <v>20.9</v>
      </c>
      <c r="D1440" s="10">
        <v>28.6</v>
      </c>
    </row>
    <row r="1441" spans="1:4" x14ac:dyDescent="0.35">
      <c r="A1441" s="11">
        <v>50080</v>
      </c>
      <c r="B1441" s="12" t="s">
        <v>19</v>
      </c>
      <c r="C1441" s="13">
        <v>26.4</v>
      </c>
      <c r="D1441" s="14">
        <v>3.2</v>
      </c>
    </row>
    <row r="1442" spans="1:4" x14ac:dyDescent="0.35">
      <c r="A1442" s="7">
        <v>50081</v>
      </c>
      <c r="B1442" s="8" t="s">
        <v>19</v>
      </c>
      <c r="C1442" s="9">
        <v>26.5</v>
      </c>
      <c r="D1442" s="10">
        <v>13.1</v>
      </c>
    </row>
    <row r="1443" spans="1:4" x14ac:dyDescent="0.35">
      <c r="A1443" s="11">
        <v>50082</v>
      </c>
      <c r="B1443" s="12" t="s">
        <v>8</v>
      </c>
      <c r="C1443" s="13">
        <v>11.7</v>
      </c>
      <c r="D1443" s="14">
        <v>0</v>
      </c>
    </row>
    <row r="1444" spans="1:4" x14ac:dyDescent="0.35">
      <c r="A1444" s="7">
        <v>50083</v>
      </c>
      <c r="B1444" s="8" t="s">
        <v>12</v>
      </c>
      <c r="C1444" s="9">
        <v>24.7</v>
      </c>
      <c r="D1444" s="10">
        <v>0.3</v>
      </c>
    </row>
    <row r="1445" spans="1:4" x14ac:dyDescent="0.35">
      <c r="A1445" s="11">
        <v>50084</v>
      </c>
      <c r="B1445" s="12" t="s">
        <v>9</v>
      </c>
      <c r="C1445" s="13">
        <v>24.4</v>
      </c>
      <c r="D1445" s="14">
        <v>9.6</v>
      </c>
    </row>
    <row r="1446" spans="1:4" x14ac:dyDescent="0.35">
      <c r="A1446" s="7">
        <v>50085</v>
      </c>
      <c r="B1446" s="8" t="s">
        <v>19</v>
      </c>
      <c r="C1446" s="9">
        <v>19</v>
      </c>
      <c r="D1446" s="10">
        <v>28.8</v>
      </c>
    </row>
    <row r="1447" spans="1:4" x14ac:dyDescent="0.35">
      <c r="A1447" s="11">
        <v>50086</v>
      </c>
      <c r="B1447" s="12" t="s">
        <v>10</v>
      </c>
      <c r="C1447" s="13">
        <v>13.7</v>
      </c>
      <c r="D1447" s="14">
        <v>19.3</v>
      </c>
    </row>
    <row r="1448" spans="1:4" x14ac:dyDescent="0.35">
      <c r="A1448" s="7">
        <v>50087</v>
      </c>
      <c r="B1448" s="8" t="s">
        <v>10</v>
      </c>
      <c r="C1448" s="9">
        <v>28.9</v>
      </c>
      <c r="D1448" s="10">
        <v>20.399999999999999</v>
      </c>
    </row>
    <row r="1449" spans="1:4" x14ac:dyDescent="0.35">
      <c r="A1449" s="11">
        <v>50088</v>
      </c>
      <c r="B1449" s="12" t="s">
        <v>20</v>
      </c>
      <c r="C1449" s="13">
        <v>25.2</v>
      </c>
      <c r="D1449" s="14">
        <v>0</v>
      </c>
    </row>
    <row r="1450" spans="1:4" x14ac:dyDescent="0.35">
      <c r="A1450" s="7">
        <v>50089</v>
      </c>
      <c r="B1450" s="8" t="s">
        <v>11</v>
      </c>
      <c r="C1450" s="9">
        <v>15.4</v>
      </c>
      <c r="D1450" s="10">
        <v>9</v>
      </c>
    </row>
    <row r="1451" spans="1:4" x14ac:dyDescent="0.35">
      <c r="A1451" s="11">
        <v>50090</v>
      </c>
      <c r="B1451" s="12" t="s">
        <v>16</v>
      </c>
      <c r="C1451" s="13">
        <v>24.1</v>
      </c>
      <c r="D1451" s="14">
        <v>0.3</v>
      </c>
    </row>
    <row r="1452" spans="1:4" x14ac:dyDescent="0.35">
      <c r="A1452" s="7">
        <v>50091</v>
      </c>
      <c r="B1452" s="8" t="s">
        <v>22</v>
      </c>
      <c r="C1452" s="9">
        <v>27.7</v>
      </c>
      <c r="D1452" s="10">
        <v>0</v>
      </c>
    </row>
    <row r="1453" spans="1:4" x14ac:dyDescent="0.35">
      <c r="A1453" s="11">
        <v>50092</v>
      </c>
      <c r="B1453" s="12" t="s">
        <v>11</v>
      </c>
      <c r="C1453" s="13">
        <v>19.600000000000001</v>
      </c>
      <c r="D1453" s="14">
        <v>21.1</v>
      </c>
    </row>
    <row r="1454" spans="1:4" x14ac:dyDescent="0.35">
      <c r="A1454" s="7">
        <v>50093</v>
      </c>
      <c r="B1454" s="8" t="s">
        <v>23</v>
      </c>
      <c r="C1454" s="9">
        <v>29</v>
      </c>
      <c r="D1454" s="10">
        <v>3.2</v>
      </c>
    </row>
    <row r="1455" spans="1:4" x14ac:dyDescent="0.35">
      <c r="A1455" s="11">
        <v>50094</v>
      </c>
      <c r="B1455" s="12" t="s">
        <v>31</v>
      </c>
      <c r="C1455" s="13">
        <v>10.3</v>
      </c>
      <c r="D1455" s="14">
        <v>0.7</v>
      </c>
    </row>
    <row r="1456" spans="1:4" x14ac:dyDescent="0.35">
      <c r="A1456" s="7">
        <v>50095</v>
      </c>
      <c r="B1456" s="8" t="s">
        <v>10</v>
      </c>
      <c r="C1456" s="9">
        <v>11</v>
      </c>
      <c r="D1456" s="10">
        <v>40.200000000000003</v>
      </c>
    </row>
    <row r="1457" spans="1:4" x14ac:dyDescent="0.35">
      <c r="A1457" s="11">
        <v>50096</v>
      </c>
      <c r="B1457" s="12" t="s">
        <v>11</v>
      </c>
      <c r="C1457" s="13">
        <v>28.6</v>
      </c>
      <c r="D1457" s="14">
        <v>0.6</v>
      </c>
    </row>
    <row r="1458" spans="1:4" x14ac:dyDescent="0.35">
      <c r="A1458" s="7">
        <v>50097</v>
      </c>
      <c r="B1458" s="8" t="s">
        <v>17</v>
      </c>
      <c r="C1458" s="9">
        <v>22.5</v>
      </c>
      <c r="D1458" s="10">
        <v>1</v>
      </c>
    </row>
    <row r="1459" spans="1:4" x14ac:dyDescent="0.35">
      <c r="A1459" s="11">
        <v>50098</v>
      </c>
      <c r="B1459" s="12" t="s">
        <v>12</v>
      </c>
      <c r="C1459" s="13">
        <v>19.600000000000001</v>
      </c>
      <c r="D1459" s="14">
        <v>0</v>
      </c>
    </row>
    <row r="1460" spans="1:4" x14ac:dyDescent="0.35">
      <c r="A1460" s="7">
        <v>50099</v>
      </c>
      <c r="B1460" s="8" t="s">
        <v>28</v>
      </c>
      <c r="C1460" s="9">
        <v>19.899999999999999</v>
      </c>
      <c r="D1460" s="10">
        <v>0</v>
      </c>
    </row>
    <row r="1461" spans="1:4" x14ac:dyDescent="0.35">
      <c r="A1461" s="11">
        <v>50100</v>
      </c>
      <c r="B1461" s="12" t="s">
        <v>6</v>
      </c>
      <c r="C1461" s="13">
        <v>21.7</v>
      </c>
      <c r="D1461" s="14">
        <v>9.4</v>
      </c>
    </row>
    <row r="1462" spans="1:4" x14ac:dyDescent="0.35">
      <c r="A1462" s="7">
        <v>50101</v>
      </c>
      <c r="B1462" s="8" t="s">
        <v>12</v>
      </c>
      <c r="C1462" s="9">
        <v>15.3</v>
      </c>
      <c r="D1462" s="10">
        <v>0</v>
      </c>
    </row>
    <row r="1463" spans="1:4" x14ac:dyDescent="0.35">
      <c r="A1463" s="11">
        <v>50102</v>
      </c>
      <c r="B1463" s="12" t="s">
        <v>15</v>
      </c>
      <c r="C1463" s="13">
        <v>20.9</v>
      </c>
      <c r="D1463" s="14">
        <v>12.4</v>
      </c>
    </row>
    <row r="1464" spans="1:4" x14ac:dyDescent="0.35">
      <c r="A1464" s="7">
        <v>50103</v>
      </c>
      <c r="B1464" s="8" t="s">
        <v>5</v>
      </c>
      <c r="C1464" s="9">
        <v>17</v>
      </c>
      <c r="D1464" s="10">
        <v>0</v>
      </c>
    </row>
    <row r="1465" spans="1:4" x14ac:dyDescent="0.35">
      <c r="A1465" s="11">
        <v>50104</v>
      </c>
      <c r="B1465" s="12" t="s">
        <v>6</v>
      </c>
      <c r="C1465" s="13">
        <v>25.8</v>
      </c>
      <c r="D1465" s="14">
        <v>1.4</v>
      </c>
    </row>
    <row r="1466" spans="1:4" x14ac:dyDescent="0.35">
      <c r="A1466" s="7">
        <v>50105</v>
      </c>
      <c r="B1466" s="8" t="s">
        <v>27</v>
      </c>
      <c r="C1466" s="9">
        <v>19.100000000000001</v>
      </c>
      <c r="D1466" s="10">
        <v>2.5</v>
      </c>
    </row>
    <row r="1467" spans="1:4" x14ac:dyDescent="0.35">
      <c r="A1467" s="11">
        <v>50106</v>
      </c>
      <c r="B1467" s="12" t="s">
        <v>13</v>
      </c>
      <c r="C1467" s="13">
        <v>24.6</v>
      </c>
      <c r="D1467" s="14">
        <v>12.5</v>
      </c>
    </row>
    <row r="1468" spans="1:4" x14ac:dyDescent="0.35">
      <c r="A1468" s="7">
        <v>50107</v>
      </c>
      <c r="B1468" s="8" t="s">
        <v>15</v>
      </c>
      <c r="C1468" s="9">
        <v>22.6</v>
      </c>
      <c r="D1468" s="10">
        <v>15.4</v>
      </c>
    </row>
    <row r="1469" spans="1:4" x14ac:dyDescent="0.35">
      <c r="A1469" s="11">
        <v>50108</v>
      </c>
      <c r="B1469" s="12" t="s">
        <v>9</v>
      </c>
      <c r="C1469" s="13">
        <v>18.3</v>
      </c>
      <c r="D1469" s="14">
        <v>4.7</v>
      </c>
    </row>
    <row r="1470" spans="1:4" x14ac:dyDescent="0.35">
      <c r="A1470" s="7">
        <v>50109</v>
      </c>
      <c r="B1470" s="8" t="s">
        <v>7</v>
      </c>
      <c r="C1470" s="9">
        <v>25.5</v>
      </c>
      <c r="D1470" s="10">
        <v>0</v>
      </c>
    </row>
    <row r="1471" spans="1:4" x14ac:dyDescent="0.35">
      <c r="A1471" s="11">
        <v>50110</v>
      </c>
      <c r="B1471" s="12" t="s">
        <v>18</v>
      </c>
      <c r="C1471" s="13">
        <v>26.6</v>
      </c>
      <c r="D1471" s="14">
        <v>0</v>
      </c>
    </row>
    <row r="1472" spans="1:4" x14ac:dyDescent="0.35">
      <c r="A1472" s="7">
        <v>50111</v>
      </c>
      <c r="B1472" s="8" t="s">
        <v>7</v>
      </c>
      <c r="C1472" s="9">
        <v>19.8</v>
      </c>
      <c r="D1472" s="10">
        <v>14.9</v>
      </c>
    </row>
    <row r="1473" spans="1:4" x14ac:dyDescent="0.35">
      <c r="A1473" s="11">
        <v>50112</v>
      </c>
      <c r="B1473" s="12" t="s">
        <v>26</v>
      </c>
      <c r="C1473" s="13">
        <v>23.7</v>
      </c>
      <c r="D1473" s="14">
        <v>0.9</v>
      </c>
    </row>
    <row r="1474" spans="1:4" x14ac:dyDescent="0.35">
      <c r="A1474" s="7">
        <v>50113</v>
      </c>
      <c r="B1474" s="8" t="s">
        <v>24</v>
      </c>
      <c r="C1474" s="9">
        <v>23.5</v>
      </c>
      <c r="D1474" s="10">
        <v>1</v>
      </c>
    </row>
    <row r="1475" spans="1:4" x14ac:dyDescent="0.35">
      <c r="A1475" s="11">
        <v>50114</v>
      </c>
      <c r="B1475" s="12" t="s">
        <v>5</v>
      </c>
      <c r="C1475" s="13">
        <v>18.8</v>
      </c>
      <c r="D1475" s="14">
        <v>7.8</v>
      </c>
    </row>
    <row r="1476" spans="1:4" x14ac:dyDescent="0.35">
      <c r="A1476" s="7">
        <v>50115</v>
      </c>
      <c r="B1476" s="8" t="s">
        <v>6</v>
      </c>
      <c r="C1476" s="9">
        <v>18.7</v>
      </c>
      <c r="D1476" s="10">
        <v>10</v>
      </c>
    </row>
    <row r="1477" spans="1:4" x14ac:dyDescent="0.35">
      <c r="A1477" s="11">
        <v>50116</v>
      </c>
      <c r="B1477" s="12" t="s">
        <v>19</v>
      </c>
      <c r="C1477" s="13">
        <v>28.3</v>
      </c>
      <c r="D1477" s="14">
        <v>21.8</v>
      </c>
    </row>
    <row r="1478" spans="1:4" x14ac:dyDescent="0.35">
      <c r="A1478" s="7">
        <v>50117</v>
      </c>
      <c r="B1478" s="8" t="s">
        <v>22</v>
      </c>
      <c r="C1478" s="9">
        <v>10.6</v>
      </c>
      <c r="D1478" s="10">
        <v>6.4</v>
      </c>
    </row>
    <row r="1479" spans="1:4" x14ac:dyDescent="0.35">
      <c r="A1479" s="11">
        <v>50118</v>
      </c>
      <c r="B1479" s="12" t="s">
        <v>10</v>
      </c>
      <c r="C1479" s="13">
        <v>26.2</v>
      </c>
      <c r="D1479" s="14">
        <v>19.2</v>
      </c>
    </row>
    <row r="1480" spans="1:4" x14ac:dyDescent="0.35">
      <c r="A1480" s="7">
        <v>50119</v>
      </c>
      <c r="B1480" s="8" t="s">
        <v>13</v>
      </c>
      <c r="C1480" s="9">
        <v>25.3</v>
      </c>
      <c r="D1480" s="10">
        <v>8.6999999999999993</v>
      </c>
    </row>
    <row r="1481" spans="1:4" x14ac:dyDescent="0.35">
      <c r="A1481" s="11">
        <v>50120</v>
      </c>
      <c r="B1481" s="12" t="s">
        <v>22</v>
      </c>
      <c r="C1481" s="13">
        <v>21.6</v>
      </c>
      <c r="D1481" s="14">
        <v>1</v>
      </c>
    </row>
    <row r="1482" spans="1:4" x14ac:dyDescent="0.35">
      <c r="A1482" s="7">
        <v>50121</v>
      </c>
      <c r="B1482" s="8" t="s">
        <v>19</v>
      </c>
      <c r="C1482" s="9">
        <v>24.9</v>
      </c>
      <c r="D1482" s="10">
        <v>23.5</v>
      </c>
    </row>
    <row r="1483" spans="1:4" x14ac:dyDescent="0.35">
      <c r="A1483" s="11">
        <v>50122</v>
      </c>
      <c r="B1483" s="12" t="s">
        <v>15</v>
      </c>
      <c r="C1483" s="13">
        <v>27.7</v>
      </c>
      <c r="D1483" s="14">
        <v>11.5</v>
      </c>
    </row>
    <row r="1484" spans="1:4" x14ac:dyDescent="0.35">
      <c r="A1484" s="7">
        <v>50123</v>
      </c>
      <c r="B1484" s="8" t="s">
        <v>19</v>
      </c>
      <c r="C1484" s="9">
        <v>12.3</v>
      </c>
      <c r="D1484" s="10">
        <v>0</v>
      </c>
    </row>
    <row r="1485" spans="1:4" x14ac:dyDescent="0.35">
      <c r="A1485" s="11">
        <v>50124</v>
      </c>
      <c r="B1485" s="12" t="s">
        <v>20</v>
      </c>
      <c r="C1485" s="13">
        <v>10.199999999999999</v>
      </c>
      <c r="D1485" s="14">
        <v>0.8</v>
      </c>
    </row>
    <row r="1486" spans="1:4" x14ac:dyDescent="0.35">
      <c r="A1486" s="7">
        <v>50125</v>
      </c>
      <c r="B1486" s="8" t="s">
        <v>10</v>
      </c>
      <c r="C1486" s="9">
        <v>23.1</v>
      </c>
      <c r="D1486" s="10">
        <v>0</v>
      </c>
    </row>
    <row r="1487" spans="1:4" x14ac:dyDescent="0.35">
      <c r="A1487" s="11">
        <v>50126</v>
      </c>
      <c r="B1487" s="12" t="s">
        <v>18</v>
      </c>
      <c r="C1487" s="13">
        <v>11.3</v>
      </c>
      <c r="D1487" s="14">
        <v>0</v>
      </c>
    </row>
    <row r="1488" spans="1:4" x14ac:dyDescent="0.35">
      <c r="A1488" s="7">
        <v>50127</v>
      </c>
      <c r="B1488" s="8" t="s">
        <v>19</v>
      </c>
      <c r="C1488" s="9">
        <v>29.5</v>
      </c>
      <c r="D1488" s="10">
        <v>10.4</v>
      </c>
    </row>
    <row r="1489" spans="1:4" x14ac:dyDescent="0.35">
      <c r="A1489" s="11">
        <v>50128</v>
      </c>
      <c r="B1489" s="12" t="s">
        <v>15</v>
      </c>
      <c r="C1489" s="13">
        <v>19.7</v>
      </c>
      <c r="D1489" s="14">
        <v>0</v>
      </c>
    </row>
    <row r="1490" spans="1:4" x14ac:dyDescent="0.35">
      <c r="A1490" s="7">
        <v>50129</v>
      </c>
      <c r="B1490" s="8" t="s">
        <v>5</v>
      </c>
      <c r="C1490" s="9">
        <v>27.9</v>
      </c>
      <c r="D1490" s="10">
        <v>3.4</v>
      </c>
    </row>
    <row r="1491" spans="1:4" x14ac:dyDescent="0.35">
      <c r="A1491" s="11">
        <v>50130</v>
      </c>
      <c r="B1491" s="12" t="s">
        <v>10</v>
      </c>
      <c r="C1491" s="13">
        <v>17.399999999999999</v>
      </c>
      <c r="D1491" s="14">
        <v>34.200000000000003</v>
      </c>
    </row>
    <row r="1492" spans="1:4" x14ac:dyDescent="0.35">
      <c r="A1492" s="7">
        <v>50131</v>
      </c>
      <c r="B1492" s="8" t="s">
        <v>17</v>
      </c>
      <c r="C1492" s="9">
        <v>23</v>
      </c>
      <c r="D1492" s="10">
        <v>0</v>
      </c>
    </row>
    <row r="1493" spans="1:4" x14ac:dyDescent="0.35">
      <c r="A1493" s="11">
        <v>50132</v>
      </c>
      <c r="B1493" s="12" t="s">
        <v>21</v>
      </c>
      <c r="C1493" s="13">
        <v>27.6</v>
      </c>
      <c r="D1493" s="14">
        <v>0</v>
      </c>
    </row>
    <row r="1494" spans="1:4" x14ac:dyDescent="0.35">
      <c r="A1494" s="7">
        <v>50133</v>
      </c>
      <c r="B1494" s="8" t="s">
        <v>22</v>
      </c>
      <c r="C1494" s="9">
        <v>11.6</v>
      </c>
      <c r="D1494" s="10">
        <v>0</v>
      </c>
    </row>
    <row r="1495" spans="1:4" x14ac:dyDescent="0.35">
      <c r="A1495" s="11">
        <v>50134</v>
      </c>
      <c r="B1495" s="12" t="s">
        <v>20</v>
      </c>
      <c r="C1495" s="13">
        <v>24.2</v>
      </c>
      <c r="D1495" s="14">
        <v>5</v>
      </c>
    </row>
    <row r="1496" spans="1:4" x14ac:dyDescent="0.35">
      <c r="A1496" s="7">
        <v>50135</v>
      </c>
      <c r="B1496" s="8" t="s">
        <v>6</v>
      </c>
      <c r="C1496" s="9">
        <v>13.2</v>
      </c>
      <c r="D1496" s="10">
        <v>2.2999999999999998</v>
      </c>
    </row>
    <row r="1497" spans="1:4" x14ac:dyDescent="0.35">
      <c r="A1497" s="11">
        <v>50136</v>
      </c>
      <c r="B1497" s="12" t="s">
        <v>7</v>
      </c>
      <c r="C1497" s="13">
        <v>27</v>
      </c>
      <c r="D1497" s="14">
        <v>0.7</v>
      </c>
    </row>
    <row r="1498" spans="1:4" x14ac:dyDescent="0.35">
      <c r="A1498" s="7">
        <v>50137</v>
      </c>
      <c r="B1498" s="8" t="s">
        <v>6</v>
      </c>
      <c r="C1498" s="9">
        <v>23.9</v>
      </c>
      <c r="D1498" s="10">
        <v>6.2</v>
      </c>
    </row>
    <row r="1499" spans="1:4" x14ac:dyDescent="0.35">
      <c r="A1499" s="11">
        <v>50138</v>
      </c>
      <c r="B1499" s="12" t="s">
        <v>19</v>
      </c>
      <c r="C1499" s="13">
        <v>16.8</v>
      </c>
      <c r="D1499" s="14">
        <v>17.600000000000001</v>
      </c>
    </row>
    <row r="1500" spans="1:4" x14ac:dyDescent="0.35">
      <c r="A1500" s="7">
        <v>50139</v>
      </c>
      <c r="B1500" s="8" t="s">
        <v>19</v>
      </c>
      <c r="C1500" s="9">
        <v>28.5</v>
      </c>
      <c r="D1500" s="10">
        <v>15.2</v>
      </c>
    </row>
    <row r="1501" spans="1:4" x14ac:dyDescent="0.35">
      <c r="A1501" s="11">
        <v>50140</v>
      </c>
      <c r="B1501" s="12" t="s">
        <v>33</v>
      </c>
      <c r="C1501" s="13">
        <v>25.2</v>
      </c>
      <c r="D1501" s="14">
        <v>1.9</v>
      </c>
    </row>
    <row r="1502" spans="1:4" x14ac:dyDescent="0.35">
      <c r="A1502" s="7">
        <v>50141</v>
      </c>
      <c r="B1502" s="8" t="s">
        <v>10</v>
      </c>
      <c r="C1502" s="9">
        <v>24.9</v>
      </c>
      <c r="D1502" s="10">
        <v>6.8</v>
      </c>
    </row>
    <row r="1503" spans="1:4" x14ac:dyDescent="0.35">
      <c r="A1503" s="11">
        <v>50142</v>
      </c>
      <c r="B1503" s="12" t="s">
        <v>12</v>
      </c>
      <c r="C1503" s="13">
        <v>14.7</v>
      </c>
      <c r="D1503" s="14">
        <v>5.7</v>
      </c>
    </row>
    <row r="1504" spans="1:4" x14ac:dyDescent="0.35">
      <c r="A1504" s="7">
        <v>50143</v>
      </c>
      <c r="B1504" s="8" t="s">
        <v>10</v>
      </c>
      <c r="C1504" s="9">
        <v>12.2</v>
      </c>
      <c r="D1504" s="10">
        <v>14.1</v>
      </c>
    </row>
    <row r="1505" spans="1:4" x14ac:dyDescent="0.35">
      <c r="A1505" s="11">
        <v>50144</v>
      </c>
      <c r="B1505" s="12" t="s">
        <v>9</v>
      </c>
      <c r="C1505" s="13">
        <v>24.2</v>
      </c>
      <c r="D1505" s="14">
        <v>8</v>
      </c>
    </row>
    <row r="1506" spans="1:4" x14ac:dyDescent="0.35">
      <c r="A1506" s="7">
        <v>50145</v>
      </c>
      <c r="B1506" s="8" t="s">
        <v>22</v>
      </c>
      <c r="C1506" s="9">
        <v>28.7</v>
      </c>
      <c r="D1506" s="10">
        <v>0</v>
      </c>
    </row>
    <row r="1507" spans="1:4" x14ac:dyDescent="0.35">
      <c r="A1507" s="11">
        <v>50146</v>
      </c>
      <c r="B1507" s="12" t="s">
        <v>10</v>
      </c>
      <c r="C1507" s="13">
        <v>28.5</v>
      </c>
      <c r="D1507" s="14">
        <v>0</v>
      </c>
    </row>
    <row r="1508" spans="1:4" x14ac:dyDescent="0.35">
      <c r="A1508" s="7">
        <v>50147</v>
      </c>
      <c r="B1508" s="8" t="s">
        <v>7</v>
      </c>
      <c r="C1508" s="9">
        <v>29.3</v>
      </c>
      <c r="D1508" s="10">
        <v>23.3</v>
      </c>
    </row>
    <row r="1509" spans="1:4" x14ac:dyDescent="0.35">
      <c r="A1509" s="11">
        <v>50148</v>
      </c>
      <c r="B1509" s="12" t="s">
        <v>10</v>
      </c>
      <c r="C1509" s="13">
        <v>13.3</v>
      </c>
      <c r="D1509" s="14">
        <v>4.9000000000000004</v>
      </c>
    </row>
    <row r="1510" spans="1:4" x14ac:dyDescent="0.35">
      <c r="A1510" s="7">
        <v>50149</v>
      </c>
      <c r="B1510" s="8" t="s">
        <v>10</v>
      </c>
      <c r="C1510" s="9">
        <v>22.6</v>
      </c>
      <c r="D1510" s="10">
        <v>0.7</v>
      </c>
    </row>
    <row r="1511" spans="1:4" x14ac:dyDescent="0.35">
      <c r="A1511" s="11">
        <v>50150</v>
      </c>
      <c r="B1511" s="12" t="s">
        <v>20</v>
      </c>
      <c r="C1511" s="13">
        <v>19.3</v>
      </c>
      <c r="D1511" s="14">
        <v>3</v>
      </c>
    </row>
    <row r="1512" spans="1:4" x14ac:dyDescent="0.35">
      <c r="A1512" s="7">
        <v>50151</v>
      </c>
      <c r="B1512" s="8" t="s">
        <v>8</v>
      </c>
      <c r="C1512" s="9">
        <v>17.899999999999999</v>
      </c>
      <c r="D1512" s="10">
        <v>5.0999999999999996</v>
      </c>
    </row>
    <row r="1513" spans="1:4" x14ac:dyDescent="0.35">
      <c r="A1513" s="11">
        <v>50152</v>
      </c>
      <c r="B1513" s="12" t="s">
        <v>20</v>
      </c>
      <c r="C1513" s="13">
        <v>16.7</v>
      </c>
      <c r="D1513" s="14">
        <v>0.3</v>
      </c>
    </row>
    <row r="1514" spans="1:4" x14ac:dyDescent="0.35">
      <c r="A1514" s="7">
        <v>50153</v>
      </c>
      <c r="B1514" s="8" t="s">
        <v>20</v>
      </c>
      <c r="C1514" s="9">
        <v>22</v>
      </c>
      <c r="D1514" s="10">
        <v>0</v>
      </c>
    </row>
    <row r="1515" spans="1:4" x14ac:dyDescent="0.35">
      <c r="A1515" s="11">
        <v>50154</v>
      </c>
      <c r="B1515" s="12" t="s">
        <v>9</v>
      </c>
      <c r="C1515" s="13">
        <v>21.2</v>
      </c>
      <c r="D1515" s="14">
        <v>5.9</v>
      </c>
    </row>
    <row r="1516" spans="1:4" x14ac:dyDescent="0.35">
      <c r="A1516" s="7">
        <v>50155</v>
      </c>
      <c r="B1516" s="8" t="s">
        <v>11</v>
      </c>
      <c r="C1516" s="9">
        <v>20.6</v>
      </c>
      <c r="D1516" s="10">
        <v>4.5999999999999996</v>
      </c>
    </row>
    <row r="1517" spans="1:4" x14ac:dyDescent="0.35">
      <c r="A1517" s="11">
        <v>50156</v>
      </c>
      <c r="B1517" s="12" t="s">
        <v>19</v>
      </c>
      <c r="C1517" s="13">
        <v>29.4</v>
      </c>
      <c r="D1517" s="14">
        <v>9.1999999999999993</v>
      </c>
    </row>
    <row r="1518" spans="1:4" x14ac:dyDescent="0.35">
      <c r="A1518" s="7">
        <v>50157</v>
      </c>
      <c r="B1518" s="8" t="s">
        <v>7</v>
      </c>
      <c r="C1518" s="9">
        <v>21.3</v>
      </c>
      <c r="D1518" s="10">
        <v>0</v>
      </c>
    </row>
    <row r="1519" spans="1:4" x14ac:dyDescent="0.35">
      <c r="A1519" s="11">
        <v>50158</v>
      </c>
      <c r="B1519" s="12" t="s">
        <v>9</v>
      </c>
      <c r="C1519" s="13">
        <v>20.100000000000001</v>
      </c>
      <c r="D1519" s="14">
        <v>2.2000000000000002</v>
      </c>
    </row>
    <row r="1520" spans="1:4" x14ac:dyDescent="0.35">
      <c r="A1520" s="7">
        <v>50159</v>
      </c>
      <c r="B1520" s="8" t="s">
        <v>10</v>
      </c>
      <c r="C1520" s="9">
        <v>12.7</v>
      </c>
      <c r="D1520" s="10">
        <v>5.6</v>
      </c>
    </row>
    <row r="1521" spans="1:4" x14ac:dyDescent="0.35">
      <c r="A1521" s="11">
        <v>50160</v>
      </c>
      <c r="B1521" s="12" t="s">
        <v>11</v>
      </c>
      <c r="C1521" s="13">
        <v>28.9</v>
      </c>
      <c r="D1521" s="14">
        <v>0</v>
      </c>
    </row>
    <row r="1522" spans="1:4" x14ac:dyDescent="0.35">
      <c r="A1522" s="7">
        <v>50161</v>
      </c>
      <c r="B1522" s="8" t="s">
        <v>19</v>
      </c>
      <c r="C1522" s="9">
        <v>24.4</v>
      </c>
      <c r="D1522" s="10">
        <v>28.7</v>
      </c>
    </row>
    <row r="1523" spans="1:4" x14ac:dyDescent="0.35">
      <c r="A1523" s="11">
        <v>50162</v>
      </c>
      <c r="B1523" s="12" t="s">
        <v>10</v>
      </c>
      <c r="C1523" s="13">
        <v>10.8</v>
      </c>
      <c r="D1523" s="14">
        <v>0</v>
      </c>
    </row>
    <row r="1524" spans="1:4" x14ac:dyDescent="0.35">
      <c r="A1524" s="7">
        <v>50163</v>
      </c>
      <c r="B1524" s="8" t="s">
        <v>10</v>
      </c>
      <c r="C1524" s="9">
        <v>18.399999999999999</v>
      </c>
      <c r="D1524" s="10">
        <v>0</v>
      </c>
    </row>
    <row r="1525" spans="1:4" x14ac:dyDescent="0.35">
      <c r="A1525" s="11">
        <v>50164</v>
      </c>
      <c r="B1525" s="12" t="s">
        <v>19</v>
      </c>
      <c r="C1525" s="13">
        <v>23.3</v>
      </c>
      <c r="D1525" s="14">
        <v>10.7</v>
      </c>
    </row>
    <row r="1526" spans="1:4" x14ac:dyDescent="0.35">
      <c r="A1526" s="7">
        <v>50165</v>
      </c>
      <c r="B1526" s="8" t="s">
        <v>15</v>
      </c>
      <c r="C1526" s="9">
        <v>27.9</v>
      </c>
      <c r="D1526" s="10">
        <v>14.8</v>
      </c>
    </row>
    <row r="1527" spans="1:4" x14ac:dyDescent="0.35">
      <c r="A1527" s="11">
        <v>50166</v>
      </c>
      <c r="B1527" s="12" t="s">
        <v>12</v>
      </c>
      <c r="C1527" s="13">
        <v>24.7</v>
      </c>
      <c r="D1527" s="14">
        <v>9</v>
      </c>
    </row>
    <row r="1528" spans="1:4" x14ac:dyDescent="0.35">
      <c r="A1528" s="7">
        <v>50167</v>
      </c>
      <c r="B1528" s="8" t="s">
        <v>19</v>
      </c>
      <c r="C1528" s="9">
        <v>14.3</v>
      </c>
      <c r="D1528" s="10">
        <v>22</v>
      </c>
    </row>
    <row r="1529" spans="1:4" x14ac:dyDescent="0.35">
      <c r="A1529" s="11">
        <v>50168</v>
      </c>
      <c r="B1529" s="12" t="s">
        <v>33</v>
      </c>
      <c r="C1529" s="13">
        <v>26.2</v>
      </c>
      <c r="D1529" s="14">
        <v>2</v>
      </c>
    </row>
    <row r="1530" spans="1:4" x14ac:dyDescent="0.35">
      <c r="A1530" s="7">
        <v>50169</v>
      </c>
      <c r="B1530" s="8" t="s">
        <v>16</v>
      </c>
      <c r="C1530" s="9">
        <v>21.5</v>
      </c>
      <c r="D1530" s="10">
        <v>0.4</v>
      </c>
    </row>
    <row r="1531" spans="1:4" x14ac:dyDescent="0.35">
      <c r="A1531" s="11">
        <v>50170</v>
      </c>
      <c r="B1531" s="12" t="s">
        <v>10</v>
      </c>
      <c r="C1531" s="13">
        <v>12.8</v>
      </c>
      <c r="D1531" s="14">
        <v>0</v>
      </c>
    </row>
    <row r="1532" spans="1:4" x14ac:dyDescent="0.35">
      <c r="A1532" s="7">
        <v>50171</v>
      </c>
      <c r="B1532" s="8" t="s">
        <v>9</v>
      </c>
      <c r="C1532" s="9">
        <v>24.6</v>
      </c>
      <c r="D1532" s="10">
        <v>3</v>
      </c>
    </row>
    <row r="1533" spans="1:4" x14ac:dyDescent="0.35">
      <c r="A1533" s="11">
        <v>50172</v>
      </c>
      <c r="B1533" s="12" t="s">
        <v>27</v>
      </c>
      <c r="C1533" s="13">
        <v>22.6</v>
      </c>
      <c r="D1533" s="14">
        <v>1.6</v>
      </c>
    </row>
    <row r="1534" spans="1:4" x14ac:dyDescent="0.35">
      <c r="A1534" s="7">
        <v>50173</v>
      </c>
      <c r="B1534" s="8" t="s">
        <v>13</v>
      </c>
      <c r="C1534" s="9">
        <v>27.3</v>
      </c>
      <c r="D1534" s="10">
        <v>9.3000000000000007</v>
      </c>
    </row>
    <row r="1535" spans="1:4" x14ac:dyDescent="0.35">
      <c r="A1535" s="11">
        <v>50174</v>
      </c>
      <c r="B1535" s="12" t="s">
        <v>19</v>
      </c>
      <c r="C1535" s="13">
        <v>10.8</v>
      </c>
      <c r="D1535" s="14">
        <v>22.2</v>
      </c>
    </row>
    <row r="1536" spans="1:4" x14ac:dyDescent="0.35">
      <c r="A1536" s="7">
        <v>50175</v>
      </c>
      <c r="B1536" s="8" t="s">
        <v>17</v>
      </c>
      <c r="C1536" s="9">
        <v>12</v>
      </c>
      <c r="D1536" s="10">
        <v>5.3</v>
      </c>
    </row>
    <row r="1537" spans="1:4" x14ac:dyDescent="0.35">
      <c r="A1537" s="11">
        <v>50176</v>
      </c>
      <c r="B1537" s="12" t="s">
        <v>7</v>
      </c>
      <c r="C1537" s="13">
        <v>28.1</v>
      </c>
      <c r="D1537" s="14">
        <v>0</v>
      </c>
    </row>
    <row r="1538" spans="1:4" x14ac:dyDescent="0.35">
      <c r="A1538" s="7">
        <v>50177</v>
      </c>
      <c r="B1538" s="8" t="s">
        <v>11</v>
      </c>
      <c r="C1538" s="9">
        <v>16.100000000000001</v>
      </c>
      <c r="D1538" s="10">
        <v>9</v>
      </c>
    </row>
    <row r="1539" spans="1:4" x14ac:dyDescent="0.35">
      <c r="A1539" s="11">
        <v>50178</v>
      </c>
      <c r="B1539" s="12" t="s">
        <v>18</v>
      </c>
      <c r="C1539" s="13">
        <v>29</v>
      </c>
      <c r="D1539" s="14">
        <v>1.6</v>
      </c>
    </row>
    <row r="1540" spans="1:4" x14ac:dyDescent="0.35">
      <c r="A1540" s="7">
        <v>50179</v>
      </c>
      <c r="B1540" s="8" t="s">
        <v>11</v>
      </c>
      <c r="C1540" s="9">
        <v>23.6</v>
      </c>
      <c r="D1540" s="10">
        <v>16</v>
      </c>
    </row>
    <row r="1541" spans="1:4" x14ac:dyDescent="0.35">
      <c r="A1541" s="11">
        <v>50180</v>
      </c>
      <c r="B1541" s="12" t="s">
        <v>19</v>
      </c>
      <c r="C1541" s="13">
        <v>11.6</v>
      </c>
      <c r="D1541" s="14">
        <v>32</v>
      </c>
    </row>
    <row r="1542" spans="1:4" x14ac:dyDescent="0.35">
      <c r="A1542" s="7">
        <v>50181</v>
      </c>
      <c r="B1542" s="8" t="s">
        <v>15</v>
      </c>
      <c r="C1542" s="9">
        <v>15.9</v>
      </c>
      <c r="D1542" s="10">
        <v>5.5</v>
      </c>
    </row>
    <row r="1543" spans="1:4" x14ac:dyDescent="0.35">
      <c r="A1543" s="11">
        <v>50182</v>
      </c>
      <c r="B1543" s="12" t="s">
        <v>26</v>
      </c>
      <c r="C1543" s="13">
        <v>28.3</v>
      </c>
      <c r="D1543" s="14">
        <v>6</v>
      </c>
    </row>
    <row r="1544" spans="1:4" x14ac:dyDescent="0.35">
      <c r="A1544" s="7">
        <v>50183</v>
      </c>
      <c r="B1544" s="8" t="s">
        <v>12</v>
      </c>
      <c r="C1544" s="9">
        <v>16.600000000000001</v>
      </c>
      <c r="D1544" s="10">
        <v>11.3</v>
      </c>
    </row>
    <row r="1545" spans="1:4" x14ac:dyDescent="0.35">
      <c r="A1545" s="11">
        <v>50184</v>
      </c>
      <c r="B1545" s="12" t="s">
        <v>22</v>
      </c>
      <c r="C1545" s="13">
        <v>25.2</v>
      </c>
      <c r="D1545" s="14">
        <v>6.4</v>
      </c>
    </row>
    <row r="1546" spans="1:4" x14ac:dyDescent="0.35">
      <c r="A1546" s="7">
        <v>50185</v>
      </c>
      <c r="B1546" s="8" t="s">
        <v>10</v>
      </c>
      <c r="C1546" s="9">
        <v>29.5</v>
      </c>
      <c r="D1546" s="10">
        <v>26.1</v>
      </c>
    </row>
    <row r="1547" spans="1:4" x14ac:dyDescent="0.35">
      <c r="A1547" s="11">
        <v>50186</v>
      </c>
      <c r="B1547" s="12" t="s">
        <v>18</v>
      </c>
      <c r="C1547" s="13">
        <v>13.3</v>
      </c>
      <c r="D1547" s="14">
        <v>7.3</v>
      </c>
    </row>
    <row r="1548" spans="1:4" x14ac:dyDescent="0.35">
      <c r="A1548" s="7">
        <v>50187</v>
      </c>
      <c r="B1548" s="8" t="s">
        <v>17</v>
      </c>
      <c r="C1548" s="9">
        <v>19.5</v>
      </c>
      <c r="D1548" s="10">
        <v>3.4</v>
      </c>
    </row>
    <row r="1549" spans="1:4" x14ac:dyDescent="0.35">
      <c r="A1549" s="11">
        <v>50188</v>
      </c>
      <c r="B1549" s="12" t="s">
        <v>25</v>
      </c>
      <c r="C1549" s="13">
        <v>11.9</v>
      </c>
      <c r="D1549" s="14">
        <v>1.7</v>
      </c>
    </row>
    <row r="1550" spans="1:4" x14ac:dyDescent="0.35">
      <c r="A1550" s="7">
        <v>50189</v>
      </c>
      <c r="B1550" s="8" t="s">
        <v>14</v>
      </c>
      <c r="C1550" s="9">
        <v>29.5</v>
      </c>
      <c r="D1550" s="10">
        <v>5.0999999999999996</v>
      </c>
    </row>
    <row r="1551" spans="1:4" x14ac:dyDescent="0.35">
      <c r="A1551" s="11">
        <v>50190</v>
      </c>
      <c r="B1551" s="12" t="s">
        <v>19</v>
      </c>
      <c r="C1551" s="13">
        <v>25.1</v>
      </c>
      <c r="D1551" s="14">
        <v>0</v>
      </c>
    </row>
    <row r="1552" spans="1:4" x14ac:dyDescent="0.35">
      <c r="A1552" s="7">
        <v>50191</v>
      </c>
      <c r="B1552" s="8" t="s">
        <v>22</v>
      </c>
      <c r="C1552" s="9">
        <v>15.1</v>
      </c>
      <c r="D1552" s="10">
        <v>0</v>
      </c>
    </row>
    <row r="1553" spans="1:4" x14ac:dyDescent="0.35">
      <c r="A1553" s="11">
        <v>50192</v>
      </c>
      <c r="B1553" s="12" t="s">
        <v>33</v>
      </c>
      <c r="C1553" s="13">
        <v>19.7</v>
      </c>
      <c r="D1553" s="14">
        <v>1.7</v>
      </c>
    </row>
    <row r="1554" spans="1:4" x14ac:dyDescent="0.35">
      <c r="A1554" s="7">
        <v>50193</v>
      </c>
      <c r="B1554" s="8" t="s">
        <v>19</v>
      </c>
      <c r="C1554" s="9">
        <v>25.6</v>
      </c>
      <c r="D1554" s="10">
        <v>0</v>
      </c>
    </row>
    <row r="1555" spans="1:4" x14ac:dyDescent="0.35">
      <c r="A1555" s="11">
        <v>50194</v>
      </c>
      <c r="B1555" s="12" t="s">
        <v>11</v>
      </c>
      <c r="C1555" s="13">
        <v>25</v>
      </c>
      <c r="D1555" s="14">
        <v>18.8</v>
      </c>
    </row>
    <row r="1556" spans="1:4" x14ac:dyDescent="0.35">
      <c r="A1556" s="7">
        <v>50195</v>
      </c>
      <c r="B1556" s="8" t="s">
        <v>23</v>
      </c>
      <c r="C1556" s="9">
        <v>11.5</v>
      </c>
      <c r="D1556" s="10">
        <v>0</v>
      </c>
    </row>
    <row r="1557" spans="1:4" x14ac:dyDescent="0.35">
      <c r="A1557" s="11">
        <v>50196</v>
      </c>
      <c r="B1557" s="12" t="s">
        <v>10</v>
      </c>
      <c r="C1557" s="13">
        <v>23.8</v>
      </c>
      <c r="D1557" s="14">
        <v>7.3</v>
      </c>
    </row>
    <row r="1558" spans="1:4" x14ac:dyDescent="0.35">
      <c r="A1558" s="7">
        <v>50197</v>
      </c>
      <c r="B1558" s="8" t="s">
        <v>19</v>
      </c>
      <c r="C1558" s="9">
        <v>25.3</v>
      </c>
      <c r="D1558" s="10">
        <v>14.7</v>
      </c>
    </row>
    <row r="1559" spans="1:4" x14ac:dyDescent="0.35">
      <c r="A1559" s="11">
        <v>50198</v>
      </c>
      <c r="B1559" s="12" t="s">
        <v>10</v>
      </c>
      <c r="C1559" s="13">
        <v>22.6</v>
      </c>
      <c r="D1559" s="14">
        <v>42.2</v>
      </c>
    </row>
    <row r="1560" spans="1:4" x14ac:dyDescent="0.35">
      <c r="A1560" s="7">
        <v>50199</v>
      </c>
      <c r="B1560" s="8" t="s">
        <v>14</v>
      </c>
      <c r="C1560" s="9">
        <v>18.100000000000001</v>
      </c>
      <c r="D1560" s="10">
        <v>3.3</v>
      </c>
    </row>
    <row r="1561" spans="1:4" x14ac:dyDescent="0.35">
      <c r="A1561" s="11">
        <v>50200</v>
      </c>
      <c r="B1561" s="12" t="s">
        <v>19</v>
      </c>
      <c r="C1561" s="13">
        <v>17.8</v>
      </c>
      <c r="D1561" s="14">
        <v>0</v>
      </c>
    </row>
    <row r="1562" spans="1:4" x14ac:dyDescent="0.35">
      <c r="A1562" s="7">
        <v>50201</v>
      </c>
      <c r="B1562" s="8" t="s">
        <v>10</v>
      </c>
      <c r="C1562" s="9">
        <v>25.1</v>
      </c>
      <c r="D1562" s="10">
        <v>25.5</v>
      </c>
    </row>
    <row r="1563" spans="1:4" x14ac:dyDescent="0.35">
      <c r="A1563" s="11">
        <v>50202</v>
      </c>
      <c r="B1563" s="12" t="s">
        <v>18</v>
      </c>
      <c r="C1563" s="13">
        <v>12</v>
      </c>
      <c r="D1563" s="14">
        <v>0</v>
      </c>
    </row>
    <row r="1564" spans="1:4" x14ac:dyDescent="0.35">
      <c r="A1564" s="7">
        <v>50203</v>
      </c>
      <c r="B1564" s="8" t="s">
        <v>10</v>
      </c>
      <c r="C1564" s="9">
        <v>23.2</v>
      </c>
      <c r="D1564" s="10">
        <v>0</v>
      </c>
    </row>
    <row r="1565" spans="1:4" x14ac:dyDescent="0.35">
      <c r="A1565" s="11">
        <v>50204</v>
      </c>
      <c r="B1565" s="12" t="s">
        <v>6</v>
      </c>
      <c r="C1565" s="13">
        <v>16</v>
      </c>
      <c r="D1565" s="14">
        <v>7.9</v>
      </c>
    </row>
    <row r="1566" spans="1:4" x14ac:dyDescent="0.35">
      <c r="A1566" s="7">
        <v>50205</v>
      </c>
      <c r="B1566" s="8" t="s">
        <v>15</v>
      </c>
      <c r="C1566" s="9">
        <v>26.5</v>
      </c>
      <c r="D1566" s="10">
        <v>20.2</v>
      </c>
    </row>
    <row r="1567" spans="1:4" x14ac:dyDescent="0.35">
      <c r="A1567" s="11">
        <v>50206</v>
      </c>
      <c r="B1567" s="12" t="s">
        <v>29</v>
      </c>
      <c r="C1567" s="13">
        <v>28.9</v>
      </c>
      <c r="D1567" s="14">
        <v>0.3</v>
      </c>
    </row>
    <row r="1568" spans="1:4" x14ac:dyDescent="0.35">
      <c r="A1568" s="7">
        <v>50207</v>
      </c>
      <c r="B1568" s="8" t="s">
        <v>10</v>
      </c>
      <c r="C1568" s="9">
        <v>26.6</v>
      </c>
      <c r="D1568" s="10">
        <v>0</v>
      </c>
    </row>
    <row r="1569" spans="1:4" x14ac:dyDescent="0.35">
      <c r="A1569" s="11">
        <v>50208</v>
      </c>
      <c r="B1569" s="12" t="s">
        <v>7</v>
      </c>
      <c r="C1569" s="13">
        <v>13.1</v>
      </c>
      <c r="D1569" s="14">
        <v>19.899999999999999</v>
      </c>
    </row>
    <row r="1570" spans="1:4" x14ac:dyDescent="0.35">
      <c r="A1570" s="7">
        <v>50209</v>
      </c>
      <c r="B1570" s="8" t="s">
        <v>10</v>
      </c>
      <c r="C1570" s="9">
        <v>21.5</v>
      </c>
      <c r="D1570" s="10">
        <v>33.4</v>
      </c>
    </row>
    <row r="1571" spans="1:4" x14ac:dyDescent="0.35">
      <c r="A1571" s="11">
        <v>50210</v>
      </c>
      <c r="B1571" s="12" t="s">
        <v>31</v>
      </c>
      <c r="C1571" s="13">
        <v>25.7</v>
      </c>
      <c r="D1571" s="14">
        <v>0</v>
      </c>
    </row>
    <row r="1572" spans="1:4" x14ac:dyDescent="0.35">
      <c r="A1572" s="7">
        <v>50211</v>
      </c>
      <c r="B1572" s="8" t="s">
        <v>19</v>
      </c>
      <c r="C1572" s="9">
        <v>11.8</v>
      </c>
      <c r="D1572" s="10">
        <v>23</v>
      </c>
    </row>
    <row r="1573" spans="1:4" x14ac:dyDescent="0.35">
      <c r="A1573" s="11">
        <v>50212</v>
      </c>
      <c r="B1573" s="12" t="s">
        <v>25</v>
      </c>
      <c r="C1573" s="13">
        <v>12.6</v>
      </c>
      <c r="D1573" s="14">
        <v>0.7</v>
      </c>
    </row>
    <row r="1574" spans="1:4" x14ac:dyDescent="0.35">
      <c r="A1574" s="7">
        <v>50213</v>
      </c>
      <c r="B1574" s="8" t="s">
        <v>27</v>
      </c>
      <c r="C1574" s="9">
        <v>26.2</v>
      </c>
      <c r="D1574" s="10">
        <v>0.3</v>
      </c>
    </row>
    <row r="1575" spans="1:4" x14ac:dyDescent="0.35">
      <c r="A1575" s="11">
        <v>50214</v>
      </c>
      <c r="B1575" s="12" t="s">
        <v>8</v>
      </c>
      <c r="C1575" s="13">
        <v>29.1</v>
      </c>
      <c r="D1575" s="14">
        <v>5</v>
      </c>
    </row>
    <row r="1576" spans="1:4" x14ac:dyDescent="0.35">
      <c r="A1576" s="7">
        <v>50215</v>
      </c>
      <c r="B1576" s="8" t="s">
        <v>22</v>
      </c>
      <c r="C1576" s="9">
        <v>18.899999999999999</v>
      </c>
      <c r="D1576" s="10">
        <v>7.5</v>
      </c>
    </row>
    <row r="1577" spans="1:4" x14ac:dyDescent="0.35">
      <c r="A1577" s="11">
        <v>50216</v>
      </c>
      <c r="B1577" s="12" t="s">
        <v>11</v>
      </c>
      <c r="C1577" s="13">
        <v>10.5</v>
      </c>
      <c r="D1577" s="14">
        <v>7.3</v>
      </c>
    </row>
    <row r="1578" spans="1:4" x14ac:dyDescent="0.35">
      <c r="A1578" s="7">
        <v>50217</v>
      </c>
      <c r="B1578" s="8" t="s">
        <v>23</v>
      </c>
      <c r="C1578" s="9">
        <v>15.1</v>
      </c>
      <c r="D1578" s="10">
        <v>6</v>
      </c>
    </row>
    <row r="1579" spans="1:4" x14ac:dyDescent="0.35">
      <c r="A1579" s="11">
        <v>50218</v>
      </c>
      <c r="B1579" s="12" t="s">
        <v>7</v>
      </c>
      <c r="C1579" s="13">
        <v>27.8</v>
      </c>
      <c r="D1579" s="14">
        <v>8.3000000000000007</v>
      </c>
    </row>
    <row r="1580" spans="1:4" x14ac:dyDescent="0.35">
      <c r="A1580" s="7">
        <v>50219</v>
      </c>
      <c r="B1580" s="8" t="s">
        <v>16</v>
      </c>
      <c r="C1580" s="9">
        <v>11.7</v>
      </c>
      <c r="D1580" s="10">
        <v>0.4</v>
      </c>
    </row>
    <row r="1581" spans="1:4" x14ac:dyDescent="0.35">
      <c r="A1581" s="11">
        <v>50220</v>
      </c>
      <c r="B1581" s="12" t="s">
        <v>10</v>
      </c>
      <c r="C1581" s="13">
        <v>10.5</v>
      </c>
      <c r="D1581" s="14">
        <v>36.9</v>
      </c>
    </row>
    <row r="1582" spans="1:4" x14ac:dyDescent="0.35">
      <c r="A1582" s="7">
        <v>50221</v>
      </c>
      <c r="B1582" s="8" t="s">
        <v>5</v>
      </c>
      <c r="C1582" s="9">
        <v>21</v>
      </c>
      <c r="D1582" s="10">
        <v>7.1</v>
      </c>
    </row>
    <row r="1583" spans="1:4" x14ac:dyDescent="0.35">
      <c r="A1583" s="11">
        <v>50222</v>
      </c>
      <c r="B1583" s="12" t="s">
        <v>24</v>
      </c>
      <c r="C1583" s="13">
        <v>17.399999999999999</v>
      </c>
      <c r="D1583" s="14">
        <v>3.7</v>
      </c>
    </row>
    <row r="1584" spans="1:4" x14ac:dyDescent="0.35">
      <c r="A1584" s="7">
        <v>50223</v>
      </c>
      <c r="B1584" s="8" t="s">
        <v>18</v>
      </c>
      <c r="C1584" s="9">
        <v>21.9</v>
      </c>
      <c r="D1584" s="10">
        <v>7.6</v>
      </c>
    </row>
    <row r="1585" spans="1:4" x14ac:dyDescent="0.35">
      <c r="A1585" s="11">
        <v>50224</v>
      </c>
      <c r="B1585" s="12" t="s">
        <v>18</v>
      </c>
      <c r="C1585" s="13">
        <v>26</v>
      </c>
      <c r="D1585" s="14">
        <v>4.5999999999999996</v>
      </c>
    </row>
    <row r="1586" spans="1:4" x14ac:dyDescent="0.35">
      <c r="A1586" s="7">
        <v>50225</v>
      </c>
      <c r="B1586" s="8" t="s">
        <v>19</v>
      </c>
      <c r="C1586" s="9">
        <v>12.2</v>
      </c>
      <c r="D1586" s="10">
        <v>19.3</v>
      </c>
    </row>
    <row r="1587" spans="1:4" x14ac:dyDescent="0.35">
      <c r="A1587" s="11">
        <v>50226</v>
      </c>
      <c r="B1587" s="12" t="s">
        <v>8</v>
      </c>
      <c r="C1587" s="13">
        <v>22.4</v>
      </c>
      <c r="D1587" s="14">
        <v>0.3</v>
      </c>
    </row>
    <row r="1588" spans="1:4" x14ac:dyDescent="0.35">
      <c r="A1588" s="7">
        <v>50227</v>
      </c>
      <c r="B1588" s="8" t="s">
        <v>22</v>
      </c>
      <c r="C1588" s="9">
        <v>18.600000000000001</v>
      </c>
      <c r="D1588" s="10">
        <v>7.2</v>
      </c>
    </row>
    <row r="1589" spans="1:4" x14ac:dyDescent="0.35">
      <c r="A1589" s="11">
        <v>50228</v>
      </c>
      <c r="B1589" s="12" t="s">
        <v>10</v>
      </c>
      <c r="C1589" s="13">
        <v>17.100000000000001</v>
      </c>
      <c r="D1589" s="14">
        <v>0</v>
      </c>
    </row>
    <row r="1590" spans="1:4" x14ac:dyDescent="0.35">
      <c r="A1590" s="7">
        <v>50229</v>
      </c>
      <c r="B1590" s="8" t="s">
        <v>19</v>
      </c>
      <c r="C1590" s="9">
        <v>25.1</v>
      </c>
      <c r="D1590" s="10">
        <v>24.3</v>
      </c>
    </row>
    <row r="1591" spans="1:4" x14ac:dyDescent="0.35">
      <c r="A1591" s="11">
        <v>50230</v>
      </c>
      <c r="B1591" s="12" t="s">
        <v>11</v>
      </c>
      <c r="C1591" s="13">
        <v>10.4</v>
      </c>
      <c r="D1591" s="14">
        <v>22.2</v>
      </c>
    </row>
    <row r="1592" spans="1:4" x14ac:dyDescent="0.35">
      <c r="A1592" s="7">
        <v>50231</v>
      </c>
      <c r="B1592" s="8" t="s">
        <v>18</v>
      </c>
      <c r="C1592" s="9">
        <v>28.9</v>
      </c>
      <c r="D1592" s="10">
        <v>0</v>
      </c>
    </row>
    <row r="1593" spans="1:4" x14ac:dyDescent="0.35">
      <c r="A1593" s="11">
        <v>50232</v>
      </c>
      <c r="B1593" s="12" t="s">
        <v>31</v>
      </c>
      <c r="C1593" s="13">
        <v>24.1</v>
      </c>
      <c r="D1593" s="14">
        <v>0</v>
      </c>
    </row>
    <row r="1594" spans="1:4" x14ac:dyDescent="0.35">
      <c r="A1594" s="7">
        <v>50233</v>
      </c>
      <c r="B1594" s="8" t="s">
        <v>19</v>
      </c>
      <c r="C1594" s="9">
        <v>23.2</v>
      </c>
      <c r="D1594" s="10">
        <v>22.1</v>
      </c>
    </row>
    <row r="1595" spans="1:4" x14ac:dyDescent="0.35">
      <c r="A1595" s="11">
        <v>50234</v>
      </c>
      <c r="B1595" s="12" t="s">
        <v>13</v>
      </c>
      <c r="C1595" s="13">
        <v>24.1</v>
      </c>
      <c r="D1595" s="14">
        <v>9.3000000000000007</v>
      </c>
    </row>
    <row r="1596" spans="1:4" x14ac:dyDescent="0.35">
      <c r="A1596" s="7">
        <v>50235</v>
      </c>
      <c r="B1596" s="8" t="s">
        <v>10</v>
      </c>
      <c r="C1596" s="9">
        <v>14.6</v>
      </c>
      <c r="D1596" s="10">
        <v>0</v>
      </c>
    </row>
    <row r="1597" spans="1:4" x14ac:dyDescent="0.35">
      <c r="A1597" s="11">
        <v>50236</v>
      </c>
      <c r="B1597" s="12" t="s">
        <v>20</v>
      </c>
      <c r="C1597" s="13">
        <v>17.7</v>
      </c>
      <c r="D1597" s="14">
        <v>0</v>
      </c>
    </row>
    <row r="1598" spans="1:4" x14ac:dyDescent="0.35">
      <c r="A1598" s="7">
        <v>50237</v>
      </c>
      <c r="B1598" s="8" t="s">
        <v>6</v>
      </c>
      <c r="C1598" s="9">
        <v>20.100000000000001</v>
      </c>
      <c r="D1598" s="10">
        <v>11.5</v>
      </c>
    </row>
    <row r="1599" spans="1:4" x14ac:dyDescent="0.35">
      <c r="A1599" s="11">
        <v>50238</v>
      </c>
      <c r="B1599" s="12" t="s">
        <v>8</v>
      </c>
      <c r="C1599" s="13">
        <v>27.5</v>
      </c>
      <c r="D1599" s="14">
        <v>0</v>
      </c>
    </row>
    <row r="1600" spans="1:4" x14ac:dyDescent="0.35">
      <c r="A1600" s="7">
        <v>50239</v>
      </c>
      <c r="B1600" s="8" t="s">
        <v>7</v>
      </c>
      <c r="C1600" s="9">
        <v>10.9</v>
      </c>
      <c r="D1600" s="10">
        <v>9</v>
      </c>
    </row>
    <row r="1601" spans="1:4" x14ac:dyDescent="0.35">
      <c r="A1601" s="11">
        <v>50240</v>
      </c>
      <c r="B1601" s="12" t="s">
        <v>24</v>
      </c>
      <c r="C1601" s="13">
        <v>27.6</v>
      </c>
      <c r="D1601" s="14">
        <v>3.2</v>
      </c>
    </row>
    <row r="1602" spans="1:4" x14ac:dyDescent="0.35">
      <c r="A1602" s="7">
        <v>50241</v>
      </c>
      <c r="B1602" s="8" t="s">
        <v>19</v>
      </c>
      <c r="C1602" s="9">
        <v>24.5</v>
      </c>
      <c r="D1602" s="10">
        <v>15.3</v>
      </c>
    </row>
    <row r="1603" spans="1:4" x14ac:dyDescent="0.35">
      <c r="A1603" s="11">
        <v>50242</v>
      </c>
      <c r="B1603" s="12" t="s">
        <v>17</v>
      </c>
      <c r="C1603" s="13">
        <v>10.8</v>
      </c>
      <c r="D1603" s="14">
        <v>0</v>
      </c>
    </row>
    <row r="1604" spans="1:4" x14ac:dyDescent="0.35">
      <c r="A1604" s="7">
        <v>50243</v>
      </c>
      <c r="B1604" s="8" t="s">
        <v>19</v>
      </c>
      <c r="C1604" s="9">
        <v>28.7</v>
      </c>
      <c r="D1604" s="10">
        <v>27.2</v>
      </c>
    </row>
    <row r="1605" spans="1:4" x14ac:dyDescent="0.35">
      <c r="A1605" s="11">
        <v>50244</v>
      </c>
      <c r="B1605" s="12" t="s">
        <v>9</v>
      </c>
      <c r="C1605" s="13">
        <v>21.5</v>
      </c>
      <c r="D1605" s="14">
        <v>0.6</v>
      </c>
    </row>
    <row r="1606" spans="1:4" x14ac:dyDescent="0.35">
      <c r="A1606" s="7">
        <v>50245</v>
      </c>
      <c r="B1606" s="8" t="s">
        <v>24</v>
      </c>
      <c r="C1606" s="9">
        <v>20.100000000000001</v>
      </c>
      <c r="D1606" s="10">
        <v>0.8</v>
      </c>
    </row>
    <row r="1607" spans="1:4" x14ac:dyDescent="0.35">
      <c r="A1607" s="11">
        <v>50246</v>
      </c>
      <c r="B1607" s="12" t="s">
        <v>19</v>
      </c>
      <c r="C1607" s="13">
        <v>21.3</v>
      </c>
      <c r="D1607" s="14">
        <v>14.6</v>
      </c>
    </row>
    <row r="1608" spans="1:4" x14ac:dyDescent="0.35">
      <c r="A1608" s="7">
        <v>50247</v>
      </c>
      <c r="B1608" s="8" t="s">
        <v>27</v>
      </c>
      <c r="C1608" s="9">
        <v>20.2</v>
      </c>
      <c r="D1608" s="10">
        <v>6.9</v>
      </c>
    </row>
    <row r="1609" spans="1:4" x14ac:dyDescent="0.35">
      <c r="A1609" s="11">
        <v>50248</v>
      </c>
      <c r="B1609" s="12" t="s">
        <v>13</v>
      </c>
      <c r="C1609" s="13">
        <v>16.8</v>
      </c>
      <c r="D1609" s="14">
        <v>7.6</v>
      </c>
    </row>
    <row r="1610" spans="1:4" x14ac:dyDescent="0.35">
      <c r="A1610" s="7">
        <v>50249</v>
      </c>
      <c r="B1610" s="8" t="s">
        <v>6</v>
      </c>
      <c r="C1610" s="9">
        <v>26.5</v>
      </c>
      <c r="D1610" s="10">
        <v>2.5</v>
      </c>
    </row>
    <row r="1611" spans="1:4" x14ac:dyDescent="0.35">
      <c r="A1611" s="11">
        <v>50250</v>
      </c>
      <c r="B1611" s="12" t="s">
        <v>7</v>
      </c>
      <c r="C1611" s="13">
        <v>18.899999999999999</v>
      </c>
      <c r="D1611" s="14">
        <v>0</v>
      </c>
    </row>
    <row r="1612" spans="1:4" x14ac:dyDescent="0.35">
      <c r="A1612" s="7">
        <v>50251</v>
      </c>
      <c r="B1612" s="8" t="s">
        <v>20</v>
      </c>
      <c r="C1612" s="9">
        <v>22.9</v>
      </c>
      <c r="D1612" s="10">
        <v>1.2</v>
      </c>
    </row>
    <row r="1613" spans="1:4" x14ac:dyDescent="0.35">
      <c r="A1613" s="11">
        <v>50252</v>
      </c>
      <c r="B1613" s="12" t="s">
        <v>19</v>
      </c>
      <c r="C1613" s="13">
        <v>11.3</v>
      </c>
      <c r="D1613" s="14">
        <v>32.700000000000003</v>
      </c>
    </row>
    <row r="1614" spans="1:4" x14ac:dyDescent="0.35">
      <c r="A1614" s="7">
        <v>50253</v>
      </c>
      <c r="B1614" s="8" t="s">
        <v>13</v>
      </c>
      <c r="C1614" s="9">
        <v>13</v>
      </c>
      <c r="D1614" s="10">
        <v>1.7</v>
      </c>
    </row>
    <row r="1615" spans="1:4" x14ac:dyDescent="0.35">
      <c r="A1615" s="11">
        <v>50254</v>
      </c>
      <c r="B1615" s="12" t="s">
        <v>8</v>
      </c>
      <c r="C1615" s="13">
        <v>18.3</v>
      </c>
      <c r="D1615" s="14">
        <v>2.5</v>
      </c>
    </row>
    <row r="1616" spans="1:4" x14ac:dyDescent="0.35">
      <c r="A1616" s="7">
        <v>50255</v>
      </c>
      <c r="B1616" s="8" t="s">
        <v>7</v>
      </c>
      <c r="C1616" s="9">
        <v>10.199999999999999</v>
      </c>
      <c r="D1616" s="10">
        <v>14.3</v>
      </c>
    </row>
    <row r="1617" spans="1:4" x14ac:dyDescent="0.35">
      <c r="A1617" s="11">
        <v>50256</v>
      </c>
      <c r="B1617" s="12" t="s">
        <v>11</v>
      </c>
      <c r="C1617" s="13">
        <v>14.5</v>
      </c>
      <c r="D1617" s="14">
        <v>10.5</v>
      </c>
    </row>
    <row r="1618" spans="1:4" x14ac:dyDescent="0.35">
      <c r="A1618" s="7">
        <v>50257</v>
      </c>
      <c r="B1618" s="8" t="s">
        <v>14</v>
      </c>
      <c r="C1618" s="9">
        <v>12.3</v>
      </c>
      <c r="D1618" s="10">
        <v>7.4</v>
      </c>
    </row>
    <row r="1619" spans="1:4" x14ac:dyDescent="0.35">
      <c r="A1619" s="11">
        <v>50258</v>
      </c>
      <c r="B1619" s="12" t="s">
        <v>13</v>
      </c>
      <c r="C1619" s="13">
        <v>17</v>
      </c>
      <c r="D1619" s="14">
        <v>16.899999999999999</v>
      </c>
    </row>
    <row r="1620" spans="1:4" x14ac:dyDescent="0.35">
      <c r="A1620" s="7">
        <v>50259</v>
      </c>
      <c r="B1620" s="8" t="s">
        <v>5</v>
      </c>
      <c r="C1620" s="9">
        <v>17.5</v>
      </c>
      <c r="D1620" s="10">
        <v>0</v>
      </c>
    </row>
    <row r="1621" spans="1:4" x14ac:dyDescent="0.35">
      <c r="A1621" s="11">
        <v>50260</v>
      </c>
      <c r="B1621" s="12" t="s">
        <v>4</v>
      </c>
      <c r="C1621" s="13">
        <v>28.4</v>
      </c>
      <c r="D1621" s="14">
        <v>0</v>
      </c>
    </row>
    <row r="1622" spans="1:4" x14ac:dyDescent="0.35">
      <c r="A1622" s="7">
        <v>50261</v>
      </c>
      <c r="B1622" s="8" t="s">
        <v>19</v>
      </c>
      <c r="C1622" s="9">
        <v>13.1</v>
      </c>
      <c r="D1622" s="10">
        <v>36.6</v>
      </c>
    </row>
    <row r="1623" spans="1:4" x14ac:dyDescent="0.35">
      <c r="A1623" s="11">
        <v>50262</v>
      </c>
      <c r="B1623" s="12" t="s">
        <v>7</v>
      </c>
      <c r="C1623" s="13">
        <v>16.600000000000001</v>
      </c>
      <c r="D1623" s="14">
        <v>6.6</v>
      </c>
    </row>
    <row r="1624" spans="1:4" x14ac:dyDescent="0.35">
      <c r="A1624" s="7">
        <v>50263</v>
      </c>
      <c r="B1624" s="8" t="s">
        <v>19</v>
      </c>
      <c r="C1624" s="9">
        <v>20.2</v>
      </c>
      <c r="D1624" s="10">
        <v>0</v>
      </c>
    </row>
    <row r="1625" spans="1:4" x14ac:dyDescent="0.35">
      <c r="A1625" s="11">
        <v>50264</v>
      </c>
      <c r="B1625" s="12" t="s">
        <v>7</v>
      </c>
      <c r="C1625" s="13">
        <v>26.4</v>
      </c>
      <c r="D1625" s="14">
        <v>11.9</v>
      </c>
    </row>
    <row r="1626" spans="1:4" x14ac:dyDescent="0.35">
      <c r="A1626" s="7">
        <v>50265</v>
      </c>
      <c r="B1626" s="8" t="s">
        <v>10</v>
      </c>
      <c r="C1626" s="9">
        <v>11.8</v>
      </c>
      <c r="D1626" s="10">
        <v>0</v>
      </c>
    </row>
    <row r="1627" spans="1:4" x14ac:dyDescent="0.35">
      <c r="A1627" s="11">
        <v>50266</v>
      </c>
      <c r="B1627" s="12" t="s">
        <v>17</v>
      </c>
      <c r="C1627" s="13">
        <v>19.5</v>
      </c>
      <c r="D1627" s="14">
        <v>6.4</v>
      </c>
    </row>
    <row r="1628" spans="1:4" x14ac:dyDescent="0.35">
      <c r="A1628" s="7">
        <v>50267</v>
      </c>
      <c r="B1628" s="8" t="s">
        <v>19</v>
      </c>
      <c r="C1628" s="9">
        <v>12</v>
      </c>
      <c r="D1628" s="10">
        <v>13.3</v>
      </c>
    </row>
    <row r="1629" spans="1:4" x14ac:dyDescent="0.35">
      <c r="A1629" s="11">
        <v>50268</v>
      </c>
      <c r="B1629" s="12" t="s">
        <v>22</v>
      </c>
      <c r="C1629" s="13">
        <v>16.3</v>
      </c>
      <c r="D1629" s="14">
        <v>7.5</v>
      </c>
    </row>
    <row r="1630" spans="1:4" x14ac:dyDescent="0.35">
      <c r="A1630" s="7">
        <v>50269</v>
      </c>
      <c r="B1630" s="8" t="s">
        <v>17</v>
      </c>
      <c r="C1630" s="9">
        <v>22.8</v>
      </c>
      <c r="D1630" s="10">
        <v>2.7</v>
      </c>
    </row>
    <row r="1631" spans="1:4" x14ac:dyDescent="0.35">
      <c r="A1631" s="11">
        <v>50270</v>
      </c>
      <c r="B1631" s="12" t="s">
        <v>10</v>
      </c>
      <c r="C1631" s="13">
        <v>16.2</v>
      </c>
      <c r="D1631" s="14">
        <v>43.3</v>
      </c>
    </row>
    <row r="1632" spans="1:4" x14ac:dyDescent="0.35">
      <c r="A1632" s="7">
        <v>50271</v>
      </c>
      <c r="B1632" s="8" t="s">
        <v>24</v>
      </c>
      <c r="C1632" s="9">
        <v>11.5</v>
      </c>
      <c r="D1632" s="10">
        <v>3.1</v>
      </c>
    </row>
    <row r="1633" spans="1:4" x14ac:dyDescent="0.35">
      <c r="A1633" s="11">
        <v>50272</v>
      </c>
      <c r="B1633" s="12" t="s">
        <v>13</v>
      </c>
      <c r="C1633" s="13">
        <v>13.5</v>
      </c>
      <c r="D1633" s="14">
        <v>0</v>
      </c>
    </row>
    <row r="1634" spans="1:4" x14ac:dyDescent="0.35">
      <c r="A1634" s="7">
        <v>50273</v>
      </c>
      <c r="B1634" s="8" t="s">
        <v>17</v>
      </c>
      <c r="C1634" s="9">
        <v>16.2</v>
      </c>
      <c r="D1634" s="10">
        <v>6.4</v>
      </c>
    </row>
    <row r="1635" spans="1:4" x14ac:dyDescent="0.35">
      <c r="A1635" s="11">
        <v>50274</v>
      </c>
      <c r="B1635" s="12" t="s">
        <v>10</v>
      </c>
      <c r="C1635" s="13">
        <v>18.5</v>
      </c>
      <c r="D1635" s="14">
        <v>24.9</v>
      </c>
    </row>
    <row r="1636" spans="1:4" x14ac:dyDescent="0.35">
      <c r="A1636" s="7">
        <v>50275</v>
      </c>
      <c r="B1636" s="8" t="s">
        <v>19</v>
      </c>
      <c r="C1636" s="9">
        <v>10.9</v>
      </c>
      <c r="D1636" s="10">
        <v>0</v>
      </c>
    </row>
    <row r="1637" spans="1:4" x14ac:dyDescent="0.35">
      <c r="A1637" s="11">
        <v>50276</v>
      </c>
      <c r="B1637" s="12" t="s">
        <v>17</v>
      </c>
      <c r="C1637" s="13">
        <v>23.9</v>
      </c>
      <c r="D1637" s="14">
        <v>4.5</v>
      </c>
    </row>
    <row r="1638" spans="1:4" x14ac:dyDescent="0.35">
      <c r="A1638" s="7">
        <v>50277</v>
      </c>
      <c r="B1638" s="8" t="s">
        <v>11</v>
      </c>
      <c r="C1638" s="9">
        <v>20.2</v>
      </c>
      <c r="D1638" s="10">
        <v>0</v>
      </c>
    </row>
    <row r="1639" spans="1:4" x14ac:dyDescent="0.35">
      <c r="A1639" s="11">
        <v>50278</v>
      </c>
      <c r="B1639" s="12" t="s">
        <v>7</v>
      </c>
      <c r="C1639" s="13">
        <v>23.3</v>
      </c>
      <c r="D1639" s="14">
        <v>0</v>
      </c>
    </row>
    <row r="1640" spans="1:4" x14ac:dyDescent="0.35">
      <c r="A1640" s="7">
        <v>50279</v>
      </c>
      <c r="B1640" s="8" t="s">
        <v>13</v>
      </c>
      <c r="C1640" s="9">
        <v>26.3</v>
      </c>
      <c r="D1640" s="10">
        <v>2.2000000000000002</v>
      </c>
    </row>
    <row r="1641" spans="1:4" x14ac:dyDescent="0.35">
      <c r="A1641" s="11">
        <v>50280</v>
      </c>
      <c r="B1641" s="12" t="s">
        <v>13</v>
      </c>
      <c r="C1641" s="13">
        <v>20.3</v>
      </c>
      <c r="D1641" s="14">
        <v>16.600000000000001</v>
      </c>
    </row>
    <row r="1642" spans="1:4" x14ac:dyDescent="0.35">
      <c r="A1642" s="7">
        <v>50281</v>
      </c>
      <c r="B1642" s="8" t="s">
        <v>10</v>
      </c>
      <c r="C1642" s="9">
        <v>11.1</v>
      </c>
      <c r="D1642" s="10">
        <v>38</v>
      </c>
    </row>
    <row r="1643" spans="1:4" x14ac:dyDescent="0.35">
      <c r="A1643" s="11">
        <v>50282</v>
      </c>
      <c r="B1643" s="12" t="s">
        <v>5</v>
      </c>
      <c r="C1643" s="13">
        <v>10.7</v>
      </c>
      <c r="D1643" s="14">
        <v>1.2</v>
      </c>
    </row>
    <row r="1644" spans="1:4" x14ac:dyDescent="0.35">
      <c r="A1644" s="7">
        <v>50283</v>
      </c>
      <c r="B1644" s="8" t="s">
        <v>21</v>
      </c>
      <c r="C1644" s="9">
        <v>21.8</v>
      </c>
      <c r="D1644" s="10">
        <v>0</v>
      </c>
    </row>
    <row r="1645" spans="1:4" x14ac:dyDescent="0.35">
      <c r="A1645" s="11">
        <v>50284</v>
      </c>
      <c r="B1645" s="12" t="s">
        <v>7</v>
      </c>
      <c r="C1645" s="13">
        <v>29.7</v>
      </c>
      <c r="D1645" s="14">
        <v>2.5</v>
      </c>
    </row>
    <row r="1646" spans="1:4" x14ac:dyDescent="0.35">
      <c r="A1646" s="7">
        <v>50285</v>
      </c>
      <c r="B1646" s="8" t="s">
        <v>10</v>
      </c>
      <c r="C1646" s="9">
        <v>21.7</v>
      </c>
      <c r="D1646" s="10">
        <v>16.100000000000001</v>
      </c>
    </row>
    <row r="1647" spans="1:4" x14ac:dyDescent="0.35">
      <c r="A1647" s="11">
        <v>50286</v>
      </c>
      <c r="B1647" s="12" t="s">
        <v>10</v>
      </c>
      <c r="C1647" s="13">
        <v>26</v>
      </c>
      <c r="D1647" s="14">
        <v>47.6</v>
      </c>
    </row>
    <row r="1648" spans="1:4" x14ac:dyDescent="0.35">
      <c r="A1648" s="7">
        <v>50287</v>
      </c>
      <c r="B1648" s="8" t="s">
        <v>7</v>
      </c>
      <c r="C1648" s="9">
        <v>18</v>
      </c>
      <c r="D1648" s="10">
        <v>5.3</v>
      </c>
    </row>
    <row r="1649" spans="1:4" x14ac:dyDescent="0.35">
      <c r="A1649" s="11">
        <v>50288</v>
      </c>
      <c r="B1649" s="12" t="s">
        <v>24</v>
      </c>
      <c r="C1649" s="13">
        <v>15.8</v>
      </c>
      <c r="D1649" s="14">
        <v>3.6</v>
      </c>
    </row>
    <row r="1650" spans="1:4" x14ac:dyDescent="0.35">
      <c r="A1650" s="7">
        <v>50289</v>
      </c>
      <c r="B1650" s="8" t="s">
        <v>26</v>
      </c>
      <c r="C1650" s="9">
        <v>14.1</v>
      </c>
      <c r="D1650" s="10">
        <v>6.8</v>
      </c>
    </row>
    <row r="1651" spans="1:4" x14ac:dyDescent="0.35">
      <c r="A1651" s="11">
        <v>50290</v>
      </c>
      <c r="B1651" s="12" t="s">
        <v>24</v>
      </c>
      <c r="C1651" s="13">
        <v>22.3</v>
      </c>
      <c r="D1651" s="14">
        <v>1.8</v>
      </c>
    </row>
    <row r="1652" spans="1:4" x14ac:dyDescent="0.35">
      <c r="A1652" s="7">
        <v>50291</v>
      </c>
      <c r="B1652" s="8" t="s">
        <v>19</v>
      </c>
      <c r="C1652" s="9">
        <v>22.2</v>
      </c>
      <c r="D1652" s="10">
        <v>0</v>
      </c>
    </row>
    <row r="1653" spans="1:4" x14ac:dyDescent="0.35">
      <c r="A1653" s="11">
        <v>50292</v>
      </c>
      <c r="B1653" s="12" t="s">
        <v>6</v>
      </c>
      <c r="C1653" s="13">
        <v>23.8</v>
      </c>
      <c r="D1653" s="14">
        <v>0</v>
      </c>
    </row>
    <row r="1654" spans="1:4" x14ac:dyDescent="0.35">
      <c r="A1654" s="7">
        <v>50293</v>
      </c>
      <c r="B1654" s="8" t="s">
        <v>14</v>
      </c>
      <c r="C1654" s="9">
        <v>10</v>
      </c>
      <c r="D1654" s="10">
        <v>8.1</v>
      </c>
    </row>
    <row r="1655" spans="1:4" x14ac:dyDescent="0.35">
      <c r="A1655" s="11">
        <v>50294</v>
      </c>
      <c r="B1655" s="12" t="s">
        <v>24</v>
      </c>
      <c r="C1655" s="13">
        <v>23.8</v>
      </c>
      <c r="D1655" s="14">
        <v>0</v>
      </c>
    </row>
    <row r="1656" spans="1:4" x14ac:dyDescent="0.35">
      <c r="A1656" s="7">
        <v>50295</v>
      </c>
      <c r="B1656" s="8" t="s">
        <v>23</v>
      </c>
      <c r="C1656" s="9">
        <v>13.4</v>
      </c>
      <c r="D1656" s="10">
        <v>2.6</v>
      </c>
    </row>
    <row r="1657" spans="1:4" x14ac:dyDescent="0.35">
      <c r="A1657" s="11">
        <v>50296</v>
      </c>
      <c r="B1657" s="12" t="s">
        <v>24</v>
      </c>
      <c r="C1657" s="13">
        <v>17</v>
      </c>
      <c r="D1657" s="14">
        <v>1.5</v>
      </c>
    </row>
    <row r="1658" spans="1:4" x14ac:dyDescent="0.35">
      <c r="A1658" s="7">
        <v>50297</v>
      </c>
      <c r="B1658" s="8" t="s">
        <v>6</v>
      </c>
      <c r="C1658" s="9">
        <v>25.5</v>
      </c>
      <c r="D1658" s="10">
        <v>0</v>
      </c>
    </row>
    <row r="1659" spans="1:4" x14ac:dyDescent="0.35">
      <c r="A1659" s="11">
        <v>50298</v>
      </c>
      <c r="B1659" s="12" t="s">
        <v>14</v>
      </c>
      <c r="C1659" s="13">
        <v>19.7</v>
      </c>
      <c r="D1659" s="14">
        <v>0</v>
      </c>
    </row>
    <row r="1660" spans="1:4" x14ac:dyDescent="0.35">
      <c r="A1660" s="7">
        <v>50299</v>
      </c>
      <c r="B1660" s="8" t="s">
        <v>10</v>
      </c>
      <c r="C1660" s="9">
        <v>22.8</v>
      </c>
      <c r="D1660" s="10">
        <v>10.7</v>
      </c>
    </row>
    <row r="1661" spans="1:4" x14ac:dyDescent="0.35">
      <c r="A1661" s="11">
        <v>50300</v>
      </c>
      <c r="B1661" s="12" t="s">
        <v>16</v>
      </c>
      <c r="C1661" s="13">
        <v>25.5</v>
      </c>
      <c r="D1661" s="14">
        <v>0</v>
      </c>
    </row>
    <row r="1662" spans="1:4" x14ac:dyDescent="0.35">
      <c r="A1662" s="7">
        <v>50301</v>
      </c>
      <c r="B1662" s="8" t="s">
        <v>10</v>
      </c>
      <c r="C1662" s="9">
        <v>16.8</v>
      </c>
      <c r="D1662" s="10">
        <v>2.2000000000000002</v>
      </c>
    </row>
    <row r="1663" spans="1:4" x14ac:dyDescent="0.35">
      <c r="A1663" s="11">
        <v>50302</v>
      </c>
      <c r="B1663" s="12" t="s">
        <v>23</v>
      </c>
      <c r="C1663" s="13">
        <v>25.3</v>
      </c>
      <c r="D1663" s="14">
        <v>2.5</v>
      </c>
    </row>
    <row r="1664" spans="1:4" x14ac:dyDescent="0.35">
      <c r="A1664" s="7">
        <v>50303</v>
      </c>
      <c r="B1664" s="8" t="s">
        <v>25</v>
      </c>
      <c r="C1664" s="9">
        <v>26.3</v>
      </c>
      <c r="D1664" s="10">
        <v>0.4</v>
      </c>
    </row>
    <row r="1665" spans="1:4" x14ac:dyDescent="0.35">
      <c r="A1665" s="11">
        <v>50304</v>
      </c>
      <c r="B1665" s="12" t="s">
        <v>13</v>
      </c>
      <c r="C1665" s="13">
        <v>21.9</v>
      </c>
      <c r="D1665" s="14">
        <v>7</v>
      </c>
    </row>
    <row r="1666" spans="1:4" x14ac:dyDescent="0.35">
      <c r="A1666" s="7">
        <v>50305</v>
      </c>
      <c r="B1666" s="8" t="s">
        <v>13</v>
      </c>
      <c r="C1666" s="9">
        <v>11.2</v>
      </c>
      <c r="D1666" s="10">
        <v>0</v>
      </c>
    </row>
    <row r="1667" spans="1:4" x14ac:dyDescent="0.35">
      <c r="A1667" s="11">
        <v>50306</v>
      </c>
      <c r="B1667" s="12" t="s">
        <v>15</v>
      </c>
      <c r="C1667" s="13">
        <v>10.6</v>
      </c>
      <c r="D1667" s="14">
        <v>5.2</v>
      </c>
    </row>
    <row r="1668" spans="1:4" x14ac:dyDescent="0.35">
      <c r="A1668" s="7">
        <v>50307</v>
      </c>
      <c r="B1668" s="8" t="s">
        <v>12</v>
      </c>
      <c r="C1668" s="9">
        <v>17.7</v>
      </c>
      <c r="D1668" s="10">
        <v>1</v>
      </c>
    </row>
    <row r="1669" spans="1:4" x14ac:dyDescent="0.35">
      <c r="A1669" s="11">
        <v>50308</v>
      </c>
      <c r="B1669" s="12" t="s">
        <v>7</v>
      </c>
      <c r="C1669" s="13">
        <v>19.899999999999999</v>
      </c>
      <c r="D1669" s="14">
        <v>0</v>
      </c>
    </row>
    <row r="1670" spans="1:4" x14ac:dyDescent="0.35">
      <c r="A1670" s="7">
        <v>50309</v>
      </c>
      <c r="B1670" s="8" t="s">
        <v>10</v>
      </c>
      <c r="C1670" s="9">
        <v>25.1</v>
      </c>
      <c r="D1670" s="10">
        <v>42.1</v>
      </c>
    </row>
    <row r="1671" spans="1:4" x14ac:dyDescent="0.35">
      <c r="A1671" s="11">
        <v>50310</v>
      </c>
      <c r="B1671" s="12" t="s">
        <v>9</v>
      </c>
      <c r="C1671" s="13">
        <v>18.5</v>
      </c>
      <c r="D1671" s="14">
        <v>0.3</v>
      </c>
    </row>
    <row r="1672" spans="1:4" x14ac:dyDescent="0.35">
      <c r="A1672" s="7">
        <v>50311</v>
      </c>
      <c r="B1672" s="8" t="s">
        <v>10</v>
      </c>
      <c r="C1672" s="9">
        <v>25.5</v>
      </c>
      <c r="D1672" s="10">
        <v>25.3</v>
      </c>
    </row>
    <row r="1673" spans="1:4" x14ac:dyDescent="0.35">
      <c r="A1673" s="11">
        <v>50312</v>
      </c>
      <c r="B1673" s="12" t="s">
        <v>10</v>
      </c>
      <c r="C1673" s="13">
        <v>12.8</v>
      </c>
      <c r="D1673" s="14">
        <v>0</v>
      </c>
    </row>
    <row r="1674" spans="1:4" x14ac:dyDescent="0.35">
      <c r="A1674" s="7">
        <v>50313</v>
      </c>
      <c r="B1674" s="8" t="s">
        <v>19</v>
      </c>
      <c r="C1674" s="9">
        <v>23.6</v>
      </c>
      <c r="D1674" s="10">
        <v>34.299999999999997</v>
      </c>
    </row>
    <row r="1675" spans="1:4" x14ac:dyDescent="0.35">
      <c r="A1675" s="11">
        <v>50314</v>
      </c>
      <c r="B1675" s="12" t="s">
        <v>15</v>
      </c>
      <c r="C1675" s="13">
        <v>13.1</v>
      </c>
      <c r="D1675" s="14">
        <v>2</v>
      </c>
    </row>
    <row r="1676" spans="1:4" x14ac:dyDescent="0.35">
      <c r="A1676" s="7">
        <v>50315</v>
      </c>
      <c r="B1676" s="8" t="s">
        <v>23</v>
      </c>
      <c r="C1676" s="9">
        <v>23</v>
      </c>
      <c r="D1676" s="10">
        <v>0</v>
      </c>
    </row>
    <row r="1677" spans="1:4" x14ac:dyDescent="0.35">
      <c r="A1677" s="11">
        <v>50316</v>
      </c>
      <c r="B1677" s="12" t="s">
        <v>13</v>
      </c>
      <c r="C1677" s="13">
        <v>13</v>
      </c>
      <c r="D1677" s="14">
        <v>15.8</v>
      </c>
    </row>
    <row r="1678" spans="1:4" x14ac:dyDescent="0.35">
      <c r="A1678" s="7">
        <v>50317</v>
      </c>
      <c r="B1678" s="8" t="s">
        <v>9</v>
      </c>
      <c r="C1678" s="9">
        <v>19.5</v>
      </c>
      <c r="D1678" s="10">
        <v>8</v>
      </c>
    </row>
    <row r="1679" spans="1:4" x14ac:dyDescent="0.35">
      <c r="A1679" s="11">
        <v>50318</v>
      </c>
      <c r="B1679" s="12" t="s">
        <v>7</v>
      </c>
      <c r="C1679" s="13">
        <v>19.2</v>
      </c>
      <c r="D1679" s="14">
        <v>0</v>
      </c>
    </row>
    <row r="1680" spans="1:4" x14ac:dyDescent="0.35">
      <c r="A1680" s="7">
        <v>50319</v>
      </c>
      <c r="B1680" s="8" t="s">
        <v>5</v>
      </c>
      <c r="C1680" s="9">
        <v>28.3</v>
      </c>
      <c r="D1680" s="10">
        <v>1.1000000000000001</v>
      </c>
    </row>
    <row r="1681" spans="1:4" x14ac:dyDescent="0.35">
      <c r="A1681" s="11">
        <v>50320</v>
      </c>
      <c r="B1681" s="12" t="s">
        <v>10</v>
      </c>
      <c r="C1681" s="13">
        <v>18.100000000000001</v>
      </c>
      <c r="D1681" s="14">
        <v>0</v>
      </c>
    </row>
    <row r="1682" spans="1:4" x14ac:dyDescent="0.35">
      <c r="A1682" s="7">
        <v>50321</v>
      </c>
      <c r="B1682" s="8" t="s">
        <v>19</v>
      </c>
      <c r="C1682" s="9">
        <v>17.5</v>
      </c>
      <c r="D1682" s="10">
        <v>13.3</v>
      </c>
    </row>
    <row r="1683" spans="1:4" x14ac:dyDescent="0.35">
      <c r="A1683" s="11">
        <v>50322</v>
      </c>
      <c r="B1683" s="12" t="s">
        <v>6</v>
      </c>
      <c r="C1683" s="13">
        <v>26.7</v>
      </c>
      <c r="D1683" s="14">
        <v>12.9</v>
      </c>
    </row>
    <row r="1684" spans="1:4" x14ac:dyDescent="0.35">
      <c r="A1684" s="7">
        <v>50323</v>
      </c>
      <c r="B1684" s="8" t="s">
        <v>19</v>
      </c>
      <c r="C1684" s="9">
        <v>26.6</v>
      </c>
      <c r="D1684" s="10">
        <v>0</v>
      </c>
    </row>
    <row r="1685" spans="1:4" x14ac:dyDescent="0.35">
      <c r="A1685" s="11">
        <v>50324</v>
      </c>
      <c r="B1685" s="12" t="s">
        <v>22</v>
      </c>
      <c r="C1685" s="13">
        <v>12.2</v>
      </c>
      <c r="D1685" s="14">
        <v>1.8</v>
      </c>
    </row>
    <row r="1686" spans="1:4" x14ac:dyDescent="0.35">
      <c r="A1686" s="7">
        <v>50325</v>
      </c>
      <c r="B1686" s="8" t="s">
        <v>7</v>
      </c>
      <c r="C1686" s="9">
        <v>27.4</v>
      </c>
      <c r="D1686" s="10">
        <v>4.8</v>
      </c>
    </row>
    <row r="1687" spans="1:4" x14ac:dyDescent="0.35">
      <c r="A1687" s="11">
        <v>50326</v>
      </c>
      <c r="B1687" s="12" t="s">
        <v>13</v>
      </c>
      <c r="C1687" s="13">
        <v>24.9</v>
      </c>
      <c r="D1687" s="14">
        <v>1.6</v>
      </c>
    </row>
    <row r="1688" spans="1:4" x14ac:dyDescent="0.35">
      <c r="A1688" s="7">
        <v>50327</v>
      </c>
      <c r="B1688" s="8" t="s">
        <v>27</v>
      </c>
      <c r="C1688" s="9">
        <v>21.4</v>
      </c>
      <c r="D1688" s="10">
        <v>5.5</v>
      </c>
    </row>
    <row r="1689" spans="1:4" x14ac:dyDescent="0.35">
      <c r="A1689" s="11">
        <v>50328</v>
      </c>
      <c r="B1689" s="12" t="s">
        <v>29</v>
      </c>
      <c r="C1689" s="13">
        <v>14.1</v>
      </c>
      <c r="D1689" s="14">
        <v>0</v>
      </c>
    </row>
    <row r="1690" spans="1:4" x14ac:dyDescent="0.35">
      <c r="A1690" s="7">
        <v>50329</v>
      </c>
      <c r="B1690" s="8" t="s">
        <v>25</v>
      </c>
      <c r="C1690" s="9">
        <v>15.4</v>
      </c>
      <c r="D1690" s="10">
        <v>2.1</v>
      </c>
    </row>
    <row r="1691" spans="1:4" x14ac:dyDescent="0.35">
      <c r="A1691" s="11">
        <v>50330</v>
      </c>
      <c r="B1691" s="12" t="s">
        <v>13</v>
      </c>
      <c r="C1691" s="13">
        <v>27.7</v>
      </c>
      <c r="D1691" s="14">
        <v>0</v>
      </c>
    </row>
    <row r="1692" spans="1:4" x14ac:dyDescent="0.35">
      <c r="A1692" s="7">
        <v>50331</v>
      </c>
      <c r="B1692" s="8" t="s">
        <v>10</v>
      </c>
      <c r="C1692" s="9">
        <v>15.5</v>
      </c>
      <c r="D1692" s="10">
        <v>43.4</v>
      </c>
    </row>
    <row r="1693" spans="1:4" x14ac:dyDescent="0.35">
      <c r="A1693" s="11">
        <v>50332</v>
      </c>
      <c r="B1693" s="12" t="s">
        <v>7</v>
      </c>
      <c r="C1693" s="13">
        <v>26.8</v>
      </c>
      <c r="D1693" s="14">
        <v>0</v>
      </c>
    </row>
    <row r="1694" spans="1:4" x14ac:dyDescent="0.35">
      <c r="A1694" s="7">
        <v>50333</v>
      </c>
      <c r="B1694" s="8" t="s">
        <v>13</v>
      </c>
      <c r="C1694" s="9">
        <v>23.1</v>
      </c>
      <c r="D1694" s="10">
        <v>9.1</v>
      </c>
    </row>
    <row r="1695" spans="1:4" x14ac:dyDescent="0.35">
      <c r="A1695" s="11">
        <v>50334</v>
      </c>
      <c r="B1695" s="12" t="s">
        <v>6</v>
      </c>
      <c r="C1695" s="13">
        <v>22.8</v>
      </c>
      <c r="D1695" s="14">
        <v>12.9</v>
      </c>
    </row>
    <row r="1696" spans="1:4" x14ac:dyDescent="0.35">
      <c r="A1696" s="7">
        <v>50335</v>
      </c>
      <c r="B1696" s="8" t="s">
        <v>10</v>
      </c>
      <c r="C1696" s="9">
        <v>17.2</v>
      </c>
      <c r="D1696" s="10">
        <v>0</v>
      </c>
    </row>
    <row r="1697" spans="1:4" x14ac:dyDescent="0.35">
      <c r="A1697" s="11">
        <v>50336</v>
      </c>
      <c r="B1697" s="12" t="s">
        <v>10</v>
      </c>
      <c r="C1697" s="13">
        <v>29.3</v>
      </c>
      <c r="D1697" s="14">
        <v>6.1</v>
      </c>
    </row>
    <row r="1698" spans="1:4" x14ac:dyDescent="0.35">
      <c r="A1698" s="7">
        <v>50337</v>
      </c>
      <c r="B1698" s="8" t="s">
        <v>13</v>
      </c>
      <c r="C1698" s="9">
        <v>19.5</v>
      </c>
      <c r="D1698" s="10">
        <v>14.2</v>
      </c>
    </row>
    <row r="1699" spans="1:4" x14ac:dyDescent="0.35">
      <c r="A1699" s="11">
        <v>50338</v>
      </c>
      <c r="B1699" s="12" t="s">
        <v>19</v>
      </c>
      <c r="C1699" s="13">
        <v>28.1</v>
      </c>
      <c r="D1699" s="14">
        <v>9.4</v>
      </c>
    </row>
    <row r="1700" spans="1:4" x14ac:dyDescent="0.35">
      <c r="A1700" s="7">
        <v>50339</v>
      </c>
      <c r="B1700" s="8" t="s">
        <v>11</v>
      </c>
      <c r="C1700" s="9">
        <v>21.1</v>
      </c>
      <c r="D1700" s="10">
        <v>12</v>
      </c>
    </row>
    <row r="1701" spans="1:4" x14ac:dyDescent="0.35">
      <c r="A1701" s="11">
        <v>50340</v>
      </c>
      <c r="B1701" s="12" t="s">
        <v>7</v>
      </c>
      <c r="C1701" s="13">
        <v>23.8</v>
      </c>
      <c r="D1701" s="14">
        <v>13.3</v>
      </c>
    </row>
    <row r="1702" spans="1:4" x14ac:dyDescent="0.35">
      <c r="A1702" s="7">
        <v>50341</v>
      </c>
      <c r="B1702" s="8" t="s">
        <v>24</v>
      </c>
      <c r="C1702" s="9">
        <v>19.399999999999999</v>
      </c>
      <c r="D1702" s="10">
        <v>2.2000000000000002</v>
      </c>
    </row>
    <row r="1703" spans="1:4" x14ac:dyDescent="0.35">
      <c r="A1703" s="11">
        <v>50342</v>
      </c>
      <c r="B1703" s="12" t="s">
        <v>7</v>
      </c>
      <c r="C1703" s="13">
        <v>25.8</v>
      </c>
      <c r="D1703" s="14">
        <v>17.100000000000001</v>
      </c>
    </row>
    <row r="1704" spans="1:4" x14ac:dyDescent="0.35">
      <c r="A1704" s="7">
        <v>50343</v>
      </c>
      <c r="B1704" s="8" t="s">
        <v>7</v>
      </c>
      <c r="C1704" s="9">
        <v>30</v>
      </c>
      <c r="D1704" s="10">
        <v>6.3</v>
      </c>
    </row>
    <row r="1705" spans="1:4" x14ac:dyDescent="0.35">
      <c r="A1705" s="11">
        <v>50344</v>
      </c>
      <c r="B1705" s="12" t="s">
        <v>10</v>
      </c>
      <c r="C1705" s="13">
        <v>11</v>
      </c>
      <c r="D1705" s="14">
        <v>0</v>
      </c>
    </row>
    <row r="1706" spans="1:4" x14ac:dyDescent="0.35">
      <c r="A1706" s="7">
        <v>50345</v>
      </c>
      <c r="B1706" s="8" t="s">
        <v>19</v>
      </c>
      <c r="C1706" s="9">
        <v>27.2</v>
      </c>
      <c r="D1706" s="10">
        <v>0</v>
      </c>
    </row>
    <row r="1707" spans="1:4" x14ac:dyDescent="0.35">
      <c r="A1707" s="11">
        <v>50346</v>
      </c>
      <c r="B1707" s="12" t="s">
        <v>7</v>
      </c>
      <c r="C1707" s="13">
        <v>18.3</v>
      </c>
      <c r="D1707" s="14">
        <v>8.4</v>
      </c>
    </row>
    <row r="1708" spans="1:4" x14ac:dyDescent="0.35">
      <c r="A1708" s="7">
        <v>50347</v>
      </c>
      <c r="B1708" s="8" t="s">
        <v>25</v>
      </c>
      <c r="C1708" s="9">
        <v>14</v>
      </c>
      <c r="D1708" s="10">
        <v>2.5</v>
      </c>
    </row>
    <row r="1709" spans="1:4" x14ac:dyDescent="0.35">
      <c r="A1709" s="11">
        <v>50348</v>
      </c>
      <c r="B1709" s="12" t="s">
        <v>7</v>
      </c>
      <c r="C1709" s="13">
        <v>26.2</v>
      </c>
      <c r="D1709" s="14">
        <v>6.9</v>
      </c>
    </row>
    <row r="1710" spans="1:4" x14ac:dyDescent="0.35">
      <c r="A1710" s="7">
        <v>50349</v>
      </c>
      <c r="B1710" s="8" t="s">
        <v>15</v>
      </c>
      <c r="C1710" s="9">
        <v>25.5</v>
      </c>
      <c r="D1710" s="10">
        <v>8.4</v>
      </c>
    </row>
    <row r="1711" spans="1:4" x14ac:dyDescent="0.35">
      <c r="A1711" s="11">
        <v>50350</v>
      </c>
      <c r="B1711" s="12" t="s">
        <v>18</v>
      </c>
      <c r="C1711" s="13">
        <v>23.1</v>
      </c>
      <c r="D1711" s="14">
        <v>11.4</v>
      </c>
    </row>
    <row r="1712" spans="1:4" x14ac:dyDescent="0.35">
      <c r="A1712" s="7">
        <v>50351</v>
      </c>
      <c r="B1712" s="8" t="s">
        <v>12</v>
      </c>
      <c r="C1712" s="9">
        <v>21.3</v>
      </c>
      <c r="D1712" s="10">
        <v>2.8</v>
      </c>
    </row>
    <row r="1713" spans="1:4" x14ac:dyDescent="0.35">
      <c r="A1713" s="11">
        <v>50352</v>
      </c>
      <c r="B1713" s="12" t="s">
        <v>12</v>
      </c>
      <c r="C1713" s="13">
        <v>16.3</v>
      </c>
      <c r="D1713" s="14">
        <v>7.6</v>
      </c>
    </row>
    <row r="1714" spans="1:4" x14ac:dyDescent="0.35">
      <c r="A1714" s="7">
        <v>50353</v>
      </c>
      <c r="B1714" s="8" t="s">
        <v>14</v>
      </c>
      <c r="C1714" s="9">
        <v>23.7</v>
      </c>
      <c r="D1714" s="10">
        <v>7.6</v>
      </c>
    </row>
    <row r="1715" spans="1:4" x14ac:dyDescent="0.35">
      <c r="A1715" s="11">
        <v>50354</v>
      </c>
      <c r="B1715" s="12" t="s">
        <v>18</v>
      </c>
      <c r="C1715" s="13">
        <v>24.8</v>
      </c>
      <c r="D1715" s="14">
        <v>0</v>
      </c>
    </row>
    <row r="1716" spans="1:4" x14ac:dyDescent="0.35">
      <c r="A1716" s="7">
        <v>50355</v>
      </c>
      <c r="B1716" s="8" t="s">
        <v>33</v>
      </c>
      <c r="C1716" s="9">
        <v>21.7</v>
      </c>
      <c r="D1716" s="10">
        <v>1</v>
      </c>
    </row>
    <row r="1717" spans="1:4" x14ac:dyDescent="0.35">
      <c r="A1717" s="11">
        <v>50356</v>
      </c>
      <c r="B1717" s="12" t="s">
        <v>10</v>
      </c>
      <c r="C1717" s="13">
        <v>16.7</v>
      </c>
      <c r="D1717" s="14">
        <v>21</v>
      </c>
    </row>
    <row r="1718" spans="1:4" x14ac:dyDescent="0.35">
      <c r="A1718" s="7">
        <v>50357</v>
      </c>
      <c r="B1718" s="8" t="s">
        <v>23</v>
      </c>
      <c r="C1718" s="9">
        <v>22.3</v>
      </c>
      <c r="D1718" s="10">
        <v>0.1</v>
      </c>
    </row>
    <row r="1719" spans="1:4" x14ac:dyDescent="0.35">
      <c r="A1719" s="11">
        <v>50358</v>
      </c>
      <c r="B1719" s="12" t="s">
        <v>26</v>
      </c>
      <c r="C1719" s="13">
        <v>13.6</v>
      </c>
      <c r="D1719" s="14">
        <v>0</v>
      </c>
    </row>
    <row r="1720" spans="1:4" x14ac:dyDescent="0.35">
      <c r="A1720" s="7">
        <v>50359</v>
      </c>
      <c r="B1720" s="8" t="s">
        <v>25</v>
      </c>
      <c r="C1720" s="9">
        <v>11.8</v>
      </c>
      <c r="D1720" s="10">
        <v>2.1</v>
      </c>
    </row>
    <row r="1721" spans="1:4" x14ac:dyDescent="0.35">
      <c r="A1721" s="11">
        <v>50360</v>
      </c>
      <c r="B1721" s="12" t="s">
        <v>11</v>
      </c>
      <c r="C1721" s="13">
        <v>11.1</v>
      </c>
      <c r="D1721" s="14">
        <v>0</v>
      </c>
    </row>
    <row r="1722" spans="1:4" x14ac:dyDescent="0.35">
      <c r="A1722" s="7">
        <v>50361</v>
      </c>
      <c r="B1722" s="8" t="s">
        <v>13</v>
      </c>
      <c r="C1722" s="9">
        <v>11.2</v>
      </c>
      <c r="D1722" s="10">
        <v>15</v>
      </c>
    </row>
    <row r="1723" spans="1:4" x14ac:dyDescent="0.35">
      <c r="A1723" s="11">
        <v>50362</v>
      </c>
      <c r="B1723" s="12" t="s">
        <v>23</v>
      </c>
      <c r="C1723" s="13">
        <v>19.100000000000001</v>
      </c>
      <c r="D1723" s="14">
        <v>0</v>
      </c>
    </row>
    <row r="1724" spans="1:4" x14ac:dyDescent="0.35">
      <c r="A1724" s="7">
        <v>50363</v>
      </c>
      <c r="B1724" s="8" t="s">
        <v>10</v>
      </c>
      <c r="C1724" s="9">
        <v>11.1</v>
      </c>
      <c r="D1724" s="10">
        <v>46.3</v>
      </c>
    </row>
    <row r="1725" spans="1:4" x14ac:dyDescent="0.35">
      <c r="A1725" s="11">
        <v>50364</v>
      </c>
      <c r="B1725" s="12" t="s">
        <v>18</v>
      </c>
      <c r="C1725" s="13">
        <v>15.1</v>
      </c>
      <c r="D1725" s="14">
        <v>6.2</v>
      </c>
    </row>
    <row r="1726" spans="1:4" x14ac:dyDescent="0.35">
      <c r="A1726" s="7">
        <v>50365</v>
      </c>
      <c r="B1726" s="8" t="s">
        <v>15</v>
      </c>
      <c r="C1726" s="9">
        <v>21.7</v>
      </c>
      <c r="D1726" s="10">
        <v>0</v>
      </c>
    </row>
    <row r="1727" spans="1:4" x14ac:dyDescent="0.35">
      <c r="A1727" s="11">
        <v>50366</v>
      </c>
      <c r="B1727" s="12" t="s">
        <v>23</v>
      </c>
      <c r="C1727" s="13">
        <v>19.7</v>
      </c>
      <c r="D1727" s="14">
        <v>0.2</v>
      </c>
    </row>
    <row r="1728" spans="1:4" x14ac:dyDescent="0.35">
      <c r="A1728" s="7">
        <v>50367</v>
      </c>
      <c r="B1728" s="8" t="s">
        <v>7</v>
      </c>
      <c r="C1728" s="9">
        <v>17.5</v>
      </c>
      <c r="D1728" s="10">
        <v>2.2000000000000002</v>
      </c>
    </row>
    <row r="1729" spans="1:4" x14ac:dyDescent="0.35">
      <c r="A1729" s="11">
        <v>50368</v>
      </c>
      <c r="B1729" s="12" t="s">
        <v>6</v>
      </c>
      <c r="C1729" s="13">
        <v>18.8</v>
      </c>
      <c r="D1729" s="14">
        <v>11.3</v>
      </c>
    </row>
    <row r="1730" spans="1:4" x14ac:dyDescent="0.35">
      <c r="A1730" s="7">
        <v>50369</v>
      </c>
      <c r="B1730" s="8" t="s">
        <v>30</v>
      </c>
      <c r="C1730" s="9">
        <v>19.600000000000001</v>
      </c>
      <c r="D1730" s="10">
        <v>0.3</v>
      </c>
    </row>
    <row r="1731" spans="1:4" x14ac:dyDescent="0.35">
      <c r="A1731" s="11">
        <v>50370</v>
      </c>
      <c r="B1731" s="12" t="s">
        <v>11</v>
      </c>
      <c r="C1731" s="13">
        <v>24.4</v>
      </c>
      <c r="D1731" s="14">
        <v>22</v>
      </c>
    </row>
    <row r="1732" spans="1:4" x14ac:dyDescent="0.35">
      <c r="A1732" s="7">
        <v>50371</v>
      </c>
      <c r="B1732" s="8" t="s">
        <v>23</v>
      </c>
      <c r="C1732" s="9">
        <v>10.5</v>
      </c>
      <c r="D1732" s="10">
        <v>0.1</v>
      </c>
    </row>
    <row r="1733" spans="1:4" x14ac:dyDescent="0.35">
      <c r="A1733" s="11">
        <v>50372</v>
      </c>
      <c r="B1733" s="12" t="s">
        <v>9</v>
      </c>
      <c r="C1733" s="13">
        <v>23.5</v>
      </c>
      <c r="D1733" s="14">
        <v>0</v>
      </c>
    </row>
    <row r="1734" spans="1:4" x14ac:dyDescent="0.35">
      <c r="A1734" s="7">
        <v>50373</v>
      </c>
      <c r="B1734" s="8" t="s">
        <v>27</v>
      </c>
      <c r="C1734" s="9">
        <v>19.2</v>
      </c>
      <c r="D1734" s="10">
        <v>0</v>
      </c>
    </row>
    <row r="1735" spans="1:4" x14ac:dyDescent="0.35">
      <c r="A1735" s="11">
        <v>50374</v>
      </c>
      <c r="B1735" s="12" t="s">
        <v>6</v>
      </c>
      <c r="C1735" s="13">
        <v>11</v>
      </c>
      <c r="D1735" s="14">
        <v>0</v>
      </c>
    </row>
    <row r="1736" spans="1:4" x14ac:dyDescent="0.35">
      <c r="A1736" s="7">
        <v>50375</v>
      </c>
      <c r="B1736" s="8" t="s">
        <v>11</v>
      </c>
      <c r="C1736" s="9">
        <v>10.4</v>
      </c>
      <c r="D1736" s="10">
        <v>0</v>
      </c>
    </row>
    <row r="1737" spans="1:4" x14ac:dyDescent="0.35">
      <c r="A1737" s="11">
        <v>50376</v>
      </c>
      <c r="B1737" s="12" t="s">
        <v>7</v>
      </c>
      <c r="C1737" s="13">
        <v>11.9</v>
      </c>
      <c r="D1737" s="14">
        <v>9</v>
      </c>
    </row>
    <row r="1738" spans="1:4" x14ac:dyDescent="0.35">
      <c r="A1738" s="7">
        <v>50377</v>
      </c>
      <c r="B1738" s="8" t="s">
        <v>14</v>
      </c>
      <c r="C1738" s="9">
        <v>23.1</v>
      </c>
      <c r="D1738" s="10">
        <v>2</v>
      </c>
    </row>
    <row r="1739" spans="1:4" x14ac:dyDescent="0.35">
      <c r="A1739" s="11">
        <v>50378</v>
      </c>
      <c r="B1739" s="12" t="s">
        <v>19</v>
      </c>
      <c r="C1739" s="13">
        <v>18.600000000000001</v>
      </c>
      <c r="D1739" s="14">
        <v>17.2</v>
      </c>
    </row>
    <row r="1740" spans="1:4" x14ac:dyDescent="0.35">
      <c r="A1740" s="7">
        <v>50379</v>
      </c>
      <c r="B1740" s="8" t="s">
        <v>6</v>
      </c>
      <c r="C1740" s="9">
        <v>21.8</v>
      </c>
      <c r="D1740" s="10">
        <v>12.3</v>
      </c>
    </row>
    <row r="1741" spans="1:4" x14ac:dyDescent="0.35">
      <c r="A1741" s="11">
        <v>50380</v>
      </c>
      <c r="B1741" s="12" t="s">
        <v>14</v>
      </c>
      <c r="C1741" s="13">
        <v>27.7</v>
      </c>
      <c r="D1741" s="14">
        <v>7.4</v>
      </c>
    </row>
    <row r="1742" spans="1:4" x14ac:dyDescent="0.35">
      <c r="A1742" s="7">
        <v>50381</v>
      </c>
      <c r="B1742" s="8" t="s">
        <v>19</v>
      </c>
      <c r="C1742" s="9">
        <v>23.2</v>
      </c>
      <c r="D1742" s="10">
        <v>24</v>
      </c>
    </row>
    <row r="1743" spans="1:4" x14ac:dyDescent="0.35">
      <c r="A1743" s="11">
        <v>50382</v>
      </c>
      <c r="B1743" s="12" t="s">
        <v>19</v>
      </c>
      <c r="C1743" s="13">
        <v>25.8</v>
      </c>
      <c r="D1743" s="14">
        <v>16.100000000000001</v>
      </c>
    </row>
    <row r="1744" spans="1:4" x14ac:dyDescent="0.35">
      <c r="A1744" s="7">
        <v>50383</v>
      </c>
      <c r="B1744" s="8" t="s">
        <v>5</v>
      </c>
      <c r="C1744" s="9">
        <v>19.8</v>
      </c>
      <c r="D1744" s="10">
        <v>6.6</v>
      </c>
    </row>
    <row r="1745" spans="1:4" x14ac:dyDescent="0.35">
      <c r="A1745" s="11">
        <v>50384</v>
      </c>
      <c r="B1745" s="12" t="s">
        <v>18</v>
      </c>
      <c r="C1745" s="13">
        <v>11.2</v>
      </c>
      <c r="D1745" s="14">
        <v>7.5</v>
      </c>
    </row>
    <row r="1746" spans="1:4" x14ac:dyDescent="0.35">
      <c r="A1746" s="7">
        <v>50385</v>
      </c>
      <c r="B1746" s="8" t="s">
        <v>10</v>
      </c>
      <c r="C1746" s="9">
        <v>15.7</v>
      </c>
      <c r="D1746" s="10">
        <v>0</v>
      </c>
    </row>
    <row r="1747" spans="1:4" x14ac:dyDescent="0.35">
      <c r="A1747" s="11">
        <v>50386</v>
      </c>
      <c r="B1747" s="12" t="s">
        <v>30</v>
      </c>
      <c r="C1747" s="13">
        <v>23.6</v>
      </c>
      <c r="D1747" s="14">
        <v>0.6</v>
      </c>
    </row>
    <row r="1748" spans="1:4" x14ac:dyDescent="0.35">
      <c r="A1748" s="7">
        <v>50387</v>
      </c>
      <c r="B1748" s="8" t="s">
        <v>8</v>
      </c>
      <c r="C1748" s="9">
        <v>27.5</v>
      </c>
      <c r="D1748" s="10">
        <v>5.3</v>
      </c>
    </row>
    <row r="1749" spans="1:4" x14ac:dyDescent="0.35">
      <c r="A1749" s="11">
        <v>50388</v>
      </c>
      <c r="B1749" s="12" t="s">
        <v>5</v>
      </c>
      <c r="C1749" s="13">
        <v>17.3</v>
      </c>
      <c r="D1749" s="14">
        <v>0</v>
      </c>
    </row>
    <row r="1750" spans="1:4" x14ac:dyDescent="0.35">
      <c r="A1750" s="7">
        <v>50389</v>
      </c>
      <c r="B1750" s="8" t="s">
        <v>19</v>
      </c>
      <c r="C1750" s="9">
        <v>11.2</v>
      </c>
      <c r="D1750" s="10">
        <v>32.700000000000003</v>
      </c>
    </row>
    <row r="1751" spans="1:4" x14ac:dyDescent="0.35">
      <c r="A1751" s="11">
        <v>50390</v>
      </c>
      <c r="B1751" s="12" t="s">
        <v>11</v>
      </c>
      <c r="C1751" s="13">
        <v>17.8</v>
      </c>
      <c r="D1751" s="14">
        <v>0</v>
      </c>
    </row>
    <row r="1752" spans="1:4" x14ac:dyDescent="0.35">
      <c r="A1752" s="7">
        <v>50391</v>
      </c>
      <c r="B1752" s="8" t="s">
        <v>10</v>
      </c>
      <c r="C1752" s="9">
        <v>16.899999999999999</v>
      </c>
      <c r="D1752" s="10">
        <v>41.8</v>
      </c>
    </row>
    <row r="1753" spans="1:4" x14ac:dyDescent="0.35">
      <c r="A1753" s="11">
        <v>50392</v>
      </c>
      <c r="B1753" s="12" t="s">
        <v>11</v>
      </c>
      <c r="C1753" s="13">
        <v>18.3</v>
      </c>
      <c r="D1753" s="14">
        <v>0</v>
      </c>
    </row>
    <row r="1754" spans="1:4" x14ac:dyDescent="0.35">
      <c r="A1754" s="7">
        <v>50393</v>
      </c>
      <c r="B1754" s="8" t="s">
        <v>17</v>
      </c>
      <c r="C1754" s="9">
        <v>12.2</v>
      </c>
      <c r="D1754" s="10">
        <v>0</v>
      </c>
    </row>
    <row r="1755" spans="1:4" x14ac:dyDescent="0.35">
      <c r="A1755" s="11">
        <v>50394</v>
      </c>
      <c r="B1755" s="12" t="s">
        <v>13</v>
      </c>
      <c r="C1755" s="13">
        <v>21.2</v>
      </c>
      <c r="D1755" s="14">
        <v>0</v>
      </c>
    </row>
    <row r="1756" spans="1:4" x14ac:dyDescent="0.35">
      <c r="A1756" s="7">
        <v>50395</v>
      </c>
      <c r="B1756" s="8" t="s">
        <v>10</v>
      </c>
      <c r="C1756" s="9">
        <v>19.600000000000001</v>
      </c>
      <c r="D1756" s="10">
        <v>48.2</v>
      </c>
    </row>
    <row r="1757" spans="1:4" x14ac:dyDescent="0.35">
      <c r="A1757" s="11">
        <v>50396</v>
      </c>
      <c r="B1757" s="12" t="s">
        <v>9</v>
      </c>
      <c r="C1757" s="13">
        <v>15.6</v>
      </c>
      <c r="D1757" s="14">
        <v>0.6</v>
      </c>
    </row>
    <row r="1758" spans="1:4" x14ac:dyDescent="0.35">
      <c r="A1758" s="7">
        <v>50397</v>
      </c>
      <c r="B1758" s="8" t="s">
        <v>26</v>
      </c>
      <c r="C1758" s="9">
        <v>12.5</v>
      </c>
      <c r="D1758" s="10">
        <v>5.9</v>
      </c>
    </row>
    <row r="1759" spans="1:4" x14ac:dyDescent="0.35">
      <c r="A1759" s="11">
        <v>50398</v>
      </c>
      <c r="B1759" s="12" t="s">
        <v>12</v>
      </c>
      <c r="C1759" s="13">
        <v>29.3</v>
      </c>
      <c r="D1759" s="14">
        <v>0</v>
      </c>
    </row>
    <row r="1760" spans="1:4" x14ac:dyDescent="0.35">
      <c r="A1760" s="7">
        <v>50399</v>
      </c>
      <c r="B1760" s="8" t="s">
        <v>18</v>
      </c>
      <c r="C1760" s="9">
        <v>24.6</v>
      </c>
      <c r="D1760" s="10">
        <v>0</v>
      </c>
    </row>
    <row r="1761" spans="1:4" x14ac:dyDescent="0.35">
      <c r="A1761" s="11">
        <v>50400</v>
      </c>
      <c r="B1761" s="12" t="s">
        <v>9</v>
      </c>
      <c r="C1761" s="13">
        <v>21.2</v>
      </c>
      <c r="D1761" s="14">
        <v>3.1</v>
      </c>
    </row>
    <row r="1762" spans="1:4" x14ac:dyDescent="0.35">
      <c r="A1762" s="7">
        <v>50401</v>
      </c>
      <c r="B1762" s="8" t="s">
        <v>10</v>
      </c>
      <c r="C1762" s="9">
        <v>12.7</v>
      </c>
      <c r="D1762" s="10">
        <v>38.1</v>
      </c>
    </row>
    <row r="1763" spans="1:4" x14ac:dyDescent="0.35">
      <c r="A1763" s="11">
        <v>50402</v>
      </c>
      <c r="B1763" s="12" t="s">
        <v>23</v>
      </c>
      <c r="C1763" s="13">
        <v>20.6</v>
      </c>
      <c r="D1763" s="14">
        <v>5.2</v>
      </c>
    </row>
    <row r="1764" spans="1:4" x14ac:dyDescent="0.35">
      <c r="A1764" s="7">
        <v>50403</v>
      </c>
      <c r="B1764" s="8" t="s">
        <v>12</v>
      </c>
      <c r="C1764" s="9">
        <v>28.3</v>
      </c>
      <c r="D1764" s="10">
        <v>0</v>
      </c>
    </row>
    <row r="1765" spans="1:4" x14ac:dyDescent="0.35">
      <c r="A1765" s="11">
        <v>50404</v>
      </c>
      <c r="B1765" s="12" t="s">
        <v>19</v>
      </c>
      <c r="C1765" s="13">
        <v>15.1</v>
      </c>
      <c r="D1765" s="14">
        <v>22.6</v>
      </c>
    </row>
    <row r="1766" spans="1:4" x14ac:dyDescent="0.35">
      <c r="A1766" s="7">
        <v>50405</v>
      </c>
      <c r="B1766" s="8" t="s">
        <v>15</v>
      </c>
      <c r="C1766" s="9">
        <v>24.8</v>
      </c>
      <c r="D1766" s="10">
        <v>10.5</v>
      </c>
    </row>
    <row r="1767" spans="1:4" x14ac:dyDescent="0.35">
      <c r="A1767" s="11">
        <v>50406</v>
      </c>
      <c r="B1767" s="12" t="s">
        <v>21</v>
      </c>
      <c r="C1767" s="13">
        <v>16.899999999999999</v>
      </c>
      <c r="D1767" s="14">
        <v>1.2</v>
      </c>
    </row>
    <row r="1768" spans="1:4" x14ac:dyDescent="0.35">
      <c r="A1768" s="7">
        <v>50407</v>
      </c>
      <c r="B1768" s="8" t="s">
        <v>21</v>
      </c>
      <c r="C1768" s="9">
        <v>23.4</v>
      </c>
      <c r="D1768" s="10">
        <v>0</v>
      </c>
    </row>
    <row r="1769" spans="1:4" x14ac:dyDescent="0.35">
      <c r="A1769" s="11">
        <v>50408</v>
      </c>
      <c r="B1769" s="12" t="s">
        <v>7</v>
      </c>
      <c r="C1769" s="13">
        <v>10.5</v>
      </c>
      <c r="D1769" s="14">
        <v>22.2</v>
      </c>
    </row>
    <row r="1770" spans="1:4" x14ac:dyDescent="0.35">
      <c r="A1770" s="7">
        <v>50409</v>
      </c>
      <c r="B1770" s="8" t="s">
        <v>10</v>
      </c>
      <c r="C1770" s="9">
        <v>16.2</v>
      </c>
      <c r="D1770" s="10">
        <v>0</v>
      </c>
    </row>
    <row r="1771" spans="1:4" x14ac:dyDescent="0.35">
      <c r="A1771" s="11">
        <v>50410</v>
      </c>
      <c r="B1771" s="12" t="s">
        <v>16</v>
      </c>
      <c r="C1771" s="13">
        <v>29.7</v>
      </c>
      <c r="D1771" s="14">
        <v>0.3</v>
      </c>
    </row>
    <row r="1772" spans="1:4" x14ac:dyDescent="0.35">
      <c r="A1772" s="7">
        <v>50411</v>
      </c>
      <c r="B1772" s="8" t="s">
        <v>10</v>
      </c>
      <c r="C1772" s="9">
        <v>12.8</v>
      </c>
      <c r="D1772" s="10">
        <v>0</v>
      </c>
    </row>
    <row r="1773" spans="1:4" x14ac:dyDescent="0.35">
      <c r="A1773" s="11">
        <v>50412</v>
      </c>
      <c r="B1773" s="12" t="s">
        <v>8</v>
      </c>
      <c r="C1773" s="13">
        <v>19.100000000000001</v>
      </c>
      <c r="D1773" s="14">
        <v>1.7</v>
      </c>
    </row>
    <row r="1774" spans="1:4" x14ac:dyDescent="0.35">
      <c r="A1774" s="7">
        <v>50413</v>
      </c>
      <c r="B1774" s="8" t="s">
        <v>11</v>
      </c>
      <c r="C1774" s="9">
        <v>27.7</v>
      </c>
      <c r="D1774" s="10">
        <v>0</v>
      </c>
    </row>
    <row r="1775" spans="1:4" x14ac:dyDescent="0.35">
      <c r="A1775" s="11">
        <v>50414</v>
      </c>
      <c r="B1775" s="12" t="s">
        <v>14</v>
      </c>
      <c r="C1775" s="13">
        <v>22</v>
      </c>
      <c r="D1775" s="14">
        <v>5.9</v>
      </c>
    </row>
    <row r="1776" spans="1:4" x14ac:dyDescent="0.35">
      <c r="A1776" s="7">
        <v>50415</v>
      </c>
      <c r="B1776" s="8" t="s">
        <v>6</v>
      </c>
      <c r="C1776" s="9">
        <v>19.600000000000001</v>
      </c>
      <c r="D1776" s="10">
        <v>2.7</v>
      </c>
    </row>
    <row r="1777" spans="1:4" x14ac:dyDescent="0.35">
      <c r="A1777" s="11">
        <v>50416</v>
      </c>
      <c r="B1777" s="12" t="s">
        <v>8</v>
      </c>
      <c r="C1777" s="13">
        <v>16</v>
      </c>
      <c r="D1777" s="14">
        <v>0.3</v>
      </c>
    </row>
    <row r="1778" spans="1:4" x14ac:dyDescent="0.35">
      <c r="A1778" s="7">
        <v>50417</v>
      </c>
      <c r="B1778" s="8" t="s">
        <v>5</v>
      </c>
      <c r="C1778" s="9">
        <v>14</v>
      </c>
      <c r="D1778" s="10">
        <v>1.3</v>
      </c>
    </row>
    <row r="1779" spans="1:4" x14ac:dyDescent="0.35">
      <c r="A1779" s="11">
        <v>50418</v>
      </c>
      <c r="B1779" s="12" t="s">
        <v>15</v>
      </c>
      <c r="C1779" s="13">
        <v>29.5</v>
      </c>
      <c r="D1779" s="14">
        <v>3.3</v>
      </c>
    </row>
    <row r="1780" spans="1:4" x14ac:dyDescent="0.35">
      <c r="A1780" s="7">
        <v>50419</v>
      </c>
      <c r="B1780" s="8" t="s">
        <v>7</v>
      </c>
      <c r="C1780" s="9">
        <v>12.2</v>
      </c>
      <c r="D1780" s="10">
        <v>0</v>
      </c>
    </row>
    <row r="1781" spans="1:4" x14ac:dyDescent="0.35">
      <c r="A1781" s="11">
        <v>50420</v>
      </c>
      <c r="B1781" s="12" t="s">
        <v>11</v>
      </c>
      <c r="C1781" s="13">
        <v>15</v>
      </c>
      <c r="D1781" s="14">
        <v>7.4</v>
      </c>
    </row>
    <row r="1782" spans="1:4" x14ac:dyDescent="0.35">
      <c r="A1782" s="7">
        <v>50421</v>
      </c>
      <c r="B1782" s="8" t="s">
        <v>20</v>
      </c>
      <c r="C1782" s="9">
        <v>10.4</v>
      </c>
      <c r="D1782" s="10">
        <v>2</v>
      </c>
    </row>
    <row r="1783" spans="1:4" x14ac:dyDescent="0.35">
      <c r="A1783" s="11">
        <v>50422</v>
      </c>
      <c r="B1783" s="12" t="s">
        <v>19</v>
      </c>
      <c r="C1783" s="13">
        <v>18.600000000000001</v>
      </c>
      <c r="D1783" s="14">
        <v>4.5999999999999996</v>
      </c>
    </row>
    <row r="1784" spans="1:4" x14ac:dyDescent="0.35">
      <c r="A1784" s="7">
        <v>50423</v>
      </c>
      <c r="B1784" s="8" t="s">
        <v>18</v>
      </c>
      <c r="C1784" s="9">
        <v>23.7</v>
      </c>
      <c r="D1784" s="10">
        <v>7.2</v>
      </c>
    </row>
    <row r="1785" spans="1:4" x14ac:dyDescent="0.35">
      <c r="A1785" s="11">
        <v>50424</v>
      </c>
      <c r="B1785" s="12" t="s">
        <v>5</v>
      </c>
      <c r="C1785" s="13">
        <v>27.2</v>
      </c>
      <c r="D1785" s="14">
        <v>0</v>
      </c>
    </row>
    <row r="1786" spans="1:4" x14ac:dyDescent="0.35">
      <c r="A1786" s="7">
        <v>50425</v>
      </c>
      <c r="B1786" s="8" t="s">
        <v>15</v>
      </c>
      <c r="C1786" s="9">
        <v>11.3</v>
      </c>
      <c r="D1786" s="10">
        <v>18.8</v>
      </c>
    </row>
    <row r="1787" spans="1:4" x14ac:dyDescent="0.35">
      <c r="A1787" s="11">
        <v>50426</v>
      </c>
      <c r="B1787" s="12" t="s">
        <v>7</v>
      </c>
      <c r="C1787" s="13">
        <v>22.1</v>
      </c>
      <c r="D1787" s="14">
        <v>0</v>
      </c>
    </row>
    <row r="1788" spans="1:4" x14ac:dyDescent="0.35">
      <c r="A1788" s="7">
        <v>50427</v>
      </c>
      <c r="B1788" s="8" t="s">
        <v>12</v>
      </c>
      <c r="C1788" s="9">
        <v>11</v>
      </c>
      <c r="D1788" s="10">
        <v>0</v>
      </c>
    </row>
    <row r="1789" spans="1:4" x14ac:dyDescent="0.35">
      <c r="A1789" s="11">
        <v>50428</v>
      </c>
      <c r="B1789" s="12" t="s">
        <v>19</v>
      </c>
      <c r="C1789" s="13">
        <v>14.7</v>
      </c>
      <c r="D1789" s="14">
        <v>0</v>
      </c>
    </row>
    <row r="1790" spans="1:4" x14ac:dyDescent="0.35">
      <c r="A1790" s="7">
        <v>50429</v>
      </c>
      <c r="B1790" s="8" t="s">
        <v>19</v>
      </c>
      <c r="C1790" s="9">
        <v>10.4</v>
      </c>
      <c r="D1790" s="10">
        <v>14.4</v>
      </c>
    </row>
    <row r="1791" spans="1:4" x14ac:dyDescent="0.35">
      <c r="A1791" s="11">
        <v>50430</v>
      </c>
      <c r="B1791" s="12" t="s">
        <v>24</v>
      </c>
      <c r="C1791" s="13">
        <v>29.6</v>
      </c>
      <c r="D1791" s="14">
        <v>2.8</v>
      </c>
    </row>
    <row r="1792" spans="1:4" x14ac:dyDescent="0.35">
      <c r="A1792" s="7">
        <v>50431</v>
      </c>
      <c r="B1792" s="8" t="s">
        <v>18</v>
      </c>
      <c r="C1792" s="9">
        <v>11.3</v>
      </c>
      <c r="D1792" s="10">
        <v>7.2</v>
      </c>
    </row>
    <row r="1793" spans="1:4" x14ac:dyDescent="0.35">
      <c r="A1793" s="11">
        <v>50432</v>
      </c>
      <c r="B1793" s="12" t="s">
        <v>20</v>
      </c>
      <c r="C1793" s="13">
        <v>22.4</v>
      </c>
      <c r="D1793" s="14">
        <v>0</v>
      </c>
    </row>
    <row r="1794" spans="1:4" x14ac:dyDescent="0.35">
      <c r="A1794" s="7">
        <v>50433</v>
      </c>
      <c r="B1794" s="8" t="s">
        <v>19</v>
      </c>
      <c r="C1794" s="9">
        <v>19.600000000000001</v>
      </c>
      <c r="D1794" s="10">
        <v>28.7</v>
      </c>
    </row>
    <row r="1795" spans="1:4" x14ac:dyDescent="0.35">
      <c r="A1795" s="11">
        <v>50434</v>
      </c>
      <c r="B1795" s="12" t="s">
        <v>6</v>
      </c>
      <c r="C1795" s="13">
        <v>28.5</v>
      </c>
      <c r="D1795" s="14">
        <v>12.9</v>
      </c>
    </row>
    <row r="1796" spans="1:4" x14ac:dyDescent="0.35">
      <c r="A1796" s="7">
        <v>50435</v>
      </c>
      <c r="B1796" s="8" t="s">
        <v>24</v>
      </c>
      <c r="C1796" s="9">
        <v>10.9</v>
      </c>
      <c r="D1796" s="10">
        <v>0</v>
      </c>
    </row>
    <row r="1797" spans="1:4" x14ac:dyDescent="0.35">
      <c r="A1797" s="11">
        <v>50436</v>
      </c>
      <c r="B1797" s="12" t="s">
        <v>13</v>
      </c>
      <c r="C1797" s="13">
        <v>13.4</v>
      </c>
      <c r="D1797" s="14">
        <v>15.7</v>
      </c>
    </row>
    <row r="1798" spans="1:4" x14ac:dyDescent="0.35">
      <c r="A1798" s="7">
        <v>50437</v>
      </c>
      <c r="B1798" s="8" t="s">
        <v>19</v>
      </c>
      <c r="C1798" s="9">
        <v>27.3</v>
      </c>
      <c r="D1798" s="10">
        <v>0</v>
      </c>
    </row>
    <row r="1799" spans="1:4" x14ac:dyDescent="0.35">
      <c r="A1799" s="11">
        <v>50438</v>
      </c>
      <c r="B1799" s="12" t="s">
        <v>9</v>
      </c>
      <c r="C1799" s="13">
        <v>23.6</v>
      </c>
      <c r="D1799" s="14">
        <v>0</v>
      </c>
    </row>
    <row r="1800" spans="1:4" x14ac:dyDescent="0.35">
      <c r="A1800" s="7">
        <v>50439</v>
      </c>
      <c r="B1800" s="8" t="s">
        <v>7</v>
      </c>
      <c r="C1800" s="9">
        <v>26.5</v>
      </c>
      <c r="D1800" s="10">
        <v>20.3</v>
      </c>
    </row>
    <row r="1801" spans="1:4" x14ac:dyDescent="0.35">
      <c r="A1801" s="11">
        <v>50440</v>
      </c>
      <c r="B1801" s="12" t="s">
        <v>9</v>
      </c>
      <c r="C1801" s="13">
        <v>23.6</v>
      </c>
      <c r="D1801" s="14">
        <v>6.5</v>
      </c>
    </row>
    <row r="1802" spans="1:4" x14ac:dyDescent="0.35">
      <c r="A1802" s="7">
        <v>50441</v>
      </c>
      <c r="B1802" s="8" t="s">
        <v>11</v>
      </c>
      <c r="C1802" s="9">
        <v>22.4</v>
      </c>
      <c r="D1802" s="10">
        <v>13.3</v>
      </c>
    </row>
    <row r="1803" spans="1:4" x14ac:dyDescent="0.35">
      <c r="A1803" s="11">
        <v>50442</v>
      </c>
      <c r="B1803" s="12" t="s">
        <v>18</v>
      </c>
      <c r="C1803" s="13">
        <v>22</v>
      </c>
      <c r="D1803" s="14">
        <v>15.5</v>
      </c>
    </row>
    <row r="1804" spans="1:4" x14ac:dyDescent="0.35">
      <c r="A1804" s="7">
        <v>50443</v>
      </c>
      <c r="B1804" s="8" t="s">
        <v>27</v>
      </c>
      <c r="C1804" s="9">
        <v>10.8</v>
      </c>
      <c r="D1804" s="10">
        <v>0.4</v>
      </c>
    </row>
    <row r="1805" spans="1:4" x14ac:dyDescent="0.35">
      <c r="A1805" s="11">
        <v>50444</v>
      </c>
      <c r="B1805" s="12" t="s">
        <v>15</v>
      </c>
      <c r="C1805" s="13">
        <v>21.6</v>
      </c>
      <c r="D1805" s="14">
        <v>0</v>
      </c>
    </row>
    <row r="1806" spans="1:4" x14ac:dyDescent="0.35">
      <c r="A1806" s="7">
        <v>50445</v>
      </c>
      <c r="B1806" s="8" t="s">
        <v>8</v>
      </c>
      <c r="C1806" s="9">
        <v>10.1</v>
      </c>
      <c r="D1806" s="10">
        <v>0</v>
      </c>
    </row>
    <row r="1807" spans="1:4" x14ac:dyDescent="0.35">
      <c r="A1807" s="11">
        <v>50446</v>
      </c>
      <c r="B1807" s="12" t="s">
        <v>11</v>
      </c>
      <c r="C1807" s="13">
        <v>29</v>
      </c>
      <c r="D1807" s="14">
        <v>12.6</v>
      </c>
    </row>
    <row r="1808" spans="1:4" x14ac:dyDescent="0.35">
      <c r="A1808" s="7">
        <v>50447</v>
      </c>
      <c r="B1808" s="8" t="s">
        <v>8</v>
      </c>
      <c r="C1808" s="9">
        <v>16.399999999999999</v>
      </c>
      <c r="D1808" s="10">
        <v>3.7</v>
      </c>
    </row>
    <row r="1809" spans="1:4" x14ac:dyDescent="0.35">
      <c r="A1809" s="11">
        <v>50448</v>
      </c>
      <c r="B1809" s="12" t="s">
        <v>19</v>
      </c>
      <c r="C1809" s="13">
        <v>13.5</v>
      </c>
      <c r="D1809" s="14">
        <v>38.5</v>
      </c>
    </row>
    <row r="1810" spans="1:4" x14ac:dyDescent="0.35">
      <c r="A1810" s="7">
        <v>50449</v>
      </c>
      <c r="B1810" s="8" t="s">
        <v>14</v>
      </c>
      <c r="C1810" s="9">
        <v>18.100000000000001</v>
      </c>
      <c r="D1810" s="10">
        <v>3</v>
      </c>
    </row>
    <row r="1811" spans="1:4" x14ac:dyDescent="0.35">
      <c r="A1811" s="11">
        <v>50450</v>
      </c>
      <c r="B1811" s="12" t="s">
        <v>7</v>
      </c>
      <c r="C1811" s="13">
        <v>20.399999999999999</v>
      </c>
      <c r="D1811" s="14">
        <v>11.7</v>
      </c>
    </row>
    <row r="1812" spans="1:4" x14ac:dyDescent="0.35">
      <c r="A1812" s="7">
        <v>50451</v>
      </c>
      <c r="B1812" s="8" t="s">
        <v>15</v>
      </c>
      <c r="C1812" s="9">
        <v>29.6</v>
      </c>
      <c r="D1812" s="10">
        <v>0.9</v>
      </c>
    </row>
    <row r="1813" spans="1:4" x14ac:dyDescent="0.35">
      <c r="A1813" s="11">
        <v>50452</v>
      </c>
      <c r="B1813" s="12" t="s">
        <v>32</v>
      </c>
      <c r="C1813" s="13">
        <v>11.4</v>
      </c>
      <c r="D1813" s="14">
        <v>0.6</v>
      </c>
    </row>
    <row r="1814" spans="1:4" x14ac:dyDescent="0.35">
      <c r="A1814" s="7">
        <v>50453</v>
      </c>
      <c r="B1814" s="8" t="s">
        <v>11</v>
      </c>
      <c r="C1814" s="9">
        <v>28.8</v>
      </c>
      <c r="D1814" s="10">
        <v>14.1</v>
      </c>
    </row>
    <row r="1815" spans="1:4" x14ac:dyDescent="0.35">
      <c r="A1815" s="11">
        <v>50454</v>
      </c>
      <c r="B1815" s="12" t="s">
        <v>10</v>
      </c>
      <c r="C1815" s="13">
        <v>11.8</v>
      </c>
      <c r="D1815" s="14">
        <v>42.4</v>
      </c>
    </row>
    <row r="1816" spans="1:4" x14ac:dyDescent="0.35">
      <c r="A1816" s="7">
        <v>50455</v>
      </c>
      <c r="B1816" s="8" t="s">
        <v>7</v>
      </c>
      <c r="C1816" s="9">
        <v>11.5</v>
      </c>
      <c r="D1816" s="10">
        <v>10.1</v>
      </c>
    </row>
    <row r="1817" spans="1:4" x14ac:dyDescent="0.35">
      <c r="A1817" s="11">
        <v>50456</v>
      </c>
      <c r="B1817" s="12" t="s">
        <v>13</v>
      </c>
      <c r="C1817" s="13">
        <v>13.6</v>
      </c>
      <c r="D1817" s="14">
        <v>8.4</v>
      </c>
    </row>
    <row r="1818" spans="1:4" x14ac:dyDescent="0.35">
      <c r="A1818" s="7">
        <v>50457</v>
      </c>
      <c r="B1818" s="8" t="s">
        <v>31</v>
      </c>
      <c r="C1818" s="9">
        <v>14.1</v>
      </c>
      <c r="D1818" s="10">
        <v>0.7</v>
      </c>
    </row>
    <row r="1819" spans="1:4" x14ac:dyDescent="0.35">
      <c r="A1819" s="11">
        <v>50458</v>
      </c>
      <c r="B1819" s="12" t="s">
        <v>19</v>
      </c>
      <c r="C1819" s="13">
        <v>19.399999999999999</v>
      </c>
      <c r="D1819" s="14">
        <v>32.700000000000003</v>
      </c>
    </row>
    <row r="1820" spans="1:4" x14ac:dyDescent="0.35">
      <c r="A1820" s="7">
        <v>50459</v>
      </c>
      <c r="B1820" s="8" t="s">
        <v>33</v>
      </c>
      <c r="C1820" s="9">
        <v>28.5</v>
      </c>
      <c r="D1820" s="10">
        <v>0</v>
      </c>
    </row>
    <row r="1821" spans="1:4" x14ac:dyDescent="0.35">
      <c r="A1821" s="11">
        <v>50460</v>
      </c>
      <c r="B1821" s="12" t="s">
        <v>19</v>
      </c>
      <c r="C1821" s="13">
        <v>23.7</v>
      </c>
      <c r="D1821" s="14">
        <v>12.2</v>
      </c>
    </row>
    <row r="1822" spans="1:4" x14ac:dyDescent="0.35">
      <c r="A1822" s="7">
        <v>50461</v>
      </c>
      <c r="B1822" s="8" t="s">
        <v>20</v>
      </c>
      <c r="C1822" s="9">
        <v>21.7</v>
      </c>
      <c r="D1822" s="10">
        <v>0</v>
      </c>
    </row>
    <row r="1823" spans="1:4" x14ac:dyDescent="0.35">
      <c r="A1823" s="11">
        <v>50462</v>
      </c>
      <c r="B1823" s="12" t="s">
        <v>6</v>
      </c>
      <c r="C1823" s="13">
        <v>13.3</v>
      </c>
      <c r="D1823" s="14">
        <v>0</v>
      </c>
    </row>
    <row r="1824" spans="1:4" x14ac:dyDescent="0.35">
      <c r="A1824" s="7">
        <v>50463</v>
      </c>
      <c r="B1824" s="8" t="s">
        <v>9</v>
      </c>
      <c r="C1824" s="9">
        <v>14.4</v>
      </c>
      <c r="D1824" s="10">
        <v>0</v>
      </c>
    </row>
    <row r="1825" spans="1:4" x14ac:dyDescent="0.35">
      <c r="A1825" s="11">
        <v>50464</v>
      </c>
      <c r="B1825" s="12" t="s">
        <v>11</v>
      </c>
      <c r="C1825" s="13">
        <v>28.5</v>
      </c>
      <c r="D1825" s="14">
        <v>21.5</v>
      </c>
    </row>
    <row r="1826" spans="1:4" x14ac:dyDescent="0.35">
      <c r="A1826" s="7">
        <v>50465</v>
      </c>
      <c r="B1826" s="8" t="s">
        <v>19</v>
      </c>
      <c r="C1826" s="9">
        <v>20.5</v>
      </c>
      <c r="D1826" s="10">
        <v>0</v>
      </c>
    </row>
    <row r="1827" spans="1:4" x14ac:dyDescent="0.35">
      <c r="A1827" s="11">
        <v>50466</v>
      </c>
      <c r="B1827" s="12" t="s">
        <v>10</v>
      </c>
      <c r="C1827" s="13">
        <v>11.4</v>
      </c>
      <c r="D1827" s="14">
        <v>39</v>
      </c>
    </row>
    <row r="1828" spans="1:4" x14ac:dyDescent="0.35">
      <c r="A1828" s="7">
        <v>50467</v>
      </c>
      <c r="B1828" s="8" t="s">
        <v>9</v>
      </c>
      <c r="C1828" s="9">
        <v>12.5</v>
      </c>
      <c r="D1828" s="10">
        <v>0</v>
      </c>
    </row>
    <row r="1829" spans="1:4" x14ac:dyDescent="0.35">
      <c r="A1829" s="11">
        <v>50468</v>
      </c>
      <c r="B1829" s="12" t="s">
        <v>15</v>
      </c>
      <c r="C1829" s="13">
        <v>16.600000000000001</v>
      </c>
      <c r="D1829" s="14">
        <v>4.5999999999999996</v>
      </c>
    </row>
    <row r="1830" spans="1:4" x14ac:dyDescent="0.35">
      <c r="A1830" s="7">
        <v>50469</v>
      </c>
      <c r="B1830" s="8" t="s">
        <v>15</v>
      </c>
      <c r="C1830" s="9">
        <v>10.6</v>
      </c>
      <c r="D1830" s="10">
        <v>11.3</v>
      </c>
    </row>
    <row r="1831" spans="1:4" x14ac:dyDescent="0.35">
      <c r="A1831" s="11">
        <v>50470</v>
      </c>
      <c r="B1831" s="12" t="s">
        <v>7</v>
      </c>
      <c r="C1831" s="13">
        <v>27.9</v>
      </c>
      <c r="D1831" s="14">
        <v>16.100000000000001</v>
      </c>
    </row>
    <row r="1832" spans="1:4" x14ac:dyDescent="0.35">
      <c r="A1832" s="7">
        <v>50471</v>
      </c>
      <c r="B1832" s="8" t="s">
        <v>10</v>
      </c>
      <c r="C1832" s="9">
        <v>11.1</v>
      </c>
      <c r="D1832" s="10">
        <v>28.2</v>
      </c>
    </row>
    <row r="1833" spans="1:4" x14ac:dyDescent="0.35">
      <c r="A1833" s="11">
        <v>50472</v>
      </c>
      <c r="B1833" s="12" t="s">
        <v>7</v>
      </c>
      <c r="C1833" s="13">
        <v>21.5</v>
      </c>
      <c r="D1833" s="14">
        <v>12.8</v>
      </c>
    </row>
    <row r="1834" spans="1:4" x14ac:dyDescent="0.35">
      <c r="A1834" s="7">
        <v>50473</v>
      </c>
      <c r="B1834" s="8" t="s">
        <v>6</v>
      </c>
      <c r="C1834" s="9">
        <v>28.4</v>
      </c>
      <c r="D1834" s="10">
        <v>4.5999999999999996</v>
      </c>
    </row>
    <row r="1835" spans="1:4" x14ac:dyDescent="0.35">
      <c r="A1835" s="11">
        <v>50474</v>
      </c>
      <c r="B1835" s="12" t="s">
        <v>22</v>
      </c>
      <c r="C1835" s="13">
        <v>18.100000000000001</v>
      </c>
      <c r="D1835" s="14">
        <v>5.9</v>
      </c>
    </row>
    <row r="1836" spans="1:4" x14ac:dyDescent="0.35">
      <c r="A1836" s="7">
        <v>50475</v>
      </c>
      <c r="B1836" s="8" t="s">
        <v>20</v>
      </c>
      <c r="C1836" s="9">
        <v>25.3</v>
      </c>
      <c r="D1836" s="10">
        <v>0</v>
      </c>
    </row>
    <row r="1837" spans="1:4" x14ac:dyDescent="0.35">
      <c r="A1837" s="11">
        <v>50476</v>
      </c>
      <c r="B1837" s="12" t="s">
        <v>9</v>
      </c>
      <c r="C1837" s="13">
        <v>15.6</v>
      </c>
      <c r="D1837" s="14">
        <v>10.6</v>
      </c>
    </row>
    <row r="1838" spans="1:4" x14ac:dyDescent="0.35">
      <c r="A1838" s="7">
        <v>50477</v>
      </c>
      <c r="B1838" s="8" t="s">
        <v>19</v>
      </c>
      <c r="C1838" s="9">
        <v>19.899999999999999</v>
      </c>
      <c r="D1838" s="10">
        <v>0</v>
      </c>
    </row>
    <row r="1839" spans="1:4" x14ac:dyDescent="0.35">
      <c r="A1839" s="11">
        <v>50478</v>
      </c>
      <c r="B1839" s="12" t="s">
        <v>7</v>
      </c>
      <c r="C1839" s="13">
        <v>24.7</v>
      </c>
      <c r="D1839" s="14">
        <v>14.7</v>
      </c>
    </row>
    <row r="1840" spans="1:4" x14ac:dyDescent="0.35">
      <c r="A1840" s="7">
        <v>50479</v>
      </c>
      <c r="B1840" s="8" t="s">
        <v>23</v>
      </c>
      <c r="C1840" s="9">
        <v>21.9</v>
      </c>
      <c r="D1840" s="10">
        <v>5.6</v>
      </c>
    </row>
    <row r="1841" spans="1:4" x14ac:dyDescent="0.35">
      <c r="A1841" s="11">
        <v>50480</v>
      </c>
      <c r="B1841" s="12" t="s">
        <v>14</v>
      </c>
      <c r="C1841" s="13">
        <v>18</v>
      </c>
      <c r="D1841" s="14">
        <v>6.2</v>
      </c>
    </row>
    <row r="1842" spans="1:4" x14ac:dyDescent="0.35">
      <c r="A1842" s="7">
        <v>50481</v>
      </c>
      <c r="B1842" s="8" t="s">
        <v>29</v>
      </c>
      <c r="C1842" s="9">
        <v>24.5</v>
      </c>
      <c r="D1842" s="10">
        <v>0.6</v>
      </c>
    </row>
    <row r="1843" spans="1:4" x14ac:dyDescent="0.35">
      <c r="A1843" s="11">
        <v>50482</v>
      </c>
      <c r="B1843" s="12" t="s">
        <v>8</v>
      </c>
      <c r="C1843" s="13">
        <v>10.9</v>
      </c>
      <c r="D1843" s="14">
        <v>0</v>
      </c>
    </row>
    <row r="1844" spans="1:4" x14ac:dyDescent="0.35">
      <c r="A1844" s="7">
        <v>50483</v>
      </c>
      <c r="B1844" s="8" t="s">
        <v>26</v>
      </c>
      <c r="C1844" s="9">
        <v>11.3</v>
      </c>
      <c r="D1844" s="10">
        <v>2.7</v>
      </c>
    </row>
    <row r="1845" spans="1:4" x14ac:dyDescent="0.35">
      <c r="A1845" s="11">
        <v>50484</v>
      </c>
      <c r="B1845" s="12" t="s">
        <v>10</v>
      </c>
      <c r="C1845" s="13">
        <v>13.2</v>
      </c>
      <c r="D1845" s="14">
        <v>30</v>
      </c>
    </row>
    <row r="1846" spans="1:4" x14ac:dyDescent="0.35">
      <c r="A1846" s="7">
        <v>50485</v>
      </c>
      <c r="B1846" s="8" t="s">
        <v>8</v>
      </c>
      <c r="C1846" s="9">
        <v>18.7</v>
      </c>
      <c r="D1846" s="10">
        <v>4.7</v>
      </c>
    </row>
    <row r="1847" spans="1:4" x14ac:dyDescent="0.35">
      <c r="A1847" s="11">
        <v>50486</v>
      </c>
      <c r="B1847" s="12" t="s">
        <v>8</v>
      </c>
      <c r="C1847" s="13">
        <v>12.1</v>
      </c>
      <c r="D1847" s="14">
        <v>1.5</v>
      </c>
    </row>
    <row r="1848" spans="1:4" x14ac:dyDescent="0.35">
      <c r="A1848" s="7">
        <v>50487</v>
      </c>
      <c r="B1848" s="8" t="s">
        <v>15</v>
      </c>
      <c r="C1848" s="9">
        <v>11.9</v>
      </c>
      <c r="D1848" s="10">
        <v>1.3</v>
      </c>
    </row>
    <row r="1849" spans="1:4" x14ac:dyDescent="0.35">
      <c r="A1849" s="11">
        <v>50488</v>
      </c>
      <c r="B1849" s="12" t="s">
        <v>26</v>
      </c>
      <c r="C1849" s="13">
        <v>17.7</v>
      </c>
      <c r="D1849" s="14">
        <v>2.6</v>
      </c>
    </row>
    <row r="1850" spans="1:4" x14ac:dyDescent="0.35">
      <c r="A1850" s="7">
        <v>50489</v>
      </c>
      <c r="B1850" s="8" t="s">
        <v>21</v>
      </c>
      <c r="C1850" s="9">
        <v>25.9</v>
      </c>
      <c r="D1850" s="10">
        <v>0.8</v>
      </c>
    </row>
    <row r="1851" spans="1:4" x14ac:dyDescent="0.35">
      <c r="A1851" s="11">
        <v>50490</v>
      </c>
      <c r="B1851" s="12" t="s">
        <v>6</v>
      </c>
      <c r="C1851" s="13">
        <v>27.7</v>
      </c>
      <c r="D1851" s="14">
        <v>0</v>
      </c>
    </row>
    <row r="1852" spans="1:4" x14ac:dyDescent="0.35">
      <c r="A1852" s="7">
        <v>50491</v>
      </c>
      <c r="B1852" s="8" t="s">
        <v>13</v>
      </c>
      <c r="C1852" s="9">
        <v>13.3</v>
      </c>
      <c r="D1852" s="10">
        <v>13.3</v>
      </c>
    </row>
    <row r="1853" spans="1:4" x14ac:dyDescent="0.35">
      <c r="A1853" s="11">
        <v>50492</v>
      </c>
      <c r="B1853" s="12" t="s">
        <v>19</v>
      </c>
      <c r="C1853" s="13">
        <v>11.7</v>
      </c>
      <c r="D1853" s="14">
        <v>4.9000000000000004</v>
      </c>
    </row>
    <row r="1854" spans="1:4" x14ac:dyDescent="0.35">
      <c r="A1854" s="7">
        <v>50493</v>
      </c>
      <c r="B1854" s="8" t="s">
        <v>26</v>
      </c>
      <c r="C1854" s="9">
        <v>26.5</v>
      </c>
      <c r="D1854" s="10">
        <v>4.5</v>
      </c>
    </row>
    <row r="1855" spans="1:4" x14ac:dyDescent="0.35">
      <c r="A1855" s="11">
        <v>50494</v>
      </c>
      <c r="B1855" s="12" t="s">
        <v>27</v>
      </c>
      <c r="C1855" s="13">
        <v>18.7</v>
      </c>
      <c r="D1855" s="14">
        <v>2.2999999999999998</v>
      </c>
    </row>
    <row r="1856" spans="1:4" x14ac:dyDescent="0.35">
      <c r="A1856" s="7">
        <v>50495</v>
      </c>
      <c r="B1856" s="8" t="s">
        <v>22</v>
      </c>
      <c r="C1856" s="9">
        <v>11.7</v>
      </c>
      <c r="D1856" s="10">
        <v>6</v>
      </c>
    </row>
    <row r="1857" spans="1:4" x14ac:dyDescent="0.35">
      <c r="A1857" s="11">
        <v>50496</v>
      </c>
      <c r="B1857" s="12" t="s">
        <v>19</v>
      </c>
      <c r="C1857" s="13">
        <v>27.5</v>
      </c>
      <c r="D1857" s="14">
        <v>22.6</v>
      </c>
    </row>
    <row r="1858" spans="1:4" x14ac:dyDescent="0.35">
      <c r="A1858" s="7">
        <v>50497</v>
      </c>
      <c r="B1858" s="8" t="s">
        <v>27</v>
      </c>
      <c r="C1858" s="9">
        <v>27.4</v>
      </c>
      <c r="D1858" s="10">
        <v>0</v>
      </c>
    </row>
    <row r="1859" spans="1:4" x14ac:dyDescent="0.35">
      <c r="A1859" s="11">
        <v>50498</v>
      </c>
      <c r="B1859" s="12" t="s">
        <v>11</v>
      </c>
      <c r="C1859" s="13">
        <v>14.8</v>
      </c>
      <c r="D1859" s="14">
        <v>0</v>
      </c>
    </row>
    <row r="1860" spans="1:4" x14ac:dyDescent="0.35">
      <c r="A1860" s="7">
        <v>50499</v>
      </c>
      <c r="B1860" s="8" t="s">
        <v>17</v>
      </c>
      <c r="C1860" s="9">
        <v>26.2</v>
      </c>
      <c r="D1860" s="10">
        <v>0</v>
      </c>
    </row>
    <row r="1861" spans="1:4" x14ac:dyDescent="0.35">
      <c r="A1861" s="11">
        <v>50500</v>
      </c>
      <c r="B1861" s="12" t="s">
        <v>15</v>
      </c>
      <c r="C1861" s="13">
        <v>12.9</v>
      </c>
      <c r="D1861" s="14">
        <v>17.899999999999999</v>
      </c>
    </row>
    <row r="1862" spans="1:4" x14ac:dyDescent="0.35">
      <c r="A1862" s="7">
        <v>50501</v>
      </c>
      <c r="B1862" s="8" t="s">
        <v>25</v>
      </c>
      <c r="C1862" s="9">
        <v>12.5</v>
      </c>
      <c r="D1862" s="10">
        <v>0</v>
      </c>
    </row>
    <row r="1863" spans="1:4" x14ac:dyDescent="0.35">
      <c r="A1863" s="11">
        <v>50502</v>
      </c>
      <c r="B1863" s="12" t="s">
        <v>24</v>
      </c>
      <c r="C1863" s="13">
        <v>12.3</v>
      </c>
      <c r="D1863" s="14">
        <v>0</v>
      </c>
    </row>
    <row r="1864" spans="1:4" x14ac:dyDescent="0.35">
      <c r="A1864" s="7">
        <v>50503</v>
      </c>
      <c r="B1864" s="8" t="s">
        <v>5</v>
      </c>
      <c r="C1864" s="9">
        <v>19.399999999999999</v>
      </c>
      <c r="D1864" s="10">
        <v>0</v>
      </c>
    </row>
    <row r="1865" spans="1:4" x14ac:dyDescent="0.35">
      <c r="A1865" s="11">
        <v>50504</v>
      </c>
      <c r="B1865" s="12" t="s">
        <v>15</v>
      </c>
      <c r="C1865" s="13">
        <v>20.9</v>
      </c>
      <c r="D1865" s="14">
        <v>0</v>
      </c>
    </row>
    <row r="1866" spans="1:4" x14ac:dyDescent="0.35">
      <c r="A1866" s="7">
        <v>50505</v>
      </c>
      <c r="B1866" s="8" t="s">
        <v>9</v>
      </c>
      <c r="C1866" s="9">
        <v>10.4</v>
      </c>
      <c r="D1866" s="10">
        <v>0</v>
      </c>
    </row>
    <row r="1867" spans="1:4" x14ac:dyDescent="0.35">
      <c r="A1867" s="11">
        <v>50506</v>
      </c>
      <c r="B1867" s="12" t="s">
        <v>11</v>
      </c>
      <c r="C1867" s="13">
        <v>22.2</v>
      </c>
      <c r="D1867" s="14">
        <v>2.5</v>
      </c>
    </row>
    <row r="1868" spans="1:4" x14ac:dyDescent="0.35">
      <c r="A1868" s="7">
        <v>50507</v>
      </c>
      <c r="B1868" s="8" t="s">
        <v>10</v>
      </c>
      <c r="C1868" s="9">
        <v>16.8</v>
      </c>
      <c r="D1868" s="10">
        <v>0</v>
      </c>
    </row>
    <row r="1869" spans="1:4" x14ac:dyDescent="0.35">
      <c r="A1869" s="11">
        <v>50508</v>
      </c>
      <c r="B1869" s="12" t="s">
        <v>19</v>
      </c>
      <c r="C1869" s="13">
        <v>21.7</v>
      </c>
      <c r="D1869" s="14">
        <v>33.299999999999997</v>
      </c>
    </row>
    <row r="1870" spans="1:4" x14ac:dyDescent="0.35">
      <c r="A1870" s="7">
        <v>50509</v>
      </c>
      <c r="B1870" s="8" t="s">
        <v>11</v>
      </c>
      <c r="C1870" s="9">
        <v>10.199999999999999</v>
      </c>
      <c r="D1870" s="10">
        <v>16.600000000000001</v>
      </c>
    </row>
    <row r="1871" spans="1:4" x14ac:dyDescent="0.35">
      <c r="A1871" s="11">
        <v>50510</v>
      </c>
      <c r="B1871" s="12" t="s">
        <v>10</v>
      </c>
      <c r="C1871" s="13">
        <v>16.5</v>
      </c>
      <c r="D1871" s="14">
        <v>0</v>
      </c>
    </row>
    <row r="1872" spans="1:4" x14ac:dyDescent="0.35">
      <c r="A1872" s="7">
        <v>50511</v>
      </c>
      <c r="B1872" s="8" t="s">
        <v>16</v>
      </c>
      <c r="C1872" s="9">
        <v>29.1</v>
      </c>
      <c r="D1872" s="10">
        <v>0.5</v>
      </c>
    </row>
    <row r="1873" spans="1:4" x14ac:dyDescent="0.35">
      <c r="A1873" s="11">
        <v>50512</v>
      </c>
      <c r="B1873" s="12" t="s">
        <v>11</v>
      </c>
      <c r="C1873" s="13">
        <v>17.8</v>
      </c>
      <c r="D1873" s="14">
        <v>0</v>
      </c>
    </row>
    <row r="1874" spans="1:4" x14ac:dyDescent="0.35">
      <c r="A1874" s="7">
        <v>50513</v>
      </c>
      <c r="B1874" s="8" t="s">
        <v>10</v>
      </c>
      <c r="C1874" s="9">
        <v>10</v>
      </c>
      <c r="D1874" s="10">
        <v>0</v>
      </c>
    </row>
    <row r="1875" spans="1:4" x14ac:dyDescent="0.35">
      <c r="A1875" s="11">
        <v>50514</v>
      </c>
      <c r="B1875" s="12" t="s">
        <v>9</v>
      </c>
      <c r="C1875" s="13">
        <v>15.5</v>
      </c>
      <c r="D1875" s="14">
        <v>8.6</v>
      </c>
    </row>
    <row r="1876" spans="1:4" x14ac:dyDescent="0.35">
      <c r="A1876" s="7">
        <v>50515</v>
      </c>
      <c r="B1876" s="8" t="s">
        <v>10</v>
      </c>
      <c r="C1876" s="9">
        <v>15.3</v>
      </c>
      <c r="D1876" s="10">
        <v>21.4</v>
      </c>
    </row>
    <row r="1877" spans="1:4" x14ac:dyDescent="0.35">
      <c r="A1877" s="11">
        <v>50516</v>
      </c>
      <c r="B1877" s="12" t="s">
        <v>12</v>
      </c>
      <c r="C1877" s="13">
        <v>23.7</v>
      </c>
      <c r="D1877" s="14">
        <v>0</v>
      </c>
    </row>
    <row r="1878" spans="1:4" x14ac:dyDescent="0.35">
      <c r="A1878" s="7">
        <v>50517</v>
      </c>
      <c r="B1878" s="8" t="s">
        <v>11</v>
      </c>
      <c r="C1878" s="9">
        <v>26.1</v>
      </c>
      <c r="D1878" s="10">
        <v>12.5</v>
      </c>
    </row>
    <row r="1879" spans="1:4" x14ac:dyDescent="0.35">
      <c r="A1879" s="11">
        <v>50518</v>
      </c>
      <c r="B1879" s="12" t="s">
        <v>11</v>
      </c>
      <c r="C1879" s="13">
        <v>13.4</v>
      </c>
      <c r="D1879" s="14">
        <v>0</v>
      </c>
    </row>
    <row r="1880" spans="1:4" x14ac:dyDescent="0.35">
      <c r="A1880" s="7">
        <v>50519</v>
      </c>
      <c r="B1880" s="8" t="s">
        <v>5</v>
      </c>
      <c r="C1880" s="9">
        <v>17.8</v>
      </c>
      <c r="D1880" s="10">
        <v>3.7</v>
      </c>
    </row>
    <row r="1881" spans="1:4" x14ac:dyDescent="0.35">
      <c r="A1881" s="11">
        <v>50520</v>
      </c>
      <c r="B1881" s="12" t="s">
        <v>24</v>
      </c>
      <c r="C1881" s="13">
        <v>13</v>
      </c>
      <c r="D1881" s="14">
        <v>2.7</v>
      </c>
    </row>
    <row r="1882" spans="1:4" x14ac:dyDescent="0.35">
      <c r="A1882" s="7">
        <v>50521</v>
      </c>
      <c r="B1882" s="8" t="s">
        <v>7</v>
      </c>
      <c r="C1882" s="9">
        <v>28.2</v>
      </c>
      <c r="D1882" s="10">
        <v>0</v>
      </c>
    </row>
    <row r="1883" spans="1:4" x14ac:dyDescent="0.35">
      <c r="A1883" s="11">
        <v>50522</v>
      </c>
      <c r="B1883" s="12" t="s">
        <v>10</v>
      </c>
      <c r="C1883" s="13">
        <v>23</v>
      </c>
      <c r="D1883" s="14">
        <v>0</v>
      </c>
    </row>
    <row r="1884" spans="1:4" x14ac:dyDescent="0.35">
      <c r="A1884" s="7">
        <v>50523</v>
      </c>
      <c r="B1884" s="8" t="s">
        <v>7</v>
      </c>
      <c r="C1884" s="9">
        <v>21.5</v>
      </c>
      <c r="D1884" s="10">
        <v>0</v>
      </c>
    </row>
    <row r="1885" spans="1:4" x14ac:dyDescent="0.35">
      <c r="A1885" s="11">
        <v>50524</v>
      </c>
      <c r="B1885" s="12" t="s">
        <v>18</v>
      </c>
      <c r="C1885" s="13">
        <v>22.3</v>
      </c>
      <c r="D1885" s="14">
        <v>0</v>
      </c>
    </row>
    <row r="1886" spans="1:4" x14ac:dyDescent="0.35">
      <c r="A1886" s="7">
        <v>50525</v>
      </c>
      <c r="B1886" s="8" t="s">
        <v>10</v>
      </c>
      <c r="C1886" s="9">
        <v>28.2</v>
      </c>
      <c r="D1886" s="10">
        <v>0</v>
      </c>
    </row>
    <row r="1887" spans="1:4" x14ac:dyDescent="0.35">
      <c r="A1887" s="11">
        <v>50526</v>
      </c>
      <c r="B1887" s="12" t="s">
        <v>24</v>
      </c>
      <c r="C1887" s="13">
        <v>11.9</v>
      </c>
      <c r="D1887" s="14">
        <v>3.4</v>
      </c>
    </row>
    <row r="1888" spans="1:4" x14ac:dyDescent="0.35">
      <c r="A1888" s="7">
        <v>50527</v>
      </c>
      <c r="B1888" s="8" t="s">
        <v>18</v>
      </c>
      <c r="C1888" s="9">
        <v>20.9</v>
      </c>
      <c r="D1888" s="10">
        <v>7.5</v>
      </c>
    </row>
    <row r="1889" spans="1:4" x14ac:dyDescent="0.35">
      <c r="A1889" s="11">
        <v>50528</v>
      </c>
      <c r="B1889" s="12" t="s">
        <v>32</v>
      </c>
      <c r="C1889" s="13">
        <v>18.399999999999999</v>
      </c>
      <c r="D1889" s="14">
        <v>0.2</v>
      </c>
    </row>
    <row r="1890" spans="1:4" x14ac:dyDescent="0.35">
      <c r="A1890" s="7">
        <v>50529</v>
      </c>
      <c r="B1890" s="8" t="s">
        <v>10</v>
      </c>
      <c r="C1890" s="9">
        <v>27.8</v>
      </c>
      <c r="D1890" s="10">
        <v>35.9</v>
      </c>
    </row>
    <row r="1891" spans="1:4" x14ac:dyDescent="0.35">
      <c r="A1891" s="11">
        <v>50530</v>
      </c>
      <c r="B1891" s="12" t="s">
        <v>19</v>
      </c>
      <c r="C1891" s="13">
        <v>20.7</v>
      </c>
      <c r="D1891" s="14">
        <v>14.7</v>
      </c>
    </row>
    <row r="1892" spans="1:4" x14ac:dyDescent="0.35">
      <c r="A1892" s="7">
        <v>50531</v>
      </c>
      <c r="B1892" s="8" t="s">
        <v>5</v>
      </c>
      <c r="C1892" s="9">
        <v>13</v>
      </c>
      <c r="D1892" s="10">
        <v>0</v>
      </c>
    </row>
    <row r="1893" spans="1:4" x14ac:dyDescent="0.35">
      <c r="A1893" s="11">
        <v>50532</v>
      </c>
      <c r="B1893" s="12" t="s">
        <v>19</v>
      </c>
      <c r="C1893" s="13">
        <v>29.4</v>
      </c>
      <c r="D1893" s="14">
        <v>0</v>
      </c>
    </row>
    <row r="1894" spans="1:4" x14ac:dyDescent="0.35">
      <c r="A1894" s="7">
        <v>50533</v>
      </c>
      <c r="B1894" s="8" t="s">
        <v>6</v>
      </c>
      <c r="C1894" s="9">
        <v>19.8</v>
      </c>
      <c r="D1894" s="10">
        <v>13.9</v>
      </c>
    </row>
    <row r="1895" spans="1:4" x14ac:dyDescent="0.35">
      <c r="A1895" s="11">
        <v>50534</v>
      </c>
      <c r="B1895" s="12" t="s">
        <v>11</v>
      </c>
      <c r="C1895" s="13">
        <v>10.9</v>
      </c>
      <c r="D1895" s="14">
        <v>17</v>
      </c>
    </row>
    <row r="1896" spans="1:4" x14ac:dyDescent="0.35">
      <c r="A1896" s="7">
        <v>50535</v>
      </c>
      <c r="B1896" s="8" t="s">
        <v>10</v>
      </c>
      <c r="C1896" s="9">
        <v>27.3</v>
      </c>
      <c r="D1896" s="10">
        <v>15.8</v>
      </c>
    </row>
    <row r="1897" spans="1:4" x14ac:dyDescent="0.35">
      <c r="A1897" s="11">
        <v>50536</v>
      </c>
      <c r="B1897" s="12" t="s">
        <v>19</v>
      </c>
      <c r="C1897" s="13">
        <v>16.399999999999999</v>
      </c>
      <c r="D1897" s="14">
        <v>0</v>
      </c>
    </row>
    <row r="1898" spans="1:4" x14ac:dyDescent="0.35">
      <c r="A1898" s="7">
        <v>50537</v>
      </c>
      <c r="B1898" s="8" t="s">
        <v>15</v>
      </c>
      <c r="C1898" s="9">
        <v>28</v>
      </c>
      <c r="D1898" s="10">
        <v>9.6999999999999993</v>
      </c>
    </row>
    <row r="1899" spans="1:4" x14ac:dyDescent="0.35">
      <c r="A1899" s="11">
        <v>50538</v>
      </c>
      <c r="B1899" s="12" t="s">
        <v>7</v>
      </c>
      <c r="C1899" s="13">
        <v>17.399999999999999</v>
      </c>
      <c r="D1899" s="14">
        <v>6.6</v>
      </c>
    </row>
    <row r="1900" spans="1:4" x14ac:dyDescent="0.35">
      <c r="A1900" s="7">
        <v>50539</v>
      </c>
      <c r="B1900" s="8" t="s">
        <v>8</v>
      </c>
      <c r="C1900" s="9">
        <v>25.7</v>
      </c>
      <c r="D1900" s="10">
        <v>0.7</v>
      </c>
    </row>
    <row r="1901" spans="1:4" x14ac:dyDescent="0.35">
      <c r="A1901" s="11">
        <v>50540</v>
      </c>
      <c r="B1901" s="12" t="s">
        <v>19</v>
      </c>
      <c r="C1901" s="13">
        <v>20.100000000000001</v>
      </c>
      <c r="D1901" s="14">
        <v>11</v>
      </c>
    </row>
    <row r="1902" spans="1:4" x14ac:dyDescent="0.35">
      <c r="A1902" s="7">
        <v>50541</v>
      </c>
      <c r="B1902" s="8" t="s">
        <v>19</v>
      </c>
      <c r="C1902" s="9">
        <v>17.899999999999999</v>
      </c>
      <c r="D1902" s="10">
        <v>0</v>
      </c>
    </row>
    <row r="1903" spans="1:4" x14ac:dyDescent="0.35">
      <c r="A1903" s="11">
        <v>50542</v>
      </c>
      <c r="B1903" s="12" t="s">
        <v>11</v>
      </c>
      <c r="C1903" s="13">
        <v>10.7</v>
      </c>
      <c r="D1903" s="14">
        <v>6.4</v>
      </c>
    </row>
    <row r="1904" spans="1:4" x14ac:dyDescent="0.35">
      <c r="A1904" s="7">
        <v>50543</v>
      </c>
      <c r="B1904" s="8" t="s">
        <v>9</v>
      </c>
      <c r="C1904" s="9">
        <v>20.399999999999999</v>
      </c>
      <c r="D1904" s="10">
        <v>0</v>
      </c>
    </row>
    <row r="1905" spans="1:4" x14ac:dyDescent="0.35">
      <c r="A1905" s="11">
        <v>50544</v>
      </c>
      <c r="B1905" s="12" t="s">
        <v>12</v>
      </c>
      <c r="C1905" s="13">
        <v>25.4</v>
      </c>
      <c r="D1905" s="14">
        <v>1</v>
      </c>
    </row>
    <row r="1906" spans="1:4" x14ac:dyDescent="0.35">
      <c r="A1906" s="7">
        <v>50545</v>
      </c>
      <c r="B1906" s="8" t="s">
        <v>8</v>
      </c>
      <c r="C1906" s="9">
        <v>10.9</v>
      </c>
      <c r="D1906" s="10">
        <v>0.2</v>
      </c>
    </row>
    <row r="1907" spans="1:4" x14ac:dyDescent="0.35">
      <c r="A1907" s="11">
        <v>50546</v>
      </c>
      <c r="B1907" s="12" t="s">
        <v>27</v>
      </c>
      <c r="C1907" s="13">
        <v>18.5</v>
      </c>
      <c r="D1907" s="14">
        <v>0.5</v>
      </c>
    </row>
    <row r="1908" spans="1:4" x14ac:dyDescent="0.35">
      <c r="A1908" s="7">
        <v>50547</v>
      </c>
      <c r="B1908" s="8" t="s">
        <v>10</v>
      </c>
      <c r="C1908" s="9">
        <v>14.8</v>
      </c>
      <c r="D1908" s="10">
        <v>50.3</v>
      </c>
    </row>
    <row r="1909" spans="1:4" x14ac:dyDescent="0.35">
      <c r="A1909" s="11">
        <v>50548</v>
      </c>
      <c r="B1909" s="12" t="s">
        <v>18</v>
      </c>
      <c r="C1909" s="13">
        <v>28.5</v>
      </c>
      <c r="D1909" s="14">
        <v>0.7</v>
      </c>
    </row>
    <row r="1910" spans="1:4" x14ac:dyDescent="0.35">
      <c r="A1910" s="7">
        <v>50549</v>
      </c>
      <c r="B1910" s="8" t="s">
        <v>31</v>
      </c>
      <c r="C1910" s="9">
        <v>19.399999999999999</v>
      </c>
      <c r="D1910" s="10">
        <v>0</v>
      </c>
    </row>
    <row r="1911" spans="1:4" x14ac:dyDescent="0.35">
      <c r="A1911" s="11">
        <v>50550</v>
      </c>
      <c r="B1911" s="12" t="s">
        <v>23</v>
      </c>
      <c r="C1911" s="13">
        <v>20.7</v>
      </c>
      <c r="D1911" s="14">
        <v>4.7</v>
      </c>
    </row>
    <row r="1912" spans="1:4" x14ac:dyDescent="0.35">
      <c r="A1912" s="7">
        <v>50551</v>
      </c>
      <c r="B1912" s="8" t="s">
        <v>26</v>
      </c>
      <c r="C1912" s="9">
        <v>25.7</v>
      </c>
      <c r="D1912" s="10">
        <v>0</v>
      </c>
    </row>
    <row r="1913" spans="1:4" x14ac:dyDescent="0.35">
      <c r="A1913" s="11">
        <v>50552</v>
      </c>
      <c r="B1913" s="12" t="s">
        <v>19</v>
      </c>
      <c r="C1913" s="13">
        <v>21.4</v>
      </c>
      <c r="D1913" s="14">
        <v>0</v>
      </c>
    </row>
    <row r="1914" spans="1:4" x14ac:dyDescent="0.35">
      <c r="A1914" s="7">
        <v>50553</v>
      </c>
      <c r="B1914" s="8" t="s">
        <v>10</v>
      </c>
      <c r="C1914" s="9">
        <v>19.2</v>
      </c>
      <c r="D1914" s="10">
        <v>0</v>
      </c>
    </row>
    <row r="1915" spans="1:4" x14ac:dyDescent="0.35">
      <c r="A1915" s="11">
        <v>50554</v>
      </c>
      <c r="B1915" s="12" t="s">
        <v>18</v>
      </c>
      <c r="C1915" s="13">
        <v>19.399999999999999</v>
      </c>
      <c r="D1915" s="14">
        <v>14.2</v>
      </c>
    </row>
    <row r="1916" spans="1:4" x14ac:dyDescent="0.35">
      <c r="A1916" s="7">
        <v>50555</v>
      </c>
      <c r="B1916" s="8" t="s">
        <v>19</v>
      </c>
      <c r="C1916" s="9">
        <v>24.2</v>
      </c>
      <c r="D1916" s="10">
        <v>1.9</v>
      </c>
    </row>
    <row r="1917" spans="1:4" x14ac:dyDescent="0.35">
      <c r="A1917" s="11">
        <v>50556</v>
      </c>
      <c r="B1917" s="12" t="s">
        <v>7</v>
      </c>
      <c r="C1917" s="13">
        <v>27.7</v>
      </c>
      <c r="D1917" s="14">
        <v>19.5</v>
      </c>
    </row>
    <row r="1918" spans="1:4" x14ac:dyDescent="0.35">
      <c r="A1918" s="7">
        <v>50557</v>
      </c>
      <c r="B1918" s="8" t="s">
        <v>5</v>
      </c>
      <c r="C1918" s="9">
        <v>16.899999999999999</v>
      </c>
      <c r="D1918" s="10">
        <v>4.0999999999999996</v>
      </c>
    </row>
    <row r="1919" spans="1:4" x14ac:dyDescent="0.35">
      <c r="A1919" s="11">
        <v>50558</v>
      </c>
      <c r="B1919" s="12" t="s">
        <v>19</v>
      </c>
      <c r="C1919" s="13">
        <v>11.8</v>
      </c>
      <c r="D1919" s="14">
        <v>0</v>
      </c>
    </row>
    <row r="1920" spans="1:4" x14ac:dyDescent="0.35">
      <c r="A1920" s="7">
        <v>50559</v>
      </c>
      <c r="B1920" s="8" t="s">
        <v>12</v>
      </c>
      <c r="C1920" s="9">
        <v>15.7</v>
      </c>
      <c r="D1920" s="10">
        <v>9.4</v>
      </c>
    </row>
    <row r="1921" spans="1:4" x14ac:dyDescent="0.35">
      <c r="A1921" s="11">
        <v>50560</v>
      </c>
      <c r="B1921" s="12" t="s">
        <v>6</v>
      </c>
      <c r="C1921" s="13">
        <v>14.2</v>
      </c>
      <c r="D1921" s="14">
        <v>0</v>
      </c>
    </row>
    <row r="1922" spans="1:4" x14ac:dyDescent="0.35">
      <c r="A1922" s="7">
        <v>50561</v>
      </c>
      <c r="B1922" s="8" t="s">
        <v>15</v>
      </c>
      <c r="C1922" s="9">
        <v>18.100000000000001</v>
      </c>
      <c r="D1922" s="10">
        <v>13.1</v>
      </c>
    </row>
    <row r="1923" spans="1:4" x14ac:dyDescent="0.35">
      <c r="A1923" s="11">
        <v>50562</v>
      </c>
      <c r="B1923" s="12" t="s">
        <v>19</v>
      </c>
      <c r="C1923" s="13">
        <v>21.9</v>
      </c>
      <c r="D1923" s="14">
        <v>27.5</v>
      </c>
    </row>
    <row r="1924" spans="1:4" x14ac:dyDescent="0.35">
      <c r="A1924" s="7">
        <v>50563</v>
      </c>
      <c r="B1924" s="8" t="s">
        <v>10</v>
      </c>
      <c r="C1924" s="9">
        <v>28</v>
      </c>
      <c r="D1924" s="10">
        <v>2.1</v>
      </c>
    </row>
    <row r="1925" spans="1:4" x14ac:dyDescent="0.35">
      <c r="A1925" s="11">
        <v>50564</v>
      </c>
      <c r="B1925" s="12" t="s">
        <v>13</v>
      </c>
      <c r="C1925" s="13">
        <v>14.2</v>
      </c>
      <c r="D1925" s="14">
        <v>7</v>
      </c>
    </row>
    <row r="1926" spans="1:4" x14ac:dyDescent="0.35">
      <c r="A1926" s="7">
        <v>50565</v>
      </c>
      <c r="B1926" s="8" t="s">
        <v>13</v>
      </c>
      <c r="C1926" s="9">
        <v>11.1</v>
      </c>
      <c r="D1926" s="10">
        <v>0</v>
      </c>
    </row>
    <row r="1927" spans="1:4" x14ac:dyDescent="0.35">
      <c r="A1927" s="11">
        <v>50566</v>
      </c>
      <c r="B1927" s="12" t="s">
        <v>14</v>
      </c>
      <c r="C1927" s="13">
        <v>11.8</v>
      </c>
      <c r="D1927" s="14">
        <v>6</v>
      </c>
    </row>
    <row r="1928" spans="1:4" x14ac:dyDescent="0.35">
      <c r="A1928" s="7">
        <v>50567</v>
      </c>
      <c r="B1928" s="8" t="s">
        <v>33</v>
      </c>
      <c r="C1928" s="9">
        <v>26.8</v>
      </c>
      <c r="D1928" s="10">
        <v>0.9</v>
      </c>
    </row>
    <row r="1929" spans="1:4" x14ac:dyDescent="0.35">
      <c r="A1929" s="11">
        <v>50568</v>
      </c>
      <c r="B1929" s="12" t="s">
        <v>10</v>
      </c>
      <c r="C1929" s="13">
        <v>27.3</v>
      </c>
      <c r="D1929" s="14">
        <v>44.5</v>
      </c>
    </row>
    <row r="1930" spans="1:4" x14ac:dyDescent="0.35">
      <c r="A1930" s="7">
        <v>50569</v>
      </c>
      <c r="B1930" s="8" t="s">
        <v>8</v>
      </c>
      <c r="C1930" s="9">
        <v>14.3</v>
      </c>
      <c r="D1930" s="10">
        <v>3.7</v>
      </c>
    </row>
    <row r="1931" spans="1:4" x14ac:dyDescent="0.35">
      <c r="A1931" s="11">
        <v>50570</v>
      </c>
      <c r="B1931" s="12" t="s">
        <v>5</v>
      </c>
      <c r="C1931" s="13">
        <v>19.399999999999999</v>
      </c>
      <c r="D1931" s="14">
        <v>0</v>
      </c>
    </row>
    <row r="1932" spans="1:4" x14ac:dyDescent="0.35">
      <c r="A1932" s="7">
        <v>50571</v>
      </c>
      <c r="B1932" s="8" t="s">
        <v>19</v>
      </c>
      <c r="C1932" s="9">
        <v>26.5</v>
      </c>
      <c r="D1932" s="10">
        <v>0</v>
      </c>
    </row>
    <row r="1933" spans="1:4" x14ac:dyDescent="0.35">
      <c r="A1933" s="11">
        <v>50572</v>
      </c>
      <c r="B1933" s="12" t="s">
        <v>19</v>
      </c>
      <c r="C1933" s="13">
        <v>28.3</v>
      </c>
      <c r="D1933" s="14">
        <v>14.4</v>
      </c>
    </row>
    <row r="1934" spans="1:4" x14ac:dyDescent="0.35">
      <c r="A1934" s="7">
        <v>50573</v>
      </c>
      <c r="B1934" s="8" t="s">
        <v>27</v>
      </c>
      <c r="C1934" s="9">
        <v>19.8</v>
      </c>
      <c r="D1934" s="10">
        <v>0</v>
      </c>
    </row>
    <row r="1935" spans="1:4" x14ac:dyDescent="0.35">
      <c r="A1935" s="11">
        <v>50574</v>
      </c>
      <c r="B1935" s="12" t="s">
        <v>10</v>
      </c>
      <c r="C1935" s="13">
        <v>16</v>
      </c>
      <c r="D1935" s="14">
        <v>28.7</v>
      </c>
    </row>
    <row r="1936" spans="1:4" x14ac:dyDescent="0.35">
      <c r="A1936" s="7">
        <v>50575</v>
      </c>
      <c r="B1936" s="8" t="s">
        <v>19</v>
      </c>
      <c r="C1936" s="9">
        <v>14.5</v>
      </c>
      <c r="D1936" s="10">
        <v>12</v>
      </c>
    </row>
    <row r="1937" spans="1:4" x14ac:dyDescent="0.35">
      <c r="A1937" s="11">
        <v>50576</v>
      </c>
      <c r="B1937" s="12" t="s">
        <v>15</v>
      </c>
      <c r="C1937" s="13">
        <v>14.3</v>
      </c>
      <c r="D1937" s="14">
        <v>13</v>
      </c>
    </row>
    <row r="1938" spans="1:4" x14ac:dyDescent="0.35">
      <c r="A1938" s="7">
        <v>50577</v>
      </c>
      <c r="B1938" s="8" t="s">
        <v>18</v>
      </c>
      <c r="C1938" s="9">
        <v>12.7</v>
      </c>
      <c r="D1938" s="10">
        <v>10.7</v>
      </c>
    </row>
    <row r="1939" spans="1:4" x14ac:dyDescent="0.35">
      <c r="A1939" s="11">
        <v>50578</v>
      </c>
      <c r="B1939" s="12" t="s">
        <v>22</v>
      </c>
      <c r="C1939" s="13">
        <v>12.6</v>
      </c>
      <c r="D1939" s="14">
        <v>0</v>
      </c>
    </row>
    <row r="1940" spans="1:4" x14ac:dyDescent="0.35">
      <c r="A1940" s="7">
        <v>50579</v>
      </c>
      <c r="B1940" s="8" t="s">
        <v>26</v>
      </c>
      <c r="C1940" s="9">
        <v>19.899999999999999</v>
      </c>
      <c r="D1940" s="10">
        <v>6.6</v>
      </c>
    </row>
    <row r="1941" spans="1:4" x14ac:dyDescent="0.35">
      <c r="A1941" s="11">
        <v>50580</v>
      </c>
      <c r="B1941" s="12" t="s">
        <v>7</v>
      </c>
      <c r="C1941" s="13">
        <v>27.4</v>
      </c>
      <c r="D1941" s="14">
        <v>6.6</v>
      </c>
    </row>
    <row r="1942" spans="1:4" x14ac:dyDescent="0.35">
      <c r="A1942" s="7">
        <v>50581</v>
      </c>
      <c r="B1942" s="8" t="s">
        <v>19</v>
      </c>
      <c r="C1942" s="9">
        <v>27.4</v>
      </c>
      <c r="D1942" s="10">
        <v>0</v>
      </c>
    </row>
    <row r="1943" spans="1:4" x14ac:dyDescent="0.35">
      <c r="A1943" s="11">
        <v>50582</v>
      </c>
      <c r="B1943" s="12" t="s">
        <v>28</v>
      </c>
      <c r="C1943" s="13">
        <v>11.2</v>
      </c>
      <c r="D1943" s="14">
        <v>0.3</v>
      </c>
    </row>
    <row r="1944" spans="1:4" x14ac:dyDescent="0.35">
      <c r="A1944" s="7">
        <v>50583</v>
      </c>
      <c r="B1944" s="8" t="s">
        <v>11</v>
      </c>
      <c r="C1944" s="9">
        <v>19.899999999999999</v>
      </c>
      <c r="D1944" s="10">
        <v>19.399999999999999</v>
      </c>
    </row>
    <row r="1945" spans="1:4" x14ac:dyDescent="0.35">
      <c r="A1945" s="11">
        <v>50584</v>
      </c>
      <c r="B1945" s="12" t="s">
        <v>4</v>
      </c>
      <c r="C1945" s="13">
        <v>13</v>
      </c>
      <c r="D1945" s="14">
        <v>0.4</v>
      </c>
    </row>
    <row r="1946" spans="1:4" x14ac:dyDescent="0.35">
      <c r="A1946" s="7">
        <v>50585</v>
      </c>
      <c r="B1946" s="8" t="s">
        <v>18</v>
      </c>
      <c r="C1946" s="9">
        <v>25.4</v>
      </c>
      <c r="D1946" s="10">
        <v>12.4</v>
      </c>
    </row>
    <row r="1947" spans="1:4" x14ac:dyDescent="0.35">
      <c r="A1947" s="11">
        <v>50586</v>
      </c>
      <c r="B1947" s="12" t="s">
        <v>9</v>
      </c>
      <c r="C1947" s="13">
        <v>23.5</v>
      </c>
      <c r="D1947" s="14">
        <v>0.7</v>
      </c>
    </row>
    <row r="1948" spans="1:4" x14ac:dyDescent="0.35">
      <c r="A1948" s="7">
        <v>50587</v>
      </c>
      <c r="B1948" s="8" t="s">
        <v>22</v>
      </c>
      <c r="C1948" s="9">
        <v>16</v>
      </c>
      <c r="D1948" s="10">
        <v>0.1</v>
      </c>
    </row>
    <row r="1949" spans="1:4" x14ac:dyDescent="0.35">
      <c r="A1949" s="11">
        <v>50588</v>
      </c>
      <c r="B1949" s="12" t="s">
        <v>6</v>
      </c>
      <c r="C1949" s="13">
        <v>25</v>
      </c>
      <c r="D1949" s="14">
        <v>11.7</v>
      </c>
    </row>
    <row r="1950" spans="1:4" x14ac:dyDescent="0.35">
      <c r="A1950" s="7">
        <v>50589</v>
      </c>
      <c r="B1950" s="8" t="s">
        <v>31</v>
      </c>
      <c r="C1950" s="9">
        <v>22.2</v>
      </c>
      <c r="D1950" s="10">
        <v>0.9</v>
      </c>
    </row>
    <row r="1951" spans="1:4" x14ac:dyDescent="0.35">
      <c r="A1951" s="11">
        <v>50590</v>
      </c>
      <c r="B1951" s="12" t="s">
        <v>24</v>
      </c>
      <c r="C1951" s="13">
        <v>29.6</v>
      </c>
      <c r="D1951" s="14">
        <v>0</v>
      </c>
    </row>
    <row r="1952" spans="1:4" x14ac:dyDescent="0.35">
      <c r="A1952" s="7">
        <v>50591</v>
      </c>
      <c r="B1952" s="8" t="s">
        <v>10</v>
      </c>
      <c r="C1952" s="9">
        <v>10.1</v>
      </c>
      <c r="D1952" s="10">
        <v>0</v>
      </c>
    </row>
    <row r="1953" spans="1:4" x14ac:dyDescent="0.35">
      <c r="A1953" s="11">
        <v>50592</v>
      </c>
      <c r="B1953" s="12" t="s">
        <v>9</v>
      </c>
      <c r="C1953" s="13">
        <v>26.3</v>
      </c>
      <c r="D1953" s="14">
        <v>6.7</v>
      </c>
    </row>
    <row r="1954" spans="1:4" x14ac:dyDescent="0.35">
      <c r="A1954" s="7">
        <v>50593</v>
      </c>
      <c r="B1954" s="8" t="s">
        <v>10</v>
      </c>
      <c r="C1954" s="9">
        <v>27.3</v>
      </c>
      <c r="D1954" s="10">
        <v>15.3</v>
      </c>
    </row>
    <row r="1955" spans="1:4" x14ac:dyDescent="0.35">
      <c r="A1955" s="11">
        <v>50594</v>
      </c>
      <c r="B1955" s="12" t="s">
        <v>11</v>
      </c>
      <c r="C1955" s="13">
        <v>27.8</v>
      </c>
      <c r="D1955" s="14">
        <v>0</v>
      </c>
    </row>
    <row r="1956" spans="1:4" x14ac:dyDescent="0.35">
      <c r="A1956" s="7">
        <v>50595</v>
      </c>
      <c r="B1956" s="8" t="s">
        <v>6</v>
      </c>
      <c r="C1956" s="9">
        <v>16.7</v>
      </c>
      <c r="D1956" s="10">
        <v>4.9000000000000004</v>
      </c>
    </row>
    <row r="1957" spans="1:4" x14ac:dyDescent="0.35">
      <c r="A1957" s="11">
        <v>50596</v>
      </c>
      <c r="B1957" s="12" t="s">
        <v>15</v>
      </c>
      <c r="C1957" s="13">
        <v>15</v>
      </c>
      <c r="D1957" s="14">
        <v>9.4</v>
      </c>
    </row>
    <row r="1958" spans="1:4" x14ac:dyDescent="0.35">
      <c r="A1958" s="7">
        <v>50597</v>
      </c>
      <c r="B1958" s="8" t="s">
        <v>10</v>
      </c>
      <c r="C1958" s="9">
        <v>10.4</v>
      </c>
      <c r="D1958" s="10">
        <v>28.5</v>
      </c>
    </row>
    <row r="1959" spans="1:4" x14ac:dyDescent="0.35">
      <c r="A1959" s="11">
        <v>50598</v>
      </c>
      <c r="B1959" s="12" t="s">
        <v>15</v>
      </c>
      <c r="C1959" s="13">
        <v>18.100000000000001</v>
      </c>
      <c r="D1959" s="14">
        <v>9.6</v>
      </c>
    </row>
    <row r="1960" spans="1:4" x14ac:dyDescent="0.35">
      <c r="A1960" s="7">
        <v>50599</v>
      </c>
      <c r="B1960" s="8" t="s">
        <v>33</v>
      </c>
      <c r="C1960" s="9">
        <v>26.7</v>
      </c>
      <c r="D1960" s="10">
        <v>1.5</v>
      </c>
    </row>
    <row r="1961" spans="1:4" x14ac:dyDescent="0.35">
      <c r="A1961" s="11">
        <v>50600</v>
      </c>
      <c r="B1961" s="12" t="s">
        <v>13</v>
      </c>
      <c r="C1961" s="13">
        <v>22.9</v>
      </c>
      <c r="D1961" s="14">
        <v>8.9</v>
      </c>
    </row>
    <row r="1962" spans="1:4" x14ac:dyDescent="0.35">
      <c r="A1962" s="7">
        <v>50601</v>
      </c>
      <c r="B1962" s="8" t="s">
        <v>15</v>
      </c>
      <c r="C1962" s="9">
        <v>29.3</v>
      </c>
      <c r="D1962" s="10">
        <v>0</v>
      </c>
    </row>
    <row r="1963" spans="1:4" x14ac:dyDescent="0.35">
      <c r="A1963" s="11">
        <v>50602</v>
      </c>
      <c r="B1963" s="12" t="s">
        <v>7</v>
      </c>
      <c r="C1963" s="13">
        <v>26.4</v>
      </c>
      <c r="D1963" s="14">
        <v>3.2</v>
      </c>
    </row>
    <row r="1964" spans="1:4" x14ac:dyDescent="0.35">
      <c r="A1964" s="7">
        <v>50603</v>
      </c>
      <c r="B1964" s="8" t="s">
        <v>18</v>
      </c>
      <c r="C1964" s="9">
        <v>20</v>
      </c>
      <c r="D1964" s="10">
        <v>7.3</v>
      </c>
    </row>
    <row r="1965" spans="1:4" x14ac:dyDescent="0.35">
      <c r="A1965" s="11">
        <v>50604</v>
      </c>
      <c r="B1965" s="12" t="s">
        <v>11</v>
      </c>
      <c r="C1965" s="13">
        <v>17.100000000000001</v>
      </c>
      <c r="D1965" s="14">
        <v>0</v>
      </c>
    </row>
    <row r="1966" spans="1:4" x14ac:dyDescent="0.35">
      <c r="A1966" s="7">
        <v>50605</v>
      </c>
      <c r="B1966" s="8" t="s">
        <v>5</v>
      </c>
      <c r="C1966" s="9">
        <v>18.8</v>
      </c>
      <c r="D1966" s="10">
        <v>0</v>
      </c>
    </row>
    <row r="1967" spans="1:4" x14ac:dyDescent="0.35">
      <c r="A1967" s="11">
        <v>50606</v>
      </c>
      <c r="B1967" s="12" t="s">
        <v>13</v>
      </c>
      <c r="C1967" s="13">
        <v>12.6</v>
      </c>
      <c r="D1967" s="14">
        <v>4.4000000000000004</v>
      </c>
    </row>
    <row r="1968" spans="1:4" x14ac:dyDescent="0.35">
      <c r="A1968" s="7">
        <v>50607</v>
      </c>
      <c r="B1968" s="8" t="s">
        <v>22</v>
      </c>
      <c r="C1968" s="9">
        <v>24</v>
      </c>
      <c r="D1968" s="10">
        <v>0</v>
      </c>
    </row>
    <row r="1969" spans="1:4" x14ac:dyDescent="0.35">
      <c r="A1969" s="11">
        <v>50608</v>
      </c>
      <c r="B1969" s="12" t="s">
        <v>19</v>
      </c>
      <c r="C1969" s="13">
        <v>13.4</v>
      </c>
      <c r="D1969" s="14">
        <v>35.6</v>
      </c>
    </row>
    <row r="1970" spans="1:4" x14ac:dyDescent="0.35">
      <c r="A1970" s="7">
        <v>50609</v>
      </c>
      <c r="B1970" s="8" t="s">
        <v>10</v>
      </c>
      <c r="C1970" s="9">
        <v>25.7</v>
      </c>
      <c r="D1970" s="10">
        <v>21.1</v>
      </c>
    </row>
    <row r="1971" spans="1:4" x14ac:dyDescent="0.35">
      <c r="A1971" s="11">
        <v>50610</v>
      </c>
      <c r="B1971" s="12" t="s">
        <v>21</v>
      </c>
      <c r="C1971" s="13">
        <v>24.9</v>
      </c>
      <c r="D1971" s="14">
        <v>2</v>
      </c>
    </row>
    <row r="1972" spans="1:4" x14ac:dyDescent="0.35">
      <c r="A1972" s="7">
        <v>50611</v>
      </c>
      <c r="B1972" s="8" t="s">
        <v>11</v>
      </c>
      <c r="C1972" s="9">
        <v>12.5</v>
      </c>
      <c r="D1972" s="10">
        <v>0</v>
      </c>
    </row>
    <row r="1973" spans="1:4" x14ac:dyDescent="0.35">
      <c r="A1973" s="11">
        <v>50612</v>
      </c>
      <c r="B1973" s="12" t="s">
        <v>10</v>
      </c>
      <c r="C1973" s="13">
        <v>21.8</v>
      </c>
      <c r="D1973" s="14">
        <v>0</v>
      </c>
    </row>
    <row r="1974" spans="1:4" x14ac:dyDescent="0.35">
      <c r="A1974" s="7">
        <v>50613</v>
      </c>
      <c r="B1974" s="8" t="s">
        <v>5</v>
      </c>
      <c r="C1974" s="9">
        <v>15.8</v>
      </c>
      <c r="D1974" s="10">
        <v>6.7</v>
      </c>
    </row>
    <row r="1975" spans="1:4" x14ac:dyDescent="0.35">
      <c r="A1975" s="11">
        <v>50614</v>
      </c>
      <c r="B1975" s="12" t="s">
        <v>12</v>
      </c>
      <c r="C1975" s="13">
        <v>13.9</v>
      </c>
      <c r="D1975" s="14">
        <v>0</v>
      </c>
    </row>
    <row r="1976" spans="1:4" x14ac:dyDescent="0.35">
      <c r="A1976" s="7">
        <v>50615</v>
      </c>
      <c r="B1976" s="8" t="s">
        <v>20</v>
      </c>
      <c r="C1976" s="9">
        <v>12.2</v>
      </c>
      <c r="D1976" s="10">
        <v>4.4000000000000004</v>
      </c>
    </row>
    <row r="1977" spans="1:4" x14ac:dyDescent="0.35">
      <c r="A1977" s="11">
        <v>50616</v>
      </c>
      <c r="B1977" s="12" t="s">
        <v>11</v>
      </c>
      <c r="C1977" s="13">
        <v>12.2</v>
      </c>
      <c r="D1977" s="14">
        <v>0</v>
      </c>
    </row>
    <row r="1978" spans="1:4" x14ac:dyDescent="0.35">
      <c r="A1978" s="7">
        <v>50617</v>
      </c>
      <c r="B1978" s="8" t="s">
        <v>19</v>
      </c>
      <c r="C1978" s="9">
        <v>13.7</v>
      </c>
      <c r="D1978" s="10">
        <v>28</v>
      </c>
    </row>
    <row r="1979" spans="1:4" x14ac:dyDescent="0.35">
      <c r="A1979" s="11">
        <v>50618</v>
      </c>
      <c r="B1979" s="12" t="s">
        <v>17</v>
      </c>
      <c r="C1979" s="13">
        <v>27.9</v>
      </c>
      <c r="D1979" s="14">
        <v>0</v>
      </c>
    </row>
    <row r="1980" spans="1:4" x14ac:dyDescent="0.35">
      <c r="A1980" s="7">
        <v>50619</v>
      </c>
      <c r="B1980" s="8" t="s">
        <v>13</v>
      </c>
      <c r="C1980" s="9">
        <v>25.6</v>
      </c>
      <c r="D1980" s="10">
        <v>1.7</v>
      </c>
    </row>
    <row r="1981" spans="1:4" x14ac:dyDescent="0.35">
      <c r="A1981" s="11">
        <v>50620</v>
      </c>
      <c r="B1981" s="12" t="s">
        <v>14</v>
      </c>
      <c r="C1981" s="13">
        <v>11.7</v>
      </c>
      <c r="D1981" s="14">
        <v>4.5999999999999996</v>
      </c>
    </row>
    <row r="1982" spans="1:4" x14ac:dyDescent="0.35">
      <c r="A1982" s="7">
        <v>50621</v>
      </c>
      <c r="B1982" s="8" t="s">
        <v>8</v>
      </c>
      <c r="C1982" s="9">
        <v>27.3</v>
      </c>
      <c r="D1982" s="10">
        <v>0</v>
      </c>
    </row>
    <row r="1983" spans="1:4" x14ac:dyDescent="0.35">
      <c r="A1983" s="11">
        <v>50622</v>
      </c>
      <c r="B1983" s="12" t="s">
        <v>11</v>
      </c>
      <c r="C1983" s="13">
        <v>25.6</v>
      </c>
      <c r="D1983" s="14">
        <v>18.2</v>
      </c>
    </row>
    <row r="1984" spans="1:4" x14ac:dyDescent="0.35">
      <c r="A1984" s="7">
        <v>50623</v>
      </c>
      <c r="B1984" s="8" t="s">
        <v>28</v>
      </c>
      <c r="C1984" s="9">
        <v>23.6</v>
      </c>
      <c r="D1984" s="10">
        <v>0.1</v>
      </c>
    </row>
    <row r="1985" spans="1:4" x14ac:dyDescent="0.35">
      <c r="A1985" s="11">
        <v>50624</v>
      </c>
      <c r="B1985" s="12" t="s">
        <v>10</v>
      </c>
      <c r="C1985" s="13">
        <v>14.6</v>
      </c>
      <c r="D1985" s="14">
        <v>0</v>
      </c>
    </row>
    <row r="1986" spans="1:4" x14ac:dyDescent="0.35">
      <c r="A1986" s="7">
        <v>50625</v>
      </c>
      <c r="B1986" s="8" t="s">
        <v>9</v>
      </c>
      <c r="C1986" s="9">
        <v>17.399999999999999</v>
      </c>
      <c r="D1986" s="10">
        <v>7.8</v>
      </c>
    </row>
    <row r="1987" spans="1:4" x14ac:dyDescent="0.35">
      <c r="A1987" s="11">
        <v>50626</v>
      </c>
      <c r="B1987" s="12" t="s">
        <v>10</v>
      </c>
      <c r="C1987" s="13">
        <v>27.4</v>
      </c>
      <c r="D1987" s="14">
        <v>0</v>
      </c>
    </row>
    <row r="1988" spans="1:4" x14ac:dyDescent="0.35">
      <c r="A1988" s="7">
        <v>50627</v>
      </c>
      <c r="B1988" s="8" t="s">
        <v>19</v>
      </c>
      <c r="C1988" s="9">
        <v>15.2</v>
      </c>
      <c r="D1988" s="10">
        <v>5.9</v>
      </c>
    </row>
    <row r="1989" spans="1:4" x14ac:dyDescent="0.35">
      <c r="A1989" s="11">
        <v>50628</v>
      </c>
      <c r="B1989" s="12" t="s">
        <v>29</v>
      </c>
      <c r="C1989" s="13">
        <v>11.6</v>
      </c>
      <c r="D1989" s="14">
        <v>0</v>
      </c>
    </row>
    <row r="1990" spans="1:4" x14ac:dyDescent="0.35">
      <c r="A1990" s="7">
        <v>50629</v>
      </c>
      <c r="B1990" s="8" t="s">
        <v>26</v>
      </c>
      <c r="C1990" s="9">
        <v>10.8</v>
      </c>
      <c r="D1990" s="10">
        <v>1.6</v>
      </c>
    </row>
    <row r="1991" spans="1:4" x14ac:dyDescent="0.35">
      <c r="A1991" s="11">
        <v>50630</v>
      </c>
      <c r="B1991" s="12" t="s">
        <v>22</v>
      </c>
      <c r="C1991" s="13">
        <v>12</v>
      </c>
      <c r="D1991" s="14">
        <v>3.9</v>
      </c>
    </row>
    <row r="1992" spans="1:4" x14ac:dyDescent="0.35">
      <c r="A1992" s="7">
        <v>50631</v>
      </c>
      <c r="B1992" s="8" t="s">
        <v>26</v>
      </c>
      <c r="C1992" s="9">
        <v>14</v>
      </c>
      <c r="D1992" s="10">
        <v>5</v>
      </c>
    </row>
    <row r="1993" spans="1:4" x14ac:dyDescent="0.35">
      <c r="A1993" s="11">
        <v>50632</v>
      </c>
      <c r="B1993" s="12" t="s">
        <v>19</v>
      </c>
      <c r="C1993" s="13">
        <v>26.4</v>
      </c>
      <c r="D1993" s="14">
        <v>0</v>
      </c>
    </row>
    <row r="1994" spans="1:4" x14ac:dyDescent="0.35">
      <c r="A1994" s="7">
        <v>50633</v>
      </c>
      <c r="B1994" s="8" t="s">
        <v>15</v>
      </c>
      <c r="C1994" s="9">
        <v>23</v>
      </c>
      <c r="D1994" s="10">
        <v>20.100000000000001</v>
      </c>
    </row>
    <row r="1995" spans="1:4" x14ac:dyDescent="0.35">
      <c r="A1995" s="11">
        <v>50634</v>
      </c>
      <c r="B1995" s="12" t="s">
        <v>8</v>
      </c>
      <c r="C1995" s="13">
        <v>20.5</v>
      </c>
      <c r="D1995" s="14">
        <v>1.1000000000000001</v>
      </c>
    </row>
    <row r="1996" spans="1:4" x14ac:dyDescent="0.35">
      <c r="A1996" s="7">
        <v>50635</v>
      </c>
      <c r="B1996" s="8" t="s">
        <v>14</v>
      </c>
      <c r="C1996" s="9">
        <v>15.9</v>
      </c>
      <c r="D1996" s="10">
        <v>3.1</v>
      </c>
    </row>
    <row r="1997" spans="1:4" x14ac:dyDescent="0.35">
      <c r="A1997" s="11">
        <v>50636</v>
      </c>
      <c r="B1997" s="12" t="s">
        <v>10</v>
      </c>
      <c r="C1997" s="13">
        <v>20.8</v>
      </c>
      <c r="D1997" s="14">
        <v>6.9</v>
      </c>
    </row>
    <row r="1998" spans="1:4" x14ac:dyDescent="0.35">
      <c r="A1998" s="7">
        <v>50637</v>
      </c>
      <c r="B1998" s="8" t="s">
        <v>21</v>
      </c>
      <c r="C1998" s="9">
        <v>12.9</v>
      </c>
      <c r="D1998" s="10">
        <v>1.5</v>
      </c>
    </row>
    <row r="1999" spans="1:4" x14ac:dyDescent="0.35">
      <c r="A1999" s="11">
        <v>50638</v>
      </c>
      <c r="B1999" s="12" t="s">
        <v>19</v>
      </c>
      <c r="C1999" s="13">
        <v>11.6</v>
      </c>
      <c r="D1999" s="14">
        <v>15.8</v>
      </c>
    </row>
    <row r="2000" spans="1:4" x14ac:dyDescent="0.35">
      <c r="A2000" s="7">
        <v>50639</v>
      </c>
      <c r="B2000" s="8" t="s">
        <v>13</v>
      </c>
      <c r="C2000" s="9">
        <v>25.6</v>
      </c>
      <c r="D2000" s="10">
        <v>0</v>
      </c>
    </row>
    <row r="2001" spans="1:4" x14ac:dyDescent="0.35">
      <c r="A2001" s="11">
        <v>50640</v>
      </c>
      <c r="B2001" s="12" t="s">
        <v>7</v>
      </c>
      <c r="C2001" s="13">
        <v>15.7</v>
      </c>
      <c r="D2001" s="14">
        <v>6.7</v>
      </c>
    </row>
    <row r="2002" spans="1:4" x14ac:dyDescent="0.35">
      <c r="A2002" s="7">
        <v>50641</v>
      </c>
      <c r="B2002" s="8" t="s">
        <v>14</v>
      </c>
      <c r="C2002" s="9">
        <v>25.5</v>
      </c>
      <c r="D2002" s="10">
        <v>0</v>
      </c>
    </row>
    <row r="2003" spans="1:4" x14ac:dyDescent="0.35">
      <c r="A2003" s="11">
        <v>50642</v>
      </c>
      <c r="B2003" s="12" t="s">
        <v>22</v>
      </c>
      <c r="C2003" s="13">
        <v>19.5</v>
      </c>
      <c r="D2003" s="14">
        <v>3.4</v>
      </c>
    </row>
    <row r="2004" spans="1:4" x14ac:dyDescent="0.35">
      <c r="A2004" s="7">
        <v>50643</v>
      </c>
      <c r="B2004" s="8" t="s">
        <v>25</v>
      </c>
      <c r="C2004" s="9">
        <v>14.1</v>
      </c>
      <c r="D2004" s="10">
        <v>0</v>
      </c>
    </row>
    <row r="2005" spans="1:4" x14ac:dyDescent="0.35">
      <c r="A2005" s="11">
        <v>50644</v>
      </c>
      <c r="B2005" s="12" t="s">
        <v>6</v>
      </c>
      <c r="C2005" s="13">
        <v>26.4</v>
      </c>
      <c r="D2005" s="14">
        <v>0</v>
      </c>
    </row>
    <row r="2006" spans="1:4" x14ac:dyDescent="0.35">
      <c r="A2006" s="7">
        <v>50645</v>
      </c>
      <c r="B2006" s="8" t="s">
        <v>15</v>
      </c>
      <c r="C2006" s="9">
        <v>11.7</v>
      </c>
      <c r="D2006" s="10">
        <v>8.4</v>
      </c>
    </row>
    <row r="2007" spans="1:4" x14ac:dyDescent="0.35">
      <c r="A2007" s="11">
        <v>50646</v>
      </c>
      <c r="B2007" s="12" t="s">
        <v>25</v>
      </c>
      <c r="C2007" s="13">
        <v>28</v>
      </c>
      <c r="D2007" s="14">
        <v>0</v>
      </c>
    </row>
    <row r="2008" spans="1:4" x14ac:dyDescent="0.35">
      <c r="A2008" s="7">
        <v>50647</v>
      </c>
      <c r="B2008" s="8" t="s">
        <v>17</v>
      </c>
      <c r="C2008" s="9">
        <v>13</v>
      </c>
      <c r="D2008" s="10">
        <v>0.1</v>
      </c>
    </row>
    <row r="2009" spans="1:4" x14ac:dyDescent="0.35">
      <c r="A2009" s="11">
        <v>50648</v>
      </c>
      <c r="B2009" s="12" t="s">
        <v>11</v>
      </c>
      <c r="C2009" s="13">
        <v>10.8</v>
      </c>
      <c r="D2009" s="14">
        <v>11.3</v>
      </c>
    </row>
    <row r="2010" spans="1:4" x14ac:dyDescent="0.35">
      <c r="A2010" s="7">
        <v>50649</v>
      </c>
      <c r="B2010" s="8" t="s">
        <v>11</v>
      </c>
      <c r="C2010" s="9">
        <v>26.4</v>
      </c>
      <c r="D2010" s="10">
        <v>18.7</v>
      </c>
    </row>
    <row r="2011" spans="1:4" x14ac:dyDescent="0.35">
      <c r="A2011" s="11">
        <v>50650</v>
      </c>
      <c r="B2011" s="12" t="s">
        <v>19</v>
      </c>
      <c r="C2011" s="13">
        <v>26.7</v>
      </c>
      <c r="D2011" s="14">
        <v>3.9</v>
      </c>
    </row>
    <row r="2012" spans="1:4" x14ac:dyDescent="0.35">
      <c r="A2012" s="7">
        <v>50651</v>
      </c>
      <c r="B2012" s="8" t="s">
        <v>11</v>
      </c>
      <c r="C2012" s="9">
        <v>11.7</v>
      </c>
      <c r="D2012" s="10">
        <v>13</v>
      </c>
    </row>
    <row r="2013" spans="1:4" x14ac:dyDescent="0.35">
      <c r="A2013" s="11">
        <v>50652</v>
      </c>
      <c r="B2013" s="12" t="s">
        <v>30</v>
      </c>
      <c r="C2013" s="13">
        <v>12</v>
      </c>
      <c r="D2013" s="14">
        <v>0.4</v>
      </c>
    </row>
    <row r="2014" spans="1:4" x14ac:dyDescent="0.35">
      <c r="A2014" s="7">
        <v>50653</v>
      </c>
      <c r="B2014" s="8" t="s">
        <v>21</v>
      </c>
      <c r="C2014" s="9">
        <v>24.2</v>
      </c>
      <c r="D2014" s="10">
        <v>0.7</v>
      </c>
    </row>
    <row r="2015" spans="1:4" x14ac:dyDescent="0.35">
      <c r="A2015" s="11">
        <v>50654</v>
      </c>
      <c r="B2015" s="12" t="s">
        <v>26</v>
      </c>
      <c r="C2015" s="13">
        <v>27.3</v>
      </c>
      <c r="D2015" s="14">
        <v>3.7</v>
      </c>
    </row>
    <row r="2016" spans="1:4" x14ac:dyDescent="0.35">
      <c r="A2016" s="7">
        <v>50655</v>
      </c>
      <c r="B2016" s="8" t="s">
        <v>13</v>
      </c>
      <c r="C2016" s="9">
        <v>10.7</v>
      </c>
      <c r="D2016" s="10">
        <v>0</v>
      </c>
    </row>
    <row r="2017" spans="1:4" x14ac:dyDescent="0.35">
      <c r="A2017" s="11">
        <v>50656</v>
      </c>
      <c r="B2017" s="12" t="s">
        <v>8</v>
      </c>
      <c r="C2017" s="13">
        <v>11.1</v>
      </c>
      <c r="D2017" s="14">
        <v>0</v>
      </c>
    </row>
    <row r="2018" spans="1:4" x14ac:dyDescent="0.35">
      <c r="A2018" s="7">
        <v>50657</v>
      </c>
      <c r="B2018" s="8" t="s">
        <v>7</v>
      </c>
      <c r="C2018" s="9">
        <v>28.5</v>
      </c>
      <c r="D2018" s="10">
        <v>19.8</v>
      </c>
    </row>
    <row r="2019" spans="1:4" x14ac:dyDescent="0.35">
      <c r="A2019" s="11">
        <v>50658</v>
      </c>
      <c r="B2019" s="12" t="s">
        <v>19</v>
      </c>
      <c r="C2019" s="13">
        <v>10.1</v>
      </c>
      <c r="D2019" s="14">
        <v>0</v>
      </c>
    </row>
    <row r="2020" spans="1:4" x14ac:dyDescent="0.35">
      <c r="A2020" s="7">
        <v>50659</v>
      </c>
      <c r="B2020" s="8" t="s">
        <v>9</v>
      </c>
      <c r="C2020" s="9">
        <v>20.8</v>
      </c>
      <c r="D2020" s="10">
        <v>11.2</v>
      </c>
    </row>
    <row r="2021" spans="1:4" x14ac:dyDescent="0.35">
      <c r="A2021" s="11">
        <v>50660</v>
      </c>
      <c r="B2021" s="12" t="s">
        <v>7</v>
      </c>
      <c r="C2021" s="13">
        <v>16.600000000000001</v>
      </c>
      <c r="D2021" s="14">
        <v>0</v>
      </c>
    </row>
    <row r="2022" spans="1:4" x14ac:dyDescent="0.35">
      <c r="A2022" s="7">
        <v>50661</v>
      </c>
      <c r="B2022" s="8" t="s">
        <v>13</v>
      </c>
      <c r="C2022" s="9">
        <v>26.4</v>
      </c>
      <c r="D2022" s="10">
        <v>10</v>
      </c>
    </row>
    <row r="2023" spans="1:4" x14ac:dyDescent="0.35">
      <c r="A2023" s="11">
        <v>50662</v>
      </c>
      <c r="B2023" s="12" t="s">
        <v>22</v>
      </c>
      <c r="C2023" s="13">
        <v>15.1</v>
      </c>
      <c r="D2023" s="14">
        <v>0</v>
      </c>
    </row>
    <row r="2024" spans="1:4" x14ac:dyDescent="0.35">
      <c r="A2024" s="7">
        <v>50663</v>
      </c>
      <c r="B2024" s="8" t="s">
        <v>6</v>
      </c>
      <c r="C2024" s="9">
        <v>20.9</v>
      </c>
      <c r="D2024" s="10">
        <v>10.1</v>
      </c>
    </row>
    <row r="2025" spans="1:4" x14ac:dyDescent="0.35">
      <c r="A2025" s="11">
        <v>50664</v>
      </c>
      <c r="B2025" s="12" t="s">
        <v>13</v>
      </c>
      <c r="C2025" s="13">
        <v>27.3</v>
      </c>
      <c r="D2025" s="14">
        <v>5.3</v>
      </c>
    </row>
    <row r="2026" spans="1:4" x14ac:dyDescent="0.35">
      <c r="A2026" s="7">
        <v>50665</v>
      </c>
      <c r="B2026" s="8" t="s">
        <v>6</v>
      </c>
      <c r="C2026" s="9">
        <v>17.600000000000001</v>
      </c>
      <c r="D2026" s="10">
        <v>5.5</v>
      </c>
    </row>
    <row r="2027" spans="1:4" x14ac:dyDescent="0.35">
      <c r="A2027" s="11">
        <v>50666</v>
      </c>
      <c r="B2027" s="12" t="s">
        <v>19</v>
      </c>
      <c r="C2027" s="13">
        <v>27.8</v>
      </c>
      <c r="D2027" s="14">
        <v>0</v>
      </c>
    </row>
    <row r="2028" spans="1:4" x14ac:dyDescent="0.35">
      <c r="A2028" s="7">
        <v>50667</v>
      </c>
      <c r="B2028" s="8" t="s">
        <v>10</v>
      </c>
      <c r="C2028" s="9">
        <v>25.8</v>
      </c>
      <c r="D2028" s="10">
        <v>12.1</v>
      </c>
    </row>
    <row r="2029" spans="1:4" x14ac:dyDescent="0.35">
      <c r="A2029" s="11">
        <v>50668</v>
      </c>
      <c r="B2029" s="12" t="s">
        <v>26</v>
      </c>
      <c r="C2029" s="13">
        <v>18.100000000000001</v>
      </c>
      <c r="D2029" s="14">
        <v>1.1000000000000001</v>
      </c>
    </row>
    <row r="2030" spans="1:4" x14ac:dyDescent="0.35">
      <c r="A2030" s="7">
        <v>50669</v>
      </c>
      <c r="B2030" s="8" t="s">
        <v>12</v>
      </c>
      <c r="C2030" s="9">
        <v>21.9</v>
      </c>
      <c r="D2030" s="10">
        <v>7.7</v>
      </c>
    </row>
    <row r="2031" spans="1:4" x14ac:dyDescent="0.35">
      <c r="A2031" s="11">
        <v>50670</v>
      </c>
      <c r="B2031" s="12" t="s">
        <v>27</v>
      </c>
      <c r="C2031" s="13">
        <v>23.2</v>
      </c>
      <c r="D2031" s="14">
        <v>5.0999999999999996</v>
      </c>
    </row>
    <row r="2032" spans="1:4" x14ac:dyDescent="0.35">
      <c r="A2032" s="7">
        <v>50671</v>
      </c>
      <c r="B2032" s="8" t="s">
        <v>31</v>
      </c>
      <c r="C2032" s="9">
        <v>26.6</v>
      </c>
      <c r="D2032" s="10">
        <v>0.3</v>
      </c>
    </row>
    <row r="2033" spans="1:4" x14ac:dyDescent="0.35">
      <c r="A2033" s="11">
        <v>50672</v>
      </c>
      <c r="B2033" s="12" t="s">
        <v>11</v>
      </c>
      <c r="C2033" s="13">
        <v>23.2</v>
      </c>
      <c r="D2033" s="14">
        <v>0</v>
      </c>
    </row>
    <row r="2034" spans="1:4" x14ac:dyDescent="0.35">
      <c r="A2034" s="7">
        <v>50673</v>
      </c>
      <c r="B2034" s="8" t="s">
        <v>10</v>
      </c>
      <c r="C2034" s="9">
        <v>11</v>
      </c>
      <c r="D2034" s="10">
        <v>40.9</v>
      </c>
    </row>
    <row r="2035" spans="1:4" x14ac:dyDescent="0.35">
      <c r="A2035" s="11">
        <v>50674</v>
      </c>
      <c r="B2035" s="12" t="s">
        <v>23</v>
      </c>
      <c r="C2035" s="13">
        <v>26.8</v>
      </c>
      <c r="D2035" s="14">
        <v>2.2999999999999998</v>
      </c>
    </row>
    <row r="2036" spans="1:4" x14ac:dyDescent="0.35">
      <c r="A2036" s="7">
        <v>50675</v>
      </c>
      <c r="B2036" s="8" t="s">
        <v>13</v>
      </c>
      <c r="C2036" s="9">
        <v>22.2</v>
      </c>
      <c r="D2036" s="10">
        <v>0</v>
      </c>
    </row>
    <row r="2037" spans="1:4" x14ac:dyDescent="0.35">
      <c r="A2037" s="11">
        <v>50676</v>
      </c>
      <c r="B2037" s="12" t="s">
        <v>18</v>
      </c>
      <c r="C2037" s="13">
        <v>10.199999999999999</v>
      </c>
      <c r="D2037" s="14">
        <v>6.1</v>
      </c>
    </row>
    <row r="2038" spans="1:4" x14ac:dyDescent="0.35">
      <c r="A2038" s="7">
        <v>50677</v>
      </c>
      <c r="B2038" s="8" t="s">
        <v>33</v>
      </c>
      <c r="C2038" s="9">
        <v>18.399999999999999</v>
      </c>
      <c r="D2038" s="10">
        <v>1.5</v>
      </c>
    </row>
    <row r="2039" spans="1:4" x14ac:dyDescent="0.35">
      <c r="A2039" s="11">
        <v>50678</v>
      </c>
      <c r="B2039" s="12" t="s">
        <v>7</v>
      </c>
      <c r="C2039" s="13">
        <v>29.4</v>
      </c>
      <c r="D2039" s="14">
        <v>22.3</v>
      </c>
    </row>
    <row r="2040" spans="1:4" x14ac:dyDescent="0.35">
      <c r="A2040" s="7">
        <v>50679</v>
      </c>
      <c r="B2040" s="8" t="s">
        <v>23</v>
      </c>
      <c r="C2040" s="9">
        <v>23.4</v>
      </c>
      <c r="D2040" s="10">
        <v>0</v>
      </c>
    </row>
    <row r="2041" spans="1:4" x14ac:dyDescent="0.35">
      <c r="A2041" s="11">
        <v>50680</v>
      </c>
      <c r="B2041" s="12" t="s">
        <v>5</v>
      </c>
      <c r="C2041" s="13">
        <v>13.6</v>
      </c>
      <c r="D2041" s="14">
        <v>6.1</v>
      </c>
    </row>
    <row r="2042" spans="1:4" x14ac:dyDescent="0.35">
      <c r="A2042" s="7">
        <v>50681</v>
      </c>
      <c r="B2042" s="8" t="s">
        <v>7</v>
      </c>
      <c r="C2042" s="9">
        <v>17.7</v>
      </c>
      <c r="D2042" s="10">
        <v>1.4</v>
      </c>
    </row>
    <row r="2043" spans="1:4" x14ac:dyDescent="0.35">
      <c r="A2043" s="11">
        <v>50682</v>
      </c>
      <c r="B2043" s="12" t="s">
        <v>23</v>
      </c>
      <c r="C2043" s="13">
        <v>17</v>
      </c>
      <c r="D2043" s="14">
        <v>5.9</v>
      </c>
    </row>
    <row r="2044" spans="1:4" x14ac:dyDescent="0.35">
      <c r="A2044" s="7">
        <v>50683</v>
      </c>
      <c r="B2044" s="8" t="s">
        <v>6</v>
      </c>
      <c r="C2044" s="9">
        <v>29.6</v>
      </c>
      <c r="D2044" s="10">
        <v>6.6</v>
      </c>
    </row>
    <row r="2045" spans="1:4" x14ac:dyDescent="0.35">
      <c r="A2045" s="11">
        <v>50684</v>
      </c>
      <c r="B2045" s="12" t="s">
        <v>10</v>
      </c>
      <c r="C2045" s="13">
        <v>23.4</v>
      </c>
      <c r="D2045" s="14">
        <v>0</v>
      </c>
    </row>
    <row r="2046" spans="1:4" x14ac:dyDescent="0.35">
      <c r="A2046" s="7">
        <v>50685</v>
      </c>
      <c r="B2046" s="8" t="s">
        <v>7</v>
      </c>
      <c r="C2046" s="9">
        <v>21.3</v>
      </c>
      <c r="D2046" s="10">
        <v>22.4</v>
      </c>
    </row>
    <row r="2047" spans="1:4" x14ac:dyDescent="0.35">
      <c r="A2047" s="11">
        <v>50686</v>
      </c>
      <c r="B2047" s="12" t="s">
        <v>19</v>
      </c>
      <c r="C2047" s="13">
        <v>18.600000000000001</v>
      </c>
      <c r="D2047" s="14">
        <v>0</v>
      </c>
    </row>
    <row r="2048" spans="1:4" x14ac:dyDescent="0.35">
      <c r="A2048" s="7">
        <v>50687</v>
      </c>
      <c r="B2048" s="8" t="s">
        <v>13</v>
      </c>
      <c r="C2048" s="9">
        <v>16.8</v>
      </c>
      <c r="D2048" s="10">
        <v>2.8</v>
      </c>
    </row>
    <row r="2049" spans="1:4" x14ac:dyDescent="0.35">
      <c r="A2049" s="11">
        <v>50688</v>
      </c>
      <c r="B2049" s="12" t="s">
        <v>20</v>
      </c>
      <c r="C2049" s="13">
        <v>13.2</v>
      </c>
      <c r="D2049" s="14">
        <v>4</v>
      </c>
    </row>
    <row r="2050" spans="1:4" x14ac:dyDescent="0.35">
      <c r="A2050" s="7">
        <v>50689</v>
      </c>
      <c r="B2050" s="8" t="s">
        <v>19</v>
      </c>
      <c r="C2050" s="9">
        <v>29.8</v>
      </c>
      <c r="D2050" s="10">
        <v>24.9</v>
      </c>
    </row>
    <row r="2051" spans="1:4" x14ac:dyDescent="0.35">
      <c r="A2051" s="11">
        <v>50690</v>
      </c>
      <c r="B2051" s="12" t="s">
        <v>10</v>
      </c>
      <c r="C2051" s="13">
        <v>10.6</v>
      </c>
      <c r="D2051" s="14">
        <v>31.8</v>
      </c>
    </row>
    <row r="2052" spans="1:4" x14ac:dyDescent="0.35">
      <c r="A2052" s="7">
        <v>50691</v>
      </c>
      <c r="B2052" s="8" t="s">
        <v>15</v>
      </c>
      <c r="C2052" s="9">
        <v>11.9</v>
      </c>
      <c r="D2052" s="10">
        <v>12.3</v>
      </c>
    </row>
    <row r="2053" spans="1:4" x14ac:dyDescent="0.35">
      <c r="A2053" s="11">
        <v>50692</v>
      </c>
      <c r="B2053" s="12" t="s">
        <v>30</v>
      </c>
      <c r="C2053" s="13">
        <v>26.8</v>
      </c>
      <c r="D2053" s="14">
        <v>0.5</v>
      </c>
    </row>
    <row r="2054" spans="1:4" x14ac:dyDescent="0.35">
      <c r="A2054" s="7">
        <v>50693</v>
      </c>
      <c r="B2054" s="8" t="s">
        <v>22</v>
      </c>
      <c r="C2054" s="9">
        <v>29</v>
      </c>
      <c r="D2054" s="10">
        <v>3.5</v>
      </c>
    </row>
    <row r="2055" spans="1:4" x14ac:dyDescent="0.35">
      <c r="A2055" s="11">
        <v>50694</v>
      </c>
      <c r="B2055" s="12" t="s">
        <v>20</v>
      </c>
      <c r="C2055" s="13">
        <v>22.9</v>
      </c>
      <c r="D2055" s="14">
        <v>2</v>
      </c>
    </row>
    <row r="2056" spans="1:4" x14ac:dyDescent="0.35">
      <c r="A2056" s="7">
        <v>50695</v>
      </c>
      <c r="B2056" s="8" t="s">
        <v>21</v>
      </c>
      <c r="C2056" s="9">
        <v>27.1</v>
      </c>
      <c r="D2056" s="10">
        <v>0</v>
      </c>
    </row>
    <row r="2057" spans="1:4" x14ac:dyDescent="0.35">
      <c r="A2057" s="11">
        <v>50696</v>
      </c>
      <c r="B2057" s="12" t="s">
        <v>10</v>
      </c>
      <c r="C2057" s="13">
        <v>11.8</v>
      </c>
      <c r="D2057" s="14">
        <v>49</v>
      </c>
    </row>
    <row r="2058" spans="1:4" x14ac:dyDescent="0.35">
      <c r="A2058" s="7">
        <v>50697</v>
      </c>
      <c r="B2058" s="8" t="s">
        <v>6</v>
      </c>
      <c r="C2058" s="9">
        <v>26.6</v>
      </c>
      <c r="D2058" s="10">
        <v>0</v>
      </c>
    </row>
    <row r="2059" spans="1:4" x14ac:dyDescent="0.35">
      <c r="A2059" s="11">
        <v>50698</v>
      </c>
      <c r="B2059" s="12" t="s">
        <v>18</v>
      </c>
      <c r="C2059" s="13">
        <v>21.3</v>
      </c>
      <c r="D2059" s="14">
        <v>0</v>
      </c>
    </row>
    <row r="2060" spans="1:4" x14ac:dyDescent="0.35">
      <c r="A2060" s="7">
        <v>50699</v>
      </c>
      <c r="B2060" s="8" t="s">
        <v>11</v>
      </c>
      <c r="C2060" s="9">
        <v>23.2</v>
      </c>
      <c r="D2060" s="10">
        <v>0</v>
      </c>
    </row>
    <row r="2061" spans="1:4" x14ac:dyDescent="0.35">
      <c r="A2061" s="11">
        <v>50700</v>
      </c>
      <c r="B2061" s="12" t="s">
        <v>10</v>
      </c>
      <c r="C2061" s="13">
        <v>27.3</v>
      </c>
      <c r="D2061" s="14">
        <v>0</v>
      </c>
    </row>
    <row r="2062" spans="1:4" x14ac:dyDescent="0.35">
      <c r="A2062" s="7">
        <v>50701</v>
      </c>
      <c r="B2062" s="8" t="s">
        <v>13</v>
      </c>
      <c r="C2062" s="9">
        <v>21.3</v>
      </c>
      <c r="D2062" s="10">
        <v>2.6</v>
      </c>
    </row>
    <row r="2063" spans="1:4" x14ac:dyDescent="0.35">
      <c r="A2063" s="11">
        <v>50702</v>
      </c>
      <c r="B2063" s="12" t="s">
        <v>19</v>
      </c>
      <c r="C2063" s="13">
        <v>22.9</v>
      </c>
      <c r="D2063" s="14">
        <v>5.3</v>
      </c>
    </row>
    <row r="2064" spans="1:4" x14ac:dyDescent="0.35">
      <c r="A2064" s="7">
        <v>50703</v>
      </c>
      <c r="B2064" s="8" t="s">
        <v>28</v>
      </c>
      <c r="C2064" s="9">
        <v>25</v>
      </c>
      <c r="D2064" s="10">
        <v>0</v>
      </c>
    </row>
    <row r="2065" spans="1:4" x14ac:dyDescent="0.35">
      <c r="A2065" s="11">
        <v>50704</v>
      </c>
      <c r="B2065" s="12" t="s">
        <v>24</v>
      </c>
      <c r="C2065" s="13">
        <v>15.9</v>
      </c>
      <c r="D2065" s="14">
        <v>2.5</v>
      </c>
    </row>
    <row r="2066" spans="1:4" x14ac:dyDescent="0.35">
      <c r="A2066" s="7">
        <v>50705</v>
      </c>
      <c r="B2066" s="8" t="s">
        <v>22</v>
      </c>
      <c r="C2066" s="9">
        <v>19.2</v>
      </c>
      <c r="D2066" s="10">
        <v>1.3</v>
      </c>
    </row>
    <row r="2067" spans="1:4" x14ac:dyDescent="0.35">
      <c r="A2067" s="11">
        <v>50706</v>
      </c>
      <c r="B2067" s="12" t="s">
        <v>7</v>
      </c>
      <c r="C2067" s="13">
        <v>22.5</v>
      </c>
      <c r="D2067" s="14">
        <v>10.9</v>
      </c>
    </row>
    <row r="2068" spans="1:4" x14ac:dyDescent="0.35">
      <c r="A2068" s="7">
        <v>50707</v>
      </c>
      <c r="B2068" s="8" t="s">
        <v>13</v>
      </c>
      <c r="C2068" s="9">
        <v>28.7</v>
      </c>
      <c r="D2068" s="10">
        <v>13.3</v>
      </c>
    </row>
    <row r="2069" spans="1:4" x14ac:dyDescent="0.35">
      <c r="A2069" s="11">
        <v>50708</v>
      </c>
      <c r="B2069" s="12" t="s">
        <v>19</v>
      </c>
      <c r="C2069" s="13">
        <v>14.6</v>
      </c>
      <c r="D2069" s="14">
        <v>29.3</v>
      </c>
    </row>
    <row r="2070" spans="1:4" x14ac:dyDescent="0.35">
      <c r="A2070" s="7">
        <v>50709</v>
      </c>
      <c r="B2070" s="8" t="s">
        <v>18</v>
      </c>
      <c r="C2070" s="9">
        <v>12.1</v>
      </c>
      <c r="D2070" s="10">
        <v>6.5</v>
      </c>
    </row>
    <row r="2071" spans="1:4" x14ac:dyDescent="0.35">
      <c r="A2071" s="11">
        <v>50710</v>
      </c>
      <c r="B2071" s="12" t="s">
        <v>19</v>
      </c>
      <c r="C2071" s="13">
        <v>20</v>
      </c>
      <c r="D2071" s="14">
        <v>26.1</v>
      </c>
    </row>
    <row r="2072" spans="1:4" x14ac:dyDescent="0.35">
      <c r="A2072" s="7">
        <v>50711</v>
      </c>
      <c r="B2072" s="8" t="s">
        <v>27</v>
      </c>
      <c r="C2072" s="9">
        <v>20.8</v>
      </c>
      <c r="D2072" s="10">
        <v>2.5</v>
      </c>
    </row>
    <row r="2073" spans="1:4" x14ac:dyDescent="0.35">
      <c r="A2073" s="15">
        <v>50712</v>
      </c>
      <c r="B2073" s="16" t="s">
        <v>7</v>
      </c>
      <c r="C2073" s="2">
        <v>26.6</v>
      </c>
      <c r="D2073" s="3">
        <v>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C747-0EB7-4958-B63A-D9983559435A}">
  <dimension ref="A1:H2073"/>
  <sheetViews>
    <sheetView workbookViewId="0">
      <selection activeCell="E3" sqref="E3"/>
    </sheetView>
  </sheetViews>
  <sheetFormatPr defaultRowHeight="14.5" x14ac:dyDescent="0.35"/>
  <cols>
    <col min="1" max="1" width="9.90625" bestFit="1" customWidth="1"/>
    <col min="2" max="2" width="16.1796875" bestFit="1" customWidth="1"/>
    <col min="3" max="3" width="11.1796875" bestFit="1" customWidth="1"/>
    <col min="4" max="4" width="14.7265625" bestFit="1" customWidth="1"/>
    <col min="5" max="5" width="11.1796875" bestFit="1" customWidth="1"/>
    <col min="8" max="8" width="11.08984375" bestFit="1" customWidth="1"/>
  </cols>
  <sheetData>
    <row r="1" spans="1:8" x14ac:dyDescent="0.35">
      <c r="A1" s="4" t="s">
        <v>0</v>
      </c>
      <c r="B1" s="5" t="s">
        <v>1</v>
      </c>
      <c r="C1" s="5" t="s">
        <v>2</v>
      </c>
      <c r="D1" s="6" t="s">
        <v>3</v>
      </c>
      <c r="E1" s="17" t="s">
        <v>34</v>
      </c>
    </row>
    <row r="2" spans="1:8" x14ac:dyDescent="0.35">
      <c r="A2" s="7">
        <v>48641</v>
      </c>
      <c r="B2" s="8" t="s">
        <v>4</v>
      </c>
      <c r="C2" s="9">
        <v>27.8</v>
      </c>
      <c r="D2" s="10">
        <v>0.2</v>
      </c>
      <c r="E2">
        <f>IF(D2&gt;=1,C2*D2/100,0)</f>
        <v>0</v>
      </c>
    </row>
    <row r="3" spans="1:8" x14ac:dyDescent="0.35">
      <c r="A3" s="11">
        <v>48642</v>
      </c>
      <c r="B3" s="12" t="s">
        <v>5</v>
      </c>
      <c r="C3" s="13">
        <v>11.8</v>
      </c>
      <c r="D3" s="14">
        <v>1.7</v>
      </c>
      <c r="E3">
        <f t="shared" ref="E3:E66" si="0">IF(D3&gt;=1,C3*D3/100,0)</f>
        <v>0.20060000000000003</v>
      </c>
      <c r="G3" t="s">
        <v>35</v>
      </c>
      <c r="H3" t="s">
        <v>34</v>
      </c>
    </row>
    <row r="4" spans="1:8" x14ac:dyDescent="0.35">
      <c r="A4" s="7">
        <v>48643</v>
      </c>
      <c r="B4" s="8" t="s">
        <v>6</v>
      </c>
      <c r="C4" s="9">
        <v>21</v>
      </c>
      <c r="D4" s="10">
        <v>6</v>
      </c>
      <c r="E4">
        <f t="shared" si="0"/>
        <v>1.26</v>
      </c>
      <c r="G4">
        <f>SUM(C2:C2073)</f>
        <v>41498.199999999975</v>
      </c>
      <c r="H4">
        <f>SUM(E3:E2073)</f>
        <v>3092.2943000000032</v>
      </c>
    </row>
    <row r="5" spans="1:8" x14ac:dyDescent="0.35">
      <c r="A5" s="11">
        <v>48644</v>
      </c>
      <c r="B5" s="12" t="s">
        <v>7</v>
      </c>
      <c r="C5" s="13">
        <v>26.3</v>
      </c>
      <c r="D5" s="14">
        <v>11.4</v>
      </c>
      <c r="E5">
        <f t="shared" si="0"/>
        <v>2.9981999999999998</v>
      </c>
    </row>
    <row r="6" spans="1:8" x14ac:dyDescent="0.35">
      <c r="A6" s="7">
        <v>48645</v>
      </c>
      <c r="B6" s="8" t="s">
        <v>8</v>
      </c>
      <c r="C6" s="9">
        <v>28.8</v>
      </c>
      <c r="D6" s="10">
        <v>0</v>
      </c>
      <c r="E6">
        <f t="shared" si="0"/>
        <v>0</v>
      </c>
    </row>
    <row r="7" spans="1:8" x14ac:dyDescent="0.35">
      <c r="A7" s="11">
        <v>48646</v>
      </c>
      <c r="B7" s="12" t="s">
        <v>9</v>
      </c>
      <c r="C7" s="13">
        <v>29.2</v>
      </c>
      <c r="D7" s="14">
        <v>0</v>
      </c>
      <c r="E7">
        <f t="shared" si="0"/>
        <v>0</v>
      </c>
    </row>
    <row r="8" spans="1:8" x14ac:dyDescent="0.35">
      <c r="A8" s="7">
        <v>48647</v>
      </c>
      <c r="B8" s="8" t="s">
        <v>10</v>
      </c>
      <c r="C8" s="9">
        <v>25.6</v>
      </c>
      <c r="D8" s="10">
        <v>28.7</v>
      </c>
      <c r="E8">
        <f t="shared" si="0"/>
        <v>7.3472</v>
      </c>
    </row>
    <row r="9" spans="1:8" x14ac:dyDescent="0.35">
      <c r="A9" s="11">
        <v>48648</v>
      </c>
      <c r="B9" s="12" t="s">
        <v>11</v>
      </c>
      <c r="C9" s="13">
        <v>10.1</v>
      </c>
      <c r="D9" s="14">
        <v>7.7</v>
      </c>
      <c r="E9">
        <f t="shared" si="0"/>
        <v>0.77769999999999995</v>
      </c>
    </row>
    <row r="10" spans="1:8" x14ac:dyDescent="0.35">
      <c r="A10" s="7">
        <v>48649</v>
      </c>
      <c r="B10" s="8" t="s">
        <v>12</v>
      </c>
      <c r="C10" s="9">
        <v>14.6</v>
      </c>
      <c r="D10" s="10">
        <v>0</v>
      </c>
      <c r="E10">
        <f t="shared" si="0"/>
        <v>0</v>
      </c>
    </row>
    <row r="11" spans="1:8" x14ac:dyDescent="0.35">
      <c r="A11" s="11">
        <v>48650</v>
      </c>
      <c r="B11" s="12" t="s">
        <v>13</v>
      </c>
      <c r="C11" s="13">
        <v>11.5</v>
      </c>
      <c r="D11" s="14">
        <v>1.9</v>
      </c>
      <c r="E11">
        <f t="shared" si="0"/>
        <v>0.21849999999999997</v>
      </c>
    </row>
    <row r="12" spans="1:8" x14ac:dyDescent="0.35">
      <c r="A12" s="7">
        <v>48651</v>
      </c>
      <c r="B12" s="8" t="s">
        <v>9</v>
      </c>
      <c r="C12" s="9">
        <v>15.2</v>
      </c>
      <c r="D12" s="10">
        <v>0</v>
      </c>
      <c r="E12">
        <f t="shared" si="0"/>
        <v>0</v>
      </c>
    </row>
    <row r="13" spans="1:8" x14ac:dyDescent="0.35">
      <c r="A13" s="11">
        <v>48652</v>
      </c>
      <c r="B13" s="12" t="s">
        <v>10</v>
      </c>
      <c r="C13" s="13">
        <v>10.199999999999999</v>
      </c>
      <c r="D13" s="14">
        <v>13.3</v>
      </c>
      <c r="E13">
        <f t="shared" si="0"/>
        <v>1.3566</v>
      </c>
    </row>
    <row r="14" spans="1:8" x14ac:dyDescent="0.35">
      <c r="A14" s="7">
        <v>48653</v>
      </c>
      <c r="B14" s="8" t="s">
        <v>14</v>
      </c>
      <c r="C14" s="9">
        <v>20.399999999999999</v>
      </c>
      <c r="D14" s="10">
        <v>4.5999999999999996</v>
      </c>
      <c r="E14">
        <f t="shared" si="0"/>
        <v>0.9383999999999999</v>
      </c>
    </row>
    <row r="15" spans="1:8" x14ac:dyDescent="0.35">
      <c r="A15" s="11">
        <v>48654</v>
      </c>
      <c r="B15" s="12" t="s">
        <v>14</v>
      </c>
      <c r="C15" s="13">
        <v>13.6</v>
      </c>
      <c r="D15" s="14">
        <v>8</v>
      </c>
      <c r="E15">
        <f t="shared" si="0"/>
        <v>1.0880000000000001</v>
      </c>
    </row>
    <row r="16" spans="1:8" x14ac:dyDescent="0.35">
      <c r="A16" s="7">
        <v>48655</v>
      </c>
      <c r="B16" s="8" t="s">
        <v>15</v>
      </c>
      <c r="C16" s="9">
        <v>11</v>
      </c>
      <c r="D16" s="10">
        <v>11.6</v>
      </c>
      <c r="E16">
        <f t="shared" si="0"/>
        <v>1.276</v>
      </c>
    </row>
    <row r="17" spans="1:5" x14ac:dyDescent="0.35">
      <c r="A17" s="11">
        <v>48656</v>
      </c>
      <c r="B17" s="12" t="s">
        <v>16</v>
      </c>
      <c r="C17" s="13">
        <v>14.1</v>
      </c>
      <c r="D17" s="14">
        <v>0</v>
      </c>
      <c r="E17">
        <f t="shared" si="0"/>
        <v>0</v>
      </c>
    </row>
    <row r="18" spans="1:5" x14ac:dyDescent="0.35">
      <c r="A18" s="7">
        <v>48657</v>
      </c>
      <c r="B18" s="8" t="s">
        <v>10</v>
      </c>
      <c r="C18" s="9">
        <v>19.2</v>
      </c>
      <c r="D18" s="10">
        <v>0</v>
      </c>
      <c r="E18">
        <f t="shared" si="0"/>
        <v>0</v>
      </c>
    </row>
    <row r="19" spans="1:5" x14ac:dyDescent="0.35">
      <c r="A19" s="11">
        <v>48658</v>
      </c>
      <c r="B19" s="12" t="s">
        <v>10</v>
      </c>
      <c r="C19" s="13">
        <v>20.7</v>
      </c>
      <c r="D19" s="14">
        <v>0</v>
      </c>
      <c r="E19">
        <f t="shared" si="0"/>
        <v>0</v>
      </c>
    </row>
    <row r="20" spans="1:5" x14ac:dyDescent="0.35">
      <c r="A20" s="7">
        <v>48659</v>
      </c>
      <c r="B20" s="8" t="s">
        <v>17</v>
      </c>
      <c r="C20" s="9">
        <v>29.5</v>
      </c>
      <c r="D20" s="10">
        <v>2.1</v>
      </c>
      <c r="E20">
        <f t="shared" si="0"/>
        <v>0.61950000000000005</v>
      </c>
    </row>
    <row r="21" spans="1:5" x14ac:dyDescent="0.35">
      <c r="A21" s="11">
        <v>48660</v>
      </c>
      <c r="B21" s="12" t="s">
        <v>11</v>
      </c>
      <c r="C21" s="13">
        <v>24.4</v>
      </c>
      <c r="D21" s="14">
        <v>10.1</v>
      </c>
      <c r="E21">
        <f t="shared" si="0"/>
        <v>2.4643999999999995</v>
      </c>
    </row>
    <row r="22" spans="1:5" x14ac:dyDescent="0.35">
      <c r="A22" s="7">
        <v>48661</v>
      </c>
      <c r="B22" s="8" t="s">
        <v>18</v>
      </c>
      <c r="C22" s="9">
        <v>15.6</v>
      </c>
      <c r="D22" s="10">
        <v>6.6</v>
      </c>
      <c r="E22">
        <f t="shared" si="0"/>
        <v>1.0295999999999998</v>
      </c>
    </row>
    <row r="23" spans="1:5" x14ac:dyDescent="0.35">
      <c r="A23" s="11">
        <v>48662</v>
      </c>
      <c r="B23" s="12" t="s">
        <v>9</v>
      </c>
      <c r="C23" s="13">
        <v>22.7</v>
      </c>
      <c r="D23" s="14">
        <v>2.9</v>
      </c>
      <c r="E23">
        <f t="shared" si="0"/>
        <v>0.6583</v>
      </c>
    </row>
    <row r="24" spans="1:5" x14ac:dyDescent="0.35">
      <c r="A24" s="7">
        <v>48663</v>
      </c>
      <c r="B24" s="8" t="s">
        <v>15</v>
      </c>
      <c r="C24" s="9">
        <v>15.1</v>
      </c>
      <c r="D24" s="10">
        <v>0</v>
      </c>
      <c r="E24">
        <f t="shared" si="0"/>
        <v>0</v>
      </c>
    </row>
    <row r="25" spans="1:5" x14ac:dyDescent="0.35">
      <c r="A25" s="11">
        <v>48664</v>
      </c>
      <c r="B25" s="12" t="s">
        <v>19</v>
      </c>
      <c r="C25" s="13">
        <v>14.1</v>
      </c>
      <c r="D25" s="14">
        <v>0.8</v>
      </c>
      <c r="E25">
        <f t="shared" si="0"/>
        <v>0</v>
      </c>
    </row>
    <row r="26" spans="1:5" x14ac:dyDescent="0.35">
      <c r="A26" s="7">
        <v>48665</v>
      </c>
      <c r="B26" s="8" t="s">
        <v>7</v>
      </c>
      <c r="C26" s="9">
        <v>24.9</v>
      </c>
      <c r="D26" s="10">
        <v>2.2000000000000002</v>
      </c>
      <c r="E26">
        <f t="shared" si="0"/>
        <v>0.54780000000000006</v>
      </c>
    </row>
    <row r="27" spans="1:5" x14ac:dyDescent="0.35">
      <c r="A27" s="11">
        <v>48666</v>
      </c>
      <c r="B27" s="12" t="s">
        <v>20</v>
      </c>
      <c r="C27" s="13">
        <v>14.8</v>
      </c>
      <c r="D27" s="14">
        <v>0</v>
      </c>
      <c r="E27">
        <f t="shared" si="0"/>
        <v>0</v>
      </c>
    </row>
    <row r="28" spans="1:5" x14ac:dyDescent="0.35">
      <c r="A28" s="7">
        <v>48667</v>
      </c>
      <c r="B28" s="8" t="s">
        <v>14</v>
      </c>
      <c r="C28" s="9">
        <v>18.8</v>
      </c>
      <c r="D28" s="10">
        <v>0</v>
      </c>
      <c r="E28">
        <f t="shared" si="0"/>
        <v>0</v>
      </c>
    </row>
    <row r="29" spans="1:5" x14ac:dyDescent="0.35">
      <c r="A29" s="11">
        <v>48668</v>
      </c>
      <c r="B29" s="12" t="s">
        <v>15</v>
      </c>
      <c r="C29" s="13">
        <v>29.3</v>
      </c>
      <c r="D29" s="14">
        <v>8</v>
      </c>
      <c r="E29">
        <f t="shared" si="0"/>
        <v>2.3439999999999999</v>
      </c>
    </row>
    <row r="30" spans="1:5" x14ac:dyDescent="0.35">
      <c r="A30" s="7">
        <v>48669</v>
      </c>
      <c r="B30" s="8" t="s">
        <v>21</v>
      </c>
      <c r="C30" s="9">
        <v>29.4</v>
      </c>
      <c r="D30" s="10">
        <v>2.4</v>
      </c>
      <c r="E30">
        <f t="shared" si="0"/>
        <v>0.70559999999999989</v>
      </c>
    </row>
    <row r="31" spans="1:5" x14ac:dyDescent="0.35">
      <c r="A31" s="11">
        <v>48670</v>
      </c>
      <c r="B31" s="12" t="s">
        <v>22</v>
      </c>
      <c r="C31" s="13">
        <v>16.8</v>
      </c>
      <c r="D31" s="14">
        <v>2.9</v>
      </c>
      <c r="E31">
        <f t="shared" si="0"/>
        <v>0.48719999999999997</v>
      </c>
    </row>
    <row r="32" spans="1:5" x14ac:dyDescent="0.35">
      <c r="A32" s="7">
        <v>48671</v>
      </c>
      <c r="B32" s="8" t="s">
        <v>12</v>
      </c>
      <c r="C32" s="9">
        <v>21.4</v>
      </c>
      <c r="D32" s="10">
        <v>6.3</v>
      </c>
      <c r="E32">
        <f t="shared" si="0"/>
        <v>1.3481999999999998</v>
      </c>
    </row>
    <row r="33" spans="1:5" x14ac:dyDescent="0.35">
      <c r="A33" s="11">
        <v>48672</v>
      </c>
      <c r="B33" s="12" t="s">
        <v>7</v>
      </c>
      <c r="C33" s="13">
        <v>23.9</v>
      </c>
      <c r="D33" s="14">
        <v>0</v>
      </c>
      <c r="E33">
        <f t="shared" si="0"/>
        <v>0</v>
      </c>
    </row>
    <row r="34" spans="1:5" x14ac:dyDescent="0.35">
      <c r="A34" s="7">
        <v>48673</v>
      </c>
      <c r="B34" s="8" t="s">
        <v>12</v>
      </c>
      <c r="C34" s="9">
        <v>26.7</v>
      </c>
      <c r="D34" s="10">
        <v>0</v>
      </c>
      <c r="E34">
        <f t="shared" si="0"/>
        <v>0</v>
      </c>
    </row>
    <row r="35" spans="1:5" x14ac:dyDescent="0.35">
      <c r="A35" s="11">
        <v>48674</v>
      </c>
      <c r="B35" s="12" t="s">
        <v>7</v>
      </c>
      <c r="C35" s="13">
        <v>12.4</v>
      </c>
      <c r="D35" s="14">
        <v>0</v>
      </c>
      <c r="E35">
        <f t="shared" si="0"/>
        <v>0</v>
      </c>
    </row>
    <row r="36" spans="1:5" x14ac:dyDescent="0.35">
      <c r="A36" s="7">
        <v>48675</v>
      </c>
      <c r="B36" s="8" t="s">
        <v>12</v>
      </c>
      <c r="C36" s="9">
        <v>10.4</v>
      </c>
      <c r="D36" s="10">
        <v>10.7</v>
      </c>
      <c r="E36">
        <f t="shared" si="0"/>
        <v>1.1128</v>
      </c>
    </row>
    <row r="37" spans="1:5" x14ac:dyDescent="0.35">
      <c r="A37" s="11">
        <v>48676</v>
      </c>
      <c r="B37" s="12" t="s">
        <v>9</v>
      </c>
      <c r="C37" s="13">
        <v>17.899999999999999</v>
      </c>
      <c r="D37" s="14">
        <v>0</v>
      </c>
      <c r="E37">
        <f t="shared" si="0"/>
        <v>0</v>
      </c>
    </row>
    <row r="38" spans="1:5" x14ac:dyDescent="0.35">
      <c r="A38" s="7">
        <v>48677</v>
      </c>
      <c r="B38" s="8" t="s">
        <v>20</v>
      </c>
      <c r="C38" s="9">
        <v>17.399999999999999</v>
      </c>
      <c r="D38" s="10">
        <v>1.6</v>
      </c>
      <c r="E38">
        <f t="shared" si="0"/>
        <v>0.27839999999999998</v>
      </c>
    </row>
    <row r="39" spans="1:5" x14ac:dyDescent="0.35">
      <c r="A39" s="11">
        <v>48678</v>
      </c>
      <c r="B39" s="12" t="s">
        <v>11</v>
      </c>
      <c r="C39" s="13">
        <v>29.4</v>
      </c>
      <c r="D39" s="14">
        <v>21.7</v>
      </c>
      <c r="E39">
        <f t="shared" si="0"/>
        <v>6.3797999999999995</v>
      </c>
    </row>
    <row r="40" spans="1:5" x14ac:dyDescent="0.35">
      <c r="A40" s="7">
        <v>48679</v>
      </c>
      <c r="B40" s="8" t="s">
        <v>19</v>
      </c>
      <c r="C40" s="9">
        <v>22.9</v>
      </c>
      <c r="D40" s="10">
        <v>26.9</v>
      </c>
      <c r="E40">
        <f t="shared" si="0"/>
        <v>6.160099999999999</v>
      </c>
    </row>
    <row r="41" spans="1:5" x14ac:dyDescent="0.35">
      <c r="A41" s="11">
        <v>48680</v>
      </c>
      <c r="B41" s="12" t="s">
        <v>19</v>
      </c>
      <c r="C41" s="13">
        <v>18.899999999999999</v>
      </c>
      <c r="D41" s="14">
        <v>11.3</v>
      </c>
      <c r="E41">
        <f t="shared" si="0"/>
        <v>2.1356999999999999</v>
      </c>
    </row>
    <row r="42" spans="1:5" x14ac:dyDescent="0.35">
      <c r="A42" s="7">
        <v>48681</v>
      </c>
      <c r="B42" s="8" t="s">
        <v>5</v>
      </c>
      <c r="C42" s="9">
        <v>23.5</v>
      </c>
      <c r="D42" s="10">
        <v>0</v>
      </c>
      <c r="E42">
        <f t="shared" si="0"/>
        <v>0</v>
      </c>
    </row>
    <row r="43" spans="1:5" x14ac:dyDescent="0.35">
      <c r="A43" s="11">
        <v>48682</v>
      </c>
      <c r="B43" s="12" t="s">
        <v>18</v>
      </c>
      <c r="C43" s="13">
        <v>13.4</v>
      </c>
      <c r="D43" s="14">
        <v>14.2</v>
      </c>
      <c r="E43">
        <f t="shared" si="0"/>
        <v>1.9028</v>
      </c>
    </row>
    <row r="44" spans="1:5" x14ac:dyDescent="0.35">
      <c r="A44" s="7">
        <v>48683</v>
      </c>
      <c r="B44" s="8" t="s">
        <v>20</v>
      </c>
      <c r="C44" s="9">
        <v>18.899999999999999</v>
      </c>
      <c r="D44" s="10">
        <v>1.5</v>
      </c>
      <c r="E44">
        <f t="shared" si="0"/>
        <v>0.28349999999999997</v>
      </c>
    </row>
    <row r="45" spans="1:5" x14ac:dyDescent="0.35">
      <c r="A45" s="11">
        <v>48684</v>
      </c>
      <c r="B45" s="12" t="s">
        <v>17</v>
      </c>
      <c r="C45" s="13">
        <v>13.5</v>
      </c>
      <c r="D45" s="14">
        <v>1.4</v>
      </c>
      <c r="E45">
        <f t="shared" si="0"/>
        <v>0.18899999999999997</v>
      </c>
    </row>
    <row r="46" spans="1:5" x14ac:dyDescent="0.35">
      <c r="A46" s="7">
        <v>48685</v>
      </c>
      <c r="B46" s="8" t="s">
        <v>5</v>
      </c>
      <c r="C46" s="9">
        <v>17.7</v>
      </c>
      <c r="D46" s="10">
        <v>5.9</v>
      </c>
      <c r="E46">
        <f t="shared" si="0"/>
        <v>1.0443</v>
      </c>
    </row>
    <row r="47" spans="1:5" x14ac:dyDescent="0.35">
      <c r="A47" s="11">
        <v>48686</v>
      </c>
      <c r="B47" s="12" t="s">
        <v>11</v>
      </c>
      <c r="C47" s="13">
        <v>24.7</v>
      </c>
      <c r="D47" s="14">
        <v>0</v>
      </c>
      <c r="E47">
        <f t="shared" si="0"/>
        <v>0</v>
      </c>
    </row>
    <row r="48" spans="1:5" x14ac:dyDescent="0.35">
      <c r="A48" s="7">
        <v>48687</v>
      </c>
      <c r="B48" s="8" t="s">
        <v>18</v>
      </c>
      <c r="C48" s="9">
        <v>25.6</v>
      </c>
      <c r="D48" s="10">
        <v>1.9</v>
      </c>
      <c r="E48">
        <f t="shared" si="0"/>
        <v>0.4864</v>
      </c>
    </row>
    <row r="49" spans="1:5" x14ac:dyDescent="0.35">
      <c r="A49" s="11">
        <v>48688</v>
      </c>
      <c r="B49" s="12" t="s">
        <v>22</v>
      </c>
      <c r="C49" s="13">
        <v>18.399999999999999</v>
      </c>
      <c r="D49" s="14">
        <v>0</v>
      </c>
      <c r="E49">
        <f t="shared" si="0"/>
        <v>0</v>
      </c>
    </row>
    <row r="50" spans="1:5" x14ac:dyDescent="0.35">
      <c r="A50" s="7">
        <v>48689</v>
      </c>
      <c r="B50" s="8" t="s">
        <v>23</v>
      </c>
      <c r="C50" s="9">
        <v>27</v>
      </c>
      <c r="D50" s="10">
        <v>0</v>
      </c>
      <c r="E50">
        <f t="shared" si="0"/>
        <v>0</v>
      </c>
    </row>
    <row r="51" spans="1:5" x14ac:dyDescent="0.35">
      <c r="A51" s="11">
        <v>48690</v>
      </c>
      <c r="B51" s="12" t="s">
        <v>10</v>
      </c>
      <c r="C51" s="13">
        <v>16</v>
      </c>
      <c r="D51" s="14">
        <v>0</v>
      </c>
      <c r="E51">
        <f t="shared" si="0"/>
        <v>0</v>
      </c>
    </row>
    <row r="52" spans="1:5" x14ac:dyDescent="0.35">
      <c r="A52" s="7">
        <v>48691</v>
      </c>
      <c r="B52" s="8" t="s">
        <v>7</v>
      </c>
      <c r="C52" s="9">
        <v>18.600000000000001</v>
      </c>
      <c r="D52" s="10">
        <v>7.4</v>
      </c>
      <c r="E52">
        <f t="shared" si="0"/>
        <v>1.3764000000000001</v>
      </c>
    </row>
    <row r="53" spans="1:5" x14ac:dyDescent="0.35">
      <c r="A53" s="11">
        <v>48692</v>
      </c>
      <c r="B53" s="12" t="s">
        <v>10</v>
      </c>
      <c r="C53" s="13">
        <v>12.7</v>
      </c>
      <c r="D53" s="14">
        <v>30.8</v>
      </c>
      <c r="E53">
        <f t="shared" si="0"/>
        <v>3.9115999999999995</v>
      </c>
    </row>
    <row r="54" spans="1:5" x14ac:dyDescent="0.35">
      <c r="A54" s="7">
        <v>48693</v>
      </c>
      <c r="B54" s="8" t="s">
        <v>19</v>
      </c>
      <c r="C54" s="9">
        <v>14.5</v>
      </c>
      <c r="D54" s="10">
        <v>0</v>
      </c>
      <c r="E54">
        <f t="shared" si="0"/>
        <v>0</v>
      </c>
    </row>
    <row r="55" spans="1:5" x14ac:dyDescent="0.35">
      <c r="A55" s="11">
        <v>48694</v>
      </c>
      <c r="B55" s="12" t="s">
        <v>24</v>
      </c>
      <c r="C55" s="13">
        <v>12.2</v>
      </c>
      <c r="D55" s="14">
        <v>3.5</v>
      </c>
      <c r="E55">
        <f t="shared" si="0"/>
        <v>0.42699999999999994</v>
      </c>
    </row>
    <row r="56" spans="1:5" x14ac:dyDescent="0.35">
      <c r="A56" s="7">
        <v>48695</v>
      </c>
      <c r="B56" s="8" t="s">
        <v>25</v>
      </c>
      <c r="C56" s="9">
        <v>19.899999999999999</v>
      </c>
      <c r="D56" s="10">
        <v>0</v>
      </c>
      <c r="E56">
        <f t="shared" si="0"/>
        <v>0</v>
      </c>
    </row>
    <row r="57" spans="1:5" x14ac:dyDescent="0.35">
      <c r="A57" s="11">
        <v>48696</v>
      </c>
      <c r="B57" s="12" t="s">
        <v>26</v>
      </c>
      <c r="C57" s="13">
        <v>28.1</v>
      </c>
      <c r="D57" s="14">
        <v>5.3</v>
      </c>
      <c r="E57">
        <f t="shared" si="0"/>
        <v>1.4893000000000001</v>
      </c>
    </row>
    <row r="58" spans="1:5" x14ac:dyDescent="0.35">
      <c r="A58" s="7">
        <v>48697</v>
      </c>
      <c r="B58" s="8" t="s">
        <v>10</v>
      </c>
      <c r="C58" s="9">
        <v>27.7</v>
      </c>
      <c r="D58" s="10">
        <v>45.3</v>
      </c>
      <c r="E58">
        <f t="shared" si="0"/>
        <v>12.5481</v>
      </c>
    </row>
    <row r="59" spans="1:5" x14ac:dyDescent="0.35">
      <c r="A59" s="11">
        <v>48698</v>
      </c>
      <c r="B59" s="12" t="s">
        <v>5</v>
      </c>
      <c r="C59" s="13">
        <v>14.6</v>
      </c>
      <c r="D59" s="14">
        <v>5.2</v>
      </c>
      <c r="E59">
        <f t="shared" si="0"/>
        <v>0.75919999999999999</v>
      </c>
    </row>
    <row r="60" spans="1:5" x14ac:dyDescent="0.35">
      <c r="A60" s="7">
        <v>48699</v>
      </c>
      <c r="B60" s="8" t="s">
        <v>18</v>
      </c>
      <c r="C60" s="9">
        <v>10.8</v>
      </c>
      <c r="D60" s="10">
        <v>0</v>
      </c>
      <c r="E60">
        <f t="shared" si="0"/>
        <v>0</v>
      </c>
    </row>
    <row r="61" spans="1:5" x14ac:dyDescent="0.35">
      <c r="A61" s="11">
        <v>48700</v>
      </c>
      <c r="B61" s="12" t="s">
        <v>27</v>
      </c>
      <c r="C61" s="13">
        <v>12.4</v>
      </c>
      <c r="D61" s="14">
        <v>3.2</v>
      </c>
      <c r="E61">
        <f t="shared" si="0"/>
        <v>0.39680000000000004</v>
      </c>
    </row>
    <row r="62" spans="1:5" x14ac:dyDescent="0.35">
      <c r="A62" s="7">
        <v>48701</v>
      </c>
      <c r="B62" s="8" t="s">
        <v>10</v>
      </c>
      <c r="C62" s="9">
        <v>25.2</v>
      </c>
      <c r="D62" s="10">
        <v>0</v>
      </c>
      <c r="E62">
        <f t="shared" si="0"/>
        <v>0</v>
      </c>
    </row>
    <row r="63" spans="1:5" x14ac:dyDescent="0.35">
      <c r="A63" s="11">
        <v>48702</v>
      </c>
      <c r="B63" s="12" t="s">
        <v>10</v>
      </c>
      <c r="C63" s="13">
        <v>28.9</v>
      </c>
      <c r="D63" s="14">
        <v>0</v>
      </c>
      <c r="E63">
        <f t="shared" si="0"/>
        <v>0</v>
      </c>
    </row>
    <row r="64" spans="1:5" x14ac:dyDescent="0.35">
      <c r="A64" s="7">
        <v>48703</v>
      </c>
      <c r="B64" s="8" t="s">
        <v>19</v>
      </c>
      <c r="C64" s="9">
        <v>13.2</v>
      </c>
      <c r="D64" s="10">
        <v>23.3</v>
      </c>
      <c r="E64">
        <f t="shared" si="0"/>
        <v>3.0756000000000001</v>
      </c>
    </row>
    <row r="65" spans="1:5" x14ac:dyDescent="0.35">
      <c r="A65" s="11">
        <v>48704</v>
      </c>
      <c r="B65" s="12" t="s">
        <v>10</v>
      </c>
      <c r="C65" s="13">
        <v>27.9</v>
      </c>
      <c r="D65" s="14">
        <v>0</v>
      </c>
      <c r="E65">
        <f t="shared" si="0"/>
        <v>0</v>
      </c>
    </row>
    <row r="66" spans="1:5" x14ac:dyDescent="0.35">
      <c r="A66" s="7">
        <v>48705</v>
      </c>
      <c r="B66" s="8" t="s">
        <v>7</v>
      </c>
      <c r="C66" s="9">
        <v>10.9</v>
      </c>
      <c r="D66" s="10">
        <v>3.5</v>
      </c>
      <c r="E66">
        <f t="shared" si="0"/>
        <v>0.38150000000000001</v>
      </c>
    </row>
    <row r="67" spans="1:5" x14ac:dyDescent="0.35">
      <c r="A67" s="11">
        <v>48706</v>
      </c>
      <c r="B67" s="12" t="s">
        <v>15</v>
      </c>
      <c r="C67" s="13">
        <v>25.5</v>
      </c>
      <c r="D67" s="14">
        <v>20</v>
      </c>
      <c r="E67">
        <f t="shared" ref="E67:E130" si="1">IF(D67&gt;=1,C67*D67/100,0)</f>
        <v>5.0999999999999996</v>
      </c>
    </row>
    <row r="68" spans="1:5" x14ac:dyDescent="0.35">
      <c r="A68" s="7">
        <v>48707</v>
      </c>
      <c r="B68" s="8" t="s">
        <v>9</v>
      </c>
      <c r="C68" s="9">
        <v>26</v>
      </c>
      <c r="D68" s="10">
        <v>0</v>
      </c>
      <c r="E68">
        <f t="shared" si="1"/>
        <v>0</v>
      </c>
    </row>
    <row r="69" spans="1:5" x14ac:dyDescent="0.35">
      <c r="A69" s="11">
        <v>48708</v>
      </c>
      <c r="B69" s="12" t="s">
        <v>25</v>
      </c>
      <c r="C69" s="13">
        <v>25.8</v>
      </c>
      <c r="D69" s="14">
        <v>0.1</v>
      </c>
      <c r="E69">
        <f t="shared" si="1"/>
        <v>0</v>
      </c>
    </row>
    <row r="70" spans="1:5" x14ac:dyDescent="0.35">
      <c r="A70" s="7">
        <v>48709</v>
      </c>
      <c r="B70" s="8" t="s">
        <v>14</v>
      </c>
      <c r="C70" s="9">
        <v>17.5</v>
      </c>
      <c r="D70" s="10">
        <v>0.5</v>
      </c>
      <c r="E70">
        <f t="shared" si="1"/>
        <v>0</v>
      </c>
    </row>
    <row r="71" spans="1:5" x14ac:dyDescent="0.35">
      <c r="A71" s="11">
        <v>48710</v>
      </c>
      <c r="B71" s="12" t="s">
        <v>10</v>
      </c>
      <c r="C71" s="13">
        <v>17.8</v>
      </c>
      <c r="D71" s="14">
        <v>3.3</v>
      </c>
      <c r="E71">
        <f t="shared" si="1"/>
        <v>0.58740000000000003</v>
      </c>
    </row>
    <row r="72" spans="1:5" x14ac:dyDescent="0.35">
      <c r="A72" s="7">
        <v>48711</v>
      </c>
      <c r="B72" s="8" t="s">
        <v>10</v>
      </c>
      <c r="C72" s="9">
        <v>17.5</v>
      </c>
      <c r="D72" s="10">
        <v>0</v>
      </c>
      <c r="E72">
        <f t="shared" si="1"/>
        <v>0</v>
      </c>
    </row>
    <row r="73" spans="1:5" x14ac:dyDescent="0.35">
      <c r="A73" s="11">
        <v>48712</v>
      </c>
      <c r="B73" s="12" t="s">
        <v>13</v>
      </c>
      <c r="C73" s="13">
        <v>16.100000000000001</v>
      </c>
      <c r="D73" s="14">
        <v>0</v>
      </c>
      <c r="E73">
        <f t="shared" si="1"/>
        <v>0</v>
      </c>
    </row>
    <row r="74" spans="1:5" x14ac:dyDescent="0.35">
      <c r="A74" s="7">
        <v>48713</v>
      </c>
      <c r="B74" s="8" t="s">
        <v>5</v>
      </c>
      <c r="C74" s="9">
        <v>11.8</v>
      </c>
      <c r="D74" s="10">
        <v>7</v>
      </c>
      <c r="E74">
        <f t="shared" si="1"/>
        <v>0.82600000000000007</v>
      </c>
    </row>
    <row r="75" spans="1:5" x14ac:dyDescent="0.35">
      <c r="A75" s="11">
        <v>48714</v>
      </c>
      <c r="B75" s="12" t="s">
        <v>15</v>
      </c>
      <c r="C75" s="13">
        <v>26.2</v>
      </c>
      <c r="D75" s="14">
        <v>0</v>
      </c>
      <c r="E75">
        <f t="shared" si="1"/>
        <v>0</v>
      </c>
    </row>
    <row r="76" spans="1:5" x14ac:dyDescent="0.35">
      <c r="A76" s="7">
        <v>48715</v>
      </c>
      <c r="B76" s="8" t="s">
        <v>6</v>
      </c>
      <c r="C76" s="9">
        <v>28.8</v>
      </c>
      <c r="D76" s="10">
        <v>2.9</v>
      </c>
      <c r="E76">
        <f t="shared" si="1"/>
        <v>0.83519999999999994</v>
      </c>
    </row>
    <row r="77" spans="1:5" x14ac:dyDescent="0.35">
      <c r="A77" s="11">
        <v>48716</v>
      </c>
      <c r="B77" s="12" t="s">
        <v>10</v>
      </c>
      <c r="C77" s="13">
        <v>18.7</v>
      </c>
      <c r="D77" s="14">
        <v>0</v>
      </c>
      <c r="E77">
        <f t="shared" si="1"/>
        <v>0</v>
      </c>
    </row>
    <row r="78" spans="1:5" x14ac:dyDescent="0.35">
      <c r="A78" s="7">
        <v>48717</v>
      </c>
      <c r="B78" s="8" t="s">
        <v>18</v>
      </c>
      <c r="C78" s="9">
        <v>10.3</v>
      </c>
      <c r="D78" s="10">
        <v>9.1999999999999993</v>
      </c>
      <c r="E78">
        <f t="shared" si="1"/>
        <v>0.9476</v>
      </c>
    </row>
    <row r="79" spans="1:5" x14ac:dyDescent="0.35">
      <c r="A79" s="11">
        <v>48718</v>
      </c>
      <c r="B79" s="12" t="s">
        <v>6</v>
      </c>
      <c r="C79" s="13">
        <v>29.8</v>
      </c>
      <c r="D79" s="14">
        <v>3.4</v>
      </c>
      <c r="E79">
        <f t="shared" si="1"/>
        <v>1.0131999999999999</v>
      </c>
    </row>
    <row r="80" spans="1:5" x14ac:dyDescent="0.35">
      <c r="A80" s="7">
        <v>48719</v>
      </c>
      <c r="B80" s="8" t="s">
        <v>10</v>
      </c>
      <c r="C80" s="9">
        <v>26.2</v>
      </c>
      <c r="D80" s="10">
        <v>32.299999999999997</v>
      </c>
      <c r="E80">
        <f t="shared" si="1"/>
        <v>8.4625999999999983</v>
      </c>
    </row>
    <row r="81" spans="1:5" x14ac:dyDescent="0.35">
      <c r="A81" s="11">
        <v>48720</v>
      </c>
      <c r="B81" s="12" t="s">
        <v>19</v>
      </c>
      <c r="C81" s="13">
        <v>13.8</v>
      </c>
      <c r="D81" s="14">
        <v>15.9</v>
      </c>
      <c r="E81">
        <f t="shared" si="1"/>
        <v>2.1942000000000004</v>
      </c>
    </row>
    <row r="82" spans="1:5" x14ac:dyDescent="0.35">
      <c r="A82" s="7">
        <v>48721</v>
      </c>
      <c r="B82" s="8" t="s">
        <v>19</v>
      </c>
      <c r="C82" s="9">
        <v>22.4</v>
      </c>
      <c r="D82" s="10">
        <v>24.5</v>
      </c>
      <c r="E82">
        <f t="shared" si="1"/>
        <v>5.4879999999999995</v>
      </c>
    </row>
    <row r="83" spans="1:5" x14ac:dyDescent="0.35">
      <c r="A83" s="11">
        <v>48722</v>
      </c>
      <c r="B83" s="12" t="s">
        <v>19</v>
      </c>
      <c r="C83" s="13">
        <v>24.5</v>
      </c>
      <c r="D83" s="14">
        <v>0.9</v>
      </c>
      <c r="E83">
        <f t="shared" si="1"/>
        <v>0</v>
      </c>
    </row>
    <row r="84" spans="1:5" x14ac:dyDescent="0.35">
      <c r="A84" s="7">
        <v>48723</v>
      </c>
      <c r="B84" s="8" t="s">
        <v>28</v>
      </c>
      <c r="C84" s="9">
        <v>23.1</v>
      </c>
      <c r="D84" s="10">
        <v>0.3</v>
      </c>
      <c r="E84">
        <f t="shared" si="1"/>
        <v>0</v>
      </c>
    </row>
    <row r="85" spans="1:5" x14ac:dyDescent="0.35">
      <c r="A85" s="11">
        <v>48724</v>
      </c>
      <c r="B85" s="12" t="s">
        <v>25</v>
      </c>
      <c r="C85" s="13">
        <v>29.8</v>
      </c>
      <c r="D85" s="14">
        <v>0</v>
      </c>
      <c r="E85">
        <f t="shared" si="1"/>
        <v>0</v>
      </c>
    </row>
    <row r="86" spans="1:5" x14ac:dyDescent="0.35">
      <c r="A86" s="7">
        <v>48725</v>
      </c>
      <c r="B86" s="8" t="s">
        <v>4</v>
      </c>
      <c r="C86" s="9">
        <v>11.2</v>
      </c>
      <c r="D86" s="10">
        <v>0</v>
      </c>
      <c r="E86">
        <f t="shared" si="1"/>
        <v>0</v>
      </c>
    </row>
    <row r="87" spans="1:5" x14ac:dyDescent="0.35">
      <c r="A87" s="11">
        <v>48726</v>
      </c>
      <c r="B87" s="12" t="s">
        <v>19</v>
      </c>
      <c r="C87" s="13">
        <v>18.7</v>
      </c>
      <c r="D87" s="14">
        <v>0</v>
      </c>
      <c r="E87">
        <f t="shared" si="1"/>
        <v>0</v>
      </c>
    </row>
    <row r="88" spans="1:5" x14ac:dyDescent="0.35">
      <c r="A88" s="7">
        <v>48727</v>
      </c>
      <c r="B88" s="8" t="s">
        <v>18</v>
      </c>
      <c r="C88" s="9">
        <v>11.4</v>
      </c>
      <c r="D88" s="10">
        <v>8.1</v>
      </c>
      <c r="E88">
        <f t="shared" si="1"/>
        <v>0.9234</v>
      </c>
    </row>
    <row r="89" spans="1:5" x14ac:dyDescent="0.35">
      <c r="A89" s="11">
        <v>48728</v>
      </c>
      <c r="B89" s="12" t="s">
        <v>13</v>
      </c>
      <c r="C89" s="13">
        <v>21.3</v>
      </c>
      <c r="D89" s="14">
        <v>13.4</v>
      </c>
      <c r="E89">
        <f t="shared" si="1"/>
        <v>2.8542000000000001</v>
      </c>
    </row>
    <row r="90" spans="1:5" x14ac:dyDescent="0.35">
      <c r="A90" s="7">
        <v>48729</v>
      </c>
      <c r="B90" s="8" t="s">
        <v>5</v>
      </c>
      <c r="C90" s="9">
        <v>24.5</v>
      </c>
      <c r="D90" s="10">
        <v>2.6</v>
      </c>
      <c r="E90">
        <f t="shared" si="1"/>
        <v>0.63700000000000001</v>
      </c>
    </row>
    <row r="91" spans="1:5" x14ac:dyDescent="0.35">
      <c r="A91" s="11">
        <v>48730</v>
      </c>
      <c r="B91" s="12" t="s">
        <v>19</v>
      </c>
      <c r="C91" s="13">
        <v>20</v>
      </c>
      <c r="D91" s="14">
        <v>13.2</v>
      </c>
      <c r="E91">
        <f t="shared" si="1"/>
        <v>2.64</v>
      </c>
    </row>
    <row r="92" spans="1:5" x14ac:dyDescent="0.35">
      <c r="A92" s="7">
        <v>48731</v>
      </c>
      <c r="B92" s="8" t="s">
        <v>10</v>
      </c>
      <c r="C92" s="9">
        <v>28.4</v>
      </c>
      <c r="D92" s="10">
        <v>12</v>
      </c>
      <c r="E92">
        <f t="shared" si="1"/>
        <v>3.4079999999999995</v>
      </c>
    </row>
    <row r="93" spans="1:5" x14ac:dyDescent="0.35">
      <c r="A93" s="11">
        <v>48732</v>
      </c>
      <c r="B93" s="12" t="s">
        <v>11</v>
      </c>
      <c r="C93" s="13">
        <v>14.8</v>
      </c>
      <c r="D93" s="14">
        <v>10.1</v>
      </c>
      <c r="E93">
        <f t="shared" si="1"/>
        <v>1.4947999999999999</v>
      </c>
    </row>
    <row r="94" spans="1:5" x14ac:dyDescent="0.35">
      <c r="A94" s="7">
        <v>48733</v>
      </c>
      <c r="B94" s="8" t="s">
        <v>29</v>
      </c>
      <c r="C94" s="9">
        <v>27.9</v>
      </c>
      <c r="D94" s="10">
        <v>0.6</v>
      </c>
      <c r="E94">
        <f t="shared" si="1"/>
        <v>0</v>
      </c>
    </row>
    <row r="95" spans="1:5" x14ac:dyDescent="0.35">
      <c r="A95" s="11">
        <v>48734</v>
      </c>
      <c r="B95" s="12" t="s">
        <v>12</v>
      </c>
      <c r="C95" s="13">
        <v>19.899999999999999</v>
      </c>
      <c r="D95" s="14">
        <v>9.8000000000000007</v>
      </c>
      <c r="E95">
        <f t="shared" si="1"/>
        <v>1.9502000000000002</v>
      </c>
    </row>
    <row r="96" spans="1:5" x14ac:dyDescent="0.35">
      <c r="A96" s="7">
        <v>48735</v>
      </c>
      <c r="B96" s="8" t="s">
        <v>19</v>
      </c>
      <c r="C96" s="9">
        <v>22.5</v>
      </c>
      <c r="D96" s="10">
        <v>0</v>
      </c>
      <c r="E96">
        <f t="shared" si="1"/>
        <v>0</v>
      </c>
    </row>
    <row r="97" spans="1:5" x14ac:dyDescent="0.35">
      <c r="A97" s="11">
        <v>48736</v>
      </c>
      <c r="B97" s="12" t="s">
        <v>8</v>
      </c>
      <c r="C97" s="13">
        <v>21.6</v>
      </c>
      <c r="D97" s="14">
        <v>4.9000000000000004</v>
      </c>
      <c r="E97">
        <f t="shared" si="1"/>
        <v>1.0584000000000002</v>
      </c>
    </row>
    <row r="98" spans="1:5" x14ac:dyDescent="0.35">
      <c r="A98" s="7">
        <v>48737</v>
      </c>
      <c r="B98" s="8" t="s">
        <v>10</v>
      </c>
      <c r="C98" s="9">
        <v>28.1</v>
      </c>
      <c r="D98" s="10">
        <v>0</v>
      </c>
      <c r="E98">
        <f t="shared" si="1"/>
        <v>0</v>
      </c>
    </row>
    <row r="99" spans="1:5" x14ac:dyDescent="0.35">
      <c r="A99" s="11">
        <v>48738</v>
      </c>
      <c r="B99" s="12" t="s">
        <v>12</v>
      </c>
      <c r="C99" s="13">
        <v>21.5</v>
      </c>
      <c r="D99" s="14">
        <v>8.6</v>
      </c>
      <c r="E99">
        <f t="shared" si="1"/>
        <v>1.849</v>
      </c>
    </row>
    <row r="100" spans="1:5" x14ac:dyDescent="0.35">
      <c r="A100" s="7">
        <v>48739</v>
      </c>
      <c r="B100" s="8" t="s">
        <v>14</v>
      </c>
      <c r="C100" s="9">
        <v>22.7</v>
      </c>
      <c r="D100" s="10">
        <v>0.1</v>
      </c>
      <c r="E100">
        <f t="shared" si="1"/>
        <v>0</v>
      </c>
    </row>
    <row r="101" spans="1:5" x14ac:dyDescent="0.35">
      <c r="A101" s="11">
        <v>48740</v>
      </c>
      <c r="B101" s="12" t="s">
        <v>10</v>
      </c>
      <c r="C101" s="13">
        <v>27.4</v>
      </c>
      <c r="D101" s="14">
        <v>21.8</v>
      </c>
      <c r="E101">
        <f t="shared" si="1"/>
        <v>5.9731999999999994</v>
      </c>
    </row>
    <row r="102" spans="1:5" x14ac:dyDescent="0.35">
      <c r="A102" s="7">
        <v>48741</v>
      </c>
      <c r="B102" s="8" t="s">
        <v>19</v>
      </c>
      <c r="C102" s="9">
        <v>18.3</v>
      </c>
      <c r="D102" s="10">
        <v>17.3</v>
      </c>
      <c r="E102">
        <f t="shared" si="1"/>
        <v>3.1659000000000002</v>
      </c>
    </row>
    <row r="103" spans="1:5" x14ac:dyDescent="0.35">
      <c r="A103" s="11">
        <v>48742</v>
      </c>
      <c r="B103" s="12" t="s">
        <v>19</v>
      </c>
      <c r="C103" s="13">
        <v>29</v>
      </c>
      <c r="D103" s="14">
        <v>27.3</v>
      </c>
      <c r="E103">
        <f t="shared" si="1"/>
        <v>7.9170000000000007</v>
      </c>
    </row>
    <row r="104" spans="1:5" x14ac:dyDescent="0.35">
      <c r="A104" s="7">
        <v>48743</v>
      </c>
      <c r="B104" s="8" t="s">
        <v>18</v>
      </c>
      <c r="C104" s="9">
        <v>18.100000000000001</v>
      </c>
      <c r="D104" s="10">
        <v>0</v>
      </c>
      <c r="E104">
        <f t="shared" si="1"/>
        <v>0</v>
      </c>
    </row>
    <row r="105" spans="1:5" x14ac:dyDescent="0.35">
      <c r="A105" s="11">
        <v>48744</v>
      </c>
      <c r="B105" s="12" t="s">
        <v>20</v>
      </c>
      <c r="C105" s="13">
        <v>16.399999999999999</v>
      </c>
      <c r="D105" s="14">
        <v>1.1000000000000001</v>
      </c>
      <c r="E105">
        <f t="shared" si="1"/>
        <v>0.1804</v>
      </c>
    </row>
    <row r="106" spans="1:5" x14ac:dyDescent="0.35">
      <c r="A106" s="7">
        <v>48745</v>
      </c>
      <c r="B106" s="8" t="s">
        <v>6</v>
      </c>
      <c r="C106" s="9">
        <v>21.8</v>
      </c>
      <c r="D106" s="10">
        <v>0</v>
      </c>
      <c r="E106">
        <f t="shared" si="1"/>
        <v>0</v>
      </c>
    </row>
    <row r="107" spans="1:5" x14ac:dyDescent="0.35">
      <c r="A107" s="11">
        <v>48746</v>
      </c>
      <c r="B107" s="12" t="s">
        <v>29</v>
      </c>
      <c r="C107" s="13">
        <v>27.2</v>
      </c>
      <c r="D107" s="14">
        <v>0</v>
      </c>
      <c r="E107">
        <f t="shared" si="1"/>
        <v>0</v>
      </c>
    </row>
    <row r="108" spans="1:5" x14ac:dyDescent="0.35">
      <c r="A108" s="7">
        <v>48747</v>
      </c>
      <c r="B108" s="8" t="s">
        <v>22</v>
      </c>
      <c r="C108" s="9">
        <v>21.2</v>
      </c>
      <c r="D108" s="10">
        <v>0</v>
      </c>
      <c r="E108">
        <f t="shared" si="1"/>
        <v>0</v>
      </c>
    </row>
    <row r="109" spans="1:5" x14ac:dyDescent="0.35">
      <c r="A109" s="11">
        <v>48748</v>
      </c>
      <c r="B109" s="12" t="s">
        <v>19</v>
      </c>
      <c r="C109" s="13">
        <v>17.7</v>
      </c>
      <c r="D109" s="14">
        <v>13.9</v>
      </c>
      <c r="E109">
        <f t="shared" si="1"/>
        <v>2.4603000000000002</v>
      </c>
    </row>
    <row r="110" spans="1:5" x14ac:dyDescent="0.35">
      <c r="A110" s="7">
        <v>48749</v>
      </c>
      <c r="B110" s="8" t="s">
        <v>22</v>
      </c>
      <c r="C110" s="9">
        <v>10.6</v>
      </c>
      <c r="D110" s="10">
        <v>6.9</v>
      </c>
      <c r="E110">
        <f t="shared" si="1"/>
        <v>0.73140000000000005</v>
      </c>
    </row>
    <row r="111" spans="1:5" x14ac:dyDescent="0.35">
      <c r="A111" s="11">
        <v>48750</v>
      </c>
      <c r="B111" s="12" t="s">
        <v>27</v>
      </c>
      <c r="C111" s="13">
        <v>10.4</v>
      </c>
      <c r="D111" s="14">
        <v>1.1000000000000001</v>
      </c>
      <c r="E111">
        <f t="shared" si="1"/>
        <v>0.11440000000000002</v>
      </c>
    </row>
    <row r="112" spans="1:5" x14ac:dyDescent="0.35">
      <c r="A112" s="7">
        <v>48751</v>
      </c>
      <c r="B112" s="8" t="s">
        <v>10</v>
      </c>
      <c r="C112" s="9">
        <v>15.8</v>
      </c>
      <c r="D112" s="10">
        <v>7.1</v>
      </c>
      <c r="E112">
        <f t="shared" si="1"/>
        <v>1.1217999999999999</v>
      </c>
    </row>
    <row r="113" spans="1:5" x14ac:dyDescent="0.35">
      <c r="A113" s="11">
        <v>48752</v>
      </c>
      <c r="B113" s="12" t="s">
        <v>9</v>
      </c>
      <c r="C113" s="13">
        <v>19.899999999999999</v>
      </c>
      <c r="D113" s="14">
        <v>10.8</v>
      </c>
      <c r="E113">
        <f t="shared" si="1"/>
        <v>2.1492</v>
      </c>
    </row>
    <row r="114" spans="1:5" x14ac:dyDescent="0.35">
      <c r="A114" s="7">
        <v>48753</v>
      </c>
      <c r="B114" s="8" t="s">
        <v>11</v>
      </c>
      <c r="C114" s="9">
        <v>13</v>
      </c>
      <c r="D114" s="10">
        <v>0</v>
      </c>
      <c r="E114">
        <f t="shared" si="1"/>
        <v>0</v>
      </c>
    </row>
    <row r="115" spans="1:5" x14ac:dyDescent="0.35">
      <c r="A115" s="11">
        <v>48754</v>
      </c>
      <c r="B115" s="12" t="s">
        <v>7</v>
      </c>
      <c r="C115" s="13">
        <v>28.1</v>
      </c>
      <c r="D115" s="14">
        <v>15</v>
      </c>
      <c r="E115">
        <f t="shared" si="1"/>
        <v>4.2149999999999999</v>
      </c>
    </row>
    <row r="116" spans="1:5" x14ac:dyDescent="0.35">
      <c r="A116" s="7">
        <v>48755</v>
      </c>
      <c r="B116" s="8" t="s">
        <v>12</v>
      </c>
      <c r="C116" s="9">
        <v>22.5</v>
      </c>
      <c r="D116" s="10">
        <v>8.6</v>
      </c>
      <c r="E116">
        <f t="shared" si="1"/>
        <v>1.9350000000000001</v>
      </c>
    </row>
    <row r="117" spans="1:5" x14ac:dyDescent="0.35">
      <c r="A117" s="11">
        <v>48756</v>
      </c>
      <c r="B117" s="12" t="s">
        <v>19</v>
      </c>
      <c r="C117" s="13">
        <v>14</v>
      </c>
      <c r="D117" s="14">
        <v>36.1</v>
      </c>
      <c r="E117">
        <f t="shared" si="1"/>
        <v>5.0540000000000003</v>
      </c>
    </row>
    <row r="118" spans="1:5" x14ac:dyDescent="0.35">
      <c r="A118" s="7">
        <v>48757</v>
      </c>
      <c r="B118" s="8" t="s">
        <v>10</v>
      </c>
      <c r="C118" s="9">
        <v>10.6</v>
      </c>
      <c r="D118" s="10">
        <v>18.399999999999999</v>
      </c>
      <c r="E118">
        <f t="shared" si="1"/>
        <v>1.9503999999999999</v>
      </c>
    </row>
    <row r="119" spans="1:5" x14ac:dyDescent="0.35">
      <c r="A119" s="11">
        <v>48758</v>
      </c>
      <c r="B119" s="12" t="s">
        <v>23</v>
      </c>
      <c r="C119" s="13">
        <v>22.3</v>
      </c>
      <c r="D119" s="14">
        <v>0</v>
      </c>
      <c r="E119">
        <f t="shared" si="1"/>
        <v>0</v>
      </c>
    </row>
    <row r="120" spans="1:5" x14ac:dyDescent="0.35">
      <c r="A120" s="7">
        <v>48759</v>
      </c>
      <c r="B120" s="8" t="s">
        <v>19</v>
      </c>
      <c r="C120" s="9">
        <v>14.5</v>
      </c>
      <c r="D120" s="10">
        <v>26</v>
      </c>
      <c r="E120">
        <f t="shared" si="1"/>
        <v>3.77</v>
      </c>
    </row>
    <row r="121" spans="1:5" x14ac:dyDescent="0.35">
      <c r="A121" s="11">
        <v>48760</v>
      </c>
      <c r="B121" s="12" t="s">
        <v>5</v>
      </c>
      <c r="C121" s="13">
        <v>21</v>
      </c>
      <c r="D121" s="14">
        <v>1.7</v>
      </c>
      <c r="E121">
        <f t="shared" si="1"/>
        <v>0.35699999999999998</v>
      </c>
    </row>
    <row r="122" spans="1:5" x14ac:dyDescent="0.35">
      <c r="A122" s="7">
        <v>48761</v>
      </c>
      <c r="B122" s="8" t="s">
        <v>4</v>
      </c>
      <c r="C122" s="9">
        <v>17.7</v>
      </c>
      <c r="D122" s="10">
        <v>0.4</v>
      </c>
      <c r="E122">
        <f t="shared" si="1"/>
        <v>0</v>
      </c>
    </row>
    <row r="123" spans="1:5" x14ac:dyDescent="0.35">
      <c r="A123" s="11">
        <v>48762</v>
      </c>
      <c r="B123" s="12" t="s">
        <v>7</v>
      </c>
      <c r="C123" s="13">
        <v>24.3</v>
      </c>
      <c r="D123" s="14">
        <v>9.6999999999999993</v>
      </c>
      <c r="E123">
        <f t="shared" si="1"/>
        <v>2.3571</v>
      </c>
    </row>
    <row r="124" spans="1:5" x14ac:dyDescent="0.35">
      <c r="A124" s="7">
        <v>48763</v>
      </c>
      <c r="B124" s="8" t="s">
        <v>15</v>
      </c>
      <c r="C124" s="9">
        <v>18.8</v>
      </c>
      <c r="D124" s="10">
        <v>6.4</v>
      </c>
      <c r="E124">
        <f t="shared" si="1"/>
        <v>1.2032</v>
      </c>
    </row>
    <row r="125" spans="1:5" x14ac:dyDescent="0.35">
      <c r="A125" s="11">
        <v>48764</v>
      </c>
      <c r="B125" s="12" t="s">
        <v>13</v>
      </c>
      <c r="C125" s="13">
        <v>15.9</v>
      </c>
      <c r="D125" s="14">
        <v>5.2</v>
      </c>
      <c r="E125">
        <f t="shared" si="1"/>
        <v>0.82680000000000009</v>
      </c>
    </row>
    <row r="126" spans="1:5" x14ac:dyDescent="0.35">
      <c r="A126" s="7">
        <v>48765</v>
      </c>
      <c r="B126" s="8" t="s">
        <v>7</v>
      </c>
      <c r="C126" s="9">
        <v>26.1</v>
      </c>
      <c r="D126" s="10">
        <v>0</v>
      </c>
      <c r="E126">
        <f t="shared" si="1"/>
        <v>0</v>
      </c>
    </row>
    <row r="127" spans="1:5" x14ac:dyDescent="0.35">
      <c r="A127" s="11">
        <v>48766</v>
      </c>
      <c r="B127" s="12" t="s">
        <v>19</v>
      </c>
      <c r="C127" s="13">
        <v>29.4</v>
      </c>
      <c r="D127" s="14">
        <v>8.8000000000000007</v>
      </c>
      <c r="E127">
        <f t="shared" si="1"/>
        <v>2.5872000000000002</v>
      </c>
    </row>
    <row r="128" spans="1:5" x14ac:dyDescent="0.35">
      <c r="A128" s="7">
        <v>48767</v>
      </c>
      <c r="B128" s="8" t="s">
        <v>13</v>
      </c>
      <c r="C128" s="9">
        <v>10.5</v>
      </c>
      <c r="D128" s="10">
        <v>14.5</v>
      </c>
      <c r="E128">
        <f t="shared" si="1"/>
        <v>1.5225</v>
      </c>
    </row>
    <row r="129" spans="1:5" x14ac:dyDescent="0.35">
      <c r="A129" s="11">
        <v>48768</v>
      </c>
      <c r="B129" s="12" t="s">
        <v>30</v>
      </c>
      <c r="C129" s="13">
        <v>18.100000000000001</v>
      </c>
      <c r="D129" s="14">
        <v>0</v>
      </c>
      <c r="E129">
        <f t="shared" si="1"/>
        <v>0</v>
      </c>
    </row>
    <row r="130" spans="1:5" x14ac:dyDescent="0.35">
      <c r="A130" s="7">
        <v>48769</v>
      </c>
      <c r="B130" s="8" t="s">
        <v>15</v>
      </c>
      <c r="C130" s="9">
        <v>20.6</v>
      </c>
      <c r="D130" s="10">
        <v>0</v>
      </c>
      <c r="E130">
        <f t="shared" si="1"/>
        <v>0</v>
      </c>
    </row>
    <row r="131" spans="1:5" x14ac:dyDescent="0.35">
      <c r="A131" s="11">
        <v>48770</v>
      </c>
      <c r="B131" s="12" t="s">
        <v>15</v>
      </c>
      <c r="C131" s="13">
        <v>17.100000000000001</v>
      </c>
      <c r="D131" s="14">
        <v>0</v>
      </c>
      <c r="E131">
        <f t="shared" ref="E131:E194" si="2">IF(D131&gt;=1,C131*D131/100,0)</f>
        <v>0</v>
      </c>
    </row>
    <row r="132" spans="1:5" x14ac:dyDescent="0.35">
      <c r="A132" s="7">
        <v>48771</v>
      </c>
      <c r="B132" s="8" t="s">
        <v>22</v>
      </c>
      <c r="C132" s="9">
        <v>17</v>
      </c>
      <c r="D132" s="10">
        <v>0.3</v>
      </c>
      <c r="E132">
        <f t="shared" si="2"/>
        <v>0</v>
      </c>
    </row>
    <row r="133" spans="1:5" x14ac:dyDescent="0.35">
      <c r="A133" s="11">
        <v>48772</v>
      </c>
      <c r="B133" s="12" t="s">
        <v>23</v>
      </c>
      <c r="C133" s="13">
        <v>14.7</v>
      </c>
      <c r="D133" s="14">
        <v>2.2999999999999998</v>
      </c>
      <c r="E133">
        <f t="shared" si="2"/>
        <v>0.33809999999999996</v>
      </c>
    </row>
    <row r="134" spans="1:5" x14ac:dyDescent="0.35">
      <c r="A134" s="7">
        <v>48773</v>
      </c>
      <c r="B134" s="8" t="s">
        <v>15</v>
      </c>
      <c r="C134" s="9">
        <v>21.7</v>
      </c>
      <c r="D134" s="10">
        <v>0</v>
      </c>
      <c r="E134">
        <f t="shared" si="2"/>
        <v>0</v>
      </c>
    </row>
    <row r="135" spans="1:5" x14ac:dyDescent="0.35">
      <c r="A135" s="11">
        <v>48774</v>
      </c>
      <c r="B135" s="12" t="s">
        <v>16</v>
      </c>
      <c r="C135" s="13">
        <v>12.5</v>
      </c>
      <c r="D135" s="14">
        <v>0</v>
      </c>
      <c r="E135">
        <f t="shared" si="2"/>
        <v>0</v>
      </c>
    </row>
    <row r="136" spans="1:5" x14ac:dyDescent="0.35">
      <c r="A136" s="7">
        <v>48775</v>
      </c>
      <c r="B136" s="8" t="s">
        <v>8</v>
      </c>
      <c r="C136" s="9">
        <v>17.8</v>
      </c>
      <c r="D136" s="10">
        <v>4.0999999999999996</v>
      </c>
      <c r="E136">
        <f t="shared" si="2"/>
        <v>0.72979999999999989</v>
      </c>
    </row>
    <row r="137" spans="1:5" x14ac:dyDescent="0.35">
      <c r="A137" s="11">
        <v>48776</v>
      </c>
      <c r="B137" s="12" t="s">
        <v>10</v>
      </c>
      <c r="C137" s="13">
        <v>28.9</v>
      </c>
      <c r="D137" s="14">
        <v>38.700000000000003</v>
      </c>
      <c r="E137">
        <f t="shared" si="2"/>
        <v>11.1843</v>
      </c>
    </row>
    <row r="138" spans="1:5" x14ac:dyDescent="0.35">
      <c r="A138" s="7">
        <v>48777</v>
      </c>
      <c r="B138" s="8" t="s">
        <v>11</v>
      </c>
      <c r="C138" s="9">
        <v>21</v>
      </c>
      <c r="D138" s="10">
        <v>3.5</v>
      </c>
      <c r="E138">
        <f t="shared" si="2"/>
        <v>0.73499999999999999</v>
      </c>
    </row>
    <row r="139" spans="1:5" x14ac:dyDescent="0.35">
      <c r="A139" s="11">
        <v>48778</v>
      </c>
      <c r="B139" s="12" t="s">
        <v>21</v>
      </c>
      <c r="C139" s="13">
        <v>13</v>
      </c>
      <c r="D139" s="14">
        <v>0.1</v>
      </c>
      <c r="E139">
        <f t="shared" si="2"/>
        <v>0</v>
      </c>
    </row>
    <row r="140" spans="1:5" x14ac:dyDescent="0.35">
      <c r="A140" s="7">
        <v>48779</v>
      </c>
      <c r="B140" s="8" t="s">
        <v>10</v>
      </c>
      <c r="C140" s="9">
        <v>23.1</v>
      </c>
      <c r="D140" s="10">
        <v>0</v>
      </c>
      <c r="E140">
        <f t="shared" si="2"/>
        <v>0</v>
      </c>
    </row>
    <row r="141" spans="1:5" x14ac:dyDescent="0.35">
      <c r="A141" s="11">
        <v>48780</v>
      </c>
      <c r="B141" s="12" t="s">
        <v>15</v>
      </c>
      <c r="C141" s="13">
        <v>28.5</v>
      </c>
      <c r="D141" s="14">
        <v>0</v>
      </c>
      <c r="E141">
        <f t="shared" si="2"/>
        <v>0</v>
      </c>
    </row>
    <row r="142" spans="1:5" x14ac:dyDescent="0.35">
      <c r="A142" s="7">
        <v>48781</v>
      </c>
      <c r="B142" s="8" t="s">
        <v>15</v>
      </c>
      <c r="C142" s="9">
        <v>12.8</v>
      </c>
      <c r="D142" s="10">
        <v>0</v>
      </c>
      <c r="E142">
        <f t="shared" si="2"/>
        <v>0</v>
      </c>
    </row>
    <row r="143" spans="1:5" x14ac:dyDescent="0.35">
      <c r="A143" s="11">
        <v>48782</v>
      </c>
      <c r="B143" s="12" t="s">
        <v>31</v>
      </c>
      <c r="C143" s="13">
        <v>26.8</v>
      </c>
      <c r="D143" s="14">
        <v>0</v>
      </c>
      <c r="E143">
        <f t="shared" si="2"/>
        <v>0</v>
      </c>
    </row>
    <row r="144" spans="1:5" x14ac:dyDescent="0.35">
      <c r="A144" s="7">
        <v>48783</v>
      </c>
      <c r="B144" s="8" t="s">
        <v>10</v>
      </c>
      <c r="C144" s="9">
        <v>15.1</v>
      </c>
      <c r="D144" s="10">
        <v>24.8</v>
      </c>
      <c r="E144">
        <f t="shared" si="2"/>
        <v>3.7448000000000001</v>
      </c>
    </row>
    <row r="145" spans="1:5" x14ac:dyDescent="0.35">
      <c r="A145" s="11">
        <v>48784</v>
      </c>
      <c r="B145" s="12" t="s">
        <v>18</v>
      </c>
      <c r="C145" s="13">
        <v>14.4</v>
      </c>
      <c r="D145" s="14">
        <v>13.5</v>
      </c>
      <c r="E145">
        <f t="shared" si="2"/>
        <v>1.944</v>
      </c>
    </row>
    <row r="146" spans="1:5" x14ac:dyDescent="0.35">
      <c r="A146" s="7">
        <v>48785</v>
      </c>
      <c r="B146" s="8" t="s">
        <v>11</v>
      </c>
      <c r="C146" s="9">
        <v>29.2</v>
      </c>
      <c r="D146" s="10">
        <v>15.7</v>
      </c>
      <c r="E146">
        <f t="shared" si="2"/>
        <v>4.5843999999999996</v>
      </c>
    </row>
    <row r="147" spans="1:5" x14ac:dyDescent="0.35">
      <c r="A147" s="11">
        <v>48786</v>
      </c>
      <c r="B147" s="12" t="s">
        <v>10</v>
      </c>
      <c r="C147" s="13">
        <v>28.9</v>
      </c>
      <c r="D147" s="14">
        <v>47.2</v>
      </c>
      <c r="E147">
        <f t="shared" si="2"/>
        <v>13.640799999999999</v>
      </c>
    </row>
    <row r="148" spans="1:5" x14ac:dyDescent="0.35">
      <c r="A148" s="7">
        <v>48787</v>
      </c>
      <c r="B148" s="8" t="s">
        <v>20</v>
      </c>
      <c r="C148" s="9">
        <v>18.399999999999999</v>
      </c>
      <c r="D148" s="10">
        <v>3.9</v>
      </c>
      <c r="E148">
        <f t="shared" si="2"/>
        <v>0.7175999999999999</v>
      </c>
    </row>
    <row r="149" spans="1:5" x14ac:dyDescent="0.35">
      <c r="A149" s="11">
        <v>48788</v>
      </c>
      <c r="B149" s="12" t="s">
        <v>17</v>
      </c>
      <c r="C149" s="13">
        <v>26.2</v>
      </c>
      <c r="D149" s="14">
        <v>4</v>
      </c>
      <c r="E149">
        <f t="shared" si="2"/>
        <v>1.048</v>
      </c>
    </row>
    <row r="150" spans="1:5" x14ac:dyDescent="0.35">
      <c r="A150" s="7">
        <v>48789</v>
      </c>
      <c r="B150" s="8" t="s">
        <v>10</v>
      </c>
      <c r="C150" s="9">
        <v>14.3</v>
      </c>
      <c r="D150" s="10">
        <v>45.1</v>
      </c>
      <c r="E150">
        <f t="shared" si="2"/>
        <v>6.4493000000000009</v>
      </c>
    </row>
    <row r="151" spans="1:5" x14ac:dyDescent="0.35">
      <c r="A151" s="11">
        <v>48790</v>
      </c>
      <c r="B151" s="12" t="s">
        <v>7</v>
      </c>
      <c r="C151" s="13">
        <v>14.5</v>
      </c>
      <c r="D151" s="14">
        <v>0</v>
      </c>
      <c r="E151">
        <f t="shared" si="2"/>
        <v>0</v>
      </c>
    </row>
    <row r="152" spans="1:5" x14ac:dyDescent="0.35">
      <c r="A152" s="7">
        <v>48791</v>
      </c>
      <c r="B152" s="8" t="s">
        <v>10</v>
      </c>
      <c r="C152" s="9">
        <v>18.600000000000001</v>
      </c>
      <c r="D152" s="10">
        <v>5.5</v>
      </c>
      <c r="E152">
        <f t="shared" si="2"/>
        <v>1.0230000000000001</v>
      </c>
    </row>
    <row r="153" spans="1:5" x14ac:dyDescent="0.35">
      <c r="A153" s="11">
        <v>48792</v>
      </c>
      <c r="B153" s="12" t="s">
        <v>7</v>
      </c>
      <c r="C153" s="13">
        <v>26.3</v>
      </c>
      <c r="D153" s="14">
        <v>14.5</v>
      </c>
      <c r="E153">
        <f t="shared" si="2"/>
        <v>3.8135000000000003</v>
      </c>
    </row>
    <row r="154" spans="1:5" x14ac:dyDescent="0.35">
      <c r="A154" s="7">
        <v>48793</v>
      </c>
      <c r="B154" s="8" t="s">
        <v>32</v>
      </c>
      <c r="C154" s="9">
        <v>25.9</v>
      </c>
      <c r="D154" s="10">
        <v>0.7</v>
      </c>
      <c r="E154">
        <f t="shared" si="2"/>
        <v>0</v>
      </c>
    </row>
    <row r="155" spans="1:5" x14ac:dyDescent="0.35">
      <c r="A155" s="11">
        <v>48794</v>
      </c>
      <c r="B155" s="12" t="s">
        <v>12</v>
      </c>
      <c r="C155" s="13">
        <v>29.8</v>
      </c>
      <c r="D155" s="14">
        <v>0</v>
      </c>
      <c r="E155">
        <f t="shared" si="2"/>
        <v>0</v>
      </c>
    </row>
    <row r="156" spans="1:5" x14ac:dyDescent="0.35">
      <c r="A156" s="7">
        <v>48795</v>
      </c>
      <c r="B156" s="8" t="s">
        <v>10</v>
      </c>
      <c r="C156" s="9">
        <v>18.3</v>
      </c>
      <c r="D156" s="10">
        <v>18.7</v>
      </c>
      <c r="E156">
        <f t="shared" si="2"/>
        <v>3.4220999999999999</v>
      </c>
    </row>
    <row r="157" spans="1:5" x14ac:dyDescent="0.35">
      <c r="A157" s="11">
        <v>48796</v>
      </c>
      <c r="B157" s="12" t="s">
        <v>12</v>
      </c>
      <c r="C157" s="13">
        <v>24.5</v>
      </c>
      <c r="D157" s="14">
        <v>6.7</v>
      </c>
      <c r="E157">
        <f t="shared" si="2"/>
        <v>1.6415</v>
      </c>
    </row>
    <row r="158" spans="1:5" x14ac:dyDescent="0.35">
      <c r="A158" s="7">
        <v>48797</v>
      </c>
      <c r="B158" s="8" t="s">
        <v>19</v>
      </c>
      <c r="C158" s="9">
        <v>18.7</v>
      </c>
      <c r="D158" s="10">
        <v>0</v>
      </c>
      <c r="E158">
        <f t="shared" si="2"/>
        <v>0</v>
      </c>
    </row>
    <row r="159" spans="1:5" x14ac:dyDescent="0.35">
      <c r="A159" s="11">
        <v>48798</v>
      </c>
      <c r="B159" s="12" t="s">
        <v>19</v>
      </c>
      <c r="C159" s="13">
        <v>29.2</v>
      </c>
      <c r="D159" s="14">
        <v>34.9</v>
      </c>
      <c r="E159">
        <f t="shared" si="2"/>
        <v>10.190799999999999</v>
      </c>
    </row>
    <row r="160" spans="1:5" x14ac:dyDescent="0.35">
      <c r="A160" s="7">
        <v>48799</v>
      </c>
      <c r="B160" s="8" t="s">
        <v>9</v>
      </c>
      <c r="C160" s="9">
        <v>21.4</v>
      </c>
      <c r="D160" s="10">
        <v>10.7</v>
      </c>
      <c r="E160">
        <f t="shared" si="2"/>
        <v>2.2897999999999996</v>
      </c>
    </row>
    <row r="161" spans="1:5" x14ac:dyDescent="0.35">
      <c r="A161" s="11">
        <v>48800</v>
      </c>
      <c r="B161" s="12" t="s">
        <v>15</v>
      </c>
      <c r="C161" s="13">
        <v>25.6</v>
      </c>
      <c r="D161" s="14">
        <v>3.1</v>
      </c>
      <c r="E161">
        <f t="shared" si="2"/>
        <v>0.79360000000000008</v>
      </c>
    </row>
    <row r="162" spans="1:5" x14ac:dyDescent="0.35">
      <c r="A162" s="7">
        <v>48801</v>
      </c>
      <c r="B162" s="8" t="s">
        <v>15</v>
      </c>
      <c r="C162" s="9">
        <v>15.7</v>
      </c>
      <c r="D162" s="10">
        <v>5.0999999999999996</v>
      </c>
      <c r="E162">
        <f t="shared" si="2"/>
        <v>0.80069999999999997</v>
      </c>
    </row>
    <row r="163" spans="1:5" x14ac:dyDescent="0.35">
      <c r="A163" s="11">
        <v>48802</v>
      </c>
      <c r="B163" s="12" t="s">
        <v>6</v>
      </c>
      <c r="C163" s="13">
        <v>27.3</v>
      </c>
      <c r="D163" s="14">
        <v>11</v>
      </c>
      <c r="E163">
        <f t="shared" si="2"/>
        <v>3.0030000000000001</v>
      </c>
    </row>
    <row r="164" spans="1:5" x14ac:dyDescent="0.35">
      <c r="A164" s="7">
        <v>48803</v>
      </c>
      <c r="B164" s="8" t="s">
        <v>25</v>
      </c>
      <c r="C164" s="9">
        <v>28.4</v>
      </c>
      <c r="D164" s="10">
        <v>2.7</v>
      </c>
      <c r="E164">
        <f t="shared" si="2"/>
        <v>0.76680000000000004</v>
      </c>
    </row>
    <row r="165" spans="1:5" x14ac:dyDescent="0.35">
      <c r="A165" s="11">
        <v>48804</v>
      </c>
      <c r="B165" s="12" t="s">
        <v>11</v>
      </c>
      <c r="C165" s="13">
        <v>22</v>
      </c>
      <c r="D165" s="14">
        <v>3.3</v>
      </c>
      <c r="E165">
        <f t="shared" si="2"/>
        <v>0.72599999999999998</v>
      </c>
    </row>
    <row r="166" spans="1:5" x14ac:dyDescent="0.35">
      <c r="A166" s="7">
        <v>48805</v>
      </c>
      <c r="B166" s="8" t="s">
        <v>8</v>
      </c>
      <c r="C166" s="9">
        <v>19.399999999999999</v>
      </c>
      <c r="D166" s="10">
        <v>0</v>
      </c>
      <c r="E166">
        <f t="shared" si="2"/>
        <v>0</v>
      </c>
    </row>
    <row r="167" spans="1:5" x14ac:dyDescent="0.35">
      <c r="A167" s="11">
        <v>48806</v>
      </c>
      <c r="B167" s="12" t="s">
        <v>15</v>
      </c>
      <c r="C167" s="13">
        <v>22.7</v>
      </c>
      <c r="D167" s="14">
        <v>14.8</v>
      </c>
      <c r="E167">
        <f t="shared" si="2"/>
        <v>3.3595999999999999</v>
      </c>
    </row>
    <row r="168" spans="1:5" x14ac:dyDescent="0.35">
      <c r="A168" s="7">
        <v>48807</v>
      </c>
      <c r="B168" s="8" t="s">
        <v>7</v>
      </c>
      <c r="C168" s="9">
        <v>22.6</v>
      </c>
      <c r="D168" s="10">
        <v>16.5</v>
      </c>
      <c r="E168">
        <f t="shared" si="2"/>
        <v>3.7290000000000005</v>
      </c>
    </row>
    <row r="169" spans="1:5" x14ac:dyDescent="0.35">
      <c r="A169" s="11">
        <v>48808</v>
      </c>
      <c r="B169" s="12" t="s">
        <v>17</v>
      </c>
      <c r="C169" s="13">
        <v>26.1</v>
      </c>
      <c r="D169" s="14">
        <v>0</v>
      </c>
      <c r="E169">
        <f t="shared" si="2"/>
        <v>0</v>
      </c>
    </row>
    <row r="170" spans="1:5" x14ac:dyDescent="0.35">
      <c r="A170" s="7">
        <v>48809</v>
      </c>
      <c r="B170" s="8" t="s">
        <v>15</v>
      </c>
      <c r="C170" s="9">
        <v>27.6</v>
      </c>
      <c r="D170" s="10">
        <v>6.7</v>
      </c>
      <c r="E170">
        <f t="shared" si="2"/>
        <v>1.8492000000000002</v>
      </c>
    </row>
    <row r="171" spans="1:5" x14ac:dyDescent="0.35">
      <c r="A171" s="11">
        <v>48810</v>
      </c>
      <c r="B171" s="12" t="s">
        <v>12</v>
      </c>
      <c r="C171" s="13">
        <v>13.2</v>
      </c>
      <c r="D171" s="14">
        <v>0</v>
      </c>
      <c r="E171">
        <f t="shared" si="2"/>
        <v>0</v>
      </c>
    </row>
    <row r="172" spans="1:5" x14ac:dyDescent="0.35">
      <c r="A172" s="7">
        <v>48811</v>
      </c>
      <c r="B172" s="8" t="s">
        <v>21</v>
      </c>
      <c r="C172" s="9">
        <v>22</v>
      </c>
      <c r="D172" s="10">
        <v>0</v>
      </c>
      <c r="E172">
        <f t="shared" si="2"/>
        <v>0</v>
      </c>
    </row>
    <row r="173" spans="1:5" x14ac:dyDescent="0.35">
      <c r="A173" s="11">
        <v>48812</v>
      </c>
      <c r="B173" s="12" t="s">
        <v>9</v>
      </c>
      <c r="C173" s="13">
        <v>10.8</v>
      </c>
      <c r="D173" s="14">
        <v>7.6</v>
      </c>
      <c r="E173">
        <f t="shared" si="2"/>
        <v>0.82079999999999997</v>
      </c>
    </row>
    <row r="174" spans="1:5" x14ac:dyDescent="0.35">
      <c r="A174" s="7">
        <v>48813</v>
      </c>
      <c r="B174" s="8" t="s">
        <v>10</v>
      </c>
      <c r="C174" s="9">
        <v>15.6</v>
      </c>
      <c r="D174" s="10">
        <v>38.4</v>
      </c>
      <c r="E174">
        <f t="shared" si="2"/>
        <v>5.9903999999999993</v>
      </c>
    </row>
    <row r="175" spans="1:5" x14ac:dyDescent="0.35">
      <c r="A175" s="11">
        <v>48814</v>
      </c>
      <c r="B175" s="12" t="s">
        <v>26</v>
      </c>
      <c r="C175" s="13">
        <v>11.7</v>
      </c>
      <c r="D175" s="14">
        <v>0.5</v>
      </c>
      <c r="E175">
        <f t="shared" si="2"/>
        <v>0</v>
      </c>
    </row>
    <row r="176" spans="1:5" x14ac:dyDescent="0.35">
      <c r="A176" s="7">
        <v>48815</v>
      </c>
      <c r="B176" s="8" t="s">
        <v>10</v>
      </c>
      <c r="C176" s="9">
        <v>27.2</v>
      </c>
      <c r="D176" s="10">
        <v>8.3000000000000007</v>
      </c>
      <c r="E176">
        <f t="shared" si="2"/>
        <v>2.2576000000000001</v>
      </c>
    </row>
    <row r="177" spans="1:5" x14ac:dyDescent="0.35">
      <c r="A177" s="11">
        <v>48816</v>
      </c>
      <c r="B177" s="12" t="s">
        <v>10</v>
      </c>
      <c r="C177" s="13">
        <v>24.7</v>
      </c>
      <c r="D177" s="14">
        <v>28.9</v>
      </c>
      <c r="E177">
        <f t="shared" si="2"/>
        <v>7.1382999999999992</v>
      </c>
    </row>
    <row r="178" spans="1:5" x14ac:dyDescent="0.35">
      <c r="A178" s="7">
        <v>48817</v>
      </c>
      <c r="B178" s="8" t="s">
        <v>11</v>
      </c>
      <c r="C178" s="9">
        <v>18.2</v>
      </c>
      <c r="D178" s="10">
        <v>12.5</v>
      </c>
      <c r="E178">
        <f t="shared" si="2"/>
        <v>2.2749999999999999</v>
      </c>
    </row>
    <row r="179" spans="1:5" x14ac:dyDescent="0.35">
      <c r="A179" s="11">
        <v>48818</v>
      </c>
      <c r="B179" s="12" t="s">
        <v>11</v>
      </c>
      <c r="C179" s="13">
        <v>14.6</v>
      </c>
      <c r="D179" s="14">
        <v>17.899999999999999</v>
      </c>
      <c r="E179">
        <f t="shared" si="2"/>
        <v>2.6133999999999999</v>
      </c>
    </row>
    <row r="180" spans="1:5" x14ac:dyDescent="0.35">
      <c r="A180" s="7">
        <v>48819</v>
      </c>
      <c r="B180" s="8" t="s">
        <v>11</v>
      </c>
      <c r="C180" s="9">
        <v>16.5</v>
      </c>
      <c r="D180" s="10">
        <v>13.9</v>
      </c>
      <c r="E180">
        <f t="shared" si="2"/>
        <v>2.2934999999999999</v>
      </c>
    </row>
    <row r="181" spans="1:5" x14ac:dyDescent="0.35">
      <c r="A181" s="11">
        <v>48820</v>
      </c>
      <c r="B181" s="12" t="s">
        <v>18</v>
      </c>
      <c r="C181" s="13">
        <v>29.4</v>
      </c>
      <c r="D181" s="14">
        <v>0</v>
      </c>
      <c r="E181">
        <f t="shared" si="2"/>
        <v>0</v>
      </c>
    </row>
    <row r="182" spans="1:5" x14ac:dyDescent="0.35">
      <c r="A182" s="7">
        <v>48821</v>
      </c>
      <c r="B182" s="8" t="s">
        <v>10</v>
      </c>
      <c r="C182" s="9">
        <v>17.899999999999999</v>
      </c>
      <c r="D182" s="10">
        <v>0</v>
      </c>
      <c r="E182">
        <f t="shared" si="2"/>
        <v>0</v>
      </c>
    </row>
    <row r="183" spans="1:5" x14ac:dyDescent="0.35">
      <c r="A183" s="11">
        <v>48822</v>
      </c>
      <c r="B183" s="12" t="s">
        <v>17</v>
      </c>
      <c r="C183" s="13">
        <v>29.8</v>
      </c>
      <c r="D183" s="14">
        <v>0</v>
      </c>
      <c r="E183">
        <f t="shared" si="2"/>
        <v>0</v>
      </c>
    </row>
    <row r="184" spans="1:5" x14ac:dyDescent="0.35">
      <c r="A184" s="7">
        <v>48823</v>
      </c>
      <c r="B184" s="8" t="s">
        <v>4</v>
      </c>
      <c r="C184" s="9">
        <v>18.7</v>
      </c>
      <c r="D184" s="10">
        <v>0</v>
      </c>
      <c r="E184">
        <f t="shared" si="2"/>
        <v>0</v>
      </c>
    </row>
    <row r="185" spans="1:5" x14ac:dyDescent="0.35">
      <c r="A185" s="11">
        <v>48824</v>
      </c>
      <c r="B185" s="12" t="s">
        <v>12</v>
      </c>
      <c r="C185" s="13">
        <v>24.3</v>
      </c>
      <c r="D185" s="14">
        <v>7.8</v>
      </c>
      <c r="E185">
        <f t="shared" si="2"/>
        <v>1.8954</v>
      </c>
    </row>
    <row r="186" spans="1:5" x14ac:dyDescent="0.35">
      <c r="A186" s="7">
        <v>48825</v>
      </c>
      <c r="B186" s="8" t="s">
        <v>13</v>
      </c>
      <c r="C186" s="9">
        <v>29.3</v>
      </c>
      <c r="D186" s="10">
        <v>4.5999999999999996</v>
      </c>
      <c r="E186">
        <f t="shared" si="2"/>
        <v>1.3478000000000001</v>
      </c>
    </row>
    <row r="187" spans="1:5" x14ac:dyDescent="0.35">
      <c r="A187" s="11">
        <v>48826</v>
      </c>
      <c r="B187" s="12" t="s">
        <v>7</v>
      </c>
      <c r="C187" s="13">
        <v>18.399999999999999</v>
      </c>
      <c r="D187" s="14">
        <v>0</v>
      </c>
      <c r="E187">
        <f t="shared" si="2"/>
        <v>0</v>
      </c>
    </row>
    <row r="188" spans="1:5" x14ac:dyDescent="0.35">
      <c r="A188" s="7">
        <v>48827</v>
      </c>
      <c r="B188" s="8" t="s">
        <v>7</v>
      </c>
      <c r="C188" s="9">
        <v>10.3</v>
      </c>
      <c r="D188" s="10">
        <v>16</v>
      </c>
      <c r="E188">
        <f t="shared" si="2"/>
        <v>1.6480000000000001</v>
      </c>
    </row>
    <row r="189" spans="1:5" x14ac:dyDescent="0.35">
      <c r="A189" s="11">
        <v>48828</v>
      </c>
      <c r="B189" s="12" t="s">
        <v>10</v>
      </c>
      <c r="C189" s="13">
        <v>27.5</v>
      </c>
      <c r="D189" s="14">
        <v>0</v>
      </c>
      <c r="E189">
        <f t="shared" si="2"/>
        <v>0</v>
      </c>
    </row>
    <row r="190" spans="1:5" x14ac:dyDescent="0.35">
      <c r="A190" s="7">
        <v>48829</v>
      </c>
      <c r="B190" s="8" t="s">
        <v>7</v>
      </c>
      <c r="C190" s="9">
        <v>20.6</v>
      </c>
      <c r="D190" s="10">
        <v>15.7</v>
      </c>
      <c r="E190">
        <f t="shared" si="2"/>
        <v>3.2342</v>
      </c>
    </row>
    <row r="191" spans="1:5" x14ac:dyDescent="0.35">
      <c r="A191" s="11">
        <v>48830</v>
      </c>
      <c r="B191" s="12" t="s">
        <v>11</v>
      </c>
      <c r="C191" s="13">
        <v>21.3</v>
      </c>
      <c r="D191" s="14">
        <v>0</v>
      </c>
      <c r="E191">
        <f t="shared" si="2"/>
        <v>0</v>
      </c>
    </row>
    <row r="192" spans="1:5" x14ac:dyDescent="0.35">
      <c r="A192" s="7">
        <v>48831</v>
      </c>
      <c r="B192" s="8" t="s">
        <v>19</v>
      </c>
      <c r="C192" s="9">
        <v>26.2</v>
      </c>
      <c r="D192" s="10">
        <v>0</v>
      </c>
      <c r="E192">
        <f t="shared" si="2"/>
        <v>0</v>
      </c>
    </row>
    <row r="193" spans="1:5" x14ac:dyDescent="0.35">
      <c r="A193" s="11">
        <v>48832</v>
      </c>
      <c r="B193" s="12" t="s">
        <v>10</v>
      </c>
      <c r="C193" s="13">
        <v>23.9</v>
      </c>
      <c r="D193" s="14">
        <v>0</v>
      </c>
      <c r="E193">
        <f t="shared" si="2"/>
        <v>0</v>
      </c>
    </row>
    <row r="194" spans="1:5" x14ac:dyDescent="0.35">
      <c r="A194" s="7">
        <v>48833</v>
      </c>
      <c r="B194" s="8" t="s">
        <v>27</v>
      </c>
      <c r="C194" s="9">
        <v>26.6</v>
      </c>
      <c r="D194" s="10">
        <v>1.6</v>
      </c>
      <c r="E194">
        <f t="shared" si="2"/>
        <v>0.42560000000000003</v>
      </c>
    </row>
    <row r="195" spans="1:5" x14ac:dyDescent="0.35">
      <c r="A195" s="11">
        <v>48834</v>
      </c>
      <c r="B195" s="12" t="s">
        <v>10</v>
      </c>
      <c r="C195" s="13">
        <v>18.600000000000001</v>
      </c>
      <c r="D195" s="14">
        <v>20.399999999999999</v>
      </c>
      <c r="E195">
        <f t="shared" ref="E195:E258" si="3">IF(D195&gt;=1,C195*D195/100,0)</f>
        <v>3.7944</v>
      </c>
    </row>
    <row r="196" spans="1:5" x14ac:dyDescent="0.35">
      <c r="A196" s="7">
        <v>48835</v>
      </c>
      <c r="B196" s="8" t="s">
        <v>18</v>
      </c>
      <c r="C196" s="9">
        <v>22.3</v>
      </c>
      <c r="D196" s="10">
        <v>1.7</v>
      </c>
      <c r="E196">
        <f t="shared" si="3"/>
        <v>0.37910000000000005</v>
      </c>
    </row>
    <row r="197" spans="1:5" x14ac:dyDescent="0.35">
      <c r="A197" s="11">
        <v>48836</v>
      </c>
      <c r="B197" s="12" t="s">
        <v>17</v>
      </c>
      <c r="C197" s="13">
        <v>18.399999999999999</v>
      </c>
      <c r="D197" s="14">
        <v>3.9</v>
      </c>
      <c r="E197">
        <f t="shared" si="3"/>
        <v>0.7175999999999999</v>
      </c>
    </row>
    <row r="198" spans="1:5" x14ac:dyDescent="0.35">
      <c r="A198" s="7">
        <v>48837</v>
      </c>
      <c r="B198" s="8" t="s">
        <v>27</v>
      </c>
      <c r="C198" s="9">
        <v>28</v>
      </c>
      <c r="D198" s="10">
        <v>4.4000000000000004</v>
      </c>
      <c r="E198">
        <f t="shared" si="3"/>
        <v>1.2320000000000002</v>
      </c>
    </row>
    <row r="199" spans="1:5" x14ac:dyDescent="0.35">
      <c r="A199" s="11">
        <v>48838</v>
      </c>
      <c r="B199" s="12" t="s">
        <v>10</v>
      </c>
      <c r="C199" s="13">
        <v>10.9</v>
      </c>
      <c r="D199" s="14">
        <v>32.9</v>
      </c>
      <c r="E199">
        <f t="shared" si="3"/>
        <v>3.5861000000000001</v>
      </c>
    </row>
    <row r="200" spans="1:5" x14ac:dyDescent="0.35">
      <c r="A200" s="7">
        <v>48839</v>
      </c>
      <c r="B200" s="8" t="s">
        <v>19</v>
      </c>
      <c r="C200" s="9">
        <v>25.1</v>
      </c>
      <c r="D200" s="10">
        <v>33.299999999999997</v>
      </c>
      <c r="E200">
        <f t="shared" si="3"/>
        <v>8.3582999999999998</v>
      </c>
    </row>
    <row r="201" spans="1:5" x14ac:dyDescent="0.35">
      <c r="A201" s="11">
        <v>48840</v>
      </c>
      <c r="B201" s="12" t="s">
        <v>28</v>
      </c>
      <c r="C201" s="13">
        <v>10.7</v>
      </c>
      <c r="D201" s="14">
        <v>0.3</v>
      </c>
      <c r="E201">
        <f t="shared" si="3"/>
        <v>0</v>
      </c>
    </row>
    <row r="202" spans="1:5" x14ac:dyDescent="0.35">
      <c r="A202" s="7">
        <v>48841</v>
      </c>
      <c r="B202" s="8" t="s">
        <v>10</v>
      </c>
      <c r="C202" s="9">
        <v>26.1</v>
      </c>
      <c r="D202" s="10">
        <v>31</v>
      </c>
      <c r="E202">
        <f t="shared" si="3"/>
        <v>8.0910000000000011</v>
      </c>
    </row>
    <row r="203" spans="1:5" x14ac:dyDescent="0.35">
      <c r="A203" s="11">
        <v>48842</v>
      </c>
      <c r="B203" s="12" t="s">
        <v>11</v>
      </c>
      <c r="C203" s="13">
        <v>15.2</v>
      </c>
      <c r="D203" s="14">
        <v>12.7</v>
      </c>
      <c r="E203">
        <f t="shared" si="3"/>
        <v>1.9303999999999999</v>
      </c>
    </row>
    <row r="204" spans="1:5" x14ac:dyDescent="0.35">
      <c r="A204" s="7">
        <v>48843</v>
      </c>
      <c r="B204" s="8" t="s">
        <v>14</v>
      </c>
      <c r="C204" s="9">
        <v>28.8</v>
      </c>
      <c r="D204" s="10">
        <v>4.3</v>
      </c>
      <c r="E204">
        <f t="shared" si="3"/>
        <v>1.2383999999999999</v>
      </c>
    </row>
    <row r="205" spans="1:5" x14ac:dyDescent="0.35">
      <c r="A205" s="11">
        <v>48844</v>
      </c>
      <c r="B205" s="12" t="s">
        <v>26</v>
      </c>
      <c r="C205" s="13">
        <v>10.3</v>
      </c>
      <c r="D205" s="14">
        <v>0</v>
      </c>
      <c r="E205">
        <f t="shared" si="3"/>
        <v>0</v>
      </c>
    </row>
    <row r="206" spans="1:5" x14ac:dyDescent="0.35">
      <c r="A206" s="7">
        <v>48845</v>
      </c>
      <c r="B206" s="8" t="s">
        <v>6</v>
      </c>
      <c r="C206" s="9">
        <v>14.9</v>
      </c>
      <c r="D206" s="10">
        <v>0.1</v>
      </c>
      <c r="E206">
        <f t="shared" si="3"/>
        <v>0</v>
      </c>
    </row>
    <row r="207" spans="1:5" x14ac:dyDescent="0.35">
      <c r="A207" s="11">
        <v>48846</v>
      </c>
      <c r="B207" s="12" t="s">
        <v>10</v>
      </c>
      <c r="C207" s="13">
        <v>11.3</v>
      </c>
      <c r="D207" s="14">
        <v>0</v>
      </c>
      <c r="E207">
        <f t="shared" si="3"/>
        <v>0</v>
      </c>
    </row>
    <row r="208" spans="1:5" x14ac:dyDescent="0.35">
      <c r="A208" s="7">
        <v>48847</v>
      </c>
      <c r="B208" s="8" t="s">
        <v>10</v>
      </c>
      <c r="C208" s="9">
        <v>20.8</v>
      </c>
      <c r="D208" s="10">
        <v>34.9</v>
      </c>
      <c r="E208">
        <f t="shared" si="3"/>
        <v>7.2591999999999999</v>
      </c>
    </row>
    <row r="209" spans="1:5" x14ac:dyDescent="0.35">
      <c r="A209" s="11">
        <v>48848</v>
      </c>
      <c r="B209" s="12" t="s">
        <v>19</v>
      </c>
      <c r="C209" s="13">
        <v>18.2</v>
      </c>
      <c r="D209" s="14">
        <v>0</v>
      </c>
      <c r="E209">
        <f t="shared" si="3"/>
        <v>0</v>
      </c>
    </row>
    <row r="210" spans="1:5" x14ac:dyDescent="0.35">
      <c r="A210" s="7">
        <v>48849</v>
      </c>
      <c r="B210" s="8" t="s">
        <v>17</v>
      </c>
      <c r="C210" s="9">
        <v>12.7</v>
      </c>
      <c r="D210" s="10">
        <v>5.3</v>
      </c>
      <c r="E210">
        <f t="shared" si="3"/>
        <v>0.67309999999999992</v>
      </c>
    </row>
    <row r="211" spans="1:5" x14ac:dyDescent="0.35">
      <c r="A211" s="11">
        <v>48850</v>
      </c>
      <c r="B211" s="12" t="s">
        <v>14</v>
      </c>
      <c r="C211" s="13">
        <v>21.4</v>
      </c>
      <c r="D211" s="14">
        <v>8.3000000000000007</v>
      </c>
      <c r="E211">
        <f t="shared" si="3"/>
        <v>1.7762</v>
      </c>
    </row>
    <row r="212" spans="1:5" x14ac:dyDescent="0.35">
      <c r="A212" s="7">
        <v>48851</v>
      </c>
      <c r="B212" s="8" t="s">
        <v>6</v>
      </c>
      <c r="C212" s="9">
        <v>21.3</v>
      </c>
      <c r="D212" s="10">
        <v>11.8</v>
      </c>
      <c r="E212">
        <f t="shared" si="3"/>
        <v>2.5134000000000003</v>
      </c>
    </row>
    <row r="213" spans="1:5" x14ac:dyDescent="0.35">
      <c r="A213" s="11">
        <v>48852</v>
      </c>
      <c r="B213" s="12" t="s">
        <v>17</v>
      </c>
      <c r="C213" s="13">
        <v>20.7</v>
      </c>
      <c r="D213" s="14">
        <v>3.9</v>
      </c>
      <c r="E213">
        <f t="shared" si="3"/>
        <v>0.80729999999999991</v>
      </c>
    </row>
    <row r="214" spans="1:5" x14ac:dyDescent="0.35">
      <c r="A214" s="7">
        <v>48853</v>
      </c>
      <c r="B214" s="8" t="s">
        <v>20</v>
      </c>
      <c r="C214" s="9">
        <v>19.7</v>
      </c>
      <c r="D214" s="10">
        <v>0</v>
      </c>
      <c r="E214">
        <f t="shared" si="3"/>
        <v>0</v>
      </c>
    </row>
    <row r="215" spans="1:5" x14ac:dyDescent="0.35">
      <c r="A215" s="11">
        <v>48854</v>
      </c>
      <c r="B215" s="12" t="s">
        <v>11</v>
      </c>
      <c r="C215" s="13">
        <v>27.2</v>
      </c>
      <c r="D215" s="14">
        <v>17.600000000000001</v>
      </c>
      <c r="E215">
        <f t="shared" si="3"/>
        <v>4.7872000000000003</v>
      </c>
    </row>
    <row r="216" spans="1:5" x14ac:dyDescent="0.35">
      <c r="A216" s="7">
        <v>48855</v>
      </c>
      <c r="B216" s="8" t="s">
        <v>25</v>
      </c>
      <c r="C216" s="9">
        <v>16.600000000000001</v>
      </c>
      <c r="D216" s="10">
        <v>1.7</v>
      </c>
      <c r="E216">
        <f t="shared" si="3"/>
        <v>0.28220000000000001</v>
      </c>
    </row>
    <row r="217" spans="1:5" x14ac:dyDescent="0.35">
      <c r="A217" s="11">
        <v>48856</v>
      </c>
      <c r="B217" s="12" t="s">
        <v>11</v>
      </c>
      <c r="C217" s="13">
        <v>22.3</v>
      </c>
      <c r="D217" s="14">
        <v>0</v>
      </c>
      <c r="E217">
        <f t="shared" si="3"/>
        <v>0</v>
      </c>
    </row>
    <row r="218" spans="1:5" x14ac:dyDescent="0.35">
      <c r="A218" s="7">
        <v>48857</v>
      </c>
      <c r="B218" s="8" t="s">
        <v>10</v>
      </c>
      <c r="C218" s="9">
        <v>18</v>
      </c>
      <c r="D218" s="10">
        <v>40.799999999999997</v>
      </c>
      <c r="E218">
        <f t="shared" si="3"/>
        <v>7.3439999999999994</v>
      </c>
    </row>
    <row r="219" spans="1:5" x14ac:dyDescent="0.35">
      <c r="A219" s="11">
        <v>48858</v>
      </c>
      <c r="B219" s="12" t="s">
        <v>24</v>
      </c>
      <c r="C219" s="13">
        <v>21.8</v>
      </c>
      <c r="D219" s="14">
        <v>0</v>
      </c>
      <c r="E219">
        <f t="shared" si="3"/>
        <v>0</v>
      </c>
    </row>
    <row r="220" spans="1:5" x14ac:dyDescent="0.35">
      <c r="A220" s="7">
        <v>48859</v>
      </c>
      <c r="B220" s="8" t="s">
        <v>6</v>
      </c>
      <c r="C220" s="9">
        <v>22.2</v>
      </c>
      <c r="D220" s="10">
        <v>11.2</v>
      </c>
      <c r="E220">
        <f t="shared" si="3"/>
        <v>2.4863999999999997</v>
      </c>
    </row>
    <row r="221" spans="1:5" x14ac:dyDescent="0.35">
      <c r="A221" s="11">
        <v>48860</v>
      </c>
      <c r="B221" s="12" t="s">
        <v>6</v>
      </c>
      <c r="C221" s="13">
        <v>20</v>
      </c>
      <c r="D221" s="14">
        <v>0</v>
      </c>
      <c r="E221">
        <f t="shared" si="3"/>
        <v>0</v>
      </c>
    </row>
    <row r="222" spans="1:5" x14ac:dyDescent="0.35">
      <c r="A222" s="7">
        <v>48861</v>
      </c>
      <c r="B222" s="8" t="s">
        <v>32</v>
      </c>
      <c r="C222" s="9">
        <v>29.4</v>
      </c>
      <c r="D222" s="10">
        <v>0.7</v>
      </c>
      <c r="E222">
        <f t="shared" si="3"/>
        <v>0</v>
      </c>
    </row>
    <row r="223" spans="1:5" x14ac:dyDescent="0.35">
      <c r="A223" s="11">
        <v>48862</v>
      </c>
      <c r="B223" s="12" t="s">
        <v>10</v>
      </c>
      <c r="C223" s="13">
        <v>23.6</v>
      </c>
      <c r="D223" s="14">
        <v>0</v>
      </c>
      <c r="E223">
        <f t="shared" si="3"/>
        <v>0</v>
      </c>
    </row>
    <row r="224" spans="1:5" x14ac:dyDescent="0.35">
      <c r="A224" s="7">
        <v>48863</v>
      </c>
      <c r="B224" s="8" t="s">
        <v>7</v>
      </c>
      <c r="C224" s="9">
        <v>16.3</v>
      </c>
      <c r="D224" s="10">
        <v>22</v>
      </c>
      <c r="E224">
        <f t="shared" si="3"/>
        <v>3.5860000000000003</v>
      </c>
    </row>
    <row r="225" spans="1:5" x14ac:dyDescent="0.35">
      <c r="A225" s="11">
        <v>48864</v>
      </c>
      <c r="B225" s="12" t="s">
        <v>15</v>
      </c>
      <c r="C225" s="13">
        <v>15</v>
      </c>
      <c r="D225" s="14">
        <v>0</v>
      </c>
      <c r="E225">
        <f t="shared" si="3"/>
        <v>0</v>
      </c>
    </row>
    <row r="226" spans="1:5" x14ac:dyDescent="0.35">
      <c r="A226" s="7">
        <v>48865</v>
      </c>
      <c r="B226" s="8" t="s">
        <v>14</v>
      </c>
      <c r="C226" s="9">
        <v>10.8</v>
      </c>
      <c r="D226" s="10">
        <v>0</v>
      </c>
      <c r="E226">
        <f t="shared" si="3"/>
        <v>0</v>
      </c>
    </row>
    <row r="227" spans="1:5" x14ac:dyDescent="0.35">
      <c r="A227" s="11">
        <v>48866</v>
      </c>
      <c r="B227" s="12" t="s">
        <v>19</v>
      </c>
      <c r="C227" s="13">
        <v>10.5</v>
      </c>
      <c r="D227" s="14">
        <v>0</v>
      </c>
      <c r="E227">
        <f t="shared" si="3"/>
        <v>0</v>
      </c>
    </row>
    <row r="228" spans="1:5" x14ac:dyDescent="0.35">
      <c r="A228" s="7">
        <v>48867</v>
      </c>
      <c r="B228" s="8" t="s">
        <v>5</v>
      </c>
      <c r="C228" s="9">
        <v>20.3</v>
      </c>
      <c r="D228" s="10">
        <v>0</v>
      </c>
      <c r="E228">
        <f t="shared" si="3"/>
        <v>0</v>
      </c>
    </row>
    <row r="229" spans="1:5" x14ac:dyDescent="0.35">
      <c r="A229" s="11">
        <v>48868</v>
      </c>
      <c r="B229" s="12" t="s">
        <v>10</v>
      </c>
      <c r="C229" s="13">
        <v>13.1</v>
      </c>
      <c r="D229" s="14">
        <v>50.4</v>
      </c>
      <c r="E229">
        <f t="shared" si="3"/>
        <v>6.6024000000000003</v>
      </c>
    </row>
    <row r="230" spans="1:5" x14ac:dyDescent="0.35">
      <c r="A230" s="7">
        <v>48869</v>
      </c>
      <c r="B230" s="8" t="s">
        <v>12</v>
      </c>
      <c r="C230" s="9">
        <v>24.8</v>
      </c>
      <c r="D230" s="10">
        <v>7.9</v>
      </c>
      <c r="E230">
        <f t="shared" si="3"/>
        <v>1.9592000000000001</v>
      </c>
    </row>
    <row r="231" spans="1:5" x14ac:dyDescent="0.35">
      <c r="A231" s="11">
        <v>48870</v>
      </c>
      <c r="B231" s="12" t="s">
        <v>11</v>
      </c>
      <c r="C231" s="13">
        <v>23.6</v>
      </c>
      <c r="D231" s="14">
        <v>0.8</v>
      </c>
      <c r="E231">
        <f t="shared" si="3"/>
        <v>0</v>
      </c>
    </row>
    <row r="232" spans="1:5" x14ac:dyDescent="0.35">
      <c r="A232" s="7">
        <v>48871</v>
      </c>
      <c r="B232" s="8" t="s">
        <v>17</v>
      </c>
      <c r="C232" s="9">
        <v>17.899999999999999</v>
      </c>
      <c r="D232" s="10">
        <v>0</v>
      </c>
      <c r="E232">
        <f t="shared" si="3"/>
        <v>0</v>
      </c>
    </row>
    <row r="233" spans="1:5" x14ac:dyDescent="0.35">
      <c r="A233" s="11">
        <v>48872</v>
      </c>
      <c r="B233" s="12" t="s">
        <v>12</v>
      </c>
      <c r="C233" s="13">
        <v>23.2</v>
      </c>
      <c r="D233" s="14">
        <v>3</v>
      </c>
      <c r="E233">
        <f t="shared" si="3"/>
        <v>0.69599999999999995</v>
      </c>
    </row>
    <row r="234" spans="1:5" x14ac:dyDescent="0.35">
      <c r="A234" s="7">
        <v>48873</v>
      </c>
      <c r="B234" s="8" t="s">
        <v>8</v>
      </c>
      <c r="C234" s="9">
        <v>21.8</v>
      </c>
      <c r="D234" s="10">
        <v>2</v>
      </c>
      <c r="E234">
        <f t="shared" si="3"/>
        <v>0.436</v>
      </c>
    </row>
    <row r="235" spans="1:5" x14ac:dyDescent="0.35">
      <c r="A235" s="11">
        <v>48874</v>
      </c>
      <c r="B235" s="12" t="s">
        <v>26</v>
      </c>
      <c r="C235" s="13">
        <v>22.2</v>
      </c>
      <c r="D235" s="14">
        <v>3.1</v>
      </c>
      <c r="E235">
        <f t="shared" si="3"/>
        <v>0.68819999999999992</v>
      </c>
    </row>
    <row r="236" spans="1:5" x14ac:dyDescent="0.35">
      <c r="A236" s="7">
        <v>48875</v>
      </c>
      <c r="B236" s="8" t="s">
        <v>15</v>
      </c>
      <c r="C236" s="9">
        <v>29</v>
      </c>
      <c r="D236" s="10">
        <v>16.399999999999999</v>
      </c>
      <c r="E236">
        <f t="shared" si="3"/>
        <v>4.7559999999999993</v>
      </c>
    </row>
    <row r="237" spans="1:5" x14ac:dyDescent="0.35">
      <c r="A237" s="11">
        <v>48876</v>
      </c>
      <c r="B237" s="12" t="s">
        <v>24</v>
      </c>
      <c r="C237" s="13">
        <v>24.6</v>
      </c>
      <c r="D237" s="14">
        <v>1.7</v>
      </c>
      <c r="E237">
        <f t="shared" si="3"/>
        <v>0.41820000000000002</v>
      </c>
    </row>
    <row r="238" spans="1:5" x14ac:dyDescent="0.35">
      <c r="A238" s="7">
        <v>48877</v>
      </c>
      <c r="B238" s="8" t="s">
        <v>12</v>
      </c>
      <c r="C238" s="9">
        <v>23.4</v>
      </c>
      <c r="D238" s="10">
        <v>0.6</v>
      </c>
      <c r="E238">
        <f t="shared" si="3"/>
        <v>0</v>
      </c>
    </row>
    <row r="239" spans="1:5" x14ac:dyDescent="0.35">
      <c r="A239" s="11">
        <v>48878</v>
      </c>
      <c r="B239" s="12" t="s">
        <v>15</v>
      </c>
      <c r="C239" s="13">
        <v>21</v>
      </c>
      <c r="D239" s="14">
        <v>0</v>
      </c>
      <c r="E239">
        <f t="shared" si="3"/>
        <v>0</v>
      </c>
    </row>
    <row r="240" spans="1:5" x14ac:dyDescent="0.35">
      <c r="A240" s="7">
        <v>48879</v>
      </c>
      <c r="B240" s="8" t="s">
        <v>5</v>
      </c>
      <c r="C240" s="9">
        <v>22</v>
      </c>
      <c r="D240" s="10">
        <v>0</v>
      </c>
      <c r="E240">
        <f t="shared" si="3"/>
        <v>0</v>
      </c>
    </row>
    <row r="241" spans="1:5" x14ac:dyDescent="0.35">
      <c r="A241" s="11">
        <v>48880</v>
      </c>
      <c r="B241" s="12" t="s">
        <v>9</v>
      </c>
      <c r="C241" s="13">
        <v>29.9</v>
      </c>
      <c r="D241" s="14">
        <v>8</v>
      </c>
      <c r="E241">
        <f t="shared" si="3"/>
        <v>2.3919999999999999</v>
      </c>
    </row>
    <row r="242" spans="1:5" x14ac:dyDescent="0.35">
      <c r="A242" s="7">
        <v>48881</v>
      </c>
      <c r="B242" s="8" t="s">
        <v>7</v>
      </c>
      <c r="C242" s="9">
        <v>27.2</v>
      </c>
      <c r="D242" s="10">
        <v>19.2</v>
      </c>
      <c r="E242">
        <f t="shared" si="3"/>
        <v>5.2224000000000004</v>
      </c>
    </row>
    <row r="243" spans="1:5" x14ac:dyDescent="0.35">
      <c r="A243" s="11">
        <v>48882</v>
      </c>
      <c r="B243" s="12" t="s">
        <v>19</v>
      </c>
      <c r="C243" s="13">
        <v>10.9</v>
      </c>
      <c r="D243" s="14">
        <v>9</v>
      </c>
      <c r="E243">
        <f t="shared" si="3"/>
        <v>0.98100000000000009</v>
      </c>
    </row>
    <row r="244" spans="1:5" x14ac:dyDescent="0.35">
      <c r="A244" s="7">
        <v>48883</v>
      </c>
      <c r="B244" s="8" t="s">
        <v>9</v>
      </c>
      <c r="C244" s="9">
        <v>22.6</v>
      </c>
      <c r="D244" s="10">
        <v>5.9</v>
      </c>
      <c r="E244">
        <f t="shared" si="3"/>
        <v>1.3334000000000001</v>
      </c>
    </row>
    <row r="245" spans="1:5" x14ac:dyDescent="0.35">
      <c r="A245" s="11">
        <v>48884</v>
      </c>
      <c r="B245" s="12" t="s">
        <v>23</v>
      </c>
      <c r="C245" s="13">
        <v>12</v>
      </c>
      <c r="D245" s="14">
        <v>3.9</v>
      </c>
      <c r="E245">
        <f t="shared" si="3"/>
        <v>0.46799999999999997</v>
      </c>
    </row>
    <row r="246" spans="1:5" x14ac:dyDescent="0.35">
      <c r="A246" s="7">
        <v>48885</v>
      </c>
      <c r="B246" s="8" t="s">
        <v>15</v>
      </c>
      <c r="C246" s="9">
        <v>19.5</v>
      </c>
      <c r="D246" s="10">
        <v>14.2</v>
      </c>
      <c r="E246">
        <f t="shared" si="3"/>
        <v>2.7689999999999997</v>
      </c>
    </row>
    <row r="247" spans="1:5" x14ac:dyDescent="0.35">
      <c r="A247" s="11">
        <v>48886</v>
      </c>
      <c r="B247" s="12" t="s">
        <v>10</v>
      </c>
      <c r="C247" s="13">
        <v>27</v>
      </c>
      <c r="D247" s="14">
        <v>10.9</v>
      </c>
      <c r="E247">
        <f t="shared" si="3"/>
        <v>2.9430000000000001</v>
      </c>
    </row>
    <row r="248" spans="1:5" x14ac:dyDescent="0.35">
      <c r="A248" s="7">
        <v>48887</v>
      </c>
      <c r="B248" s="8" t="s">
        <v>22</v>
      </c>
      <c r="C248" s="9">
        <v>10.7</v>
      </c>
      <c r="D248" s="10">
        <v>5.6</v>
      </c>
      <c r="E248">
        <f t="shared" si="3"/>
        <v>0.59919999999999995</v>
      </c>
    </row>
    <row r="249" spans="1:5" x14ac:dyDescent="0.35">
      <c r="A249" s="11">
        <v>48888</v>
      </c>
      <c r="B249" s="12" t="s">
        <v>19</v>
      </c>
      <c r="C249" s="13">
        <v>29.1</v>
      </c>
      <c r="D249" s="14">
        <v>0</v>
      </c>
      <c r="E249">
        <f t="shared" si="3"/>
        <v>0</v>
      </c>
    </row>
    <row r="250" spans="1:5" x14ac:dyDescent="0.35">
      <c r="A250" s="7">
        <v>48889</v>
      </c>
      <c r="B250" s="8" t="s">
        <v>27</v>
      </c>
      <c r="C250" s="9">
        <v>25.3</v>
      </c>
      <c r="D250" s="10">
        <v>0</v>
      </c>
      <c r="E250">
        <f t="shared" si="3"/>
        <v>0</v>
      </c>
    </row>
    <row r="251" spans="1:5" x14ac:dyDescent="0.35">
      <c r="A251" s="11">
        <v>48890</v>
      </c>
      <c r="B251" s="12" t="s">
        <v>6</v>
      </c>
      <c r="C251" s="13">
        <v>13.3</v>
      </c>
      <c r="D251" s="14">
        <v>4.4000000000000004</v>
      </c>
      <c r="E251">
        <f t="shared" si="3"/>
        <v>0.58520000000000005</v>
      </c>
    </row>
    <row r="252" spans="1:5" x14ac:dyDescent="0.35">
      <c r="A252" s="7">
        <v>48891</v>
      </c>
      <c r="B252" s="8" t="s">
        <v>7</v>
      </c>
      <c r="C252" s="9">
        <v>16.899999999999999</v>
      </c>
      <c r="D252" s="10">
        <v>0</v>
      </c>
      <c r="E252">
        <f t="shared" si="3"/>
        <v>0</v>
      </c>
    </row>
    <row r="253" spans="1:5" x14ac:dyDescent="0.35">
      <c r="A253" s="11">
        <v>48892</v>
      </c>
      <c r="B253" s="12" t="s">
        <v>15</v>
      </c>
      <c r="C253" s="13">
        <v>26.4</v>
      </c>
      <c r="D253" s="14">
        <v>6.8</v>
      </c>
      <c r="E253">
        <f t="shared" si="3"/>
        <v>1.7951999999999999</v>
      </c>
    </row>
    <row r="254" spans="1:5" x14ac:dyDescent="0.35">
      <c r="A254" s="7">
        <v>48893</v>
      </c>
      <c r="B254" s="8" t="s">
        <v>14</v>
      </c>
      <c r="C254" s="9">
        <v>29.7</v>
      </c>
      <c r="D254" s="10">
        <v>0</v>
      </c>
      <c r="E254">
        <f t="shared" si="3"/>
        <v>0</v>
      </c>
    </row>
    <row r="255" spans="1:5" x14ac:dyDescent="0.35">
      <c r="A255" s="11">
        <v>48894</v>
      </c>
      <c r="B255" s="12" t="s">
        <v>7</v>
      </c>
      <c r="C255" s="13">
        <v>17.600000000000001</v>
      </c>
      <c r="D255" s="14">
        <v>8.6999999999999993</v>
      </c>
      <c r="E255">
        <f t="shared" si="3"/>
        <v>1.5312000000000001</v>
      </c>
    </row>
    <row r="256" spans="1:5" x14ac:dyDescent="0.35">
      <c r="A256" s="7">
        <v>48895</v>
      </c>
      <c r="B256" s="8" t="s">
        <v>17</v>
      </c>
      <c r="C256" s="9">
        <v>13.2</v>
      </c>
      <c r="D256" s="10">
        <v>3.3</v>
      </c>
      <c r="E256">
        <f t="shared" si="3"/>
        <v>0.43559999999999993</v>
      </c>
    </row>
    <row r="257" spans="1:5" x14ac:dyDescent="0.35">
      <c r="A257" s="11">
        <v>48896</v>
      </c>
      <c r="B257" s="12" t="s">
        <v>15</v>
      </c>
      <c r="C257" s="13">
        <v>21.2</v>
      </c>
      <c r="D257" s="14">
        <v>0</v>
      </c>
      <c r="E257">
        <f t="shared" si="3"/>
        <v>0</v>
      </c>
    </row>
    <row r="258" spans="1:5" x14ac:dyDescent="0.35">
      <c r="A258" s="7">
        <v>48897</v>
      </c>
      <c r="B258" s="8" t="s">
        <v>15</v>
      </c>
      <c r="C258" s="9">
        <v>23</v>
      </c>
      <c r="D258" s="10">
        <v>7.7</v>
      </c>
      <c r="E258">
        <f t="shared" si="3"/>
        <v>1.7709999999999999</v>
      </c>
    </row>
    <row r="259" spans="1:5" x14ac:dyDescent="0.35">
      <c r="A259" s="11">
        <v>48898</v>
      </c>
      <c r="B259" s="12" t="s">
        <v>11</v>
      </c>
      <c r="C259" s="13">
        <v>23</v>
      </c>
      <c r="D259" s="14">
        <v>0</v>
      </c>
      <c r="E259">
        <f t="shared" ref="E259:E322" si="4">IF(D259&gt;=1,C259*D259/100,0)</f>
        <v>0</v>
      </c>
    </row>
    <row r="260" spans="1:5" x14ac:dyDescent="0.35">
      <c r="A260" s="7">
        <v>48899</v>
      </c>
      <c r="B260" s="8" t="s">
        <v>11</v>
      </c>
      <c r="C260" s="9">
        <v>23.4</v>
      </c>
      <c r="D260" s="10">
        <v>0</v>
      </c>
      <c r="E260">
        <f t="shared" si="4"/>
        <v>0</v>
      </c>
    </row>
    <row r="261" spans="1:5" x14ac:dyDescent="0.35">
      <c r="A261" s="11">
        <v>48900</v>
      </c>
      <c r="B261" s="12" t="s">
        <v>7</v>
      </c>
      <c r="C261" s="13">
        <v>28.7</v>
      </c>
      <c r="D261" s="14">
        <v>3.3</v>
      </c>
      <c r="E261">
        <f t="shared" si="4"/>
        <v>0.94709999999999994</v>
      </c>
    </row>
    <row r="262" spans="1:5" x14ac:dyDescent="0.35">
      <c r="A262" s="7">
        <v>48901</v>
      </c>
      <c r="B262" s="8" t="s">
        <v>26</v>
      </c>
      <c r="C262" s="9">
        <v>23.6</v>
      </c>
      <c r="D262" s="10">
        <v>4.3</v>
      </c>
      <c r="E262">
        <f t="shared" si="4"/>
        <v>1.0148000000000001</v>
      </c>
    </row>
    <row r="263" spans="1:5" x14ac:dyDescent="0.35">
      <c r="A263" s="11">
        <v>48902</v>
      </c>
      <c r="B263" s="12" t="s">
        <v>6</v>
      </c>
      <c r="C263" s="13">
        <v>10.199999999999999</v>
      </c>
      <c r="D263" s="14">
        <v>8.6999999999999993</v>
      </c>
      <c r="E263">
        <f t="shared" si="4"/>
        <v>0.88739999999999986</v>
      </c>
    </row>
    <row r="264" spans="1:5" x14ac:dyDescent="0.35">
      <c r="A264" s="7">
        <v>48903</v>
      </c>
      <c r="B264" s="8" t="s">
        <v>9</v>
      </c>
      <c r="C264" s="9">
        <v>13.8</v>
      </c>
      <c r="D264" s="10">
        <v>0</v>
      </c>
      <c r="E264">
        <f t="shared" si="4"/>
        <v>0</v>
      </c>
    </row>
    <row r="265" spans="1:5" x14ac:dyDescent="0.35">
      <c r="A265" s="11">
        <v>48904</v>
      </c>
      <c r="B265" s="12" t="s">
        <v>8</v>
      </c>
      <c r="C265" s="13">
        <v>27.7</v>
      </c>
      <c r="D265" s="14">
        <v>0</v>
      </c>
      <c r="E265">
        <f t="shared" si="4"/>
        <v>0</v>
      </c>
    </row>
    <row r="266" spans="1:5" x14ac:dyDescent="0.35">
      <c r="A266" s="7">
        <v>48905</v>
      </c>
      <c r="B266" s="8" t="s">
        <v>7</v>
      </c>
      <c r="C266" s="9">
        <v>13.3</v>
      </c>
      <c r="D266" s="10">
        <v>7.2</v>
      </c>
      <c r="E266">
        <f t="shared" si="4"/>
        <v>0.95760000000000001</v>
      </c>
    </row>
    <row r="267" spans="1:5" x14ac:dyDescent="0.35">
      <c r="A267" s="11">
        <v>48906</v>
      </c>
      <c r="B267" s="12" t="s">
        <v>11</v>
      </c>
      <c r="C267" s="13">
        <v>26</v>
      </c>
      <c r="D267" s="14">
        <v>0.7</v>
      </c>
      <c r="E267">
        <f t="shared" si="4"/>
        <v>0</v>
      </c>
    </row>
    <row r="268" spans="1:5" x14ac:dyDescent="0.35">
      <c r="A268" s="7">
        <v>48907</v>
      </c>
      <c r="B268" s="8" t="s">
        <v>6</v>
      </c>
      <c r="C268" s="9">
        <v>16.3</v>
      </c>
      <c r="D268" s="10">
        <v>11</v>
      </c>
      <c r="E268">
        <f t="shared" si="4"/>
        <v>1.7930000000000001</v>
      </c>
    </row>
    <row r="269" spans="1:5" x14ac:dyDescent="0.35">
      <c r="A269" s="11">
        <v>48908</v>
      </c>
      <c r="B269" s="12" t="s">
        <v>15</v>
      </c>
      <c r="C269" s="13">
        <v>23.5</v>
      </c>
      <c r="D269" s="14">
        <v>15.5</v>
      </c>
      <c r="E269">
        <f t="shared" si="4"/>
        <v>3.6425000000000001</v>
      </c>
    </row>
    <row r="270" spans="1:5" x14ac:dyDescent="0.35">
      <c r="A270" s="7">
        <v>48909</v>
      </c>
      <c r="B270" s="8" t="s">
        <v>27</v>
      </c>
      <c r="C270" s="9">
        <v>15.7</v>
      </c>
      <c r="D270" s="10">
        <v>0</v>
      </c>
      <c r="E270">
        <f t="shared" si="4"/>
        <v>0</v>
      </c>
    </row>
    <row r="271" spans="1:5" x14ac:dyDescent="0.35">
      <c r="A271" s="11">
        <v>48910</v>
      </c>
      <c r="B271" s="12" t="s">
        <v>26</v>
      </c>
      <c r="C271" s="13">
        <v>26</v>
      </c>
      <c r="D271" s="14">
        <v>6.4</v>
      </c>
      <c r="E271">
        <f t="shared" si="4"/>
        <v>1.6640000000000001</v>
      </c>
    </row>
    <row r="272" spans="1:5" x14ac:dyDescent="0.35">
      <c r="A272" s="7">
        <v>48911</v>
      </c>
      <c r="B272" s="8" t="s">
        <v>19</v>
      </c>
      <c r="C272" s="9">
        <v>22.7</v>
      </c>
      <c r="D272" s="10">
        <v>0</v>
      </c>
      <c r="E272">
        <f t="shared" si="4"/>
        <v>0</v>
      </c>
    </row>
    <row r="273" spans="1:5" x14ac:dyDescent="0.35">
      <c r="A273" s="11">
        <v>48912</v>
      </c>
      <c r="B273" s="12" t="s">
        <v>9</v>
      </c>
      <c r="C273" s="13">
        <v>26.2</v>
      </c>
      <c r="D273" s="14">
        <v>5.7</v>
      </c>
      <c r="E273">
        <f t="shared" si="4"/>
        <v>1.4934000000000001</v>
      </c>
    </row>
    <row r="274" spans="1:5" x14ac:dyDescent="0.35">
      <c r="A274" s="7">
        <v>48913</v>
      </c>
      <c r="B274" s="8" t="s">
        <v>22</v>
      </c>
      <c r="C274" s="9">
        <v>14.1</v>
      </c>
      <c r="D274" s="10">
        <v>0</v>
      </c>
      <c r="E274">
        <f t="shared" si="4"/>
        <v>0</v>
      </c>
    </row>
    <row r="275" spans="1:5" x14ac:dyDescent="0.35">
      <c r="A275" s="11">
        <v>48914</v>
      </c>
      <c r="B275" s="12" t="s">
        <v>11</v>
      </c>
      <c r="C275" s="13">
        <v>23.6</v>
      </c>
      <c r="D275" s="14">
        <v>19.7</v>
      </c>
      <c r="E275">
        <f t="shared" si="4"/>
        <v>4.6492000000000004</v>
      </c>
    </row>
    <row r="276" spans="1:5" x14ac:dyDescent="0.35">
      <c r="A276" s="7">
        <v>48915</v>
      </c>
      <c r="B276" s="8" t="s">
        <v>19</v>
      </c>
      <c r="C276" s="9">
        <v>25.2</v>
      </c>
      <c r="D276" s="10">
        <v>37.200000000000003</v>
      </c>
      <c r="E276">
        <f t="shared" si="4"/>
        <v>9.3744000000000014</v>
      </c>
    </row>
    <row r="277" spans="1:5" x14ac:dyDescent="0.35">
      <c r="A277" s="11">
        <v>48916</v>
      </c>
      <c r="B277" s="12" t="s">
        <v>13</v>
      </c>
      <c r="C277" s="13">
        <v>23</v>
      </c>
      <c r="D277" s="14">
        <v>0</v>
      </c>
      <c r="E277">
        <f t="shared" si="4"/>
        <v>0</v>
      </c>
    </row>
    <row r="278" spans="1:5" x14ac:dyDescent="0.35">
      <c r="A278" s="7">
        <v>48917</v>
      </c>
      <c r="B278" s="8" t="s">
        <v>6</v>
      </c>
      <c r="C278" s="9">
        <v>29.7</v>
      </c>
      <c r="D278" s="10">
        <v>6.8</v>
      </c>
      <c r="E278">
        <f t="shared" si="4"/>
        <v>2.0195999999999996</v>
      </c>
    </row>
    <row r="279" spans="1:5" x14ac:dyDescent="0.35">
      <c r="A279" s="11">
        <v>48918</v>
      </c>
      <c r="B279" s="12" t="s">
        <v>9</v>
      </c>
      <c r="C279" s="13">
        <v>17.2</v>
      </c>
      <c r="D279" s="14">
        <v>3.5</v>
      </c>
      <c r="E279">
        <f t="shared" si="4"/>
        <v>0.60199999999999998</v>
      </c>
    </row>
    <row r="280" spans="1:5" x14ac:dyDescent="0.35">
      <c r="A280" s="7">
        <v>48919</v>
      </c>
      <c r="B280" s="8" t="s">
        <v>9</v>
      </c>
      <c r="C280" s="9">
        <v>21.7</v>
      </c>
      <c r="D280" s="10">
        <v>2.5</v>
      </c>
      <c r="E280">
        <f t="shared" si="4"/>
        <v>0.54249999999999998</v>
      </c>
    </row>
    <row r="281" spans="1:5" x14ac:dyDescent="0.35">
      <c r="A281" s="11">
        <v>48920</v>
      </c>
      <c r="B281" s="12" t="s">
        <v>11</v>
      </c>
      <c r="C281" s="13">
        <v>25.8</v>
      </c>
      <c r="D281" s="14">
        <v>3.8</v>
      </c>
      <c r="E281">
        <f t="shared" si="4"/>
        <v>0.98039999999999994</v>
      </c>
    </row>
    <row r="282" spans="1:5" x14ac:dyDescent="0.35">
      <c r="A282" s="7">
        <v>48921</v>
      </c>
      <c r="B282" s="8" t="s">
        <v>26</v>
      </c>
      <c r="C282" s="9">
        <v>12.9</v>
      </c>
      <c r="D282" s="10">
        <v>1.6</v>
      </c>
      <c r="E282">
        <f t="shared" si="4"/>
        <v>0.2064</v>
      </c>
    </row>
    <row r="283" spans="1:5" x14ac:dyDescent="0.35">
      <c r="A283" s="11">
        <v>48922</v>
      </c>
      <c r="B283" s="12" t="s">
        <v>16</v>
      </c>
      <c r="C283" s="13">
        <v>18.2</v>
      </c>
      <c r="D283" s="14">
        <v>0</v>
      </c>
      <c r="E283">
        <f t="shared" si="4"/>
        <v>0</v>
      </c>
    </row>
    <row r="284" spans="1:5" x14ac:dyDescent="0.35">
      <c r="A284" s="7">
        <v>48923</v>
      </c>
      <c r="B284" s="8" t="s">
        <v>10</v>
      </c>
      <c r="C284" s="9">
        <v>20</v>
      </c>
      <c r="D284" s="10">
        <v>25.7</v>
      </c>
      <c r="E284">
        <f t="shared" si="4"/>
        <v>5.14</v>
      </c>
    </row>
    <row r="285" spans="1:5" x14ac:dyDescent="0.35">
      <c r="A285" s="11">
        <v>48924</v>
      </c>
      <c r="B285" s="12" t="s">
        <v>19</v>
      </c>
      <c r="C285" s="13">
        <v>17.100000000000001</v>
      </c>
      <c r="D285" s="14">
        <v>33</v>
      </c>
      <c r="E285">
        <f t="shared" si="4"/>
        <v>5.6430000000000007</v>
      </c>
    </row>
    <row r="286" spans="1:5" x14ac:dyDescent="0.35">
      <c r="A286" s="7">
        <v>48925</v>
      </c>
      <c r="B286" s="8" t="s">
        <v>5</v>
      </c>
      <c r="C286" s="9">
        <v>23.2</v>
      </c>
      <c r="D286" s="10">
        <v>2.2999999999999998</v>
      </c>
      <c r="E286">
        <f t="shared" si="4"/>
        <v>0.53359999999999996</v>
      </c>
    </row>
    <row r="287" spans="1:5" x14ac:dyDescent="0.35">
      <c r="A287" s="11">
        <v>48926</v>
      </c>
      <c r="B287" s="12" t="s">
        <v>15</v>
      </c>
      <c r="C287" s="13">
        <v>23.1</v>
      </c>
      <c r="D287" s="14">
        <v>2.2000000000000002</v>
      </c>
      <c r="E287">
        <f t="shared" si="4"/>
        <v>0.5082000000000001</v>
      </c>
    </row>
    <row r="288" spans="1:5" x14ac:dyDescent="0.35">
      <c r="A288" s="7">
        <v>48927</v>
      </c>
      <c r="B288" s="8" t="s">
        <v>10</v>
      </c>
      <c r="C288" s="9">
        <v>22.4</v>
      </c>
      <c r="D288" s="10">
        <v>33.5</v>
      </c>
      <c r="E288">
        <f t="shared" si="4"/>
        <v>7.5039999999999996</v>
      </c>
    </row>
    <row r="289" spans="1:5" x14ac:dyDescent="0.35">
      <c r="A289" s="11">
        <v>48928</v>
      </c>
      <c r="B289" s="12" t="s">
        <v>33</v>
      </c>
      <c r="C289" s="13">
        <v>25.4</v>
      </c>
      <c r="D289" s="14">
        <v>0.9</v>
      </c>
      <c r="E289">
        <f t="shared" si="4"/>
        <v>0</v>
      </c>
    </row>
    <row r="290" spans="1:5" x14ac:dyDescent="0.35">
      <c r="A290" s="7">
        <v>48929</v>
      </c>
      <c r="B290" s="8" t="s">
        <v>10</v>
      </c>
      <c r="C290" s="9">
        <v>15.4</v>
      </c>
      <c r="D290" s="10">
        <v>1.6</v>
      </c>
      <c r="E290">
        <f t="shared" si="4"/>
        <v>0.24640000000000001</v>
      </c>
    </row>
    <row r="291" spans="1:5" x14ac:dyDescent="0.35">
      <c r="A291" s="11">
        <v>48930</v>
      </c>
      <c r="B291" s="12" t="s">
        <v>25</v>
      </c>
      <c r="C291" s="13">
        <v>23.5</v>
      </c>
      <c r="D291" s="14">
        <v>0.6</v>
      </c>
      <c r="E291">
        <f t="shared" si="4"/>
        <v>0</v>
      </c>
    </row>
    <row r="292" spans="1:5" x14ac:dyDescent="0.35">
      <c r="A292" s="7">
        <v>48931</v>
      </c>
      <c r="B292" s="8" t="s">
        <v>15</v>
      </c>
      <c r="C292" s="9">
        <v>10.3</v>
      </c>
      <c r="D292" s="10">
        <v>15.4</v>
      </c>
      <c r="E292">
        <f t="shared" si="4"/>
        <v>1.5862000000000001</v>
      </c>
    </row>
    <row r="293" spans="1:5" x14ac:dyDescent="0.35">
      <c r="A293" s="11">
        <v>48932</v>
      </c>
      <c r="B293" s="12" t="s">
        <v>10</v>
      </c>
      <c r="C293" s="13">
        <v>15.5</v>
      </c>
      <c r="D293" s="14">
        <v>20.2</v>
      </c>
      <c r="E293">
        <f t="shared" si="4"/>
        <v>3.1309999999999998</v>
      </c>
    </row>
    <row r="294" spans="1:5" x14ac:dyDescent="0.35">
      <c r="A294" s="7">
        <v>48933</v>
      </c>
      <c r="B294" s="8" t="s">
        <v>24</v>
      </c>
      <c r="C294" s="9">
        <v>20.7</v>
      </c>
      <c r="D294" s="10">
        <v>3</v>
      </c>
      <c r="E294">
        <f t="shared" si="4"/>
        <v>0.621</v>
      </c>
    </row>
    <row r="295" spans="1:5" x14ac:dyDescent="0.35">
      <c r="A295" s="11">
        <v>48934</v>
      </c>
      <c r="B295" s="12" t="s">
        <v>13</v>
      </c>
      <c r="C295" s="13">
        <v>12.7</v>
      </c>
      <c r="D295" s="14">
        <v>14.4</v>
      </c>
      <c r="E295">
        <f t="shared" si="4"/>
        <v>1.8288</v>
      </c>
    </row>
    <row r="296" spans="1:5" x14ac:dyDescent="0.35">
      <c r="A296" s="7">
        <v>48935</v>
      </c>
      <c r="B296" s="8" t="s">
        <v>23</v>
      </c>
      <c r="C296" s="9">
        <v>22.8</v>
      </c>
      <c r="D296" s="10">
        <v>3.3</v>
      </c>
      <c r="E296">
        <f t="shared" si="4"/>
        <v>0.75239999999999996</v>
      </c>
    </row>
    <row r="297" spans="1:5" x14ac:dyDescent="0.35">
      <c r="A297" s="11">
        <v>48936</v>
      </c>
      <c r="B297" s="12" t="s">
        <v>30</v>
      </c>
      <c r="C297" s="13">
        <v>20.5</v>
      </c>
      <c r="D297" s="14">
        <v>0</v>
      </c>
      <c r="E297">
        <f t="shared" si="4"/>
        <v>0</v>
      </c>
    </row>
    <row r="298" spans="1:5" x14ac:dyDescent="0.35">
      <c r="A298" s="7">
        <v>48937</v>
      </c>
      <c r="B298" s="8" t="s">
        <v>22</v>
      </c>
      <c r="C298" s="9">
        <v>13.1</v>
      </c>
      <c r="D298" s="10">
        <v>5.9</v>
      </c>
      <c r="E298">
        <f t="shared" si="4"/>
        <v>0.77290000000000003</v>
      </c>
    </row>
    <row r="299" spans="1:5" x14ac:dyDescent="0.35">
      <c r="A299" s="11">
        <v>48938</v>
      </c>
      <c r="B299" s="12" t="s">
        <v>21</v>
      </c>
      <c r="C299" s="13">
        <v>29</v>
      </c>
      <c r="D299" s="14">
        <v>1</v>
      </c>
      <c r="E299">
        <f t="shared" si="4"/>
        <v>0.28999999999999998</v>
      </c>
    </row>
    <row r="300" spans="1:5" x14ac:dyDescent="0.35">
      <c r="A300" s="7">
        <v>48939</v>
      </c>
      <c r="B300" s="8" t="s">
        <v>19</v>
      </c>
      <c r="C300" s="9">
        <v>15.4</v>
      </c>
      <c r="D300" s="10">
        <v>0</v>
      </c>
      <c r="E300">
        <f t="shared" si="4"/>
        <v>0</v>
      </c>
    </row>
    <row r="301" spans="1:5" x14ac:dyDescent="0.35">
      <c r="A301" s="11">
        <v>48940</v>
      </c>
      <c r="B301" s="12" t="s">
        <v>10</v>
      </c>
      <c r="C301" s="13">
        <v>20.3</v>
      </c>
      <c r="D301" s="14">
        <v>10.7</v>
      </c>
      <c r="E301">
        <f t="shared" si="4"/>
        <v>2.1720999999999999</v>
      </c>
    </row>
    <row r="302" spans="1:5" x14ac:dyDescent="0.35">
      <c r="A302" s="7">
        <v>48941</v>
      </c>
      <c r="B302" s="8" t="s">
        <v>10</v>
      </c>
      <c r="C302" s="9">
        <v>15</v>
      </c>
      <c r="D302" s="10">
        <v>0</v>
      </c>
      <c r="E302">
        <f t="shared" si="4"/>
        <v>0</v>
      </c>
    </row>
    <row r="303" spans="1:5" x14ac:dyDescent="0.35">
      <c r="A303" s="11">
        <v>48942</v>
      </c>
      <c r="B303" s="12" t="s">
        <v>18</v>
      </c>
      <c r="C303" s="13">
        <v>16.600000000000001</v>
      </c>
      <c r="D303" s="14">
        <v>0</v>
      </c>
      <c r="E303">
        <f t="shared" si="4"/>
        <v>0</v>
      </c>
    </row>
    <row r="304" spans="1:5" x14ac:dyDescent="0.35">
      <c r="A304" s="7">
        <v>48943</v>
      </c>
      <c r="B304" s="8" t="s">
        <v>11</v>
      </c>
      <c r="C304" s="9">
        <v>28.6</v>
      </c>
      <c r="D304" s="10">
        <v>0</v>
      </c>
      <c r="E304">
        <f t="shared" si="4"/>
        <v>0</v>
      </c>
    </row>
    <row r="305" spans="1:5" x14ac:dyDescent="0.35">
      <c r="A305" s="11">
        <v>48944</v>
      </c>
      <c r="B305" s="12" t="s">
        <v>17</v>
      </c>
      <c r="C305" s="13">
        <v>11.4</v>
      </c>
      <c r="D305" s="14">
        <v>3.6</v>
      </c>
      <c r="E305">
        <f t="shared" si="4"/>
        <v>0.41039999999999999</v>
      </c>
    </row>
    <row r="306" spans="1:5" x14ac:dyDescent="0.35">
      <c r="A306" s="7">
        <v>48945</v>
      </c>
      <c r="B306" s="8" t="s">
        <v>9</v>
      </c>
      <c r="C306" s="9">
        <v>15.5</v>
      </c>
      <c r="D306" s="10">
        <v>1</v>
      </c>
      <c r="E306">
        <f t="shared" si="4"/>
        <v>0.155</v>
      </c>
    </row>
    <row r="307" spans="1:5" x14ac:dyDescent="0.35">
      <c r="A307" s="11">
        <v>48946</v>
      </c>
      <c r="B307" s="12" t="s">
        <v>6</v>
      </c>
      <c r="C307" s="13">
        <v>18.3</v>
      </c>
      <c r="D307" s="14">
        <v>0.7</v>
      </c>
      <c r="E307">
        <f t="shared" si="4"/>
        <v>0</v>
      </c>
    </row>
    <row r="308" spans="1:5" x14ac:dyDescent="0.35">
      <c r="A308" s="7">
        <v>48947</v>
      </c>
      <c r="B308" s="8" t="s">
        <v>19</v>
      </c>
      <c r="C308" s="9">
        <v>14.9</v>
      </c>
      <c r="D308" s="10">
        <v>6.1</v>
      </c>
      <c r="E308">
        <f t="shared" si="4"/>
        <v>0.90890000000000004</v>
      </c>
    </row>
    <row r="309" spans="1:5" x14ac:dyDescent="0.35">
      <c r="A309" s="11">
        <v>48948</v>
      </c>
      <c r="B309" s="12" t="s">
        <v>11</v>
      </c>
      <c r="C309" s="13">
        <v>29.7</v>
      </c>
      <c r="D309" s="14">
        <v>13.3</v>
      </c>
      <c r="E309">
        <f t="shared" si="4"/>
        <v>3.9500999999999999</v>
      </c>
    </row>
    <row r="310" spans="1:5" x14ac:dyDescent="0.35">
      <c r="A310" s="7">
        <v>48949</v>
      </c>
      <c r="B310" s="8" t="s">
        <v>7</v>
      </c>
      <c r="C310" s="9">
        <v>28.9</v>
      </c>
      <c r="D310" s="10">
        <v>13.8</v>
      </c>
      <c r="E310">
        <f t="shared" si="4"/>
        <v>3.9882</v>
      </c>
    </row>
    <row r="311" spans="1:5" x14ac:dyDescent="0.35">
      <c r="A311" s="11">
        <v>48950</v>
      </c>
      <c r="B311" s="12" t="s">
        <v>17</v>
      </c>
      <c r="C311" s="13">
        <v>24.3</v>
      </c>
      <c r="D311" s="14">
        <v>0</v>
      </c>
      <c r="E311">
        <f t="shared" si="4"/>
        <v>0</v>
      </c>
    </row>
    <row r="312" spans="1:5" x14ac:dyDescent="0.35">
      <c r="A312" s="7">
        <v>48951</v>
      </c>
      <c r="B312" s="8" t="s">
        <v>10</v>
      </c>
      <c r="C312" s="9">
        <v>24</v>
      </c>
      <c r="D312" s="10">
        <v>19.7</v>
      </c>
      <c r="E312">
        <f t="shared" si="4"/>
        <v>4.7279999999999998</v>
      </c>
    </row>
    <row r="313" spans="1:5" x14ac:dyDescent="0.35">
      <c r="A313" s="11">
        <v>48952</v>
      </c>
      <c r="B313" s="12" t="s">
        <v>15</v>
      </c>
      <c r="C313" s="13">
        <v>11.8</v>
      </c>
      <c r="D313" s="14">
        <v>13.3</v>
      </c>
      <c r="E313">
        <f t="shared" si="4"/>
        <v>1.5694000000000004</v>
      </c>
    </row>
    <row r="314" spans="1:5" x14ac:dyDescent="0.35">
      <c r="A314" s="7">
        <v>48953</v>
      </c>
      <c r="B314" s="8" t="s">
        <v>10</v>
      </c>
      <c r="C314" s="9">
        <v>26.5</v>
      </c>
      <c r="D314" s="10">
        <v>19.7</v>
      </c>
      <c r="E314">
        <f t="shared" si="4"/>
        <v>5.2204999999999995</v>
      </c>
    </row>
    <row r="315" spans="1:5" x14ac:dyDescent="0.35">
      <c r="A315" s="11">
        <v>48954</v>
      </c>
      <c r="B315" s="12" t="s">
        <v>26</v>
      </c>
      <c r="C315" s="13">
        <v>12.4</v>
      </c>
      <c r="D315" s="14">
        <v>5.0999999999999996</v>
      </c>
      <c r="E315">
        <f t="shared" si="4"/>
        <v>0.63239999999999996</v>
      </c>
    </row>
    <row r="316" spans="1:5" x14ac:dyDescent="0.35">
      <c r="A316" s="7">
        <v>48955</v>
      </c>
      <c r="B316" s="8" t="s">
        <v>10</v>
      </c>
      <c r="C316" s="9">
        <v>21.9</v>
      </c>
      <c r="D316" s="10">
        <v>6.6</v>
      </c>
      <c r="E316">
        <f t="shared" si="4"/>
        <v>1.4454</v>
      </c>
    </row>
    <row r="317" spans="1:5" x14ac:dyDescent="0.35">
      <c r="A317" s="11">
        <v>48956</v>
      </c>
      <c r="B317" s="12" t="s">
        <v>10</v>
      </c>
      <c r="C317" s="13">
        <v>20.3</v>
      </c>
      <c r="D317" s="14">
        <v>0</v>
      </c>
      <c r="E317">
        <f t="shared" si="4"/>
        <v>0</v>
      </c>
    </row>
    <row r="318" spans="1:5" x14ac:dyDescent="0.35">
      <c r="A318" s="7">
        <v>48957</v>
      </c>
      <c r="B318" s="8" t="s">
        <v>32</v>
      </c>
      <c r="C318" s="9">
        <v>27.7</v>
      </c>
      <c r="D318" s="10">
        <v>0.3</v>
      </c>
      <c r="E318">
        <f t="shared" si="4"/>
        <v>0</v>
      </c>
    </row>
    <row r="319" spans="1:5" x14ac:dyDescent="0.35">
      <c r="A319" s="11">
        <v>48958</v>
      </c>
      <c r="B319" s="12" t="s">
        <v>19</v>
      </c>
      <c r="C319" s="13">
        <v>28.5</v>
      </c>
      <c r="D319" s="14">
        <v>30</v>
      </c>
      <c r="E319">
        <f t="shared" si="4"/>
        <v>8.5500000000000007</v>
      </c>
    </row>
    <row r="320" spans="1:5" x14ac:dyDescent="0.35">
      <c r="A320" s="7">
        <v>48959</v>
      </c>
      <c r="B320" s="8" t="s">
        <v>21</v>
      </c>
      <c r="C320" s="9">
        <v>28.7</v>
      </c>
      <c r="D320" s="10">
        <v>1.9</v>
      </c>
      <c r="E320">
        <f t="shared" si="4"/>
        <v>0.5452999999999999</v>
      </c>
    </row>
    <row r="321" spans="1:5" x14ac:dyDescent="0.35">
      <c r="A321" s="11">
        <v>48960</v>
      </c>
      <c r="B321" s="12" t="s">
        <v>4</v>
      </c>
      <c r="C321" s="13">
        <v>10.9</v>
      </c>
      <c r="D321" s="14">
        <v>0</v>
      </c>
      <c r="E321">
        <f t="shared" si="4"/>
        <v>0</v>
      </c>
    </row>
    <row r="322" spans="1:5" x14ac:dyDescent="0.35">
      <c r="A322" s="7">
        <v>48961</v>
      </c>
      <c r="B322" s="8" t="s">
        <v>9</v>
      </c>
      <c r="C322" s="9">
        <v>13.7</v>
      </c>
      <c r="D322" s="10">
        <v>0</v>
      </c>
      <c r="E322">
        <f t="shared" si="4"/>
        <v>0</v>
      </c>
    </row>
    <row r="323" spans="1:5" x14ac:dyDescent="0.35">
      <c r="A323" s="11">
        <v>48962</v>
      </c>
      <c r="B323" s="12" t="s">
        <v>11</v>
      </c>
      <c r="C323" s="13">
        <v>28.2</v>
      </c>
      <c r="D323" s="14">
        <v>0</v>
      </c>
      <c r="E323">
        <f t="shared" ref="E323:E386" si="5">IF(D323&gt;=1,C323*D323/100,0)</f>
        <v>0</v>
      </c>
    </row>
    <row r="324" spans="1:5" x14ac:dyDescent="0.35">
      <c r="A324" s="7">
        <v>48963</v>
      </c>
      <c r="B324" s="8" t="s">
        <v>19</v>
      </c>
      <c r="C324" s="9">
        <v>20.100000000000001</v>
      </c>
      <c r="D324" s="10">
        <v>0</v>
      </c>
      <c r="E324">
        <f t="shared" si="5"/>
        <v>0</v>
      </c>
    </row>
    <row r="325" spans="1:5" x14ac:dyDescent="0.35">
      <c r="A325" s="11">
        <v>48964</v>
      </c>
      <c r="B325" s="12" t="s">
        <v>11</v>
      </c>
      <c r="C325" s="13">
        <v>20.6</v>
      </c>
      <c r="D325" s="14">
        <v>0</v>
      </c>
      <c r="E325">
        <f t="shared" si="5"/>
        <v>0</v>
      </c>
    </row>
    <row r="326" spans="1:5" x14ac:dyDescent="0.35">
      <c r="A326" s="7">
        <v>48965</v>
      </c>
      <c r="B326" s="8" t="s">
        <v>13</v>
      </c>
      <c r="C326" s="9">
        <v>15.5</v>
      </c>
      <c r="D326" s="10">
        <v>16.8</v>
      </c>
      <c r="E326">
        <f t="shared" si="5"/>
        <v>2.6040000000000005</v>
      </c>
    </row>
    <row r="327" spans="1:5" x14ac:dyDescent="0.35">
      <c r="A327" s="11">
        <v>48966</v>
      </c>
      <c r="B327" s="12" t="s">
        <v>12</v>
      </c>
      <c r="C327" s="13">
        <v>22.2</v>
      </c>
      <c r="D327" s="14">
        <v>2.4</v>
      </c>
      <c r="E327">
        <f t="shared" si="5"/>
        <v>0.53279999999999994</v>
      </c>
    </row>
    <row r="328" spans="1:5" x14ac:dyDescent="0.35">
      <c r="A328" s="7">
        <v>48967</v>
      </c>
      <c r="B328" s="8" t="s">
        <v>13</v>
      </c>
      <c r="C328" s="9">
        <v>15</v>
      </c>
      <c r="D328" s="10">
        <v>4.0999999999999996</v>
      </c>
      <c r="E328">
        <f t="shared" si="5"/>
        <v>0.61499999999999988</v>
      </c>
    </row>
    <row r="329" spans="1:5" x14ac:dyDescent="0.35">
      <c r="A329" s="11">
        <v>48968</v>
      </c>
      <c r="B329" s="12" t="s">
        <v>19</v>
      </c>
      <c r="C329" s="13">
        <v>18.399999999999999</v>
      </c>
      <c r="D329" s="14">
        <v>30.4</v>
      </c>
      <c r="E329">
        <f t="shared" si="5"/>
        <v>5.5935999999999986</v>
      </c>
    </row>
    <row r="330" spans="1:5" x14ac:dyDescent="0.35">
      <c r="A330" s="7">
        <v>48969</v>
      </c>
      <c r="B330" s="8" t="s">
        <v>32</v>
      </c>
      <c r="C330" s="9">
        <v>29.3</v>
      </c>
      <c r="D330" s="10">
        <v>0.4</v>
      </c>
      <c r="E330">
        <f t="shared" si="5"/>
        <v>0</v>
      </c>
    </row>
    <row r="331" spans="1:5" x14ac:dyDescent="0.35">
      <c r="A331" s="11">
        <v>48970</v>
      </c>
      <c r="B331" s="12" t="s">
        <v>23</v>
      </c>
      <c r="C331" s="13">
        <v>23.9</v>
      </c>
      <c r="D331" s="14">
        <v>3.3</v>
      </c>
      <c r="E331">
        <f t="shared" si="5"/>
        <v>0.78869999999999996</v>
      </c>
    </row>
    <row r="332" spans="1:5" x14ac:dyDescent="0.35">
      <c r="A332" s="7">
        <v>48971</v>
      </c>
      <c r="B332" s="8" t="s">
        <v>20</v>
      </c>
      <c r="C332" s="9">
        <v>29.8</v>
      </c>
      <c r="D332" s="10">
        <v>3.3</v>
      </c>
      <c r="E332">
        <f t="shared" si="5"/>
        <v>0.98340000000000005</v>
      </c>
    </row>
    <row r="333" spans="1:5" x14ac:dyDescent="0.35">
      <c r="A333" s="11">
        <v>48972</v>
      </c>
      <c r="B333" s="12" t="s">
        <v>10</v>
      </c>
      <c r="C333" s="13">
        <v>29.1</v>
      </c>
      <c r="D333" s="14">
        <v>23</v>
      </c>
      <c r="E333">
        <f t="shared" si="5"/>
        <v>6.6930000000000005</v>
      </c>
    </row>
    <row r="334" spans="1:5" x14ac:dyDescent="0.35">
      <c r="A334" s="7">
        <v>48973</v>
      </c>
      <c r="B334" s="8" t="s">
        <v>11</v>
      </c>
      <c r="C334" s="9">
        <v>22.5</v>
      </c>
      <c r="D334" s="10">
        <v>17.2</v>
      </c>
      <c r="E334">
        <f t="shared" si="5"/>
        <v>3.87</v>
      </c>
    </row>
    <row r="335" spans="1:5" x14ac:dyDescent="0.35">
      <c r="A335" s="11">
        <v>48974</v>
      </c>
      <c r="B335" s="12" t="s">
        <v>19</v>
      </c>
      <c r="C335" s="13">
        <v>15.3</v>
      </c>
      <c r="D335" s="14">
        <v>21.5</v>
      </c>
      <c r="E335">
        <f t="shared" si="5"/>
        <v>3.2894999999999999</v>
      </c>
    </row>
    <row r="336" spans="1:5" x14ac:dyDescent="0.35">
      <c r="A336" s="7">
        <v>48975</v>
      </c>
      <c r="B336" s="8" t="s">
        <v>10</v>
      </c>
      <c r="C336" s="9">
        <v>13.8</v>
      </c>
      <c r="D336" s="10">
        <v>40.4</v>
      </c>
      <c r="E336">
        <f t="shared" si="5"/>
        <v>5.5751999999999997</v>
      </c>
    </row>
    <row r="337" spans="1:5" x14ac:dyDescent="0.35">
      <c r="A337" s="11">
        <v>48976</v>
      </c>
      <c r="B337" s="12" t="s">
        <v>7</v>
      </c>
      <c r="C337" s="13">
        <v>12.3</v>
      </c>
      <c r="D337" s="14">
        <v>0</v>
      </c>
      <c r="E337">
        <f t="shared" si="5"/>
        <v>0</v>
      </c>
    </row>
    <row r="338" spans="1:5" x14ac:dyDescent="0.35">
      <c r="A338" s="7">
        <v>48977</v>
      </c>
      <c r="B338" s="8" t="s">
        <v>5</v>
      </c>
      <c r="C338" s="9">
        <v>18.5</v>
      </c>
      <c r="D338" s="10">
        <v>4.2</v>
      </c>
      <c r="E338">
        <f t="shared" si="5"/>
        <v>0.77700000000000002</v>
      </c>
    </row>
    <row r="339" spans="1:5" x14ac:dyDescent="0.35">
      <c r="A339" s="11">
        <v>48978</v>
      </c>
      <c r="B339" s="12" t="s">
        <v>20</v>
      </c>
      <c r="C339" s="13">
        <v>10.3</v>
      </c>
      <c r="D339" s="14">
        <v>3.2</v>
      </c>
      <c r="E339">
        <f t="shared" si="5"/>
        <v>0.3296</v>
      </c>
    </row>
    <row r="340" spans="1:5" x14ac:dyDescent="0.35">
      <c r="A340" s="7">
        <v>48979</v>
      </c>
      <c r="B340" s="8" t="s">
        <v>19</v>
      </c>
      <c r="C340" s="9">
        <v>24.9</v>
      </c>
      <c r="D340" s="10">
        <v>12.1</v>
      </c>
      <c r="E340">
        <f t="shared" si="5"/>
        <v>3.0128999999999997</v>
      </c>
    </row>
    <row r="341" spans="1:5" x14ac:dyDescent="0.35">
      <c r="A341" s="11">
        <v>48980</v>
      </c>
      <c r="B341" s="12" t="s">
        <v>10</v>
      </c>
      <c r="C341" s="13">
        <v>26.4</v>
      </c>
      <c r="D341" s="14">
        <v>0</v>
      </c>
      <c r="E341">
        <f t="shared" si="5"/>
        <v>0</v>
      </c>
    </row>
    <row r="342" spans="1:5" x14ac:dyDescent="0.35">
      <c r="A342" s="7">
        <v>48981</v>
      </c>
      <c r="B342" s="8" t="s">
        <v>7</v>
      </c>
      <c r="C342" s="9">
        <v>11.8</v>
      </c>
      <c r="D342" s="10">
        <v>0</v>
      </c>
      <c r="E342">
        <f t="shared" si="5"/>
        <v>0</v>
      </c>
    </row>
    <row r="343" spans="1:5" x14ac:dyDescent="0.35">
      <c r="A343" s="11">
        <v>48982</v>
      </c>
      <c r="B343" s="12" t="s">
        <v>6</v>
      </c>
      <c r="C343" s="13">
        <v>11</v>
      </c>
      <c r="D343" s="14">
        <v>7.5</v>
      </c>
      <c r="E343">
        <f t="shared" si="5"/>
        <v>0.82499999999999996</v>
      </c>
    </row>
    <row r="344" spans="1:5" x14ac:dyDescent="0.35">
      <c r="A344" s="7">
        <v>48983</v>
      </c>
      <c r="B344" s="8" t="s">
        <v>10</v>
      </c>
      <c r="C344" s="9">
        <v>15.4</v>
      </c>
      <c r="D344" s="10">
        <v>5.2</v>
      </c>
      <c r="E344">
        <f t="shared" si="5"/>
        <v>0.80079999999999996</v>
      </c>
    </row>
    <row r="345" spans="1:5" x14ac:dyDescent="0.35">
      <c r="A345" s="11">
        <v>48984</v>
      </c>
      <c r="B345" s="12" t="s">
        <v>27</v>
      </c>
      <c r="C345" s="13">
        <v>25.7</v>
      </c>
      <c r="D345" s="14">
        <v>5.8</v>
      </c>
      <c r="E345">
        <f t="shared" si="5"/>
        <v>1.4905999999999999</v>
      </c>
    </row>
    <row r="346" spans="1:5" x14ac:dyDescent="0.35">
      <c r="A346" s="7">
        <v>48985</v>
      </c>
      <c r="B346" s="8" t="s">
        <v>13</v>
      </c>
      <c r="C346" s="9">
        <v>14.8</v>
      </c>
      <c r="D346" s="10">
        <v>0</v>
      </c>
      <c r="E346">
        <f t="shared" si="5"/>
        <v>0</v>
      </c>
    </row>
    <row r="347" spans="1:5" x14ac:dyDescent="0.35">
      <c r="A347" s="11">
        <v>48986</v>
      </c>
      <c r="B347" s="12" t="s">
        <v>31</v>
      </c>
      <c r="C347" s="13">
        <v>21.5</v>
      </c>
      <c r="D347" s="14">
        <v>0.8</v>
      </c>
      <c r="E347">
        <f t="shared" si="5"/>
        <v>0</v>
      </c>
    </row>
    <row r="348" spans="1:5" x14ac:dyDescent="0.35">
      <c r="A348" s="7">
        <v>48987</v>
      </c>
      <c r="B348" s="8" t="s">
        <v>19</v>
      </c>
      <c r="C348" s="9">
        <v>26.2</v>
      </c>
      <c r="D348" s="10">
        <v>8.9</v>
      </c>
      <c r="E348">
        <f t="shared" si="5"/>
        <v>2.3317999999999999</v>
      </c>
    </row>
    <row r="349" spans="1:5" x14ac:dyDescent="0.35">
      <c r="A349" s="11">
        <v>48988</v>
      </c>
      <c r="B349" s="12" t="s">
        <v>4</v>
      </c>
      <c r="C349" s="13">
        <v>20.6</v>
      </c>
      <c r="D349" s="14">
        <v>0.1</v>
      </c>
      <c r="E349">
        <f t="shared" si="5"/>
        <v>0</v>
      </c>
    </row>
    <row r="350" spans="1:5" x14ac:dyDescent="0.35">
      <c r="A350" s="7">
        <v>48989</v>
      </c>
      <c r="B350" s="8" t="s">
        <v>10</v>
      </c>
      <c r="C350" s="9">
        <v>14.1</v>
      </c>
      <c r="D350" s="10">
        <v>20.9</v>
      </c>
      <c r="E350">
        <f t="shared" si="5"/>
        <v>2.9468999999999999</v>
      </c>
    </row>
    <row r="351" spans="1:5" x14ac:dyDescent="0.35">
      <c r="A351" s="11">
        <v>48990</v>
      </c>
      <c r="B351" s="12" t="s">
        <v>24</v>
      </c>
      <c r="C351" s="13">
        <v>20.8</v>
      </c>
      <c r="D351" s="14">
        <v>0.7</v>
      </c>
      <c r="E351">
        <f t="shared" si="5"/>
        <v>0</v>
      </c>
    </row>
    <row r="352" spans="1:5" x14ac:dyDescent="0.35">
      <c r="A352" s="7">
        <v>48991</v>
      </c>
      <c r="B352" s="8" t="s">
        <v>18</v>
      </c>
      <c r="C352" s="9">
        <v>17.600000000000001</v>
      </c>
      <c r="D352" s="10">
        <v>10.5</v>
      </c>
      <c r="E352">
        <f t="shared" si="5"/>
        <v>1.8480000000000001</v>
      </c>
    </row>
    <row r="353" spans="1:5" x14ac:dyDescent="0.35">
      <c r="A353" s="11">
        <v>48992</v>
      </c>
      <c r="B353" s="12" t="s">
        <v>10</v>
      </c>
      <c r="C353" s="13">
        <v>16.8</v>
      </c>
      <c r="D353" s="14">
        <v>38.9</v>
      </c>
      <c r="E353">
        <f t="shared" si="5"/>
        <v>6.5351999999999997</v>
      </c>
    </row>
    <row r="354" spans="1:5" x14ac:dyDescent="0.35">
      <c r="A354" s="7">
        <v>48993</v>
      </c>
      <c r="B354" s="8" t="s">
        <v>4</v>
      </c>
      <c r="C354" s="9">
        <v>23.1</v>
      </c>
      <c r="D354" s="10">
        <v>0</v>
      </c>
      <c r="E354">
        <f t="shared" si="5"/>
        <v>0</v>
      </c>
    </row>
    <row r="355" spans="1:5" x14ac:dyDescent="0.35">
      <c r="A355" s="11">
        <v>48994</v>
      </c>
      <c r="B355" s="12" t="s">
        <v>27</v>
      </c>
      <c r="C355" s="13">
        <v>16.3</v>
      </c>
      <c r="D355" s="14">
        <v>3.4</v>
      </c>
      <c r="E355">
        <f t="shared" si="5"/>
        <v>0.55420000000000003</v>
      </c>
    </row>
    <row r="356" spans="1:5" x14ac:dyDescent="0.35">
      <c r="A356" s="7">
        <v>48995</v>
      </c>
      <c r="B356" s="8" t="s">
        <v>7</v>
      </c>
      <c r="C356" s="9">
        <v>15.7</v>
      </c>
      <c r="D356" s="10">
        <v>10.9</v>
      </c>
      <c r="E356">
        <f t="shared" si="5"/>
        <v>1.7113</v>
      </c>
    </row>
    <row r="357" spans="1:5" x14ac:dyDescent="0.35">
      <c r="A357" s="11">
        <v>48996</v>
      </c>
      <c r="B357" s="12" t="s">
        <v>18</v>
      </c>
      <c r="C357" s="13">
        <v>29.3</v>
      </c>
      <c r="D357" s="14">
        <v>2.1</v>
      </c>
      <c r="E357">
        <f t="shared" si="5"/>
        <v>0.61529999999999996</v>
      </c>
    </row>
    <row r="358" spans="1:5" x14ac:dyDescent="0.35">
      <c r="A358" s="7">
        <v>48997</v>
      </c>
      <c r="B358" s="8" t="s">
        <v>22</v>
      </c>
      <c r="C358" s="9">
        <v>24</v>
      </c>
      <c r="D358" s="10">
        <v>7.3</v>
      </c>
      <c r="E358">
        <f t="shared" si="5"/>
        <v>1.7519999999999998</v>
      </c>
    </row>
    <row r="359" spans="1:5" x14ac:dyDescent="0.35">
      <c r="A359" s="11">
        <v>48998</v>
      </c>
      <c r="B359" s="12" t="s">
        <v>6</v>
      </c>
      <c r="C359" s="13">
        <v>27</v>
      </c>
      <c r="D359" s="14">
        <v>0.6</v>
      </c>
      <c r="E359">
        <f t="shared" si="5"/>
        <v>0</v>
      </c>
    </row>
    <row r="360" spans="1:5" x14ac:dyDescent="0.35">
      <c r="A360" s="7">
        <v>48999</v>
      </c>
      <c r="B360" s="8" t="s">
        <v>10</v>
      </c>
      <c r="C360" s="9">
        <v>26.3</v>
      </c>
      <c r="D360" s="10">
        <v>1.2</v>
      </c>
      <c r="E360">
        <f t="shared" si="5"/>
        <v>0.31559999999999999</v>
      </c>
    </row>
    <row r="361" spans="1:5" x14ac:dyDescent="0.35">
      <c r="A361" s="11">
        <v>49000</v>
      </c>
      <c r="B361" s="12" t="s">
        <v>15</v>
      </c>
      <c r="C361" s="13">
        <v>26.3</v>
      </c>
      <c r="D361" s="14">
        <v>8.1999999999999993</v>
      </c>
      <c r="E361">
        <f t="shared" si="5"/>
        <v>2.1566000000000001</v>
      </c>
    </row>
    <row r="362" spans="1:5" x14ac:dyDescent="0.35">
      <c r="A362" s="7">
        <v>49001</v>
      </c>
      <c r="B362" s="8" t="s">
        <v>6</v>
      </c>
      <c r="C362" s="9">
        <v>25.2</v>
      </c>
      <c r="D362" s="10">
        <v>4.7</v>
      </c>
      <c r="E362">
        <f t="shared" si="5"/>
        <v>1.1843999999999999</v>
      </c>
    </row>
    <row r="363" spans="1:5" x14ac:dyDescent="0.35">
      <c r="A363" s="11">
        <v>49002</v>
      </c>
      <c r="B363" s="12" t="s">
        <v>10</v>
      </c>
      <c r="C363" s="13">
        <v>22.1</v>
      </c>
      <c r="D363" s="14">
        <v>0</v>
      </c>
      <c r="E363">
        <f t="shared" si="5"/>
        <v>0</v>
      </c>
    </row>
    <row r="364" spans="1:5" x14ac:dyDescent="0.35">
      <c r="A364" s="7">
        <v>49003</v>
      </c>
      <c r="B364" s="8" t="s">
        <v>10</v>
      </c>
      <c r="C364" s="9">
        <v>11.9</v>
      </c>
      <c r="D364" s="10">
        <v>41.6</v>
      </c>
      <c r="E364">
        <f t="shared" si="5"/>
        <v>4.9504000000000001</v>
      </c>
    </row>
    <row r="365" spans="1:5" x14ac:dyDescent="0.35">
      <c r="A365" s="11">
        <v>49004</v>
      </c>
      <c r="B365" s="12" t="s">
        <v>13</v>
      </c>
      <c r="C365" s="13">
        <v>19.600000000000001</v>
      </c>
      <c r="D365" s="14">
        <v>0</v>
      </c>
      <c r="E365">
        <f t="shared" si="5"/>
        <v>0</v>
      </c>
    </row>
    <row r="366" spans="1:5" x14ac:dyDescent="0.35">
      <c r="A366" s="7">
        <v>49005</v>
      </c>
      <c r="B366" s="8" t="s">
        <v>27</v>
      </c>
      <c r="C366" s="9">
        <v>15.9</v>
      </c>
      <c r="D366" s="10">
        <v>0</v>
      </c>
      <c r="E366">
        <f t="shared" si="5"/>
        <v>0</v>
      </c>
    </row>
    <row r="367" spans="1:5" x14ac:dyDescent="0.35">
      <c r="A367" s="11">
        <v>49006</v>
      </c>
      <c r="B367" s="12" t="s">
        <v>12</v>
      </c>
      <c r="C367" s="13">
        <v>24.3</v>
      </c>
      <c r="D367" s="14">
        <v>1.7</v>
      </c>
      <c r="E367">
        <f t="shared" si="5"/>
        <v>0.41310000000000002</v>
      </c>
    </row>
    <row r="368" spans="1:5" x14ac:dyDescent="0.35">
      <c r="A368" s="7">
        <v>49007</v>
      </c>
      <c r="B368" s="8" t="s">
        <v>14</v>
      </c>
      <c r="C368" s="9">
        <v>20</v>
      </c>
      <c r="D368" s="10">
        <v>0</v>
      </c>
      <c r="E368">
        <f t="shared" si="5"/>
        <v>0</v>
      </c>
    </row>
    <row r="369" spans="1:5" x14ac:dyDescent="0.35">
      <c r="A369" s="11">
        <v>49008</v>
      </c>
      <c r="B369" s="12" t="s">
        <v>10</v>
      </c>
      <c r="C369" s="13">
        <v>14.2</v>
      </c>
      <c r="D369" s="14">
        <v>32.200000000000003</v>
      </c>
      <c r="E369">
        <f t="shared" si="5"/>
        <v>4.5724</v>
      </c>
    </row>
    <row r="370" spans="1:5" x14ac:dyDescent="0.35">
      <c r="A370" s="7">
        <v>49009</v>
      </c>
      <c r="B370" s="8" t="s">
        <v>7</v>
      </c>
      <c r="C370" s="9">
        <v>20.5</v>
      </c>
      <c r="D370" s="10">
        <v>18.3</v>
      </c>
      <c r="E370">
        <f t="shared" si="5"/>
        <v>3.7515000000000005</v>
      </c>
    </row>
    <row r="371" spans="1:5" x14ac:dyDescent="0.35">
      <c r="A371" s="11">
        <v>49010</v>
      </c>
      <c r="B371" s="12" t="s">
        <v>10</v>
      </c>
      <c r="C371" s="13">
        <v>22.4</v>
      </c>
      <c r="D371" s="14">
        <v>0</v>
      </c>
      <c r="E371">
        <f t="shared" si="5"/>
        <v>0</v>
      </c>
    </row>
    <row r="372" spans="1:5" x14ac:dyDescent="0.35">
      <c r="A372" s="7">
        <v>49011</v>
      </c>
      <c r="B372" s="8" t="s">
        <v>22</v>
      </c>
      <c r="C372" s="9">
        <v>19.100000000000001</v>
      </c>
      <c r="D372" s="10">
        <v>0</v>
      </c>
      <c r="E372">
        <f t="shared" si="5"/>
        <v>0</v>
      </c>
    </row>
    <row r="373" spans="1:5" x14ac:dyDescent="0.35">
      <c r="A373" s="11">
        <v>49012</v>
      </c>
      <c r="B373" s="12" t="s">
        <v>15</v>
      </c>
      <c r="C373" s="13">
        <v>20.399999999999999</v>
      </c>
      <c r="D373" s="14">
        <v>4.3</v>
      </c>
      <c r="E373">
        <f t="shared" si="5"/>
        <v>0.87719999999999987</v>
      </c>
    </row>
    <row r="374" spans="1:5" x14ac:dyDescent="0.35">
      <c r="A374" s="7">
        <v>49013</v>
      </c>
      <c r="B374" s="8" t="s">
        <v>19</v>
      </c>
      <c r="C374" s="9">
        <v>29.8</v>
      </c>
      <c r="D374" s="10">
        <v>0</v>
      </c>
      <c r="E374">
        <f t="shared" si="5"/>
        <v>0</v>
      </c>
    </row>
    <row r="375" spans="1:5" x14ac:dyDescent="0.35">
      <c r="A375" s="11">
        <v>49014</v>
      </c>
      <c r="B375" s="12" t="s">
        <v>33</v>
      </c>
      <c r="C375" s="13">
        <v>13.7</v>
      </c>
      <c r="D375" s="14">
        <v>0.7</v>
      </c>
      <c r="E375">
        <f t="shared" si="5"/>
        <v>0</v>
      </c>
    </row>
    <row r="376" spans="1:5" x14ac:dyDescent="0.35">
      <c r="A376" s="7">
        <v>49015</v>
      </c>
      <c r="B376" s="8" t="s">
        <v>8</v>
      </c>
      <c r="C376" s="9">
        <v>20.2</v>
      </c>
      <c r="D376" s="10">
        <v>3.7</v>
      </c>
      <c r="E376">
        <f t="shared" si="5"/>
        <v>0.74739999999999995</v>
      </c>
    </row>
    <row r="377" spans="1:5" x14ac:dyDescent="0.35">
      <c r="A377" s="11">
        <v>49016</v>
      </c>
      <c r="B377" s="12" t="s">
        <v>11</v>
      </c>
      <c r="C377" s="13">
        <v>18.2</v>
      </c>
      <c r="D377" s="14">
        <v>1.6</v>
      </c>
      <c r="E377">
        <f t="shared" si="5"/>
        <v>0.29120000000000001</v>
      </c>
    </row>
    <row r="378" spans="1:5" x14ac:dyDescent="0.35">
      <c r="A378" s="7">
        <v>49017</v>
      </c>
      <c r="B378" s="8" t="s">
        <v>13</v>
      </c>
      <c r="C378" s="9">
        <v>14.2</v>
      </c>
      <c r="D378" s="10">
        <v>2</v>
      </c>
      <c r="E378">
        <f t="shared" si="5"/>
        <v>0.28399999999999997</v>
      </c>
    </row>
    <row r="379" spans="1:5" x14ac:dyDescent="0.35">
      <c r="A379" s="11">
        <v>49018</v>
      </c>
      <c r="B379" s="12" t="s">
        <v>15</v>
      </c>
      <c r="C379" s="13">
        <v>11.2</v>
      </c>
      <c r="D379" s="14">
        <v>14.3</v>
      </c>
      <c r="E379">
        <f t="shared" si="5"/>
        <v>1.6015999999999999</v>
      </c>
    </row>
    <row r="380" spans="1:5" x14ac:dyDescent="0.35">
      <c r="A380" s="7">
        <v>49019</v>
      </c>
      <c r="B380" s="8" t="s">
        <v>32</v>
      </c>
      <c r="C380" s="9">
        <v>13.9</v>
      </c>
      <c r="D380" s="10">
        <v>0.2</v>
      </c>
      <c r="E380">
        <f t="shared" si="5"/>
        <v>0</v>
      </c>
    </row>
    <row r="381" spans="1:5" x14ac:dyDescent="0.35">
      <c r="A381" s="11">
        <v>49020</v>
      </c>
      <c r="B381" s="12" t="s">
        <v>11</v>
      </c>
      <c r="C381" s="13">
        <v>22.6</v>
      </c>
      <c r="D381" s="14">
        <v>15.1</v>
      </c>
      <c r="E381">
        <f t="shared" si="5"/>
        <v>3.4125999999999999</v>
      </c>
    </row>
    <row r="382" spans="1:5" x14ac:dyDescent="0.35">
      <c r="A382" s="7">
        <v>49021</v>
      </c>
      <c r="B382" s="8" t="s">
        <v>15</v>
      </c>
      <c r="C382" s="9">
        <v>29.8</v>
      </c>
      <c r="D382" s="10">
        <v>0</v>
      </c>
      <c r="E382">
        <f t="shared" si="5"/>
        <v>0</v>
      </c>
    </row>
    <row r="383" spans="1:5" x14ac:dyDescent="0.35">
      <c r="A383" s="11">
        <v>49022</v>
      </c>
      <c r="B383" s="12" t="s">
        <v>20</v>
      </c>
      <c r="C383" s="13">
        <v>12.7</v>
      </c>
      <c r="D383" s="14">
        <v>2.6</v>
      </c>
      <c r="E383">
        <f t="shared" si="5"/>
        <v>0.33019999999999994</v>
      </c>
    </row>
    <row r="384" spans="1:5" x14ac:dyDescent="0.35">
      <c r="A384" s="7">
        <v>49023</v>
      </c>
      <c r="B384" s="8" t="s">
        <v>27</v>
      </c>
      <c r="C384" s="9">
        <v>14.4</v>
      </c>
      <c r="D384" s="10">
        <v>0</v>
      </c>
      <c r="E384">
        <f t="shared" si="5"/>
        <v>0</v>
      </c>
    </row>
    <row r="385" spans="1:5" x14ac:dyDescent="0.35">
      <c r="A385" s="11">
        <v>49024</v>
      </c>
      <c r="B385" s="12" t="s">
        <v>33</v>
      </c>
      <c r="C385" s="13">
        <v>18.399999999999999</v>
      </c>
      <c r="D385" s="14">
        <v>0.2</v>
      </c>
      <c r="E385">
        <f t="shared" si="5"/>
        <v>0</v>
      </c>
    </row>
    <row r="386" spans="1:5" x14ac:dyDescent="0.35">
      <c r="A386" s="7">
        <v>49025</v>
      </c>
      <c r="B386" s="8" t="s">
        <v>9</v>
      </c>
      <c r="C386" s="9">
        <v>27.2</v>
      </c>
      <c r="D386" s="10">
        <v>9.6</v>
      </c>
      <c r="E386">
        <f t="shared" si="5"/>
        <v>2.6112000000000002</v>
      </c>
    </row>
    <row r="387" spans="1:5" x14ac:dyDescent="0.35">
      <c r="A387" s="11">
        <v>49026</v>
      </c>
      <c r="B387" s="12" t="s">
        <v>22</v>
      </c>
      <c r="C387" s="13">
        <v>12.5</v>
      </c>
      <c r="D387" s="14">
        <v>8.8000000000000007</v>
      </c>
      <c r="E387">
        <f t="shared" ref="E387:E450" si="6">IF(D387&gt;=1,C387*D387/100,0)</f>
        <v>1.1000000000000001</v>
      </c>
    </row>
    <row r="388" spans="1:5" x14ac:dyDescent="0.35">
      <c r="A388" s="7">
        <v>49027</v>
      </c>
      <c r="B388" s="8" t="s">
        <v>26</v>
      </c>
      <c r="C388" s="9">
        <v>22.6</v>
      </c>
      <c r="D388" s="10">
        <v>3.5</v>
      </c>
      <c r="E388">
        <f t="shared" si="6"/>
        <v>0.79100000000000004</v>
      </c>
    </row>
    <row r="389" spans="1:5" x14ac:dyDescent="0.35">
      <c r="A389" s="11">
        <v>49028</v>
      </c>
      <c r="B389" s="12" t="s">
        <v>7</v>
      </c>
      <c r="C389" s="13">
        <v>21.8</v>
      </c>
      <c r="D389" s="14">
        <v>6.5</v>
      </c>
      <c r="E389">
        <f t="shared" si="6"/>
        <v>1.4170000000000003</v>
      </c>
    </row>
    <row r="390" spans="1:5" x14ac:dyDescent="0.35">
      <c r="A390" s="7">
        <v>49029</v>
      </c>
      <c r="B390" s="8" t="s">
        <v>23</v>
      </c>
      <c r="C390" s="9">
        <v>17.2</v>
      </c>
      <c r="D390" s="10">
        <v>0</v>
      </c>
      <c r="E390">
        <f t="shared" si="6"/>
        <v>0</v>
      </c>
    </row>
    <row r="391" spans="1:5" x14ac:dyDescent="0.35">
      <c r="A391" s="11">
        <v>49030</v>
      </c>
      <c r="B391" s="12" t="s">
        <v>13</v>
      </c>
      <c r="C391" s="13">
        <v>13.4</v>
      </c>
      <c r="D391" s="14">
        <v>14.1</v>
      </c>
      <c r="E391">
        <f t="shared" si="6"/>
        <v>1.8894</v>
      </c>
    </row>
    <row r="392" spans="1:5" x14ac:dyDescent="0.35">
      <c r="A392" s="7">
        <v>49031</v>
      </c>
      <c r="B392" s="8" t="s">
        <v>9</v>
      </c>
      <c r="C392" s="9">
        <v>13.8</v>
      </c>
      <c r="D392" s="10">
        <v>9.9</v>
      </c>
      <c r="E392">
        <f t="shared" si="6"/>
        <v>1.3662000000000001</v>
      </c>
    </row>
    <row r="393" spans="1:5" x14ac:dyDescent="0.35">
      <c r="A393" s="11">
        <v>49032</v>
      </c>
      <c r="B393" s="12" t="s">
        <v>24</v>
      </c>
      <c r="C393" s="13">
        <v>10.6</v>
      </c>
      <c r="D393" s="14">
        <v>1.2</v>
      </c>
      <c r="E393">
        <f t="shared" si="6"/>
        <v>0.12719999999999998</v>
      </c>
    </row>
    <row r="394" spans="1:5" x14ac:dyDescent="0.35">
      <c r="A394" s="7">
        <v>49033</v>
      </c>
      <c r="B394" s="8" t="s">
        <v>16</v>
      </c>
      <c r="C394" s="9">
        <v>28.8</v>
      </c>
      <c r="D394" s="10">
        <v>0.1</v>
      </c>
      <c r="E394">
        <f t="shared" si="6"/>
        <v>0</v>
      </c>
    </row>
    <row r="395" spans="1:5" x14ac:dyDescent="0.35">
      <c r="A395" s="11">
        <v>49034</v>
      </c>
      <c r="B395" s="12" t="s">
        <v>28</v>
      </c>
      <c r="C395" s="13">
        <v>16.899999999999999</v>
      </c>
      <c r="D395" s="14">
        <v>0.7</v>
      </c>
      <c r="E395">
        <f t="shared" si="6"/>
        <v>0</v>
      </c>
    </row>
    <row r="396" spans="1:5" x14ac:dyDescent="0.35">
      <c r="A396" s="7">
        <v>49035</v>
      </c>
      <c r="B396" s="8" t="s">
        <v>18</v>
      </c>
      <c r="C396" s="9">
        <v>11.2</v>
      </c>
      <c r="D396" s="10">
        <v>4.8</v>
      </c>
      <c r="E396">
        <f t="shared" si="6"/>
        <v>0.53759999999999997</v>
      </c>
    </row>
    <row r="397" spans="1:5" x14ac:dyDescent="0.35">
      <c r="A397" s="11">
        <v>49036</v>
      </c>
      <c r="B397" s="12" t="s">
        <v>10</v>
      </c>
      <c r="C397" s="13">
        <v>13.9</v>
      </c>
      <c r="D397" s="14">
        <v>23</v>
      </c>
      <c r="E397">
        <f t="shared" si="6"/>
        <v>3.1970000000000001</v>
      </c>
    </row>
    <row r="398" spans="1:5" x14ac:dyDescent="0.35">
      <c r="A398" s="7">
        <v>49037</v>
      </c>
      <c r="B398" s="8" t="s">
        <v>11</v>
      </c>
      <c r="C398" s="9">
        <v>25.3</v>
      </c>
      <c r="D398" s="10">
        <v>21.9</v>
      </c>
      <c r="E398">
        <f t="shared" si="6"/>
        <v>5.5406999999999993</v>
      </c>
    </row>
    <row r="399" spans="1:5" x14ac:dyDescent="0.35">
      <c r="A399" s="11">
        <v>49038</v>
      </c>
      <c r="B399" s="12" t="s">
        <v>10</v>
      </c>
      <c r="C399" s="13">
        <v>14.7</v>
      </c>
      <c r="D399" s="14">
        <v>0</v>
      </c>
      <c r="E399">
        <f t="shared" si="6"/>
        <v>0</v>
      </c>
    </row>
    <row r="400" spans="1:5" x14ac:dyDescent="0.35">
      <c r="A400" s="7">
        <v>49039</v>
      </c>
      <c r="B400" s="8" t="s">
        <v>12</v>
      </c>
      <c r="C400" s="9">
        <v>20.3</v>
      </c>
      <c r="D400" s="10">
        <v>5.3</v>
      </c>
      <c r="E400">
        <f t="shared" si="6"/>
        <v>1.0759000000000001</v>
      </c>
    </row>
    <row r="401" spans="1:5" x14ac:dyDescent="0.35">
      <c r="A401" s="11">
        <v>49040</v>
      </c>
      <c r="B401" s="12" t="s">
        <v>15</v>
      </c>
      <c r="C401" s="13">
        <v>25</v>
      </c>
      <c r="D401" s="14">
        <v>3.8</v>
      </c>
      <c r="E401">
        <f t="shared" si="6"/>
        <v>0.95</v>
      </c>
    </row>
    <row r="402" spans="1:5" x14ac:dyDescent="0.35">
      <c r="A402" s="7">
        <v>49041</v>
      </c>
      <c r="B402" s="8" t="s">
        <v>18</v>
      </c>
      <c r="C402" s="9">
        <v>19.600000000000001</v>
      </c>
      <c r="D402" s="10">
        <v>0.6</v>
      </c>
      <c r="E402">
        <f t="shared" si="6"/>
        <v>0</v>
      </c>
    </row>
    <row r="403" spans="1:5" x14ac:dyDescent="0.35">
      <c r="A403" s="11">
        <v>49042</v>
      </c>
      <c r="B403" s="12" t="s">
        <v>12</v>
      </c>
      <c r="C403" s="13">
        <v>10.8</v>
      </c>
      <c r="D403" s="14">
        <v>0</v>
      </c>
      <c r="E403">
        <f t="shared" si="6"/>
        <v>0</v>
      </c>
    </row>
    <row r="404" spans="1:5" x14ac:dyDescent="0.35">
      <c r="A404" s="7">
        <v>49043</v>
      </c>
      <c r="B404" s="8" t="s">
        <v>21</v>
      </c>
      <c r="C404" s="9">
        <v>17.100000000000001</v>
      </c>
      <c r="D404" s="10">
        <v>0.7</v>
      </c>
      <c r="E404">
        <f t="shared" si="6"/>
        <v>0</v>
      </c>
    </row>
    <row r="405" spans="1:5" x14ac:dyDescent="0.35">
      <c r="A405" s="11">
        <v>49044</v>
      </c>
      <c r="B405" s="12" t="s">
        <v>14</v>
      </c>
      <c r="C405" s="13">
        <v>15.1</v>
      </c>
      <c r="D405" s="14">
        <v>0</v>
      </c>
      <c r="E405">
        <f t="shared" si="6"/>
        <v>0</v>
      </c>
    </row>
    <row r="406" spans="1:5" x14ac:dyDescent="0.35">
      <c r="A406" s="7">
        <v>49045</v>
      </c>
      <c r="B406" s="8" t="s">
        <v>18</v>
      </c>
      <c r="C406" s="9">
        <v>26.4</v>
      </c>
      <c r="D406" s="10">
        <v>1.9</v>
      </c>
      <c r="E406">
        <f t="shared" si="6"/>
        <v>0.50159999999999993</v>
      </c>
    </row>
    <row r="407" spans="1:5" x14ac:dyDescent="0.35">
      <c r="A407" s="11">
        <v>49046</v>
      </c>
      <c r="B407" s="12" t="s">
        <v>10</v>
      </c>
      <c r="C407" s="13">
        <v>11.6</v>
      </c>
      <c r="D407" s="14">
        <v>14.4</v>
      </c>
      <c r="E407">
        <f t="shared" si="6"/>
        <v>1.6703999999999999</v>
      </c>
    </row>
    <row r="408" spans="1:5" x14ac:dyDescent="0.35">
      <c r="A408" s="7">
        <v>49047</v>
      </c>
      <c r="B408" s="8" t="s">
        <v>10</v>
      </c>
      <c r="C408" s="9">
        <v>16.600000000000001</v>
      </c>
      <c r="D408" s="10">
        <v>40.6</v>
      </c>
      <c r="E408">
        <f t="shared" si="6"/>
        <v>6.7396000000000003</v>
      </c>
    </row>
    <row r="409" spans="1:5" x14ac:dyDescent="0.35">
      <c r="A409" s="11">
        <v>49048</v>
      </c>
      <c r="B409" s="12" t="s">
        <v>19</v>
      </c>
      <c r="C409" s="13">
        <v>19.5</v>
      </c>
      <c r="D409" s="14">
        <v>24.9</v>
      </c>
      <c r="E409">
        <f t="shared" si="6"/>
        <v>4.8554999999999993</v>
      </c>
    </row>
    <row r="410" spans="1:5" x14ac:dyDescent="0.35">
      <c r="A410" s="7">
        <v>49049</v>
      </c>
      <c r="B410" s="8" t="s">
        <v>17</v>
      </c>
      <c r="C410" s="9">
        <v>24.9</v>
      </c>
      <c r="D410" s="10">
        <v>6.5</v>
      </c>
      <c r="E410">
        <f t="shared" si="6"/>
        <v>1.6185</v>
      </c>
    </row>
    <row r="411" spans="1:5" x14ac:dyDescent="0.35">
      <c r="A411" s="11">
        <v>49050</v>
      </c>
      <c r="B411" s="12" t="s">
        <v>23</v>
      </c>
      <c r="C411" s="13">
        <v>19.3</v>
      </c>
      <c r="D411" s="14">
        <v>0.8</v>
      </c>
      <c r="E411">
        <f t="shared" si="6"/>
        <v>0</v>
      </c>
    </row>
    <row r="412" spans="1:5" x14ac:dyDescent="0.35">
      <c r="A412" s="7">
        <v>49051</v>
      </c>
      <c r="B412" s="8" t="s">
        <v>17</v>
      </c>
      <c r="C412" s="9">
        <v>26.2</v>
      </c>
      <c r="D412" s="10">
        <v>2.8</v>
      </c>
      <c r="E412">
        <f t="shared" si="6"/>
        <v>0.73360000000000003</v>
      </c>
    </row>
    <row r="413" spans="1:5" x14ac:dyDescent="0.35">
      <c r="A413" s="11">
        <v>49052</v>
      </c>
      <c r="B413" s="12" t="s">
        <v>7</v>
      </c>
      <c r="C413" s="13">
        <v>28.1</v>
      </c>
      <c r="D413" s="14">
        <v>0.6</v>
      </c>
      <c r="E413">
        <f t="shared" si="6"/>
        <v>0</v>
      </c>
    </row>
    <row r="414" spans="1:5" x14ac:dyDescent="0.35">
      <c r="A414" s="7">
        <v>49053</v>
      </c>
      <c r="B414" s="8" t="s">
        <v>14</v>
      </c>
      <c r="C414" s="9">
        <v>17</v>
      </c>
      <c r="D414" s="10">
        <v>4.8</v>
      </c>
      <c r="E414">
        <f t="shared" si="6"/>
        <v>0.81599999999999995</v>
      </c>
    </row>
    <row r="415" spans="1:5" x14ac:dyDescent="0.35">
      <c r="A415" s="11">
        <v>49054</v>
      </c>
      <c r="B415" s="12" t="s">
        <v>17</v>
      </c>
      <c r="C415" s="13">
        <v>28.5</v>
      </c>
      <c r="D415" s="14">
        <v>7.1</v>
      </c>
      <c r="E415">
        <f t="shared" si="6"/>
        <v>2.0234999999999999</v>
      </c>
    </row>
    <row r="416" spans="1:5" x14ac:dyDescent="0.35">
      <c r="A416" s="7">
        <v>49055</v>
      </c>
      <c r="B416" s="8" t="s">
        <v>5</v>
      </c>
      <c r="C416" s="9">
        <v>14.2</v>
      </c>
      <c r="D416" s="10">
        <v>2.1</v>
      </c>
      <c r="E416">
        <f t="shared" si="6"/>
        <v>0.29820000000000002</v>
      </c>
    </row>
    <row r="417" spans="1:5" x14ac:dyDescent="0.35">
      <c r="A417" s="11">
        <v>49056</v>
      </c>
      <c r="B417" s="12" t="s">
        <v>7</v>
      </c>
      <c r="C417" s="13">
        <v>24.9</v>
      </c>
      <c r="D417" s="14">
        <v>8.3000000000000007</v>
      </c>
      <c r="E417">
        <f t="shared" si="6"/>
        <v>2.0667</v>
      </c>
    </row>
    <row r="418" spans="1:5" x14ac:dyDescent="0.35">
      <c r="A418" s="7">
        <v>49057</v>
      </c>
      <c r="B418" s="8" t="s">
        <v>17</v>
      </c>
      <c r="C418" s="9">
        <v>19.100000000000001</v>
      </c>
      <c r="D418" s="10">
        <v>3.4</v>
      </c>
      <c r="E418">
        <f t="shared" si="6"/>
        <v>0.64939999999999998</v>
      </c>
    </row>
    <row r="419" spans="1:5" x14ac:dyDescent="0.35">
      <c r="A419" s="11">
        <v>49058</v>
      </c>
      <c r="B419" s="12" t="s">
        <v>10</v>
      </c>
      <c r="C419" s="13">
        <v>14.9</v>
      </c>
      <c r="D419" s="14">
        <v>23.1</v>
      </c>
      <c r="E419">
        <f t="shared" si="6"/>
        <v>3.4419000000000004</v>
      </c>
    </row>
    <row r="420" spans="1:5" x14ac:dyDescent="0.35">
      <c r="A420" s="7">
        <v>49059</v>
      </c>
      <c r="B420" s="8" t="s">
        <v>27</v>
      </c>
      <c r="C420" s="9">
        <v>16.899999999999999</v>
      </c>
      <c r="D420" s="10">
        <v>6.8</v>
      </c>
      <c r="E420">
        <f t="shared" si="6"/>
        <v>1.1491999999999998</v>
      </c>
    </row>
    <row r="421" spans="1:5" x14ac:dyDescent="0.35">
      <c r="A421" s="11">
        <v>49060</v>
      </c>
      <c r="B421" s="12" t="s">
        <v>12</v>
      </c>
      <c r="C421" s="13">
        <v>15.9</v>
      </c>
      <c r="D421" s="14">
        <v>6.8</v>
      </c>
      <c r="E421">
        <f t="shared" si="6"/>
        <v>1.0811999999999999</v>
      </c>
    </row>
    <row r="422" spans="1:5" x14ac:dyDescent="0.35">
      <c r="A422" s="7">
        <v>49061</v>
      </c>
      <c r="B422" s="8" t="s">
        <v>29</v>
      </c>
      <c r="C422" s="9">
        <v>26.3</v>
      </c>
      <c r="D422" s="10">
        <v>0.7</v>
      </c>
      <c r="E422">
        <f t="shared" si="6"/>
        <v>0</v>
      </c>
    </row>
    <row r="423" spans="1:5" x14ac:dyDescent="0.35">
      <c r="A423" s="11">
        <v>49062</v>
      </c>
      <c r="B423" s="12" t="s">
        <v>10</v>
      </c>
      <c r="C423" s="13">
        <v>12.2</v>
      </c>
      <c r="D423" s="14">
        <v>0</v>
      </c>
      <c r="E423">
        <f t="shared" si="6"/>
        <v>0</v>
      </c>
    </row>
    <row r="424" spans="1:5" x14ac:dyDescent="0.35">
      <c r="A424" s="7">
        <v>49063</v>
      </c>
      <c r="B424" s="8" t="s">
        <v>7</v>
      </c>
      <c r="C424" s="9">
        <v>27.5</v>
      </c>
      <c r="D424" s="10">
        <v>0</v>
      </c>
      <c r="E424">
        <f t="shared" si="6"/>
        <v>0</v>
      </c>
    </row>
    <row r="425" spans="1:5" x14ac:dyDescent="0.35">
      <c r="A425" s="11">
        <v>49064</v>
      </c>
      <c r="B425" s="12" t="s">
        <v>21</v>
      </c>
      <c r="C425" s="13">
        <v>23</v>
      </c>
      <c r="D425" s="14">
        <v>0</v>
      </c>
      <c r="E425">
        <f t="shared" si="6"/>
        <v>0</v>
      </c>
    </row>
    <row r="426" spans="1:5" x14ac:dyDescent="0.35">
      <c r="A426" s="7">
        <v>49065</v>
      </c>
      <c r="B426" s="8" t="s">
        <v>19</v>
      </c>
      <c r="C426" s="9">
        <v>17.899999999999999</v>
      </c>
      <c r="D426" s="10">
        <v>36.799999999999997</v>
      </c>
      <c r="E426">
        <f t="shared" si="6"/>
        <v>6.5871999999999993</v>
      </c>
    </row>
    <row r="427" spans="1:5" x14ac:dyDescent="0.35">
      <c r="A427" s="11">
        <v>49066</v>
      </c>
      <c r="B427" s="12" t="s">
        <v>19</v>
      </c>
      <c r="C427" s="13">
        <v>27.3</v>
      </c>
      <c r="D427" s="14">
        <v>0</v>
      </c>
      <c r="E427">
        <f t="shared" si="6"/>
        <v>0</v>
      </c>
    </row>
    <row r="428" spans="1:5" x14ac:dyDescent="0.35">
      <c r="A428" s="7">
        <v>49067</v>
      </c>
      <c r="B428" s="8" t="s">
        <v>4</v>
      </c>
      <c r="C428" s="9">
        <v>19.3</v>
      </c>
      <c r="D428" s="10">
        <v>0.4</v>
      </c>
      <c r="E428">
        <f t="shared" si="6"/>
        <v>0</v>
      </c>
    </row>
    <row r="429" spans="1:5" x14ac:dyDescent="0.35">
      <c r="A429" s="11">
        <v>49068</v>
      </c>
      <c r="B429" s="12" t="s">
        <v>14</v>
      </c>
      <c r="C429" s="13">
        <v>25.5</v>
      </c>
      <c r="D429" s="14">
        <v>0</v>
      </c>
      <c r="E429">
        <f t="shared" si="6"/>
        <v>0</v>
      </c>
    </row>
    <row r="430" spans="1:5" x14ac:dyDescent="0.35">
      <c r="A430" s="7">
        <v>49069</v>
      </c>
      <c r="B430" s="8" t="s">
        <v>6</v>
      </c>
      <c r="C430" s="9">
        <v>13.7</v>
      </c>
      <c r="D430" s="10">
        <v>11.7</v>
      </c>
      <c r="E430">
        <f t="shared" si="6"/>
        <v>1.6029</v>
      </c>
    </row>
    <row r="431" spans="1:5" x14ac:dyDescent="0.35">
      <c r="A431" s="11">
        <v>49070</v>
      </c>
      <c r="B431" s="12" t="s">
        <v>19</v>
      </c>
      <c r="C431" s="13">
        <v>18.399999999999999</v>
      </c>
      <c r="D431" s="14">
        <v>0</v>
      </c>
      <c r="E431">
        <f t="shared" si="6"/>
        <v>0</v>
      </c>
    </row>
    <row r="432" spans="1:5" x14ac:dyDescent="0.35">
      <c r="A432" s="7">
        <v>49071</v>
      </c>
      <c r="B432" s="8" t="s">
        <v>18</v>
      </c>
      <c r="C432" s="9">
        <v>11.1</v>
      </c>
      <c r="D432" s="10">
        <v>0</v>
      </c>
      <c r="E432">
        <f t="shared" si="6"/>
        <v>0</v>
      </c>
    </row>
    <row r="433" spans="1:5" x14ac:dyDescent="0.35">
      <c r="A433" s="11">
        <v>49072</v>
      </c>
      <c r="B433" s="12" t="s">
        <v>12</v>
      </c>
      <c r="C433" s="13">
        <v>28</v>
      </c>
      <c r="D433" s="14">
        <v>0</v>
      </c>
      <c r="E433">
        <f t="shared" si="6"/>
        <v>0</v>
      </c>
    </row>
    <row r="434" spans="1:5" x14ac:dyDescent="0.35">
      <c r="A434" s="7">
        <v>49073</v>
      </c>
      <c r="B434" s="8" t="s">
        <v>6</v>
      </c>
      <c r="C434" s="9">
        <v>16.2</v>
      </c>
      <c r="D434" s="10">
        <v>13.7</v>
      </c>
      <c r="E434">
        <f t="shared" si="6"/>
        <v>2.2193999999999998</v>
      </c>
    </row>
    <row r="435" spans="1:5" x14ac:dyDescent="0.35">
      <c r="A435" s="11">
        <v>49074</v>
      </c>
      <c r="B435" s="12" t="s">
        <v>19</v>
      </c>
      <c r="C435" s="13">
        <v>12.1</v>
      </c>
      <c r="D435" s="14">
        <v>37.200000000000003</v>
      </c>
      <c r="E435">
        <f t="shared" si="6"/>
        <v>4.5011999999999999</v>
      </c>
    </row>
    <row r="436" spans="1:5" x14ac:dyDescent="0.35">
      <c r="A436" s="7">
        <v>49075</v>
      </c>
      <c r="B436" s="8" t="s">
        <v>20</v>
      </c>
      <c r="C436" s="9">
        <v>21.4</v>
      </c>
      <c r="D436" s="10">
        <v>3.1</v>
      </c>
      <c r="E436">
        <f t="shared" si="6"/>
        <v>0.66339999999999999</v>
      </c>
    </row>
    <row r="437" spans="1:5" x14ac:dyDescent="0.35">
      <c r="A437" s="11">
        <v>49076</v>
      </c>
      <c r="B437" s="12" t="s">
        <v>10</v>
      </c>
      <c r="C437" s="13">
        <v>11.2</v>
      </c>
      <c r="D437" s="14">
        <v>0</v>
      </c>
      <c r="E437">
        <f t="shared" si="6"/>
        <v>0</v>
      </c>
    </row>
    <row r="438" spans="1:5" x14ac:dyDescent="0.35">
      <c r="A438" s="7">
        <v>49077</v>
      </c>
      <c r="B438" s="8" t="s">
        <v>28</v>
      </c>
      <c r="C438" s="9">
        <v>18.399999999999999</v>
      </c>
      <c r="D438" s="10">
        <v>0.2</v>
      </c>
      <c r="E438">
        <f t="shared" si="6"/>
        <v>0</v>
      </c>
    </row>
    <row r="439" spans="1:5" x14ac:dyDescent="0.35">
      <c r="A439" s="11">
        <v>49078</v>
      </c>
      <c r="B439" s="12" t="s">
        <v>12</v>
      </c>
      <c r="C439" s="13">
        <v>13.7</v>
      </c>
      <c r="D439" s="14">
        <v>0</v>
      </c>
      <c r="E439">
        <f t="shared" si="6"/>
        <v>0</v>
      </c>
    </row>
    <row r="440" spans="1:5" x14ac:dyDescent="0.35">
      <c r="A440" s="7">
        <v>49079</v>
      </c>
      <c r="B440" s="8" t="s">
        <v>19</v>
      </c>
      <c r="C440" s="9">
        <v>10.4</v>
      </c>
      <c r="D440" s="10">
        <v>15.6</v>
      </c>
      <c r="E440">
        <f t="shared" si="6"/>
        <v>1.6224000000000001</v>
      </c>
    </row>
    <row r="441" spans="1:5" x14ac:dyDescent="0.35">
      <c r="A441" s="11">
        <v>49080</v>
      </c>
      <c r="B441" s="12" t="s">
        <v>31</v>
      </c>
      <c r="C441" s="13">
        <v>21.8</v>
      </c>
      <c r="D441" s="14">
        <v>0</v>
      </c>
      <c r="E441">
        <f t="shared" si="6"/>
        <v>0</v>
      </c>
    </row>
    <row r="442" spans="1:5" x14ac:dyDescent="0.35">
      <c r="A442" s="7">
        <v>49081</v>
      </c>
      <c r="B442" s="8" t="s">
        <v>7</v>
      </c>
      <c r="C442" s="9">
        <v>11</v>
      </c>
      <c r="D442" s="10">
        <v>0.4</v>
      </c>
      <c r="E442">
        <f t="shared" si="6"/>
        <v>0</v>
      </c>
    </row>
    <row r="443" spans="1:5" x14ac:dyDescent="0.35">
      <c r="A443" s="11">
        <v>49082</v>
      </c>
      <c r="B443" s="12" t="s">
        <v>10</v>
      </c>
      <c r="C443" s="13">
        <v>19</v>
      </c>
      <c r="D443" s="14">
        <v>21.9</v>
      </c>
      <c r="E443">
        <f t="shared" si="6"/>
        <v>4.1609999999999996</v>
      </c>
    </row>
    <row r="444" spans="1:5" x14ac:dyDescent="0.35">
      <c r="A444" s="7">
        <v>49083</v>
      </c>
      <c r="B444" s="8" t="s">
        <v>10</v>
      </c>
      <c r="C444" s="9">
        <v>12.5</v>
      </c>
      <c r="D444" s="10">
        <v>0</v>
      </c>
      <c r="E444">
        <f t="shared" si="6"/>
        <v>0</v>
      </c>
    </row>
    <row r="445" spans="1:5" x14ac:dyDescent="0.35">
      <c r="A445" s="11">
        <v>49084</v>
      </c>
      <c r="B445" s="12" t="s">
        <v>15</v>
      </c>
      <c r="C445" s="13">
        <v>13.6</v>
      </c>
      <c r="D445" s="14">
        <v>12.6</v>
      </c>
      <c r="E445">
        <f t="shared" si="6"/>
        <v>1.7135999999999998</v>
      </c>
    </row>
    <row r="446" spans="1:5" x14ac:dyDescent="0.35">
      <c r="A446" s="7">
        <v>49085</v>
      </c>
      <c r="B446" s="8" t="s">
        <v>10</v>
      </c>
      <c r="C446" s="9">
        <v>20.2</v>
      </c>
      <c r="D446" s="10">
        <v>17.899999999999999</v>
      </c>
      <c r="E446">
        <f t="shared" si="6"/>
        <v>3.6157999999999997</v>
      </c>
    </row>
    <row r="447" spans="1:5" x14ac:dyDescent="0.35">
      <c r="A447" s="11">
        <v>49086</v>
      </c>
      <c r="B447" s="12" t="s">
        <v>10</v>
      </c>
      <c r="C447" s="13">
        <v>28.7</v>
      </c>
      <c r="D447" s="14">
        <v>0</v>
      </c>
      <c r="E447">
        <f t="shared" si="6"/>
        <v>0</v>
      </c>
    </row>
    <row r="448" spans="1:5" x14ac:dyDescent="0.35">
      <c r="A448" s="7">
        <v>49087</v>
      </c>
      <c r="B448" s="8" t="s">
        <v>20</v>
      </c>
      <c r="C448" s="9">
        <v>13.4</v>
      </c>
      <c r="D448" s="10">
        <v>4.8</v>
      </c>
      <c r="E448">
        <f t="shared" si="6"/>
        <v>0.64319999999999988</v>
      </c>
    </row>
    <row r="449" spans="1:5" x14ac:dyDescent="0.35">
      <c r="A449" s="11">
        <v>49088</v>
      </c>
      <c r="B449" s="12" t="s">
        <v>15</v>
      </c>
      <c r="C449" s="13">
        <v>12</v>
      </c>
      <c r="D449" s="14">
        <v>8.9</v>
      </c>
      <c r="E449">
        <f t="shared" si="6"/>
        <v>1.0680000000000001</v>
      </c>
    </row>
    <row r="450" spans="1:5" x14ac:dyDescent="0.35">
      <c r="A450" s="7">
        <v>49089</v>
      </c>
      <c r="B450" s="8" t="s">
        <v>11</v>
      </c>
      <c r="C450" s="9">
        <v>28.9</v>
      </c>
      <c r="D450" s="10">
        <v>13.9</v>
      </c>
      <c r="E450">
        <f t="shared" si="6"/>
        <v>4.0171000000000001</v>
      </c>
    </row>
    <row r="451" spans="1:5" x14ac:dyDescent="0.35">
      <c r="A451" s="11">
        <v>49090</v>
      </c>
      <c r="B451" s="12" t="s">
        <v>22</v>
      </c>
      <c r="C451" s="13">
        <v>25.2</v>
      </c>
      <c r="D451" s="14">
        <v>0</v>
      </c>
      <c r="E451">
        <f t="shared" ref="E451:E514" si="7">IF(D451&gt;=1,C451*D451/100,0)</f>
        <v>0</v>
      </c>
    </row>
    <row r="452" spans="1:5" x14ac:dyDescent="0.35">
      <c r="A452" s="7">
        <v>49091</v>
      </c>
      <c r="B452" s="8" t="s">
        <v>11</v>
      </c>
      <c r="C452" s="9">
        <v>18.600000000000001</v>
      </c>
      <c r="D452" s="10">
        <v>1.8</v>
      </c>
      <c r="E452">
        <f t="shared" si="7"/>
        <v>0.33480000000000004</v>
      </c>
    </row>
    <row r="453" spans="1:5" x14ac:dyDescent="0.35">
      <c r="A453" s="11">
        <v>49092</v>
      </c>
      <c r="B453" s="12" t="s">
        <v>26</v>
      </c>
      <c r="C453" s="13">
        <v>20</v>
      </c>
      <c r="D453" s="14">
        <v>2.4</v>
      </c>
      <c r="E453">
        <f t="shared" si="7"/>
        <v>0.48</v>
      </c>
    </row>
    <row r="454" spans="1:5" x14ac:dyDescent="0.35">
      <c r="A454" s="7">
        <v>49093</v>
      </c>
      <c r="B454" s="8" t="s">
        <v>9</v>
      </c>
      <c r="C454" s="9">
        <v>14.3</v>
      </c>
      <c r="D454" s="10">
        <v>3.9</v>
      </c>
      <c r="E454">
        <f t="shared" si="7"/>
        <v>0.55770000000000008</v>
      </c>
    </row>
    <row r="455" spans="1:5" x14ac:dyDescent="0.35">
      <c r="A455" s="11">
        <v>49094</v>
      </c>
      <c r="B455" s="12" t="s">
        <v>10</v>
      </c>
      <c r="C455" s="13">
        <v>28.8</v>
      </c>
      <c r="D455" s="14">
        <v>25.1</v>
      </c>
      <c r="E455">
        <f t="shared" si="7"/>
        <v>7.2288000000000014</v>
      </c>
    </row>
    <row r="456" spans="1:5" x14ac:dyDescent="0.35">
      <c r="A456" s="7">
        <v>49095</v>
      </c>
      <c r="B456" s="8" t="s">
        <v>19</v>
      </c>
      <c r="C456" s="9">
        <v>26.8</v>
      </c>
      <c r="D456" s="10">
        <v>10.8</v>
      </c>
      <c r="E456">
        <f t="shared" si="7"/>
        <v>2.8944000000000005</v>
      </c>
    </row>
    <row r="457" spans="1:5" x14ac:dyDescent="0.35">
      <c r="A457" s="11">
        <v>49096</v>
      </c>
      <c r="B457" s="12" t="s">
        <v>19</v>
      </c>
      <c r="C457" s="13">
        <v>20.399999999999999</v>
      </c>
      <c r="D457" s="14">
        <v>0</v>
      </c>
      <c r="E457">
        <f t="shared" si="7"/>
        <v>0</v>
      </c>
    </row>
    <row r="458" spans="1:5" x14ac:dyDescent="0.35">
      <c r="A458" s="7">
        <v>49097</v>
      </c>
      <c r="B458" s="8" t="s">
        <v>22</v>
      </c>
      <c r="C458" s="9">
        <v>14.1</v>
      </c>
      <c r="D458" s="10">
        <v>4.5</v>
      </c>
      <c r="E458">
        <f t="shared" si="7"/>
        <v>0.63449999999999995</v>
      </c>
    </row>
    <row r="459" spans="1:5" x14ac:dyDescent="0.35">
      <c r="A459" s="11">
        <v>49098</v>
      </c>
      <c r="B459" s="12" t="s">
        <v>14</v>
      </c>
      <c r="C459" s="13">
        <v>28.1</v>
      </c>
      <c r="D459" s="14">
        <v>6.3</v>
      </c>
      <c r="E459">
        <f t="shared" si="7"/>
        <v>1.7703</v>
      </c>
    </row>
    <row r="460" spans="1:5" x14ac:dyDescent="0.35">
      <c r="A460" s="7">
        <v>49099</v>
      </c>
      <c r="B460" s="8" t="s">
        <v>13</v>
      </c>
      <c r="C460" s="9">
        <v>15.7</v>
      </c>
      <c r="D460" s="10">
        <v>11.5</v>
      </c>
      <c r="E460">
        <f t="shared" si="7"/>
        <v>1.8054999999999999</v>
      </c>
    </row>
    <row r="461" spans="1:5" x14ac:dyDescent="0.35">
      <c r="A461" s="11">
        <v>49100</v>
      </c>
      <c r="B461" s="12" t="s">
        <v>29</v>
      </c>
      <c r="C461" s="13">
        <v>27.7</v>
      </c>
      <c r="D461" s="14">
        <v>0.6</v>
      </c>
      <c r="E461">
        <f t="shared" si="7"/>
        <v>0</v>
      </c>
    </row>
    <row r="462" spans="1:5" x14ac:dyDescent="0.35">
      <c r="A462" s="7">
        <v>49101</v>
      </c>
      <c r="B462" s="8" t="s">
        <v>7</v>
      </c>
      <c r="C462" s="9">
        <v>22.9</v>
      </c>
      <c r="D462" s="10">
        <v>22.6</v>
      </c>
      <c r="E462">
        <f t="shared" si="7"/>
        <v>5.1753999999999998</v>
      </c>
    </row>
    <row r="463" spans="1:5" x14ac:dyDescent="0.35">
      <c r="A463" s="11">
        <v>49102</v>
      </c>
      <c r="B463" s="12" t="s">
        <v>13</v>
      </c>
      <c r="C463" s="13">
        <v>10.3</v>
      </c>
      <c r="D463" s="14">
        <v>0</v>
      </c>
      <c r="E463">
        <f t="shared" si="7"/>
        <v>0</v>
      </c>
    </row>
    <row r="464" spans="1:5" x14ac:dyDescent="0.35">
      <c r="A464" s="7">
        <v>49103</v>
      </c>
      <c r="B464" s="8" t="s">
        <v>23</v>
      </c>
      <c r="C464" s="9">
        <v>28.4</v>
      </c>
      <c r="D464" s="10">
        <v>4</v>
      </c>
      <c r="E464">
        <f t="shared" si="7"/>
        <v>1.1359999999999999</v>
      </c>
    </row>
    <row r="465" spans="1:5" x14ac:dyDescent="0.35">
      <c r="A465" s="11">
        <v>49104</v>
      </c>
      <c r="B465" s="12" t="s">
        <v>18</v>
      </c>
      <c r="C465" s="13">
        <v>18.7</v>
      </c>
      <c r="D465" s="14">
        <v>15</v>
      </c>
      <c r="E465">
        <f t="shared" si="7"/>
        <v>2.8050000000000002</v>
      </c>
    </row>
    <row r="466" spans="1:5" x14ac:dyDescent="0.35">
      <c r="A466" s="7">
        <v>49105</v>
      </c>
      <c r="B466" s="8" t="s">
        <v>19</v>
      </c>
      <c r="C466" s="9">
        <v>13.7</v>
      </c>
      <c r="D466" s="10">
        <v>9.4</v>
      </c>
      <c r="E466">
        <f t="shared" si="7"/>
        <v>1.2878000000000001</v>
      </c>
    </row>
    <row r="467" spans="1:5" x14ac:dyDescent="0.35">
      <c r="A467" s="11">
        <v>49106</v>
      </c>
      <c r="B467" s="12" t="s">
        <v>14</v>
      </c>
      <c r="C467" s="13">
        <v>16.3</v>
      </c>
      <c r="D467" s="14">
        <v>3.6</v>
      </c>
      <c r="E467">
        <f t="shared" si="7"/>
        <v>0.5868000000000001</v>
      </c>
    </row>
    <row r="468" spans="1:5" x14ac:dyDescent="0.35">
      <c r="A468" s="7">
        <v>49107</v>
      </c>
      <c r="B468" s="8" t="s">
        <v>27</v>
      </c>
      <c r="C468" s="9">
        <v>14</v>
      </c>
      <c r="D468" s="10">
        <v>0</v>
      </c>
      <c r="E468">
        <f t="shared" si="7"/>
        <v>0</v>
      </c>
    </row>
    <row r="469" spans="1:5" x14ac:dyDescent="0.35">
      <c r="A469" s="11">
        <v>49108</v>
      </c>
      <c r="B469" s="12" t="s">
        <v>15</v>
      </c>
      <c r="C469" s="13">
        <v>26</v>
      </c>
      <c r="D469" s="14">
        <v>5.5</v>
      </c>
      <c r="E469">
        <f t="shared" si="7"/>
        <v>1.43</v>
      </c>
    </row>
    <row r="470" spans="1:5" x14ac:dyDescent="0.35">
      <c r="A470" s="7">
        <v>49109</v>
      </c>
      <c r="B470" s="8" t="s">
        <v>19</v>
      </c>
      <c r="C470" s="9">
        <v>27</v>
      </c>
      <c r="D470" s="10">
        <v>38.6</v>
      </c>
      <c r="E470">
        <f t="shared" si="7"/>
        <v>10.422000000000001</v>
      </c>
    </row>
    <row r="471" spans="1:5" x14ac:dyDescent="0.35">
      <c r="A471" s="11">
        <v>49110</v>
      </c>
      <c r="B471" s="12" t="s">
        <v>10</v>
      </c>
      <c r="C471" s="13">
        <v>26.6</v>
      </c>
      <c r="D471" s="14">
        <v>49.7</v>
      </c>
      <c r="E471">
        <f t="shared" si="7"/>
        <v>13.220200000000002</v>
      </c>
    </row>
    <row r="472" spans="1:5" x14ac:dyDescent="0.35">
      <c r="A472" s="7">
        <v>49111</v>
      </c>
      <c r="B472" s="8" t="s">
        <v>19</v>
      </c>
      <c r="C472" s="9">
        <v>20.9</v>
      </c>
      <c r="D472" s="10">
        <v>30</v>
      </c>
      <c r="E472">
        <f t="shared" si="7"/>
        <v>6.27</v>
      </c>
    </row>
    <row r="473" spans="1:5" x14ac:dyDescent="0.35">
      <c r="A473" s="11">
        <v>49112</v>
      </c>
      <c r="B473" s="12" t="s">
        <v>22</v>
      </c>
      <c r="C473" s="13">
        <v>28.5</v>
      </c>
      <c r="D473" s="14">
        <v>5.3</v>
      </c>
      <c r="E473">
        <f t="shared" si="7"/>
        <v>1.5104999999999997</v>
      </c>
    </row>
    <row r="474" spans="1:5" x14ac:dyDescent="0.35">
      <c r="A474" s="7">
        <v>49113</v>
      </c>
      <c r="B474" s="8" t="s">
        <v>5</v>
      </c>
      <c r="C474" s="9">
        <v>10.4</v>
      </c>
      <c r="D474" s="10">
        <v>0</v>
      </c>
      <c r="E474">
        <f t="shared" si="7"/>
        <v>0</v>
      </c>
    </row>
    <row r="475" spans="1:5" x14ac:dyDescent="0.35">
      <c r="A475" s="11">
        <v>49114</v>
      </c>
      <c r="B475" s="12" t="s">
        <v>18</v>
      </c>
      <c r="C475" s="13">
        <v>25.9</v>
      </c>
      <c r="D475" s="14">
        <v>9.1999999999999993</v>
      </c>
      <c r="E475">
        <f t="shared" si="7"/>
        <v>2.3827999999999996</v>
      </c>
    </row>
    <row r="476" spans="1:5" x14ac:dyDescent="0.35">
      <c r="A476" s="7">
        <v>49115</v>
      </c>
      <c r="B476" s="8" t="s">
        <v>11</v>
      </c>
      <c r="C476" s="9">
        <v>24.6</v>
      </c>
      <c r="D476" s="10">
        <v>11</v>
      </c>
      <c r="E476">
        <f t="shared" si="7"/>
        <v>2.7060000000000004</v>
      </c>
    </row>
    <row r="477" spans="1:5" x14ac:dyDescent="0.35">
      <c r="A477" s="11">
        <v>49116</v>
      </c>
      <c r="B477" s="12" t="s">
        <v>16</v>
      </c>
      <c r="C477" s="13">
        <v>22</v>
      </c>
      <c r="D477" s="14">
        <v>0</v>
      </c>
      <c r="E477">
        <f t="shared" si="7"/>
        <v>0</v>
      </c>
    </row>
    <row r="478" spans="1:5" x14ac:dyDescent="0.35">
      <c r="A478" s="7">
        <v>49117</v>
      </c>
      <c r="B478" s="8" t="s">
        <v>8</v>
      </c>
      <c r="C478" s="9">
        <v>16.8</v>
      </c>
      <c r="D478" s="10">
        <v>2.4</v>
      </c>
      <c r="E478">
        <f t="shared" si="7"/>
        <v>0.4032</v>
      </c>
    </row>
    <row r="479" spans="1:5" x14ac:dyDescent="0.35">
      <c r="A479" s="11">
        <v>49118</v>
      </c>
      <c r="B479" s="12" t="s">
        <v>10</v>
      </c>
      <c r="C479" s="13">
        <v>21.7</v>
      </c>
      <c r="D479" s="14">
        <v>44.1</v>
      </c>
      <c r="E479">
        <f t="shared" si="7"/>
        <v>9.569700000000001</v>
      </c>
    </row>
    <row r="480" spans="1:5" x14ac:dyDescent="0.35">
      <c r="A480" s="7">
        <v>49119</v>
      </c>
      <c r="B480" s="8" t="s">
        <v>12</v>
      </c>
      <c r="C480" s="9">
        <v>28.9</v>
      </c>
      <c r="D480" s="10">
        <v>0</v>
      </c>
      <c r="E480">
        <f t="shared" si="7"/>
        <v>0</v>
      </c>
    </row>
    <row r="481" spans="1:5" x14ac:dyDescent="0.35">
      <c r="A481" s="11">
        <v>49120</v>
      </c>
      <c r="B481" s="12" t="s">
        <v>13</v>
      </c>
      <c r="C481" s="13">
        <v>26.6</v>
      </c>
      <c r="D481" s="14">
        <v>0.4</v>
      </c>
      <c r="E481">
        <f t="shared" si="7"/>
        <v>0</v>
      </c>
    </row>
    <row r="482" spans="1:5" x14ac:dyDescent="0.35">
      <c r="A482" s="7">
        <v>49121</v>
      </c>
      <c r="B482" s="8" t="s">
        <v>15</v>
      </c>
      <c r="C482" s="9">
        <v>28</v>
      </c>
      <c r="D482" s="10">
        <v>16.7</v>
      </c>
      <c r="E482">
        <f t="shared" si="7"/>
        <v>4.6759999999999993</v>
      </c>
    </row>
    <row r="483" spans="1:5" x14ac:dyDescent="0.35">
      <c r="A483" s="11">
        <v>49122</v>
      </c>
      <c r="B483" s="12" t="s">
        <v>17</v>
      </c>
      <c r="C483" s="13">
        <v>27.5</v>
      </c>
      <c r="D483" s="14">
        <v>0</v>
      </c>
      <c r="E483">
        <f t="shared" si="7"/>
        <v>0</v>
      </c>
    </row>
    <row r="484" spans="1:5" x14ac:dyDescent="0.35">
      <c r="A484" s="7">
        <v>49123</v>
      </c>
      <c r="B484" s="8" t="s">
        <v>22</v>
      </c>
      <c r="C484" s="9">
        <v>18.2</v>
      </c>
      <c r="D484" s="10">
        <v>0</v>
      </c>
      <c r="E484">
        <f t="shared" si="7"/>
        <v>0</v>
      </c>
    </row>
    <row r="485" spans="1:5" x14ac:dyDescent="0.35">
      <c r="A485" s="11">
        <v>49124</v>
      </c>
      <c r="B485" s="12" t="s">
        <v>18</v>
      </c>
      <c r="C485" s="13">
        <v>25.1</v>
      </c>
      <c r="D485" s="14">
        <v>0</v>
      </c>
      <c r="E485">
        <f t="shared" si="7"/>
        <v>0</v>
      </c>
    </row>
    <row r="486" spans="1:5" x14ac:dyDescent="0.35">
      <c r="A486" s="7">
        <v>49125</v>
      </c>
      <c r="B486" s="8" t="s">
        <v>4</v>
      </c>
      <c r="C486" s="9">
        <v>10.1</v>
      </c>
      <c r="D486" s="10">
        <v>0.2</v>
      </c>
      <c r="E486">
        <f t="shared" si="7"/>
        <v>0</v>
      </c>
    </row>
    <row r="487" spans="1:5" x14ac:dyDescent="0.35">
      <c r="A487" s="11">
        <v>49126</v>
      </c>
      <c r="B487" s="12" t="s">
        <v>15</v>
      </c>
      <c r="C487" s="13">
        <v>13.1</v>
      </c>
      <c r="D487" s="14">
        <v>7.9</v>
      </c>
      <c r="E487">
        <f t="shared" si="7"/>
        <v>1.0348999999999999</v>
      </c>
    </row>
    <row r="488" spans="1:5" x14ac:dyDescent="0.35">
      <c r="A488" s="7">
        <v>49127</v>
      </c>
      <c r="B488" s="8" t="s">
        <v>9</v>
      </c>
      <c r="C488" s="9">
        <v>22.9</v>
      </c>
      <c r="D488" s="10">
        <v>0</v>
      </c>
      <c r="E488">
        <f t="shared" si="7"/>
        <v>0</v>
      </c>
    </row>
    <row r="489" spans="1:5" x14ac:dyDescent="0.35">
      <c r="A489" s="11">
        <v>49128</v>
      </c>
      <c r="B489" s="12" t="s">
        <v>9</v>
      </c>
      <c r="C489" s="13">
        <v>26.3</v>
      </c>
      <c r="D489" s="14">
        <v>4</v>
      </c>
      <c r="E489">
        <f t="shared" si="7"/>
        <v>1.052</v>
      </c>
    </row>
    <row r="490" spans="1:5" x14ac:dyDescent="0.35">
      <c r="A490" s="7">
        <v>49129</v>
      </c>
      <c r="B490" s="8" t="s">
        <v>19</v>
      </c>
      <c r="C490" s="9">
        <v>11.3</v>
      </c>
      <c r="D490" s="10">
        <v>19.8</v>
      </c>
      <c r="E490">
        <f t="shared" si="7"/>
        <v>2.2374000000000001</v>
      </c>
    </row>
    <row r="491" spans="1:5" x14ac:dyDescent="0.35">
      <c r="A491" s="11">
        <v>49130</v>
      </c>
      <c r="B491" s="12" t="s">
        <v>10</v>
      </c>
      <c r="C491" s="13">
        <v>30</v>
      </c>
      <c r="D491" s="14">
        <v>0</v>
      </c>
      <c r="E491">
        <f t="shared" si="7"/>
        <v>0</v>
      </c>
    </row>
    <row r="492" spans="1:5" x14ac:dyDescent="0.35">
      <c r="A492" s="7">
        <v>49131</v>
      </c>
      <c r="B492" s="8" t="s">
        <v>22</v>
      </c>
      <c r="C492" s="9">
        <v>20.399999999999999</v>
      </c>
      <c r="D492" s="10">
        <v>0</v>
      </c>
      <c r="E492">
        <f t="shared" si="7"/>
        <v>0</v>
      </c>
    </row>
    <row r="493" spans="1:5" x14ac:dyDescent="0.35">
      <c r="A493" s="11">
        <v>49132</v>
      </c>
      <c r="B493" s="12" t="s">
        <v>7</v>
      </c>
      <c r="C493" s="13">
        <v>24.5</v>
      </c>
      <c r="D493" s="14">
        <v>8.6999999999999993</v>
      </c>
      <c r="E493">
        <f t="shared" si="7"/>
        <v>2.1315</v>
      </c>
    </row>
    <row r="494" spans="1:5" x14ac:dyDescent="0.35">
      <c r="A494" s="7">
        <v>49133</v>
      </c>
      <c r="B494" s="8" t="s">
        <v>11</v>
      </c>
      <c r="C494" s="9">
        <v>17</v>
      </c>
      <c r="D494" s="10">
        <v>2.7</v>
      </c>
      <c r="E494">
        <f t="shared" si="7"/>
        <v>0.45900000000000007</v>
      </c>
    </row>
    <row r="495" spans="1:5" x14ac:dyDescent="0.35">
      <c r="A495" s="11">
        <v>49134</v>
      </c>
      <c r="B495" s="12" t="s">
        <v>19</v>
      </c>
      <c r="C495" s="13">
        <v>21</v>
      </c>
      <c r="D495" s="14">
        <v>5.6</v>
      </c>
      <c r="E495">
        <f t="shared" si="7"/>
        <v>1.1759999999999999</v>
      </c>
    </row>
    <row r="496" spans="1:5" x14ac:dyDescent="0.35">
      <c r="A496" s="7">
        <v>49135</v>
      </c>
      <c r="B496" s="8" t="s">
        <v>19</v>
      </c>
      <c r="C496" s="9">
        <v>20.7</v>
      </c>
      <c r="D496" s="10">
        <v>0</v>
      </c>
      <c r="E496">
        <f t="shared" si="7"/>
        <v>0</v>
      </c>
    </row>
    <row r="497" spans="1:5" x14ac:dyDescent="0.35">
      <c r="A497" s="11">
        <v>49136</v>
      </c>
      <c r="B497" s="12" t="s">
        <v>12</v>
      </c>
      <c r="C497" s="13">
        <v>26.7</v>
      </c>
      <c r="D497" s="14">
        <v>9.8000000000000007</v>
      </c>
      <c r="E497">
        <f t="shared" si="7"/>
        <v>2.6166</v>
      </c>
    </row>
    <row r="498" spans="1:5" x14ac:dyDescent="0.35">
      <c r="A498" s="7">
        <v>49137</v>
      </c>
      <c r="B498" s="8" t="s">
        <v>30</v>
      </c>
      <c r="C498" s="9">
        <v>10.199999999999999</v>
      </c>
      <c r="D498" s="10">
        <v>0.1</v>
      </c>
      <c r="E498">
        <f t="shared" si="7"/>
        <v>0</v>
      </c>
    </row>
    <row r="499" spans="1:5" x14ac:dyDescent="0.35">
      <c r="A499" s="11">
        <v>49138</v>
      </c>
      <c r="B499" s="12" t="s">
        <v>10</v>
      </c>
      <c r="C499" s="13">
        <v>15.7</v>
      </c>
      <c r="D499" s="14">
        <v>5.8</v>
      </c>
      <c r="E499">
        <f t="shared" si="7"/>
        <v>0.91059999999999985</v>
      </c>
    </row>
    <row r="500" spans="1:5" x14ac:dyDescent="0.35">
      <c r="A500" s="7">
        <v>49139</v>
      </c>
      <c r="B500" s="8" t="s">
        <v>33</v>
      </c>
      <c r="C500" s="9">
        <v>15.9</v>
      </c>
      <c r="D500" s="10">
        <v>2.2000000000000002</v>
      </c>
      <c r="E500">
        <f t="shared" si="7"/>
        <v>0.34980000000000006</v>
      </c>
    </row>
    <row r="501" spans="1:5" x14ac:dyDescent="0.35">
      <c r="A501" s="11">
        <v>49140</v>
      </c>
      <c r="B501" s="12" t="s">
        <v>19</v>
      </c>
      <c r="C501" s="13">
        <v>21</v>
      </c>
      <c r="D501" s="14">
        <v>13.1</v>
      </c>
      <c r="E501">
        <f t="shared" si="7"/>
        <v>2.7509999999999994</v>
      </c>
    </row>
    <row r="502" spans="1:5" x14ac:dyDescent="0.35">
      <c r="A502" s="7">
        <v>49141</v>
      </c>
      <c r="B502" s="8" t="s">
        <v>9</v>
      </c>
      <c r="C502" s="9">
        <v>10.9</v>
      </c>
      <c r="D502" s="10">
        <v>8.1</v>
      </c>
      <c r="E502">
        <f t="shared" si="7"/>
        <v>0.88289999999999991</v>
      </c>
    </row>
    <row r="503" spans="1:5" x14ac:dyDescent="0.35">
      <c r="A503" s="11">
        <v>49142</v>
      </c>
      <c r="B503" s="12" t="s">
        <v>22</v>
      </c>
      <c r="C503" s="13">
        <v>20.9</v>
      </c>
      <c r="D503" s="14">
        <v>5.9</v>
      </c>
      <c r="E503">
        <f t="shared" si="7"/>
        <v>1.2331000000000001</v>
      </c>
    </row>
    <row r="504" spans="1:5" x14ac:dyDescent="0.35">
      <c r="A504" s="7">
        <v>49143</v>
      </c>
      <c r="B504" s="8" t="s">
        <v>19</v>
      </c>
      <c r="C504" s="9">
        <v>21.8</v>
      </c>
      <c r="D504" s="10">
        <v>15.9</v>
      </c>
      <c r="E504">
        <f t="shared" si="7"/>
        <v>3.4662000000000002</v>
      </c>
    </row>
    <row r="505" spans="1:5" x14ac:dyDescent="0.35">
      <c r="A505" s="11">
        <v>49144</v>
      </c>
      <c r="B505" s="12" t="s">
        <v>15</v>
      </c>
      <c r="C505" s="13">
        <v>11.9</v>
      </c>
      <c r="D505" s="14">
        <v>18.100000000000001</v>
      </c>
      <c r="E505">
        <f t="shared" si="7"/>
        <v>2.1539000000000001</v>
      </c>
    </row>
    <row r="506" spans="1:5" x14ac:dyDescent="0.35">
      <c r="A506" s="7">
        <v>49145</v>
      </c>
      <c r="B506" s="8" t="s">
        <v>13</v>
      </c>
      <c r="C506" s="9">
        <v>12.9</v>
      </c>
      <c r="D506" s="10">
        <v>0</v>
      </c>
      <c r="E506">
        <f t="shared" si="7"/>
        <v>0</v>
      </c>
    </row>
    <row r="507" spans="1:5" x14ac:dyDescent="0.35">
      <c r="A507" s="11">
        <v>49146</v>
      </c>
      <c r="B507" s="12" t="s">
        <v>19</v>
      </c>
      <c r="C507" s="13">
        <v>14.9</v>
      </c>
      <c r="D507" s="14">
        <v>4.8</v>
      </c>
      <c r="E507">
        <f t="shared" si="7"/>
        <v>0.71519999999999995</v>
      </c>
    </row>
    <row r="508" spans="1:5" x14ac:dyDescent="0.35">
      <c r="A508" s="7">
        <v>49147</v>
      </c>
      <c r="B508" s="8" t="s">
        <v>10</v>
      </c>
      <c r="C508" s="9">
        <v>29.5</v>
      </c>
      <c r="D508" s="10">
        <v>0</v>
      </c>
      <c r="E508">
        <f t="shared" si="7"/>
        <v>0</v>
      </c>
    </row>
    <row r="509" spans="1:5" x14ac:dyDescent="0.35">
      <c r="A509" s="11">
        <v>49148</v>
      </c>
      <c r="B509" s="12" t="s">
        <v>19</v>
      </c>
      <c r="C509" s="13">
        <v>18.100000000000001</v>
      </c>
      <c r="D509" s="14">
        <v>0</v>
      </c>
      <c r="E509">
        <f t="shared" si="7"/>
        <v>0</v>
      </c>
    </row>
    <row r="510" spans="1:5" x14ac:dyDescent="0.35">
      <c r="A510" s="7">
        <v>49149</v>
      </c>
      <c r="B510" s="8" t="s">
        <v>6</v>
      </c>
      <c r="C510" s="9">
        <v>10.8</v>
      </c>
      <c r="D510" s="10">
        <v>11.8</v>
      </c>
      <c r="E510">
        <f t="shared" si="7"/>
        <v>1.2744000000000002</v>
      </c>
    </row>
    <row r="511" spans="1:5" x14ac:dyDescent="0.35">
      <c r="A511" s="11">
        <v>49150</v>
      </c>
      <c r="B511" s="12" t="s">
        <v>9</v>
      </c>
      <c r="C511" s="13">
        <v>13.5</v>
      </c>
      <c r="D511" s="14">
        <v>5.4</v>
      </c>
      <c r="E511">
        <f t="shared" si="7"/>
        <v>0.72900000000000009</v>
      </c>
    </row>
    <row r="512" spans="1:5" x14ac:dyDescent="0.35">
      <c r="A512" s="7">
        <v>49151</v>
      </c>
      <c r="B512" s="8" t="s">
        <v>22</v>
      </c>
      <c r="C512" s="9">
        <v>15.9</v>
      </c>
      <c r="D512" s="10">
        <v>0</v>
      </c>
      <c r="E512">
        <f t="shared" si="7"/>
        <v>0</v>
      </c>
    </row>
    <row r="513" spans="1:5" x14ac:dyDescent="0.35">
      <c r="A513" s="11">
        <v>49152</v>
      </c>
      <c r="B513" s="12" t="s">
        <v>26</v>
      </c>
      <c r="C513" s="13">
        <v>23.1</v>
      </c>
      <c r="D513" s="14">
        <v>0</v>
      </c>
      <c r="E513">
        <f t="shared" si="7"/>
        <v>0</v>
      </c>
    </row>
    <row r="514" spans="1:5" x14ac:dyDescent="0.35">
      <c r="A514" s="7">
        <v>49153</v>
      </c>
      <c r="B514" s="8" t="s">
        <v>16</v>
      </c>
      <c r="C514" s="9">
        <v>26.7</v>
      </c>
      <c r="D514" s="10">
        <v>0</v>
      </c>
      <c r="E514">
        <f t="shared" si="7"/>
        <v>0</v>
      </c>
    </row>
    <row r="515" spans="1:5" x14ac:dyDescent="0.35">
      <c r="A515" s="11">
        <v>49154</v>
      </c>
      <c r="B515" s="12" t="s">
        <v>10</v>
      </c>
      <c r="C515" s="13">
        <v>26</v>
      </c>
      <c r="D515" s="14">
        <v>29.1</v>
      </c>
      <c r="E515">
        <f t="shared" ref="E515:E578" si="8">IF(D515&gt;=1,C515*D515/100,0)</f>
        <v>7.5659999999999998</v>
      </c>
    </row>
    <row r="516" spans="1:5" x14ac:dyDescent="0.35">
      <c r="A516" s="7">
        <v>49155</v>
      </c>
      <c r="B516" s="8" t="s">
        <v>18</v>
      </c>
      <c r="C516" s="9">
        <v>23.6</v>
      </c>
      <c r="D516" s="10">
        <v>9.1</v>
      </c>
      <c r="E516">
        <f t="shared" si="8"/>
        <v>2.1475999999999997</v>
      </c>
    </row>
    <row r="517" spans="1:5" x14ac:dyDescent="0.35">
      <c r="A517" s="11">
        <v>49156</v>
      </c>
      <c r="B517" s="12" t="s">
        <v>26</v>
      </c>
      <c r="C517" s="13">
        <v>29.8</v>
      </c>
      <c r="D517" s="14">
        <v>5.7</v>
      </c>
      <c r="E517">
        <f t="shared" si="8"/>
        <v>1.6986000000000001</v>
      </c>
    </row>
    <row r="518" spans="1:5" x14ac:dyDescent="0.35">
      <c r="A518" s="7">
        <v>49157</v>
      </c>
      <c r="B518" s="8" t="s">
        <v>19</v>
      </c>
      <c r="C518" s="9">
        <v>18.600000000000001</v>
      </c>
      <c r="D518" s="10">
        <v>0</v>
      </c>
      <c r="E518">
        <f t="shared" si="8"/>
        <v>0</v>
      </c>
    </row>
    <row r="519" spans="1:5" x14ac:dyDescent="0.35">
      <c r="A519" s="11">
        <v>49158</v>
      </c>
      <c r="B519" s="12" t="s">
        <v>15</v>
      </c>
      <c r="C519" s="13">
        <v>17.600000000000001</v>
      </c>
      <c r="D519" s="14">
        <v>2.4</v>
      </c>
      <c r="E519">
        <f t="shared" si="8"/>
        <v>0.4224</v>
      </c>
    </row>
    <row r="520" spans="1:5" x14ac:dyDescent="0.35">
      <c r="A520" s="7">
        <v>49159</v>
      </c>
      <c r="B520" s="8" t="s">
        <v>15</v>
      </c>
      <c r="C520" s="9">
        <v>12.6</v>
      </c>
      <c r="D520" s="10">
        <v>9.1999999999999993</v>
      </c>
      <c r="E520">
        <f t="shared" si="8"/>
        <v>1.1591999999999998</v>
      </c>
    </row>
    <row r="521" spans="1:5" x14ac:dyDescent="0.35">
      <c r="A521" s="11">
        <v>49160</v>
      </c>
      <c r="B521" s="12" t="s">
        <v>17</v>
      </c>
      <c r="C521" s="13">
        <v>25.4</v>
      </c>
      <c r="D521" s="14">
        <v>5.4</v>
      </c>
      <c r="E521">
        <f t="shared" si="8"/>
        <v>1.3715999999999999</v>
      </c>
    </row>
    <row r="522" spans="1:5" x14ac:dyDescent="0.35">
      <c r="A522" s="7">
        <v>49161</v>
      </c>
      <c r="B522" s="8" t="s">
        <v>20</v>
      </c>
      <c r="C522" s="9">
        <v>12.8</v>
      </c>
      <c r="D522" s="10">
        <v>3.6</v>
      </c>
      <c r="E522">
        <f t="shared" si="8"/>
        <v>0.46080000000000004</v>
      </c>
    </row>
    <row r="523" spans="1:5" x14ac:dyDescent="0.35">
      <c r="A523" s="11">
        <v>49162</v>
      </c>
      <c r="B523" s="12" t="s">
        <v>11</v>
      </c>
      <c r="C523" s="13">
        <v>18.7</v>
      </c>
      <c r="D523" s="14">
        <v>0</v>
      </c>
      <c r="E523">
        <f t="shared" si="8"/>
        <v>0</v>
      </c>
    </row>
    <row r="524" spans="1:5" x14ac:dyDescent="0.35">
      <c r="A524" s="7">
        <v>49163</v>
      </c>
      <c r="B524" s="8" t="s">
        <v>33</v>
      </c>
      <c r="C524" s="9">
        <v>22.3</v>
      </c>
      <c r="D524" s="10">
        <v>0</v>
      </c>
      <c r="E524">
        <f t="shared" si="8"/>
        <v>0</v>
      </c>
    </row>
    <row r="525" spans="1:5" x14ac:dyDescent="0.35">
      <c r="A525" s="11">
        <v>49164</v>
      </c>
      <c r="B525" s="12" t="s">
        <v>18</v>
      </c>
      <c r="C525" s="13">
        <v>26.4</v>
      </c>
      <c r="D525" s="14">
        <v>0.5</v>
      </c>
      <c r="E525">
        <f t="shared" si="8"/>
        <v>0</v>
      </c>
    </row>
    <row r="526" spans="1:5" x14ac:dyDescent="0.35">
      <c r="A526" s="7">
        <v>49165</v>
      </c>
      <c r="B526" s="8" t="s">
        <v>7</v>
      </c>
      <c r="C526" s="9">
        <v>28.5</v>
      </c>
      <c r="D526" s="10">
        <v>3.2</v>
      </c>
      <c r="E526">
        <f t="shared" si="8"/>
        <v>0.91200000000000003</v>
      </c>
    </row>
    <row r="527" spans="1:5" x14ac:dyDescent="0.35">
      <c r="A527" s="11">
        <v>49166</v>
      </c>
      <c r="B527" s="12" t="s">
        <v>17</v>
      </c>
      <c r="C527" s="13">
        <v>16.8</v>
      </c>
      <c r="D527" s="14">
        <v>5.5</v>
      </c>
      <c r="E527">
        <f t="shared" si="8"/>
        <v>0.92400000000000004</v>
      </c>
    </row>
    <row r="528" spans="1:5" x14ac:dyDescent="0.35">
      <c r="A528" s="7">
        <v>49167</v>
      </c>
      <c r="B528" s="8" t="s">
        <v>27</v>
      </c>
      <c r="C528" s="9">
        <v>24.7</v>
      </c>
      <c r="D528" s="10">
        <v>0.8</v>
      </c>
      <c r="E528">
        <f t="shared" si="8"/>
        <v>0</v>
      </c>
    </row>
    <row r="529" spans="1:5" x14ac:dyDescent="0.35">
      <c r="A529" s="11">
        <v>49168</v>
      </c>
      <c r="B529" s="12" t="s">
        <v>9</v>
      </c>
      <c r="C529" s="13">
        <v>29.6</v>
      </c>
      <c r="D529" s="14">
        <v>0</v>
      </c>
      <c r="E529">
        <f t="shared" si="8"/>
        <v>0</v>
      </c>
    </row>
    <row r="530" spans="1:5" x14ac:dyDescent="0.35">
      <c r="A530" s="7">
        <v>49169</v>
      </c>
      <c r="B530" s="8" t="s">
        <v>10</v>
      </c>
      <c r="C530" s="9">
        <v>23.3</v>
      </c>
      <c r="D530" s="10">
        <v>29.4</v>
      </c>
      <c r="E530">
        <f t="shared" si="8"/>
        <v>6.8502000000000001</v>
      </c>
    </row>
    <row r="531" spans="1:5" x14ac:dyDescent="0.35">
      <c r="A531" s="11">
        <v>49170</v>
      </c>
      <c r="B531" s="12" t="s">
        <v>9</v>
      </c>
      <c r="C531" s="13">
        <v>28.8</v>
      </c>
      <c r="D531" s="14">
        <v>11.5</v>
      </c>
      <c r="E531">
        <f t="shared" si="8"/>
        <v>3.3119999999999998</v>
      </c>
    </row>
    <row r="532" spans="1:5" x14ac:dyDescent="0.35">
      <c r="A532" s="7">
        <v>49171</v>
      </c>
      <c r="B532" s="8" t="s">
        <v>9</v>
      </c>
      <c r="C532" s="9">
        <v>26.5</v>
      </c>
      <c r="D532" s="10">
        <v>0</v>
      </c>
      <c r="E532">
        <f t="shared" si="8"/>
        <v>0</v>
      </c>
    </row>
    <row r="533" spans="1:5" x14ac:dyDescent="0.35">
      <c r="A533" s="11">
        <v>49172</v>
      </c>
      <c r="B533" s="12" t="s">
        <v>23</v>
      </c>
      <c r="C533" s="13">
        <v>17.100000000000001</v>
      </c>
      <c r="D533" s="14">
        <v>3.6</v>
      </c>
      <c r="E533">
        <f t="shared" si="8"/>
        <v>0.61560000000000015</v>
      </c>
    </row>
    <row r="534" spans="1:5" x14ac:dyDescent="0.35">
      <c r="A534" s="7">
        <v>49173</v>
      </c>
      <c r="B534" s="8" t="s">
        <v>9</v>
      </c>
      <c r="C534" s="9">
        <v>17.8</v>
      </c>
      <c r="D534" s="10">
        <v>7</v>
      </c>
      <c r="E534">
        <f t="shared" si="8"/>
        <v>1.246</v>
      </c>
    </row>
    <row r="535" spans="1:5" x14ac:dyDescent="0.35">
      <c r="A535" s="11">
        <v>49174</v>
      </c>
      <c r="B535" s="12" t="s">
        <v>27</v>
      </c>
      <c r="C535" s="13">
        <v>24.7</v>
      </c>
      <c r="D535" s="14">
        <v>1.5</v>
      </c>
      <c r="E535">
        <f t="shared" si="8"/>
        <v>0.3705</v>
      </c>
    </row>
    <row r="536" spans="1:5" x14ac:dyDescent="0.35">
      <c r="A536" s="7">
        <v>49175</v>
      </c>
      <c r="B536" s="8" t="s">
        <v>19</v>
      </c>
      <c r="C536" s="9">
        <v>25.1</v>
      </c>
      <c r="D536" s="10">
        <v>0</v>
      </c>
      <c r="E536">
        <f t="shared" si="8"/>
        <v>0</v>
      </c>
    </row>
    <row r="537" spans="1:5" x14ac:dyDescent="0.35">
      <c r="A537" s="11">
        <v>49176</v>
      </c>
      <c r="B537" s="12" t="s">
        <v>32</v>
      </c>
      <c r="C537" s="13">
        <v>27</v>
      </c>
      <c r="D537" s="14">
        <v>0</v>
      </c>
      <c r="E537">
        <f t="shared" si="8"/>
        <v>0</v>
      </c>
    </row>
    <row r="538" spans="1:5" x14ac:dyDescent="0.35">
      <c r="A538" s="7">
        <v>49177</v>
      </c>
      <c r="B538" s="8" t="s">
        <v>18</v>
      </c>
      <c r="C538" s="9">
        <v>18.2</v>
      </c>
      <c r="D538" s="10">
        <v>13.9</v>
      </c>
      <c r="E538">
        <f t="shared" si="8"/>
        <v>2.5297999999999998</v>
      </c>
    </row>
    <row r="539" spans="1:5" x14ac:dyDescent="0.35">
      <c r="A539" s="11">
        <v>49178</v>
      </c>
      <c r="B539" s="12" t="s">
        <v>15</v>
      </c>
      <c r="C539" s="13">
        <v>10.8</v>
      </c>
      <c r="D539" s="14">
        <v>7.9</v>
      </c>
      <c r="E539">
        <f t="shared" si="8"/>
        <v>0.85320000000000007</v>
      </c>
    </row>
    <row r="540" spans="1:5" x14ac:dyDescent="0.35">
      <c r="A540" s="7">
        <v>49179</v>
      </c>
      <c r="B540" s="8" t="s">
        <v>7</v>
      </c>
      <c r="C540" s="9">
        <v>27.9</v>
      </c>
      <c r="D540" s="10">
        <v>9.9</v>
      </c>
      <c r="E540">
        <f t="shared" si="8"/>
        <v>2.7620999999999998</v>
      </c>
    </row>
    <row r="541" spans="1:5" x14ac:dyDescent="0.35">
      <c r="A541" s="11">
        <v>49180</v>
      </c>
      <c r="B541" s="12" t="s">
        <v>24</v>
      </c>
      <c r="C541" s="13">
        <v>14.1</v>
      </c>
      <c r="D541" s="14">
        <v>0.7</v>
      </c>
      <c r="E541">
        <f t="shared" si="8"/>
        <v>0</v>
      </c>
    </row>
    <row r="542" spans="1:5" x14ac:dyDescent="0.35">
      <c r="A542" s="7">
        <v>49181</v>
      </c>
      <c r="B542" s="8" t="s">
        <v>18</v>
      </c>
      <c r="C542" s="9">
        <v>17.5</v>
      </c>
      <c r="D542" s="10">
        <v>3.2</v>
      </c>
      <c r="E542">
        <f t="shared" si="8"/>
        <v>0.56000000000000005</v>
      </c>
    </row>
    <row r="543" spans="1:5" x14ac:dyDescent="0.35">
      <c r="A543" s="11">
        <v>49182</v>
      </c>
      <c r="B543" s="12" t="s">
        <v>10</v>
      </c>
      <c r="C543" s="13">
        <v>14.3</v>
      </c>
      <c r="D543" s="14">
        <v>0</v>
      </c>
      <c r="E543">
        <f t="shared" si="8"/>
        <v>0</v>
      </c>
    </row>
    <row r="544" spans="1:5" x14ac:dyDescent="0.35">
      <c r="A544" s="7">
        <v>49183</v>
      </c>
      <c r="B544" s="8" t="s">
        <v>20</v>
      </c>
      <c r="C544" s="9">
        <v>15.4</v>
      </c>
      <c r="D544" s="10">
        <v>0</v>
      </c>
      <c r="E544">
        <f t="shared" si="8"/>
        <v>0</v>
      </c>
    </row>
    <row r="545" spans="1:5" x14ac:dyDescent="0.35">
      <c r="A545" s="11">
        <v>49184</v>
      </c>
      <c r="B545" s="12" t="s">
        <v>19</v>
      </c>
      <c r="C545" s="13">
        <v>17.5</v>
      </c>
      <c r="D545" s="14">
        <v>0</v>
      </c>
      <c r="E545">
        <f t="shared" si="8"/>
        <v>0</v>
      </c>
    </row>
    <row r="546" spans="1:5" x14ac:dyDescent="0.35">
      <c r="A546" s="7">
        <v>49185</v>
      </c>
      <c r="B546" s="8" t="s">
        <v>13</v>
      </c>
      <c r="C546" s="9">
        <v>11.6</v>
      </c>
      <c r="D546" s="10">
        <v>4.0999999999999996</v>
      </c>
      <c r="E546">
        <f t="shared" si="8"/>
        <v>0.47559999999999997</v>
      </c>
    </row>
    <row r="547" spans="1:5" x14ac:dyDescent="0.35">
      <c r="A547" s="11">
        <v>49186</v>
      </c>
      <c r="B547" s="12" t="s">
        <v>9</v>
      </c>
      <c r="C547" s="13">
        <v>27.9</v>
      </c>
      <c r="D547" s="14">
        <v>10.3</v>
      </c>
      <c r="E547">
        <f t="shared" si="8"/>
        <v>2.8736999999999999</v>
      </c>
    </row>
    <row r="548" spans="1:5" x14ac:dyDescent="0.35">
      <c r="A548" s="7">
        <v>49187</v>
      </c>
      <c r="B548" s="8" t="s">
        <v>19</v>
      </c>
      <c r="C548" s="9">
        <v>11.8</v>
      </c>
      <c r="D548" s="10">
        <v>20.2</v>
      </c>
      <c r="E548">
        <f t="shared" si="8"/>
        <v>2.3835999999999999</v>
      </c>
    </row>
    <row r="549" spans="1:5" x14ac:dyDescent="0.35">
      <c r="A549" s="11">
        <v>49188</v>
      </c>
      <c r="B549" s="12" t="s">
        <v>7</v>
      </c>
      <c r="C549" s="13">
        <v>12</v>
      </c>
      <c r="D549" s="14">
        <v>8.5</v>
      </c>
      <c r="E549">
        <f t="shared" si="8"/>
        <v>1.02</v>
      </c>
    </row>
    <row r="550" spans="1:5" x14ac:dyDescent="0.35">
      <c r="A550" s="7">
        <v>49189</v>
      </c>
      <c r="B550" s="8" t="s">
        <v>10</v>
      </c>
      <c r="C550" s="9">
        <v>11.8</v>
      </c>
      <c r="D550" s="10">
        <v>7.8</v>
      </c>
      <c r="E550">
        <f t="shared" si="8"/>
        <v>0.92040000000000011</v>
      </c>
    </row>
    <row r="551" spans="1:5" x14ac:dyDescent="0.35">
      <c r="A551" s="11">
        <v>49190</v>
      </c>
      <c r="B551" s="12" t="s">
        <v>17</v>
      </c>
      <c r="C551" s="13">
        <v>22.2</v>
      </c>
      <c r="D551" s="14">
        <v>0</v>
      </c>
      <c r="E551">
        <f t="shared" si="8"/>
        <v>0</v>
      </c>
    </row>
    <row r="552" spans="1:5" x14ac:dyDescent="0.35">
      <c r="A552" s="7">
        <v>49191</v>
      </c>
      <c r="B552" s="8" t="s">
        <v>7</v>
      </c>
      <c r="C552" s="9">
        <v>13.3</v>
      </c>
      <c r="D552" s="10">
        <v>3.8</v>
      </c>
      <c r="E552">
        <f t="shared" si="8"/>
        <v>0.50539999999999996</v>
      </c>
    </row>
    <row r="553" spans="1:5" x14ac:dyDescent="0.35">
      <c r="A553" s="11">
        <v>49192</v>
      </c>
      <c r="B553" s="12" t="s">
        <v>13</v>
      </c>
      <c r="C553" s="13">
        <v>24.6</v>
      </c>
      <c r="D553" s="14">
        <v>2.1</v>
      </c>
      <c r="E553">
        <f t="shared" si="8"/>
        <v>0.51660000000000006</v>
      </c>
    </row>
    <row r="554" spans="1:5" x14ac:dyDescent="0.35">
      <c r="A554" s="7">
        <v>49193</v>
      </c>
      <c r="B554" s="8" t="s">
        <v>19</v>
      </c>
      <c r="C554" s="9">
        <v>15.7</v>
      </c>
      <c r="D554" s="10">
        <v>0</v>
      </c>
      <c r="E554">
        <f t="shared" si="8"/>
        <v>0</v>
      </c>
    </row>
    <row r="555" spans="1:5" x14ac:dyDescent="0.35">
      <c r="A555" s="11">
        <v>49194</v>
      </c>
      <c r="B555" s="12" t="s">
        <v>18</v>
      </c>
      <c r="C555" s="13">
        <v>26.7</v>
      </c>
      <c r="D555" s="14">
        <v>16.2</v>
      </c>
      <c r="E555">
        <f t="shared" si="8"/>
        <v>4.3253999999999992</v>
      </c>
    </row>
    <row r="556" spans="1:5" x14ac:dyDescent="0.35">
      <c r="A556" s="7">
        <v>49195</v>
      </c>
      <c r="B556" s="8" t="s">
        <v>15</v>
      </c>
      <c r="C556" s="9">
        <v>28.1</v>
      </c>
      <c r="D556" s="10">
        <v>1.1000000000000001</v>
      </c>
      <c r="E556">
        <f t="shared" si="8"/>
        <v>0.30910000000000004</v>
      </c>
    </row>
    <row r="557" spans="1:5" x14ac:dyDescent="0.35">
      <c r="A557" s="11">
        <v>49196</v>
      </c>
      <c r="B557" s="12" t="s">
        <v>10</v>
      </c>
      <c r="C557" s="13">
        <v>29.1</v>
      </c>
      <c r="D557" s="14">
        <v>3</v>
      </c>
      <c r="E557">
        <f t="shared" si="8"/>
        <v>0.87300000000000011</v>
      </c>
    </row>
    <row r="558" spans="1:5" x14ac:dyDescent="0.35">
      <c r="A558" s="7">
        <v>49197</v>
      </c>
      <c r="B558" s="8" t="s">
        <v>7</v>
      </c>
      <c r="C558" s="9">
        <v>26.2</v>
      </c>
      <c r="D558" s="10">
        <v>0</v>
      </c>
      <c r="E558">
        <f t="shared" si="8"/>
        <v>0</v>
      </c>
    </row>
    <row r="559" spans="1:5" x14ac:dyDescent="0.35">
      <c r="A559" s="11">
        <v>49198</v>
      </c>
      <c r="B559" s="12" t="s">
        <v>31</v>
      </c>
      <c r="C559" s="13">
        <v>23.3</v>
      </c>
      <c r="D559" s="14">
        <v>0</v>
      </c>
      <c r="E559">
        <f t="shared" si="8"/>
        <v>0</v>
      </c>
    </row>
    <row r="560" spans="1:5" x14ac:dyDescent="0.35">
      <c r="A560" s="7">
        <v>49199</v>
      </c>
      <c r="B560" s="8" t="s">
        <v>19</v>
      </c>
      <c r="C560" s="9">
        <v>21.7</v>
      </c>
      <c r="D560" s="10">
        <v>10.4</v>
      </c>
      <c r="E560">
        <f t="shared" si="8"/>
        <v>2.2568000000000001</v>
      </c>
    </row>
    <row r="561" spans="1:5" x14ac:dyDescent="0.35">
      <c r="A561" s="11">
        <v>49200</v>
      </c>
      <c r="B561" s="12" t="s">
        <v>18</v>
      </c>
      <c r="C561" s="13">
        <v>18.8</v>
      </c>
      <c r="D561" s="14">
        <v>15.6</v>
      </c>
      <c r="E561">
        <f t="shared" si="8"/>
        <v>2.9328000000000003</v>
      </c>
    </row>
    <row r="562" spans="1:5" x14ac:dyDescent="0.35">
      <c r="A562" s="7">
        <v>49201</v>
      </c>
      <c r="B562" s="8" t="s">
        <v>15</v>
      </c>
      <c r="C562" s="9">
        <v>25.4</v>
      </c>
      <c r="D562" s="10">
        <v>7.4</v>
      </c>
      <c r="E562">
        <f t="shared" si="8"/>
        <v>1.8796000000000002</v>
      </c>
    </row>
    <row r="563" spans="1:5" x14ac:dyDescent="0.35">
      <c r="A563" s="11">
        <v>49202</v>
      </c>
      <c r="B563" s="12" t="s">
        <v>11</v>
      </c>
      <c r="C563" s="13">
        <v>21.1</v>
      </c>
      <c r="D563" s="14">
        <v>1</v>
      </c>
      <c r="E563">
        <f t="shared" si="8"/>
        <v>0.21100000000000002</v>
      </c>
    </row>
    <row r="564" spans="1:5" x14ac:dyDescent="0.35">
      <c r="A564" s="7">
        <v>49203</v>
      </c>
      <c r="B564" s="8" t="s">
        <v>11</v>
      </c>
      <c r="C564" s="9">
        <v>25.1</v>
      </c>
      <c r="D564" s="10">
        <v>20</v>
      </c>
      <c r="E564">
        <f t="shared" si="8"/>
        <v>5.0199999999999996</v>
      </c>
    </row>
    <row r="565" spans="1:5" x14ac:dyDescent="0.35">
      <c r="A565" s="11">
        <v>49204</v>
      </c>
      <c r="B565" s="12" t="s">
        <v>7</v>
      </c>
      <c r="C565" s="13">
        <v>17.600000000000001</v>
      </c>
      <c r="D565" s="14">
        <v>0</v>
      </c>
      <c r="E565">
        <f t="shared" si="8"/>
        <v>0</v>
      </c>
    </row>
    <row r="566" spans="1:5" x14ac:dyDescent="0.35">
      <c r="A566" s="7">
        <v>49205</v>
      </c>
      <c r="B566" s="8" t="s">
        <v>15</v>
      </c>
      <c r="C566" s="9">
        <v>21.2</v>
      </c>
      <c r="D566" s="10">
        <v>3.4</v>
      </c>
      <c r="E566">
        <f t="shared" si="8"/>
        <v>0.7208</v>
      </c>
    </row>
    <row r="567" spans="1:5" x14ac:dyDescent="0.35">
      <c r="A567" s="11">
        <v>49206</v>
      </c>
      <c r="B567" s="12" t="s">
        <v>7</v>
      </c>
      <c r="C567" s="13">
        <v>26.4</v>
      </c>
      <c r="D567" s="14">
        <v>14.7</v>
      </c>
      <c r="E567">
        <f t="shared" si="8"/>
        <v>3.8807999999999998</v>
      </c>
    </row>
    <row r="568" spans="1:5" x14ac:dyDescent="0.35">
      <c r="A568" s="7">
        <v>49207</v>
      </c>
      <c r="B568" s="8" t="s">
        <v>5</v>
      </c>
      <c r="C568" s="9">
        <v>13.5</v>
      </c>
      <c r="D568" s="10">
        <v>0</v>
      </c>
      <c r="E568">
        <f t="shared" si="8"/>
        <v>0</v>
      </c>
    </row>
    <row r="569" spans="1:5" x14ac:dyDescent="0.35">
      <c r="A569" s="11">
        <v>49208</v>
      </c>
      <c r="B569" s="12" t="s">
        <v>22</v>
      </c>
      <c r="C569" s="13">
        <v>25.1</v>
      </c>
      <c r="D569" s="14">
        <v>0</v>
      </c>
      <c r="E569">
        <f t="shared" si="8"/>
        <v>0</v>
      </c>
    </row>
    <row r="570" spans="1:5" x14ac:dyDescent="0.35">
      <c r="A570" s="7">
        <v>49209</v>
      </c>
      <c r="B570" s="8" t="s">
        <v>11</v>
      </c>
      <c r="C570" s="9">
        <v>10.4</v>
      </c>
      <c r="D570" s="10">
        <v>11</v>
      </c>
      <c r="E570">
        <f t="shared" si="8"/>
        <v>1.1440000000000001</v>
      </c>
    </row>
    <row r="571" spans="1:5" x14ac:dyDescent="0.35">
      <c r="A571" s="11">
        <v>49210</v>
      </c>
      <c r="B571" s="12" t="s">
        <v>15</v>
      </c>
      <c r="C571" s="13">
        <v>24.3</v>
      </c>
      <c r="D571" s="14">
        <v>4.9000000000000004</v>
      </c>
      <c r="E571">
        <f t="shared" si="8"/>
        <v>1.1907000000000001</v>
      </c>
    </row>
    <row r="572" spans="1:5" x14ac:dyDescent="0.35">
      <c r="A572" s="7">
        <v>49211</v>
      </c>
      <c r="B572" s="8" t="s">
        <v>12</v>
      </c>
      <c r="C572" s="9">
        <v>18.7</v>
      </c>
      <c r="D572" s="10">
        <v>6.2</v>
      </c>
      <c r="E572">
        <f t="shared" si="8"/>
        <v>1.1594</v>
      </c>
    </row>
    <row r="573" spans="1:5" x14ac:dyDescent="0.35">
      <c r="A573" s="11">
        <v>49212</v>
      </c>
      <c r="B573" s="12" t="s">
        <v>33</v>
      </c>
      <c r="C573" s="13">
        <v>14.1</v>
      </c>
      <c r="D573" s="14">
        <v>0</v>
      </c>
      <c r="E573">
        <f t="shared" si="8"/>
        <v>0</v>
      </c>
    </row>
    <row r="574" spans="1:5" x14ac:dyDescent="0.35">
      <c r="A574" s="7">
        <v>49213</v>
      </c>
      <c r="B574" s="8" t="s">
        <v>23</v>
      </c>
      <c r="C574" s="9">
        <v>24.2</v>
      </c>
      <c r="D574" s="10">
        <v>0</v>
      </c>
      <c r="E574">
        <f t="shared" si="8"/>
        <v>0</v>
      </c>
    </row>
    <row r="575" spans="1:5" x14ac:dyDescent="0.35">
      <c r="A575" s="11">
        <v>49214</v>
      </c>
      <c r="B575" s="12" t="s">
        <v>22</v>
      </c>
      <c r="C575" s="13">
        <v>26.4</v>
      </c>
      <c r="D575" s="14">
        <v>0</v>
      </c>
      <c r="E575">
        <f t="shared" si="8"/>
        <v>0</v>
      </c>
    </row>
    <row r="576" spans="1:5" x14ac:dyDescent="0.35">
      <c r="A576" s="7">
        <v>49215</v>
      </c>
      <c r="B576" s="8" t="s">
        <v>10</v>
      </c>
      <c r="C576" s="9">
        <v>24.5</v>
      </c>
      <c r="D576" s="10">
        <v>4</v>
      </c>
      <c r="E576">
        <f t="shared" si="8"/>
        <v>0.98</v>
      </c>
    </row>
    <row r="577" spans="1:5" x14ac:dyDescent="0.35">
      <c r="A577" s="11">
        <v>49216</v>
      </c>
      <c r="B577" s="12" t="s">
        <v>14</v>
      </c>
      <c r="C577" s="13">
        <v>25.5</v>
      </c>
      <c r="D577" s="14">
        <v>2.9</v>
      </c>
      <c r="E577">
        <f t="shared" si="8"/>
        <v>0.73950000000000005</v>
      </c>
    </row>
    <row r="578" spans="1:5" x14ac:dyDescent="0.35">
      <c r="A578" s="7">
        <v>49217</v>
      </c>
      <c r="B578" s="8" t="s">
        <v>11</v>
      </c>
      <c r="C578" s="9">
        <v>11.8</v>
      </c>
      <c r="D578" s="10">
        <v>13.5</v>
      </c>
      <c r="E578">
        <f t="shared" si="8"/>
        <v>1.5930000000000002</v>
      </c>
    </row>
    <row r="579" spans="1:5" x14ac:dyDescent="0.35">
      <c r="A579" s="11">
        <v>49218</v>
      </c>
      <c r="B579" s="12" t="s">
        <v>22</v>
      </c>
      <c r="C579" s="13">
        <v>14.3</v>
      </c>
      <c r="D579" s="14">
        <v>5.4</v>
      </c>
      <c r="E579">
        <f t="shared" ref="E579:E642" si="9">IF(D579&gt;=1,C579*D579/100,0)</f>
        <v>0.77220000000000011</v>
      </c>
    </row>
    <row r="580" spans="1:5" x14ac:dyDescent="0.35">
      <c r="A580" s="7">
        <v>49219</v>
      </c>
      <c r="B580" s="8" t="s">
        <v>9</v>
      </c>
      <c r="C580" s="9">
        <v>12.4</v>
      </c>
      <c r="D580" s="10">
        <v>1.2</v>
      </c>
      <c r="E580">
        <f t="shared" si="9"/>
        <v>0.14879999999999999</v>
      </c>
    </row>
    <row r="581" spans="1:5" x14ac:dyDescent="0.35">
      <c r="A581" s="11">
        <v>49220</v>
      </c>
      <c r="B581" s="12" t="s">
        <v>19</v>
      </c>
      <c r="C581" s="13">
        <v>29.3</v>
      </c>
      <c r="D581" s="14">
        <v>19.8</v>
      </c>
      <c r="E581">
        <f t="shared" si="9"/>
        <v>5.8014000000000001</v>
      </c>
    </row>
    <row r="582" spans="1:5" x14ac:dyDescent="0.35">
      <c r="A582" s="7">
        <v>49221</v>
      </c>
      <c r="B582" s="8" t="s">
        <v>7</v>
      </c>
      <c r="C582" s="9">
        <v>29.4</v>
      </c>
      <c r="D582" s="10">
        <v>0</v>
      </c>
      <c r="E582">
        <f t="shared" si="9"/>
        <v>0</v>
      </c>
    </row>
    <row r="583" spans="1:5" x14ac:dyDescent="0.35">
      <c r="A583" s="11">
        <v>49222</v>
      </c>
      <c r="B583" s="12" t="s">
        <v>13</v>
      </c>
      <c r="C583" s="13">
        <v>29.8</v>
      </c>
      <c r="D583" s="14">
        <v>16</v>
      </c>
      <c r="E583">
        <f t="shared" si="9"/>
        <v>4.7679999999999998</v>
      </c>
    </row>
    <row r="584" spans="1:5" x14ac:dyDescent="0.35">
      <c r="A584" s="7">
        <v>49223</v>
      </c>
      <c r="B584" s="8" t="s">
        <v>19</v>
      </c>
      <c r="C584" s="9">
        <v>29.9</v>
      </c>
      <c r="D584" s="10">
        <v>13.3</v>
      </c>
      <c r="E584">
        <f t="shared" si="9"/>
        <v>3.9767000000000001</v>
      </c>
    </row>
    <row r="585" spans="1:5" x14ac:dyDescent="0.35">
      <c r="A585" s="11">
        <v>49224</v>
      </c>
      <c r="B585" s="12" t="s">
        <v>9</v>
      </c>
      <c r="C585" s="13">
        <v>11.6</v>
      </c>
      <c r="D585" s="14">
        <v>9.6999999999999993</v>
      </c>
      <c r="E585">
        <f t="shared" si="9"/>
        <v>1.1251999999999998</v>
      </c>
    </row>
    <row r="586" spans="1:5" x14ac:dyDescent="0.35">
      <c r="A586" s="7">
        <v>49225</v>
      </c>
      <c r="B586" s="8" t="s">
        <v>11</v>
      </c>
      <c r="C586" s="9">
        <v>10.199999999999999</v>
      </c>
      <c r="D586" s="10">
        <v>0</v>
      </c>
      <c r="E586">
        <f t="shared" si="9"/>
        <v>0</v>
      </c>
    </row>
    <row r="587" spans="1:5" x14ac:dyDescent="0.35">
      <c r="A587" s="11">
        <v>49226</v>
      </c>
      <c r="B587" s="12" t="s">
        <v>9</v>
      </c>
      <c r="C587" s="13">
        <v>10.7</v>
      </c>
      <c r="D587" s="14">
        <v>11.9</v>
      </c>
      <c r="E587">
        <f t="shared" si="9"/>
        <v>1.2732999999999999</v>
      </c>
    </row>
    <row r="588" spans="1:5" x14ac:dyDescent="0.35">
      <c r="A588" s="7">
        <v>49227</v>
      </c>
      <c r="B588" s="8" t="s">
        <v>30</v>
      </c>
      <c r="C588" s="9">
        <v>11.7</v>
      </c>
      <c r="D588" s="10">
        <v>0.1</v>
      </c>
      <c r="E588">
        <f t="shared" si="9"/>
        <v>0</v>
      </c>
    </row>
    <row r="589" spans="1:5" x14ac:dyDescent="0.35">
      <c r="A589" s="11">
        <v>49228</v>
      </c>
      <c r="B589" s="12" t="s">
        <v>18</v>
      </c>
      <c r="C589" s="13">
        <v>29.4</v>
      </c>
      <c r="D589" s="14">
        <v>9.6</v>
      </c>
      <c r="E589">
        <f t="shared" si="9"/>
        <v>2.8223999999999996</v>
      </c>
    </row>
    <row r="590" spans="1:5" x14ac:dyDescent="0.35">
      <c r="A590" s="7">
        <v>49229</v>
      </c>
      <c r="B590" s="8" t="s">
        <v>20</v>
      </c>
      <c r="C590" s="9">
        <v>29.1</v>
      </c>
      <c r="D590" s="10">
        <v>2.6</v>
      </c>
      <c r="E590">
        <f t="shared" si="9"/>
        <v>0.75660000000000016</v>
      </c>
    </row>
    <row r="591" spans="1:5" x14ac:dyDescent="0.35">
      <c r="A591" s="11">
        <v>49230</v>
      </c>
      <c r="B591" s="12" t="s">
        <v>10</v>
      </c>
      <c r="C591" s="13">
        <v>20.5</v>
      </c>
      <c r="D591" s="14">
        <v>30.1</v>
      </c>
      <c r="E591">
        <f t="shared" si="9"/>
        <v>6.1705000000000005</v>
      </c>
    </row>
    <row r="592" spans="1:5" x14ac:dyDescent="0.35">
      <c r="A592" s="7">
        <v>49231</v>
      </c>
      <c r="B592" s="8" t="s">
        <v>7</v>
      </c>
      <c r="C592" s="9">
        <v>26.2</v>
      </c>
      <c r="D592" s="10">
        <v>19</v>
      </c>
      <c r="E592">
        <f t="shared" si="9"/>
        <v>4.9779999999999998</v>
      </c>
    </row>
    <row r="593" spans="1:5" x14ac:dyDescent="0.35">
      <c r="A593" s="11">
        <v>49232</v>
      </c>
      <c r="B593" s="12" t="s">
        <v>15</v>
      </c>
      <c r="C593" s="13">
        <v>22.6</v>
      </c>
      <c r="D593" s="14">
        <v>0</v>
      </c>
      <c r="E593">
        <f t="shared" si="9"/>
        <v>0</v>
      </c>
    </row>
    <row r="594" spans="1:5" x14ac:dyDescent="0.35">
      <c r="A594" s="7">
        <v>49233</v>
      </c>
      <c r="B594" s="8" t="s">
        <v>14</v>
      </c>
      <c r="C594" s="9">
        <v>17.7</v>
      </c>
      <c r="D594" s="10">
        <v>0</v>
      </c>
      <c r="E594">
        <f t="shared" si="9"/>
        <v>0</v>
      </c>
    </row>
    <row r="595" spans="1:5" x14ac:dyDescent="0.35">
      <c r="A595" s="11">
        <v>49234</v>
      </c>
      <c r="B595" s="12" t="s">
        <v>19</v>
      </c>
      <c r="C595" s="13">
        <v>21.2</v>
      </c>
      <c r="D595" s="14">
        <v>0</v>
      </c>
      <c r="E595">
        <f t="shared" si="9"/>
        <v>0</v>
      </c>
    </row>
    <row r="596" spans="1:5" x14ac:dyDescent="0.35">
      <c r="A596" s="7">
        <v>49235</v>
      </c>
      <c r="B596" s="8" t="s">
        <v>33</v>
      </c>
      <c r="C596" s="9">
        <v>10.3</v>
      </c>
      <c r="D596" s="10">
        <v>0.2</v>
      </c>
      <c r="E596">
        <f t="shared" si="9"/>
        <v>0</v>
      </c>
    </row>
    <row r="597" spans="1:5" x14ac:dyDescent="0.35">
      <c r="A597" s="11">
        <v>49236</v>
      </c>
      <c r="B597" s="12" t="s">
        <v>25</v>
      </c>
      <c r="C597" s="13">
        <v>10.1</v>
      </c>
      <c r="D597" s="14">
        <v>2.1</v>
      </c>
      <c r="E597">
        <f t="shared" si="9"/>
        <v>0.21210000000000001</v>
      </c>
    </row>
    <row r="598" spans="1:5" x14ac:dyDescent="0.35">
      <c r="A598" s="7">
        <v>49237</v>
      </c>
      <c r="B598" s="8" t="s">
        <v>8</v>
      </c>
      <c r="C598" s="9">
        <v>23.4</v>
      </c>
      <c r="D598" s="10">
        <v>3.9</v>
      </c>
      <c r="E598">
        <f t="shared" si="9"/>
        <v>0.91259999999999986</v>
      </c>
    </row>
    <row r="599" spans="1:5" x14ac:dyDescent="0.35">
      <c r="A599" s="11">
        <v>49238</v>
      </c>
      <c r="B599" s="12" t="s">
        <v>31</v>
      </c>
      <c r="C599" s="13">
        <v>11.7</v>
      </c>
      <c r="D599" s="14">
        <v>0</v>
      </c>
      <c r="E599">
        <f t="shared" si="9"/>
        <v>0</v>
      </c>
    </row>
    <row r="600" spans="1:5" x14ac:dyDescent="0.35">
      <c r="A600" s="7">
        <v>49239</v>
      </c>
      <c r="B600" s="8" t="s">
        <v>5</v>
      </c>
      <c r="C600" s="9">
        <v>26</v>
      </c>
      <c r="D600" s="10">
        <v>2.1</v>
      </c>
      <c r="E600">
        <f t="shared" si="9"/>
        <v>0.54600000000000004</v>
      </c>
    </row>
    <row r="601" spans="1:5" x14ac:dyDescent="0.35">
      <c r="A601" s="11">
        <v>49240</v>
      </c>
      <c r="B601" s="12" t="s">
        <v>30</v>
      </c>
      <c r="C601" s="13">
        <v>29.5</v>
      </c>
      <c r="D601" s="14">
        <v>0.4</v>
      </c>
      <c r="E601">
        <f t="shared" si="9"/>
        <v>0</v>
      </c>
    </row>
    <row r="602" spans="1:5" x14ac:dyDescent="0.35">
      <c r="A602" s="7">
        <v>49241</v>
      </c>
      <c r="B602" s="8" t="s">
        <v>14</v>
      </c>
      <c r="C602" s="9">
        <v>13</v>
      </c>
      <c r="D602" s="10">
        <v>4.4000000000000004</v>
      </c>
      <c r="E602">
        <f t="shared" si="9"/>
        <v>0.57200000000000006</v>
      </c>
    </row>
    <row r="603" spans="1:5" x14ac:dyDescent="0.35">
      <c r="A603" s="11">
        <v>49242</v>
      </c>
      <c r="B603" s="12" t="s">
        <v>9</v>
      </c>
      <c r="C603" s="13">
        <v>17.100000000000001</v>
      </c>
      <c r="D603" s="14">
        <v>3.8</v>
      </c>
      <c r="E603">
        <f t="shared" si="9"/>
        <v>0.64980000000000004</v>
      </c>
    </row>
    <row r="604" spans="1:5" x14ac:dyDescent="0.35">
      <c r="A604" s="7">
        <v>49243</v>
      </c>
      <c r="B604" s="8" t="s">
        <v>27</v>
      </c>
      <c r="C604" s="9">
        <v>12.6</v>
      </c>
      <c r="D604" s="10">
        <v>0.2</v>
      </c>
      <c r="E604">
        <f t="shared" si="9"/>
        <v>0</v>
      </c>
    </row>
    <row r="605" spans="1:5" x14ac:dyDescent="0.35">
      <c r="A605" s="11">
        <v>49244</v>
      </c>
      <c r="B605" s="12" t="s">
        <v>10</v>
      </c>
      <c r="C605" s="13">
        <v>23.6</v>
      </c>
      <c r="D605" s="14">
        <v>24.1</v>
      </c>
      <c r="E605">
        <f t="shared" si="9"/>
        <v>5.6876000000000007</v>
      </c>
    </row>
    <row r="606" spans="1:5" x14ac:dyDescent="0.35">
      <c r="A606" s="7">
        <v>49245</v>
      </c>
      <c r="B606" s="8" t="s">
        <v>11</v>
      </c>
      <c r="C606" s="9">
        <v>14.9</v>
      </c>
      <c r="D606" s="10">
        <v>14.2</v>
      </c>
      <c r="E606">
        <f t="shared" si="9"/>
        <v>2.1157999999999997</v>
      </c>
    </row>
    <row r="607" spans="1:5" x14ac:dyDescent="0.35">
      <c r="A607" s="11">
        <v>49246</v>
      </c>
      <c r="B607" s="12" t="s">
        <v>12</v>
      </c>
      <c r="C607" s="13">
        <v>17</v>
      </c>
      <c r="D607" s="14">
        <v>0</v>
      </c>
      <c r="E607">
        <f t="shared" si="9"/>
        <v>0</v>
      </c>
    </row>
    <row r="608" spans="1:5" x14ac:dyDescent="0.35">
      <c r="A608" s="7">
        <v>49247</v>
      </c>
      <c r="B608" s="8" t="s">
        <v>11</v>
      </c>
      <c r="C608" s="9">
        <v>12.8</v>
      </c>
      <c r="D608" s="10">
        <v>0</v>
      </c>
      <c r="E608">
        <f t="shared" si="9"/>
        <v>0</v>
      </c>
    </row>
    <row r="609" spans="1:5" x14ac:dyDescent="0.35">
      <c r="A609" s="11">
        <v>49248</v>
      </c>
      <c r="B609" s="12" t="s">
        <v>13</v>
      </c>
      <c r="C609" s="13">
        <v>17.5</v>
      </c>
      <c r="D609" s="14">
        <v>0</v>
      </c>
      <c r="E609">
        <f t="shared" si="9"/>
        <v>0</v>
      </c>
    </row>
    <row r="610" spans="1:5" x14ac:dyDescent="0.35">
      <c r="A610" s="7">
        <v>49249</v>
      </c>
      <c r="B610" s="8" t="s">
        <v>10</v>
      </c>
      <c r="C610" s="9">
        <v>13.9</v>
      </c>
      <c r="D610" s="10">
        <v>15.3</v>
      </c>
      <c r="E610">
        <f t="shared" si="9"/>
        <v>2.1267</v>
      </c>
    </row>
    <row r="611" spans="1:5" x14ac:dyDescent="0.35">
      <c r="A611" s="11">
        <v>49250</v>
      </c>
      <c r="B611" s="12" t="s">
        <v>19</v>
      </c>
      <c r="C611" s="13">
        <v>25.9</v>
      </c>
      <c r="D611" s="14">
        <v>14.5</v>
      </c>
      <c r="E611">
        <f t="shared" si="9"/>
        <v>3.7554999999999996</v>
      </c>
    </row>
    <row r="612" spans="1:5" x14ac:dyDescent="0.35">
      <c r="A612" s="7">
        <v>49251</v>
      </c>
      <c r="B612" s="8" t="s">
        <v>17</v>
      </c>
      <c r="C612" s="9">
        <v>12.1</v>
      </c>
      <c r="D612" s="10">
        <v>0</v>
      </c>
      <c r="E612">
        <f t="shared" si="9"/>
        <v>0</v>
      </c>
    </row>
    <row r="613" spans="1:5" x14ac:dyDescent="0.35">
      <c r="A613" s="11">
        <v>49252</v>
      </c>
      <c r="B613" s="12" t="s">
        <v>7</v>
      </c>
      <c r="C613" s="13">
        <v>25.8</v>
      </c>
      <c r="D613" s="14">
        <v>12.3</v>
      </c>
      <c r="E613">
        <f t="shared" si="9"/>
        <v>3.1734000000000004</v>
      </c>
    </row>
    <row r="614" spans="1:5" x14ac:dyDescent="0.35">
      <c r="A614" s="7">
        <v>49253</v>
      </c>
      <c r="B614" s="8" t="s">
        <v>9</v>
      </c>
      <c r="C614" s="9">
        <v>29.1</v>
      </c>
      <c r="D614" s="10">
        <v>0</v>
      </c>
      <c r="E614">
        <f t="shared" si="9"/>
        <v>0</v>
      </c>
    </row>
    <row r="615" spans="1:5" x14ac:dyDescent="0.35">
      <c r="A615" s="11">
        <v>49254</v>
      </c>
      <c r="B615" s="12" t="s">
        <v>10</v>
      </c>
      <c r="C615" s="13">
        <v>13.2</v>
      </c>
      <c r="D615" s="14">
        <v>0</v>
      </c>
      <c r="E615">
        <f t="shared" si="9"/>
        <v>0</v>
      </c>
    </row>
    <row r="616" spans="1:5" x14ac:dyDescent="0.35">
      <c r="A616" s="7">
        <v>49255</v>
      </c>
      <c r="B616" s="8" t="s">
        <v>7</v>
      </c>
      <c r="C616" s="9">
        <v>29.4</v>
      </c>
      <c r="D616" s="10">
        <v>12.8</v>
      </c>
      <c r="E616">
        <f t="shared" si="9"/>
        <v>3.7631999999999999</v>
      </c>
    </row>
    <row r="617" spans="1:5" x14ac:dyDescent="0.35">
      <c r="A617" s="11">
        <v>49256</v>
      </c>
      <c r="B617" s="12" t="s">
        <v>15</v>
      </c>
      <c r="C617" s="13">
        <v>21</v>
      </c>
      <c r="D617" s="14">
        <v>0</v>
      </c>
      <c r="E617">
        <f t="shared" si="9"/>
        <v>0</v>
      </c>
    </row>
    <row r="618" spans="1:5" x14ac:dyDescent="0.35">
      <c r="A618" s="7">
        <v>49257</v>
      </c>
      <c r="B618" s="8" t="s">
        <v>6</v>
      </c>
      <c r="C618" s="9">
        <v>22.7</v>
      </c>
      <c r="D618" s="10">
        <v>12.4</v>
      </c>
      <c r="E618">
        <f t="shared" si="9"/>
        <v>2.8148</v>
      </c>
    </row>
    <row r="619" spans="1:5" x14ac:dyDescent="0.35">
      <c r="A619" s="11">
        <v>49258</v>
      </c>
      <c r="B619" s="12" t="s">
        <v>10</v>
      </c>
      <c r="C619" s="13">
        <v>25.1</v>
      </c>
      <c r="D619" s="14">
        <v>43.4</v>
      </c>
      <c r="E619">
        <f t="shared" si="9"/>
        <v>10.8934</v>
      </c>
    </row>
    <row r="620" spans="1:5" x14ac:dyDescent="0.35">
      <c r="A620" s="7">
        <v>49259</v>
      </c>
      <c r="B620" s="8" t="s">
        <v>10</v>
      </c>
      <c r="C620" s="9">
        <v>26.8</v>
      </c>
      <c r="D620" s="10">
        <v>26.9</v>
      </c>
      <c r="E620">
        <f t="shared" si="9"/>
        <v>7.2091999999999992</v>
      </c>
    </row>
    <row r="621" spans="1:5" x14ac:dyDescent="0.35">
      <c r="A621" s="11">
        <v>49260</v>
      </c>
      <c r="B621" s="12" t="s">
        <v>29</v>
      </c>
      <c r="C621" s="13">
        <v>15.9</v>
      </c>
      <c r="D621" s="14">
        <v>0.5</v>
      </c>
      <c r="E621">
        <f t="shared" si="9"/>
        <v>0</v>
      </c>
    </row>
    <row r="622" spans="1:5" x14ac:dyDescent="0.35">
      <c r="A622" s="7">
        <v>49261</v>
      </c>
      <c r="B622" s="8" t="s">
        <v>18</v>
      </c>
      <c r="C622" s="9">
        <v>27.6</v>
      </c>
      <c r="D622" s="10">
        <v>0</v>
      </c>
      <c r="E622">
        <f t="shared" si="9"/>
        <v>0</v>
      </c>
    </row>
    <row r="623" spans="1:5" x14ac:dyDescent="0.35">
      <c r="A623" s="11">
        <v>49262</v>
      </c>
      <c r="B623" s="12" t="s">
        <v>25</v>
      </c>
      <c r="C623" s="13">
        <v>20.8</v>
      </c>
      <c r="D623" s="14">
        <v>0</v>
      </c>
      <c r="E623">
        <f t="shared" si="9"/>
        <v>0</v>
      </c>
    </row>
    <row r="624" spans="1:5" x14ac:dyDescent="0.35">
      <c r="A624" s="7">
        <v>49263</v>
      </c>
      <c r="B624" s="8" t="s">
        <v>6</v>
      </c>
      <c r="C624" s="9">
        <v>23.9</v>
      </c>
      <c r="D624" s="10">
        <v>9.9</v>
      </c>
      <c r="E624">
        <f t="shared" si="9"/>
        <v>2.3660999999999999</v>
      </c>
    </row>
    <row r="625" spans="1:5" x14ac:dyDescent="0.35">
      <c r="A625" s="11">
        <v>49264</v>
      </c>
      <c r="B625" s="12" t="s">
        <v>27</v>
      </c>
      <c r="C625" s="13">
        <v>24.8</v>
      </c>
      <c r="D625" s="14">
        <v>4.7</v>
      </c>
      <c r="E625">
        <f t="shared" si="9"/>
        <v>1.1656</v>
      </c>
    </row>
    <row r="626" spans="1:5" x14ac:dyDescent="0.35">
      <c r="A626" s="7">
        <v>49265</v>
      </c>
      <c r="B626" s="8" t="s">
        <v>19</v>
      </c>
      <c r="C626" s="9">
        <v>16.3</v>
      </c>
      <c r="D626" s="10">
        <v>0</v>
      </c>
      <c r="E626">
        <f t="shared" si="9"/>
        <v>0</v>
      </c>
    </row>
    <row r="627" spans="1:5" x14ac:dyDescent="0.35">
      <c r="A627" s="11">
        <v>49266</v>
      </c>
      <c r="B627" s="12" t="s">
        <v>18</v>
      </c>
      <c r="C627" s="13">
        <v>20.100000000000001</v>
      </c>
      <c r="D627" s="14">
        <v>0</v>
      </c>
      <c r="E627">
        <f t="shared" si="9"/>
        <v>0</v>
      </c>
    </row>
    <row r="628" spans="1:5" x14ac:dyDescent="0.35">
      <c r="A628" s="7">
        <v>49267</v>
      </c>
      <c r="B628" s="8" t="s">
        <v>22</v>
      </c>
      <c r="C628" s="9">
        <v>25.9</v>
      </c>
      <c r="D628" s="10">
        <v>8.9</v>
      </c>
      <c r="E628">
        <f t="shared" si="9"/>
        <v>2.3050999999999999</v>
      </c>
    </row>
    <row r="629" spans="1:5" x14ac:dyDescent="0.35">
      <c r="A629" s="11">
        <v>49268</v>
      </c>
      <c r="B629" s="12" t="s">
        <v>19</v>
      </c>
      <c r="C629" s="13">
        <v>27.3</v>
      </c>
      <c r="D629" s="14">
        <v>15.8</v>
      </c>
      <c r="E629">
        <f t="shared" si="9"/>
        <v>4.3134000000000006</v>
      </c>
    </row>
    <row r="630" spans="1:5" x14ac:dyDescent="0.35">
      <c r="A630" s="7">
        <v>49269</v>
      </c>
      <c r="B630" s="8" t="s">
        <v>6</v>
      </c>
      <c r="C630" s="9">
        <v>19.100000000000001</v>
      </c>
      <c r="D630" s="10">
        <v>6.3</v>
      </c>
      <c r="E630">
        <f t="shared" si="9"/>
        <v>1.2033</v>
      </c>
    </row>
    <row r="631" spans="1:5" x14ac:dyDescent="0.35">
      <c r="A631" s="11">
        <v>49270</v>
      </c>
      <c r="B631" s="12" t="s">
        <v>10</v>
      </c>
      <c r="C631" s="13">
        <v>16.899999999999999</v>
      </c>
      <c r="D631" s="14">
        <v>0</v>
      </c>
      <c r="E631">
        <f t="shared" si="9"/>
        <v>0</v>
      </c>
    </row>
    <row r="632" spans="1:5" x14ac:dyDescent="0.35">
      <c r="A632" s="7">
        <v>49271</v>
      </c>
      <c r="B632" s="8" t="s">
        <v>7</v>
      </c>
      <c r="C632" s="9">
        <v>13.4</v>
      </c>
      <c r="D632" s="10">
        <v>20.100000000000001</v>
      </c>
      <c r="E632">
        <f t="shared" si="9"/>
        <v>2.6934000000000005</v>
      </c>
    </row>
    <row r="633" spans="1:5" x14ac:dyDescent="0.35">
      <c r="A633" s="11">
        <v>49272</v>
      </c>
      <c r="B633" s="12" t="s">
        <v>24</v>
      </c>
      <c r="C633" s="13">
        <v>24.8</v>
      </c>
      <c r="D633" s="14">
        <v>0.4</v>
      </c>
      <c r="E633">
        <f t="shared" si="9"/>
        <v>0</v>
      </c>
    </row>
    <row r="634" spans="1:5" x14ac:dyDescent="0.35">
      <c r="A634" s="7">
        <v>49273</v>
      </c>
      <c r="B634" s="8" t="s">
        <v>17</v>
      </c>
      <c r="C634" s="9">
        <v>28.4</v>
      </c>
      <c r="D634" s="10">
        <v>1.6</v>
      </c>
      <c r="E634">
        <f t="shared" si="9"/>
        <v>0.45439999999999997</v>
      </c>
    </row>
    <row r="635" spans="1:5" x14ac:dyDescent="0.35">
      <c r="A635" s="11">
        <v>49274</v>
      </c>
      <c r="B635" s="12" t="s">
        <v>23</v>
      </c>
      <c r="C635" s="13">
        <v>25.3</v>
      </c>
      <c r="D635" s="14">
        <v>1.8</v>
      </c>
      <c r="E635">
        <f t="shared" si="9"/>
        <v>0.45539999999999997</v>
      </c>
    </row>
    <row r="636" spans="1:5" x14ac:dyDescent="0.35">
      <c r="A636" s="7">
        <v>49275</v>
      </c>
      <c r="B636" s="8" t="s">
        <v>18</v>
      </c>
      <c r="C636" s="9">
        <v>25.9</v>
      </c>
      <c r="D636" s="10">
        <v>1.6</v>
      </c>
      <c r="E636">
        <f t="shared" si="9"/>
        <v>0.41439999999999999</v>
      </c>
    </row>
    <row r="637" spans="1:5" x14ac:dyDescent="0.35">
      <c r="A637" s="11">
        <v>49276</v>
      </c>
      <c r="B637" s="12" t="s">
        <v>6</v>
      </c>
      <c r="C637" s="13">
        <v>12.2</v>
      </c>
      <c r="D637" s="14">
        <v>0.8</v>
      </c>
      <c r="E637">
        <f t="shared" si="9"/>
        <v>0</v>
      </c>
    </row>
    <row r="638" spans="1:5" x14ac:dyDescent="0.35">
      <c r="A638" s="7">
        <v>49277</v>
      </c>
      <c r="B638" s="8" t="s">
        <v>33</v>
      </c>
      <c r="C638" s="9">
        <v>22.8</v>
      </c>
      <c r="D638" s="10">
        <v>2.2999999999999998</v>
      </c>
      <c r="E638">
        <f t="shared" si="9"/>
        <v>0.52439999999999998</v>
      </c>
    </row>
    <row r="639" spans="1:5" x14ac:dyDescent="0.35">
      <c r="A639" s="11">
        <v>49278</v>
      </c>
      <c r="B639" s="12" t="s">
        <v>19</v>
      </c>
      <c r="C639" s="13">
        <v>12.7</v>
      </c>
      <c r="D639" s="14">
        <v>0</v>
      </c>
      <c r="E639">
        <f t="shared" si="9"/>
        <v>0</v>
      </c>
    </row>
    <row r="640" spans="1:5" x14ac:dyDescent="0.35">
      <c r="A640" s="7">
        <v>49279</v>
      </c>
      <c r="B640" s="8" t="s">
        <v>26</v>
      </c>
      <c r="C640" s="9">
        <v>13</v>
      </c>
      <c r="D640" s="10">
        <v>5.0999999999999996</v>
      </c>
      <c r="E640">
        <f t="shared" si="9"/>
        <v>0.66299999999999992</v>
      </c>
    </row>
    <row r="641" spans="1:5" x14ac:dyDescent="0.35">
      <c r="A641" s="11">
        <v>49280</v>
      </c>
      <c r="B641" s="12" t="s">
        <v>10</v>
      </c>
      <c r="C641" s="13">
        <v>13.5</v>
      </c>
      <c r="D641" s="14">
        <v>4.9000000000000004</v>
      </c>
      <c r="E641">
        <f t="shared" si="9"/>
        <v>0.66150000000000009</v>
      </c>
    </row>
    <row r="642" spans="1:5" x14ac:dyDescent="0.35">
      <c r="A642" s="7">
        <v>49281</v>
      </c>
      <c r="B642" s="8" t="s">
        <v>13</v>
      </c>
      <c r="C642" s="9">
        <v>17.8</v>
      </c>
      <c r="D642" s="10">
        <v>5</v>
      </c>
      <c r="E642">
        <f t="shared" si="9"/>
        <v>0.89</v>
      </c>
    </row>
    <row r="643" spans="1:5" x14ac:dyDescent="0.35">
      <c r="A643" s="11">
        <v>49282</v>
      </c>
      <c r="B643" s="12" t="s">
        <v>10</v>
      </c>
      <c r="C643" s="13">
        <v>21.5</v>
      </c>
      <c r="D643" s="14">
        <v>47.1</v>
      </c>
      <c r="E643">
        <f t="shared" ref="E643:E706" si="10">IF(D643&gt;=1,C643*D643/100,0)</f>
        <v>10.1265</v>
      </c>
    </row>
    <row r="644" spans="1:5" x14ac:dyDescent="0.35">
      <c r="A644" s="7">
        <v>49283</v>
      </c>
      <c r="B644" s="8" t="s">
        <v>8</v>
      </c>
      <c r="C644" s="9">
        <v>20.5</v>
      </c>
      <c r="D644" s="10">
        <v>0.1</v>
      </c>
      <c r="E644">
        <f t="shared" si="10"/>
        <v>0</v>
      </c>
    </row>
    <row r="645" spans="1:5" x14ac:dyDescent="0.35">
      <c r="A645" s="11">
        <v>49284</v>
      </c>
      <c r="B645" s="12" t="s">
        <v>13</v>
      </c>
      <c r="C645" s="13">
        <v>14.4</v>
      </c>
      <c r="D645" s="14">
        <v>0</v>
      </c>
      <c r="E645">
        <f t="shared" si="10"/>
        <v>0</v>
      </c>
    </row>
    <row r="646" spans="1:5" x14ac:dyDescent="0.35">
      <c r="A646" s="7">
        <v>49285</v>
      </c>
      <c r="B646" s="8" t="s">
        <v>15</v>
      </c>
      <c r="C646" s="9">
        <v>12.3</v>
      </c>
      <c r="D646" s="10">
        <v>0</v>
      </c>
      <c r="E646">
        <f t="shared" si="10"/>
        <v>0</v>
      </c>
    </row>
    <row r="647" spans="1:5" x14ac:dyDescent="0.35">
      <c r="A647" s="11">
        <v>49286</v>
      </c>
      <c r="B647" s="12" t="s">
        <v>13</v>
      </c>
      <c r="C647" s="13">
        <v>26.5</v>
      </c>
      <c r="D647" s="14">
        <v>14</v>
      </c>
      <c r="E647">
        <f t="shared" si="10"/>
        <v>3.71</v>
      </c>
    </row>
    <row r="648" spans="1:5" x14ac:dyDescent="0.35">
      <c r="A648" s="7">
        <v>49287</v>
      </c>
      <c r="B648" s="8" t="s">
        <v>13</v>
      </c>
      <c r="C648" s="9">
        <v>17.7</v>
      </c>
      <c r="D648" s="10">
        <v>0</v>
      </c>
      <c r="E648">
        <f t="shared" si="10"/>
        <v>0</v>
      </c>
    </row>
    <row r="649" spans="1:5" x14ac:dyDescent="0.35">
      <c r="A649" s="11">
        <v>49288</v>
      </c>
      <c r="B649" s="12" t="s">
        <v>26</v>
      </c>
      <c r="C649" s="13">
        <v>15.7</v>
      </c>
      <c r="D649" s="14">
        <v>1</v>
      </c>
      <c r="E649">
        <f t="shared" si="10"/>
        <v>0.157</v>
      </c>
    </row>
    <row r="650" spans="1:5" x14ac:dyDescent="0.35">
      <c r="A650" s="7">
        <v>49289</v>
      </c>
      <c r="B650" s="8" t="s">
        <v>20</v>
      </c>
      <c r="C650" s="9">
        <v>16.2</v>
      </c>
      <c r="D650" s="10">
        <v>0</v>
      </c>
      <c r="E650">
        <f t="shared" si="10"/>
        <v>0</v>
      </c>
    </row>
    <row r="651" spans="1:5" x14ac:dyDescent="0.35">
      <c r="A651" s="11">
        <v>49290</v>
      </c>
      <c r="B651" s="12" t="s">
        <v>21</v>
      </c>
      <c r="C651" s="13">
        <v>18.600000000000001</v>
      </c>
      <c r="D651" s="14">
        <v>1.4</v>
      </c>
      <c r="E651">
        <f t="shared" si="10"/>
        <v>0.26039999999999996</v>
      </c>
    </row>
    <row r="652" spans="1:5" x14ac:dyDescent="0.35">
      <c r="A652" s="7">
        <v>49291</v>
      </c>
      <c r="B652" s="8" t="s">
        <v>18</v>
      </c>
      <c r="C652" s="9">
        <v>23.9</v>
      </c>
      <c r="D652" s="10">
        <v>4</v>
      </c>
      <c r="E652">
        <f t="shared" si="10"/>
        <v>0.95599999999999996</v>
      </c>
    </row>
    <row r="653" spans="1:5" x14ac:dyDescent="0.35">
      <c r="A653" s="11">
        <v>49292</v>
      </c>
      <c r="B653" s="12" t="s">
        <v>10</v>
      </c>
      <c r="C653" s="13">
        <v>15.8</v>
      </c>
      <c r="D653" s="14">
        <v>50.3</v>
      </c>
      <c r="E653">
        <f t="shared" si="10"/>
        <v>7.9474</v>
      </c>
    </row>
    <row r="654" spans="1:5" x14ac:dyDescent="0.35">
      <c r="A654" s="7">
        <v>49293</v>
      </c>
      <c r="B654" s="8" t="s">
        <v>12</v>
      </c>
      <c r="C654" s="9">
        <v>26.2</v>
      </c>
      <c r="D654" s="10">
        <v>8.5</v>
      </c>
      <c r="E654">
        <f t="shared" si="10"/>
        <v>2.2269999999999999</v>
      </c>
    </row>
    <row r="655" spans="1:5" x14ac:dyDescent="0.35">
      <c r="A655" s="11">
        <v>49294</v>
      </c>
      <c r="B655" s="12" t="s">
        <v>10</v>
      </c>
      <c r="C655" s="13">
        <v>23.1</v>
      </c>
      <c r="D655" s="14">
        <v>0</v>
      </c>
      <c r="E655">
        <f t="shared" si="10"/>
        <v>0</v>
      </c>
    </row>
    <row r="656" spans="1:5" x14ac:dyDescent="0.35">
      <c r="A656" s="7">
        <v>49295</v>
      </c>
      <c r="B656" s="8" t="s">
        <v>21</v>
      </c>
      <c r="C656" s="9">
        <v>10.8</v>
      </c>
      <c r="D656" s="10">
        <v>0</v>
      </c>
      <c r="E656">
        <f t="shared" si="10"/>
        <v>0</v>
      </c>
    </row>
    <row r="657" spans="1:5" x14ac:dyDescent="0.35">
      <c r="A657" s="11">
        <v>49296</v>
      </c>
      <c r="B657" s="12" t="s">
        <v>18</v>
      </c>
      <c r="C657" s="13">
        <v>21.2</v>
      </c>
      <c r="D657" s="14">
        <v>16.100000000000001</v>
      </c>
      <c r="E657">
        <f t="shared" si="10"/>
        <v>3.4131999999999998</v>
      </c>
    </row>
    <row r="658" spans="1:5" x14ac:dyDescent="0.35">
      <c r="A658" s="7">
        <v>49297</v>
      </c>
      <c r="B658" s="8" t="s">
        <v>7</v>
      </c>
      <c r="C658" s="9">
        <v>26.3</v>
      </c>
      <c r="D658" s="10">
        <v>21.1</v>
      </c>
      <c r="E658">
        <f t="shared" si="10"/>
        <v>5.5493000000000006</v>
      </c>
    </row>
    <row r="659" spans="1:5" x14ac:dyDescent="0.35">
      <c r="A659" s="11">
        <v>49298</v>
      </c>
      <c r="B659" s="12" t="s">
        <v>7</v>
      </c>
      <c r="C659" s="13">
        <v>22.8</v>
      </c>
      <c r="D659" s="14">
        <v>22.7</v>
      </c>
      <c r="E659">
        <f t="shared" si="10"/>
        <v>5.1755999999999993</v>
      </c>
    </row>
    <row r="660" spans="1:5" x14ac:dyDescent="0.35">
      <c r="A660" s="7">
        <v>49299</v>
      </c>
      <c r="B660" s="8" t="s">
        <v>18</v>
      </c>
      <c r="C660" s="9">
        <v>24</v>
      </c>
      <c r="D660" s="10">
        <v>11.5</v>
      </c>
      <c r="E660">
        <f t="shared" si="10"/>
        <v>2.76</v>
      </c>
    </row>
    <row r="661" spans="1:5" x14ac:dyDescent="0.35">
      <c r="A661" s="11">
        <v>49300</v>
      </c>
      <c r="B661" s="12" t="s">
        <v>14</v>
      </c>
      <c r="C661" s="13">
        <v>16.8</v>
      </c>
      <c r="D661" s="14">
        <v>2</v>
      </c>
      <c r="E661">
        <f t="shared" si="10"/>
        <v>0.33600000000000002</v>
      </c>
    </row>
    <row r="662" spans="1:5" x14ac:dyDescent="0.35">
      <c r="A662" s="7">
        <v>49301</v>
      </c>
      <c r="B662" s="8" t="s">
        <v>13</v>
      </c>
      <c r="C662" s="9">
        <v>12.5</v>
      </c>
      <c r="D662" s="10">
        <v>4.7</v>
      </c>
      <c r="E662">
        <f t="shared" si="10"/>
        <v>0.58750000000000002</v>
      </c>
    </row>
    <row r="663" spans="1:5" x14ac:dyDescent="0.35">
      <c r="A663" s="11">
        <v>49302</v>
      </c>
      <c r="B663" s="12" t="s">
        <v>10</v>
      </c>
      <c r="C663" s="13">
        <v>15</v>
      </c>
      <c r="D663" s="14">
        <v>1.7</v>
      </c>
      <c r="E663">
        <f t="shared" si="10"/>
        <v>0.255</v>
      </c>
    </row>
    <row r="664" spans="1:5" x14ac:dyDescent="0.35">
      <c r="A664" s="7">
        <v>49303</v>
      </c>
      <c r="B664" s="8" t="s">
        <v>18</v>
      </c>
      <c r="C664" s="9">
        <v>16.2</v>
      </c>
      <c r="D664" s="10">
        <v>0</v>
      </c>
      <c r="E664">
        <f t="shared" si="10"/>
        <v>0</v>
      </c>
    </row>
    <row r="665" spans="1:5" x14ac:dyDescent="0.35">
      <c r="A665" s="11">
        <v>49304</v>
      </c>
      <c r="B665" s="12" t="s">
        <v>7</v>
      </c>
      <c r="C665" s="13">
        <v>29.3</v>
      </c>
      <c r="D665" s="14">
        <v>0</v>
      </c>
      <c r="E665">
        <f t="shared" si="10"/>
        <v>0</v>
      </c>
    </row>
    <row r="666" spans="1:5" x14ac:dyDescent="0.35">
      <c r="A666" s="7">
        <v>49305</v>
      </c>
      <c r="B666" s="8" t="s">
        <v>32</v>
      </c>
      <c r="C666" s="9">
        <v>26.4</v>
      </c>
      <c r="D666" s="10">
        <v>0.2</v>
      </c>
      <c r="E666">
        <f t="shared" si="10"/>
        <v>0</v>
      </c>
    </row>
    <row r="667" spans="1:5" x14ac:dyDescent="0.35">
      <c r="A667" s="11">
        <v>49306</v>
      </c>
      <c r="B667" s="12" t="s">
        <v>18</v>
      </c>
      <c r="C667" s="13">
        <v>23</v>
      </c>
      <c r="D667" s="14">
        <v>0</v>
      </c>
      <c r="E667">
        <f t="shared" si="10"/>
        <v>0</v>
      </c>
    </row>
    <row r="668" spans="1:5" x14ac:dyDescent="0.35">
      <c r="A668" s="7">
        <v>49307</v>
      </c>
      <c r="B668" s="8" t="s">
        <v>11</v>
      </c>
      <c r="C668" s="9">
        <v>25.4</v>
      </c>
      <c r="D668" s="10">
        <v>1.2</v>
      </c>
      <c r="E668">
        <f t="shared" si="10"/>
        <v>0.30479999999999996</v>
      </c>
    </row>
    <row r="669" spans="1:5" x14ac:dyDescent="0.35">
      <c r="A669" s="11">
        <v>49308</v>
      </c>
      <c r="B669" s="12" t="s">
        <v>10</v>
      </c>
      <c r="C669" s="13">
        <v>24.5</v>
      </c>
      <c r="D669" s="14">
        <v>22.5</v>
      </c>
      <c r="E669">
        <f t="shared" si="10"/>
        <v>5.5125000000000002</v>
      </c>
    </row>
    <row r="670" spans="1:5" x14ac:dyDescent="0.35">
      <c r="A670" s="7">
        <v>49309</v>
      </c>
      <c r="B670" s="8" t="s">
        <v>19</v>
      </c>
      <c r="C670" s="9">
        <v>19</v>
      </c>
      <c r="D670" s="10">
        <v>18.899999999999999</v>
      </c>
      <c r="E670">
        <f t="shared" si="10"/>
        <v>3.5909999999999997</v>
      </c>
    </row>
    <row r="671" spans="1:5" x14ac:dyDescent="0.35">
      <c r="A671" s="11">
        <v>49310</v>
      </c>
      <c r="B671" s="12" t="s">
        <v>19</v>
      </c>
      <c r="C671" s="13">
        <v>10</v>
      </c>
      <c r="D671" s="14">
        <v>7.6</v>
      </c>
      <c r="E671">
        <f t="shared" si="10"/>
        <v>0.76</v>
      </c>
    </row>
    <row r="672" spans="1:5" x14ac:dyDescent="0.35">
      <c r="A672" s="7">
        <v>49311</v>
      </c>
      <c r="B672" s="8" t="s">
        <v>10</v>
      </c>
      <c r="C672" s="9">
        <v>10.4</v>
      </c>
      <c r="D672" s="10">
        <v>20.6</v>
      </c>
      <c r="E672">
        <f t="shared" si="10"/>
        <v>2.1424000000000003</v>
      </c>
    </row>
    <row r="673" spans="1:5" x14ac:dyDescent="0.35">
      <c r="A673" s="11">
        <v>49312</v>
      </c>
      <c r="B673" s="12" t="s">
        <v>21</v>
      </c>
      <c r="C673" s="13">
        <v>10.5</v>
      </c>
      <c r="D673" s="14">
        <v>0</v>
      </c>
      <c r="E673">
        <f t="shared" si="10"/>
        <v>0</v>
      </c>
    </row>
    <row r="674" spans="1:5" x14ac:dyDescent="0.35">
      <c r="A674" s="7">
        <v>49313</v>
      </c>
      <c r="B674" s="8" t="s">
        <v>6</v>
      </c>
      <c r="C674" s="9">
        <v>12.1</v>
      </c>
      <c r="D674" s="10">
        <v>8.8000000000000007</v>
      </c>
      <c r="E674">
        <f t="shared" si="10"/>
        <v>1.0648</v>
      </c>
    </row>
    <row r="675" spans="1:5" x14ac:dyDescent="0.35">
      <c r="A675" s="11">
        <v>49314</v>
      </c>
      <c r="B675" s="12" t="s">
        <v>10</v>
      </c>
      <c r="C675" s="13">
        <v>20.5</v>
      </c>
      <c r="D675" s="14">
        <v>0</v>
      </c>
      <c r="E675">
        <f t="shared" si="10"/>
        <v>0</v>
      </c>
    </row>
    <row r="676" spans="1:5" x14ac:dyDescent="0.35">
      <c r="A676" s="7">
        <v>49315</v>
      </c>
      <c r="B676" s="8" t="s">
        <v>13</v>
      </c>
      <c r="C676" s="9">
        <v>13.1</v>
      </c>
      <c r="D676" s="10">
        <v>0</v>
      </c>
      <c r="E676">
        <f t="shared" si="10"/>
        <v>0</v>
      </c>
    </row>
    <row r="677" spans="1:5" x14ac:dyDescent="0.35">
      <c r="A677" s="11">
        <v>49316</v>
      </c>
      <c r="B677" s="12" t="s">
        <v>26</v>
      </c>
      <c r="C677" s="13">
        <v>29.8</v>
      </c>
      <c r="D677" s="14">
        <v>1.1000000000000001</v>
      </c>
      <c r="E677">
        <f t="shared" si="10"/>
        <v>0.32780000000000004</v>
      </c>
    </row>
    <row r="678" spans="1:5" x14ac:dyDescent="0.35">
      <c r="A678" s="7">
        <v>49317</v>
      </c>
      <c r="B678" s="8" t="s">
        <v>15</v>
      </c>
      <c r="C678" s="9">
        <v>17.100000000000001</v>
      </c>
      <c r="D678" s="10">
        <v>5.5</v>
      </c>
      <c r="E678">
        <f t="shared" si="10"/>
        <v>0.94050000000000011</v>
      </c>
    </row>
    <row r="679" spans="1:5" x14ac:dyDescent="0.35">
      <c r="A679" s="11">
        <v>49318</v>
      </c>
      <c r="B679" s="12" t="s">
        <v>14</v>
      </c>
      <c r="C679" s="13">
        <v>29.1</v>
      </c>
      <c r="D679" s="14">
        <v>0.4</v>
      </c>
      <c r="E679">
        <f t="shared" si="10"/>
        <v>0</v>
      </c>
    </row>
    <row r="680" spans="1:5" x14ac:dyDescent="0.35">
      <c r="A680" s="7">
        <v>49319</v>
      </c>
      <c r="B680" s="8" t="s">
        <v>18</v>
      </c>
      <c r="C680" s="9">
        <v>10.9</v>
      </c>
      <c r="D680" s="10">
        <v>0</v>
      </c>
      <c r="E680">
        <f t="shared" si="10"/>
        <v>0</v>
      </c>
    </row>
    <row r="681" spans="1:5" x14ac:dyDescent="0.35">
      <c r="A681" s="11">
        <v>49320</v>
      </c>
      <c r="B681" s="12" t="s">
        <v>32</v>
      </c>
      <c r="C681" s="13">
        <v>27.4</v>
      </c>
      <c r="D681" s="14">
        <v>0.3</v>
      </c>
      <c r="E681">
        <f t="shared" si="10"/>
        <v>0</v>
      </c>
    </row>
    <row r="682" spans="1:5" x14ac:dyDescent="0.35">
      <c r="A682" s="7">
        <v>49321</v>
      </c>
      <c r="B682" s="8" t="s">
        <v>19</v>
      </c>
      <c r="C682" s="9">
        <v>16.3</v>
      </c>
      <c r="D682" s="10">
        <v>9.8000000000000007</v>
      </c>
      <c r="E682">
        <f t="shared" si="10"/>
        <v>1.5974000000000002</v>
      </c>
    </row>
    <row r="683" spans="1:5" x14ac:dyDescent="0.35">
      <c r="A683" s="11">
        <v>49322</v>
      </c>
      <c r="B683" s="12" t="s">
        <v>7</v>
      </c>
      <c r="C683" s="13">
        <v>14.7</v>
      </c>
      <c r="D683" s="14">
        <v>0</v>
      </c>
      <c r="E683">
        <f t="shared" si="10"/>
        <v>0</v>
      </c>
    </row>
    <row r="684" spans="1:5" x14ac:dyDescent="0.35">
      <c r="A684" s="7">
        <v>49323</v>
      </c>
      <c r="B684" s="8" t="s">
        <v>12</v>
      </c>
      <c r="C684" s="9">
        <v>17.2</v>
      </c>
      <c r="D684" s="10">
        <v>2</v>
      </c>
      <c r="E684">
        <f t="shared" si="10"/>
        <v>0.34399999999999997</v>
      </c>
    </row>
    <row r="685" spans="1:5" x14ac:dyDescent="0.35">
      <c r="A685" s="11">
        <v>49324</v>
      </c>
      <c r="B685" s="12" t="s">
        <v>15</v>
      </c>
      <c r="C685" s="13">
        <v>24.2</v>
      </c>
      <c r="D685" s="14">
        <v>9.9</v>
      </c>
      <c r="E685">
        <f t="shared" si="10"/>
        <v>2.3957999999999999</v>
      </c>
    </row>
    <row r="686" spans="1:5" x14ac:dyDescent="0.35">
      <c r="A686" s="7">
        <v>49325</v>
      </c>
      <c r="B686" s="8" t="s">
        <v>13</v>
      </c>
      <c r="C686" s="9">
        <v>22.3</v>
      </c>
      <c r="D686" s="10">
        <v>0</v>
      </c>
      <c r="E686">
        <f t="shared" si="10"/>
        <v>0</v>
      </c>
    </row>
    <row r="687" spans="1:5" x14ac:dyDescent="0.35">
      <c r="A687" s="11">
        <v>49326</v>
      </c>
      <c r="B687" s="12" t="s">
        <v>29</v>
      </c>
      <c r="C687" s="13">
        <v>26.7</v>
      </c>
      <c r="D687" s="14">
        <v>0.6</v>
      </c>
      <c r="E687">
        <f t="shared" si="10"/>
        <v>0</v>
      </c>
    </row>
    <row r="688" spans="1:5" x14ac:dyDescent="0.35">
      <c r="A688" s="7">
        <v>49327</v>
      </c>
      <c r="B688" s="8" t="s">
        <v>12</v>
      </c>
      <c r="C688" s="9">
        <v>10.9</v>
      </c>
      <c r="D688" s="10">
        <v>3.8</v>
      </c>
      <c r="E688">
        <f t="shared" si="10"/>
        <v>0.41420000000000001</v>
      </c>
    </row>
    <row r="689" spans="1:5" x14ac:dyDescent="0.35">
      <c r="A689" s="11">
        <v>49328</v>
      </c>
      <c r="B689" s="12" t="s">
        <v>21</v>
      </c>
      <c r="C689" s="13">
        <v>23.7</v>
      </c>
      <c r="D689" s="14">
        <v>0</v>
      </c>
      <c r="E689">
        <f t="shared" si="10"/>
        <v>0</v>
      </c>
    </row>
    <row r="690" spans="1:5" x14ac:dyDescent="0.35">
      <c r="A690" s="7">
        <v>49329</v>
      </c>
      <c r="B690" s="8" t="s">
        <v>10</v>
      </c>
      <c r="C690" s="9">
        <v>16</v>
      </c>
      <c r="D690" s="10">
        <v>22.3</v>
      </c>
      <c r="E690">
        <f t="shared" si="10"/>
        <v>3.5680000000000001</v>
      </c>
    </row>
    <row r="691" spans="1:5" x14ac:dyDescent="0.35">
      <c r="A691" s="11">
        <v>49330</v>
      </c>
      <c r="B691" s="12" t="s">
        <v>10</v>
      </c>
      <c r="C691" s="13">
        <v>19.399999999999999</v>
      </c>
      <c r="D691" s="14">
        <v>41.6</v>
      </c>
      <c r="E691">
        <f t="shared" si="10"/>
        <v>8.0703999999999994</v>
      </c>
    </row>
    <row r="692" spans="1:5" x14ac:dyDescent="0.35">
      <c r="A692" s="7">
        <v>49331</v>
      </c>
      <c r="B692" s="8" t="s">
        <v>11</v>
      </c>
      <c r="C692" s="9">
        <v>26.7</v>
      </c>
      <c r="D692" s="10">
        <v>10</v>
      </c>
      <c r="E692">
        <f t="shared" si="10"/>
        <v>2.67</v>
      </c>
    </row>
    <row r="693" spans="1:5" x14ac:dyDescent="0.35">
      <c r="A693" s="11">
        <v>49332</v>
      </c>
      <c r="B693" s="12" t="s">
        <v>19</v>
      </c>
      <c r="C693" s="13">
        <v>20.8</v>
      </c>
      <c r="D693" s="14">
        <v>0</v>
      </c>
      <c r="E693">
        <f t="shared" si="10"/>
        <v>0</v>
      </c>
    </row>
    <row r="694" spans="1:5" x14ac:dyDescent="0.35">
      <c r="A694" s="7">
        <v>49333</v>
      </c>
      <c r="B694" s="8" t="s">
        <v>10</v>
      </c>
      <c r="C694" s="9">
        <v>25.6</v>
      </c>
      <c r="D694" s="10">
        <v>0</v>
      </c>
      <c r="E694">
        <f t="shared" si="10"/>
        <v>0</v>
      </c>
    </row>
    <row r="695" spans="1:5" x14ac:dyDescent="0.35">
      <c r="A695" s="11">
        <v>49334</v>
      </c>
      <c r="B695" s="12" t="s">
        <v>18</v>
      </c>
      <c r="C695" s="13">
        <v>18.3</v>
      </c>
      <c r="D695" s="14">
        <v>0.5</v>
      </c>
      <c r="E695">
        <f t="shared" si="10"/>
        <v>0</v>
      </c>
    </row>
    <row r="696" spans="1:5" x14ac:dyDescent="0.35">
      <c r="A696" s="7">
        <v>49335</v>
      </c>
      <c r="B696" s="8" t="s">
        <v>9</v>
      </c>
      <c r="C696" s="9">
        <v>27.4</v>
      </c>
      <c r="D696" s="10">
        <v>4.2</v>
      </c>
      <c r="E696">
        <f t="shared" si="10"/>
        <v>1.1508</v>
      </c>
    </row>
    <row r="697" spans="1:5" x14ac:dyDescent="0.35">
      <c r="A697" s="11">
        <v>49336</v>
      </c>
      <c r="B697" s="12" t="s">
        <v>23</v>
      </c>
      <c r="C697" s="13">
        <v>16.100000000000001</v>
      </c>
      <c r="D697" s="14">
        <v>3.4</v>
      </c>
      <c r="E697">
        <f t="shared" si="10"/>
        <v>0.5474</v>
      </c>
    </row>
    <row r="698" spans="1:5" x14ac:dyDescent="0.35">
      <c r="A698" s="7">
        <v>49337</v>
      </c>
      <c r="B698" s="8" t="s">
        <v>14</v>
      </c>
      <c r="C698" s="9">
        <v>27.5</v>
      </c>
      <c r="D698" s="10">
        <v>8</v>
      </c>
      <c r="E698">
        <f t="shared" si="10"/>
        <v>2.2000000000000002</v>
      </c>
    </row>
    <row r="699" spans="1:5" x14ac:dyDescent="0.35">
      <c r="A699" s="11">
        <v>49338</v>
      </c>
      <c r="B699" s="12" t="s">
        <v>9</v>
      </c>
      <c r="C699" s="13">
        <v>28.4</v>
      </c>
      <c r="D699" s="14">
        <v>10.199999999999999</v>
      </c>
      <c r="E699">
        <f t="shared" si="10"/>
        <v>2.8967999999999994</v>
      </c>
    </row>
    <row r="700" spans="1:5" x14ac:dyDescent="0.35">
      <c r="A700" s="7">
        <v>49339</v>
      </c>
      <c r="B700" s="8" t="s">
        <v>13</v>
      </c>
      <c r="C700" s="9">
        <v>16.100000000000001</v>
      </c>
      <c r="D700" s="10">
        <v>4</v>
      </c>
      <c r="E700">
        <f t="shared" si="10"/>
        <v>0.64400000000000002</v>
      </c>
    </row>
    <row r="701" spans="1:5" x14ac:dyDescent="0.35">
      <c r="A701" s="11">
        <v>49340</v>
      </c>
      <c r="B701" s="12" t="s">
        <v>23</v>
      </c>
      <c r="C701" s="13">
        <v>28.4</v>
      </c>
      <c r="D701" s="14">
        <v>2.6</v>
      </c>
      <c r="E701">
        <f t="shared" si="10"/>
        <v>0.73840000000000006</v>
      </c>
    </row>
    <row r="702" spans="1:5" x14ac:dyDescent="0.35">
      <c r="A702" s="7">
        <v>49341</v>
      </c>
      <c r="B702" s="8" t="s">
        <v>14</v>
      </c>
      <c r="C702" s="9">
        <v>29.3</v>
      </c>
      <c r="D702" s="10">
        <v>0</v>
      </c>
      <c r="E702">
        <f t="shared" si="10"/>
        <v>0</v>
      </c>
    </row>
    <row r="703" spans="1:5" x14ac:dyDescent="0.35">
      <c r="A703" s="11">
        <v>49342</v>
      </c>
      <c r="B703" s="12" t="s">
        <v>13</v>
      </c>
      <c r="C703" s="13">
        <v>19.7</v>
      </c>
      <c r="D703" s="14">
        <v>16.2</v>
      </c>
      <c r="E703">
        <f t="shared" si="10"/>
        <v>3.1913999999999998</v>
      </c>
    </row>
    <row r="704" spans="1:5" x14ac:dyDescent="0.35">
      <c r="A704" s="7">
        <v>49343</v>
      </c>
      <c r="B704" s="8" t="s">
        <v>31</v>
      </c>
      <c r="C704" s="9">
        <v>11.5</v>
      </c>
      <c r="D704" s="10">
        <v>0.3</v>
      </c>
      <c r="E704">
        <f t="shared" si="10"/>
        <v>0</v>
      </c>
    </row>
    <row r="705" spans="1:5" x14ac:dyDescent="0.35">
      <c r="A705" s="11">
        <v>49344</v>
      </c>
      <c r="B705" s="12" t="s">
        <v>19</v>
      </c>
      <c r="C705" s="13">
        <v>19.5</v>
      </c>
      <c r="D705" s="14">
        <v>0</v>
      </c>
      <c r="E705">
        <f t="shared" si="10"/>
        <v>0</v>
      </c>
    </row>
    <row r="706" spans="1:5" x14ac:dyDescent="0.35">
      <c r="A706" s="7">
        <v>49345</v>
      </c>
      <c r="B706" s="8" t="s">
        <v>20</v>
      </c>
      <c r="C706" s="9">
        <v>22.7</v>
      </c>
      <c r="D706" s="10">
        <v>0.7</v>
      </c>
      <c r="E706">
        <f t="shared" si="10"/>
        <v>0</v>
      </c>
    </row>
    <row r="707" spans="1:5" x14ac:dyDescent="0.35">
      <c r="A707" s="11">
        <v>49346</v>
      </c>
      <c r="B707" s="12" t="s">
        <v>7</v>
      </c>
      <c r="C707" s="13">
        <v>19.7</v>
      </c>
      <c r="D707" s="14">
        <v>7.3</v>
      </c>
      <c r="E707">
        <f t="shared" ref="E707:E770" si="11">IF(D707&gt;=1,C707*D707/100,0)</f>
        <v>1.4380999999999999</v>
      </c>
    </row>
    <row r="708" spans="1:5" x14ac:dyDescent="0.35">
      <c r="A708" s="7">
        <v>49347</v>
      </c>
      <c r="B708" s="8" t="s">
        <v>26</v>
      </c>
      <c r="C708" s="9">
        <v>19.399999999999999</v>
      </c>
      <c r="D708" s="10">
        <v>0.4</v>
      </c>
      <c r="E708">
        <f t="shared" si="11"/>
        <v>0</v>
      </c>
    </row>
    <row r="709" spans="1:5" x14ac:dyDescent="0.35">
      <c r="A709" s="11">
        <v>49348</v>
      </c>
      <c r="B709" s="12" t="s">
        <v>23</v>
      </c>
      <c r="C709" s="13">
        <v>13.8</v>
      </c>
      <c r="D709" s="14">
        <v>1.1000000000000001</v>
      </c>
      <c r="E709">
        <f t="shared" si="11"/>
        <v>0.15180000000000002</v>
      </c>
    </row>
    <row r="710" spans="1:5" x14ac:dyDescent="0.35">
      <c r="A710" s="7">
        <v>49349</v>
      </c>
      <c r="B710" s="8" t="s">
        <v>13</v>
      </c>
      <c r="C710" s="9">
        <v>19.600000000000001</v>
      </c>
      <c r="D710" s="10">
        <v>2.2999999999999998</v>
      </c>
      <c r="E710">
        <f t="shared" si="11"/>
        <v>0.45079999999999998</v>
      </c>
    </row>
    <row r="711" spans="1:5" x14ac:dyDescent="0.35">
      <c r="A711" s="11">
        <v>49350</v>
      </c>
      <c r="B711" s="12" t="s">
        <v>19</v>
      </c>
      <c r="C711" s="13">
        <v>22.6</v>
      </c>
      <c r="D711" s="14">
        <v>13.3</v>
      </c>
      <c r="E711">
        <f t="shared" si="11"/>
        <v>3.0058000000000002</v>
      </c>
    </row>
    <row r="712" spans="1:5" x14ac:dyDescent="0.35">
      <c r="A712" s="7">
        <v>49351</v>
      </c>
      <c r="B712" s="8" t="s">
        <v>6</v>
      </c>
      <c r="C712" s="9">
        <v>18.2</v>
      </c>
      <c r="D712" s="10">
        <v>7.6</v>
      </c>
      <c r="E712">
        <f t="shared" si="11"/>
        <v>1.3832</v>
      </c>
    </row>
    <row r="713" spans="1:5" x14ac:dyDescent="0.35">
      <c r="A713" s="11">
        <v>49352</v>
      </c>
      <c r="B713" s="12" t="s">
        <v>19</v>
      </c>
      <c r="C713" s="13">
        <v>27.3</v>
      </c>
      <c r="D713" s="14">
        <v>38.4</v>
      </c>
      <c r="E713">
        <f t="shared" si="11"/>
        <v>10.4832</v>
      </c>
    </row>
    <row r="714" spans="1:5" x14ac:dyDescent="0.35">
      <c r="A714" s="7">
        <v>49353</v>
      </c>
      <c r="B714" s="8" t="s">
        <v>19</v>
      </c>
      <c r="C714" s="9">
        <v>14.7</v>
      </c>
      <c r="D714" s="10">
        <v>31.8</v>
      </c>
      <c r="E714">
        <f t="shared" si="11"/>
        <v>4.6745999999999999</v>
      </c>
    </row>
    <row r="715" spans="1:5" x14ac:dyDescent="0.35">
      <c r="A715" s="11">
        <v>49354</v>
      </c>
      <c r="B715" s="12" t="s">
        <v>22</v>
      </c>
      <c r="C715" s="13">
        <v>20.6</v>
      </c>
      <c r="D715" s="14">
        <v>5.9</v>
      </c>
      <c r="E715">
        <f t="shared" si="11"/>
        <v>1.2154000000000003</v>
      </c>
    </row>
    <row r="716" spans="1:5" x14ac:dyDescent="0.35">
      <c r="A716" s="7">
        <v>49355</v>
      </c>
      <c r="B716" s="8" t="s">
        <v>10</v>
      </c>
      <c r="C716" s="9">
        <v>12.6</v>
      </c>
      <c r="D716" s="10">
        <v>14.4</v>
      </c>
      <c r="E716">
        <f t="shared" si="11"/>
        <v>1.8144</v>
      </c>
    </row>
    <row r="717" spans="1:5" x14ac:dyDescent="0.35">
      <c r="A717" s="11">
        <v>49356</v>
      </c>
      <c r="B717" s="12" t="s">
        <v>11</v>
      </c>
      <c r="C717" s="13">
        <v>14.5</v>
      </c>
      <c r="D717" s="14">
        <v>0</v>
      </c>
      <c r="E717">
        <f t="shared" si="11"/>
        <v>0</v>
      </c>
    </row>
    <row r="718" spans="1:5" x14ac:dyDescent="0.35">
      <c r="A718" s="7">
        <v>49357</v>
      </c>
      <c r="B718" s="8" t="s">
        <v>10</v>
      </c>
      <c r="C718" s="9">
        <v>24.7</v>
      </c>
      <c r="D718" s="10">
        <v>36</v>
      </c>
      <c r="E718">
        <f t="shared" si="11"/>
        <v>8.8919999999999995</v>
      </c>
    </row>
    <row r="719" spans="1:5" x14ac:dyDescent="0.35">
      <c r="A719" s="11">
        <v>49358</v>
      </c>
      <c r="B719" s="12" t="s">
        <v>19</v>
      </c>
      <c r="C719" s="13">
        <v>17.899999999999999</v>
      </c>
      <c r="D719" s="14">
        <v>24.9</v>
      </c>
      <c r="E719">
        <f t="shared" si="11"/>
        <v>4.4570999999999996</v>
      </c>
    </row>
    <row r="720" spans="1:5" x14ac:dyDescent="0.35">
      <c r="A720" s="7">
        <v>49359</v>
      </c>
      <c r="B720" s="8" t="s">
        <v>14</v>
      </c>
      <c r="C720" s="9">
        <v>20.2</v>
      </c>
      <c r="D720" s="10">
        <v>2.9</v>
      </c>
      <c r="E720">
        <f t="shared" si="11"/>
        <v>0.58579999999999999</v>
      </c>
    </row>
    <row r="721" spans="1:5" x14ac:dyDescent="0.35">
      <c r="A721" s="11">
        <v>49360</v>
      </c>
      <c r="B721" s="12" t="s">
        <v>8</v>
      </c>
      <c r="C721" s="13">
        <v>13.4</v>
      </c>
      <c r="D721" s="14">
        <v>1.7</v>
      </c>
      <c r="E721">
        <f t="shared" si="11"/>
        <v>0.2278</v>
      </c>
    </row>
    <row r="722" spans="1:5" x14ac:dyDescent="0.35">
      <c r="A722" s="7">
        <v>49361</v>
      </c>
      <c r="B722" s="8" t="s">
        <v>17</v>
      </c>
      <c r="C722" s="9">
        <v>12.2</v>
      </c>
      <c r="D722" s="10">
        <v>6</v>
      </c>
      <c r="E722">
        <f t="shared" si="11"/>
        <v>0.73199999999999987</v>
      </c>
    </row>
    <row r="723" spans="1:5" x14ac:dyDescent="0.35">
      <c r="A723" s="11">
        <v>49362</v>
      </c>
      <c r="B723" s="12" t="s">
        <v>30</v>
      </c>
      <c r="C723" s="13">
        <v>29.8</v>
      </c>
      <c r="D723" s="14">
        <v>0.4</v>
      </c>
      <c r="E723">
        <f t="shared" si="11"/>
        <v>0</v>
      </c>
    </row>
    <row r="724" spans="1:5" x14ac:dyDescent="0.35">
      <c r="A724" s="7">
        <v>49363</v>
      </c>
      <c r="B724" s="8" t="s">
        <v>19</v>
      </c>
      <c r="C724" s="9">
        <v>16.100000000000001</v>
      </c>
      <c r="D724" s="10">
        <v>28.7</v>
      </c>
      <c r="E724">
        <f t="shared" si="11"/>
        <v>4.6207000000000003</v>
      </c>
    </row>
    <row r="725" spans="1:5" x14ac:dyDescent="0.35">
      <c r="A725" s="11">
        <v>49364</v>
      </c>
      <c r="B725" s="12" t="s">
        <v>10</v>
      </c>
      <c r="C725" s="13">
        <v>18.8</v>
      </c>
      <c r="D725" s="14">
        <v>0</v>
      </c>
      <c r="E725">
        <f t="shared" si="11"/>
        <v>0</v>
      </c>
    </row>
    <row r="726" spans="1:5" x14ac:dyDescent="0.35">
      <c r="A726" s="7">
        <v>49365</v>
      </c>
      <c r="B726" s="8" t="s">
        <v>15</v>
      </c>
      <c r="C726" s="9">
        <v>17.100000000000001</v>
      </c>
      <c r="D726" s="10">
        <v>0</v>
      </c>
      <c r="E726">
        <f t="shared" si="11"/>
        <v>0</v>
      </c>
    </row>
    <row r="727" spans="1:5" x14ac:dyDescent="0.35">
      <c r="A727" s="11">
        <v>49366</v>
      </c>
      <c r="B727" s="12" t="s">
        <v>9</v>
      </c>
      <c r="C727" s="13">
        <v>11.7</v>
      </c>
      <c r="D727" s="14">
        <v>7.7</v>
      </c>
      <c r="E727">
        <f t="shared" si="11"/>
        <v>0.90090000000000003</v>
      </c>
    </row>
    <row r="728" spans="1:5" x14ac:dyDescent="0.35">
      <c r="A728" s="7">
        <v>49367</v>
      </c>
      <c r="B728" s="8" t="s">
        <v>18</v>
      </c>
      <c r="C728" s="9">
        <v>25.4</v>
      </c>
      <c r="D728" s="10">
        <v>14.2</v>
      </c>
      <c r="E728">
        <f t="shared" si="11"/>
        <v>3.6067999999999993</v>
      </c>
    </row>
    <row r="729" spans="1:5" x14ac:dyDescent="0.35">
      <c r="A729" s="11">
        <v>49368</v>
      </c>
      <c r="B729" s="12" t="s">
        <v>22</v>
      </c>
      <c r="C729" s="13">
        <v>12.6</v>
      </c>
      <c r="D729" s="14">
        <v>9</v>
      </c>
      <c r="E729">
        <f t="shared" si="11"/>
        <v>1.1339999999999999</v>
      </c>
    </row>
    <row r="730" spans="1:5" x14ac:dyDescent="0.35">
      <c r="A730" s="7">
        <v>49369</v>
      </c>
      <c r="B730" s="8" t="s">
        <v>10</v>
      </c>
      <c r="C730" s="9">
        <v>15.8</v>
      </c>
      <c r="D730" s="10">
        <v>0</v>
      </c>
      <c r="E730">
        <f t="shared" si="11"/>
        <v>0</v>
      </c>
    </row>
    <row r="731" spans="1:5" x14ac:dyDescent="0.35">
      <c r="A731" s="11">
        <v>49370</v>
      </c>
      <c r="B731" s="12" t="s">
        <v>18</v>
      </c>
      <c r="C731" s="13">
        <v>24.7</v>
      </c>
      <c r="D731" s="14">
        <v>13.9</v>
      </c>
      <c r="E731">
        <f t="shared" si="11"/>
        <v>3.4333</v>
      </c>
    </row>
    <row r="732" spans="1:5" x14ac:dyDescent="0.35">
      <c r="A732" s="7">
        <v>49371</v>
      </c>
      <c r="B732" s="8" t="s">
        <v>27</v>
      </c>
      <c r="C732" s="9">
        <v>26.7</v>
      </c>
      <c r="D732" s="10">
        <v>0</v>
      </c>
      <c r="E732">
        <f t="shared" si="11"/>
        <v>0</v>
      </c>
    </row>
    <row r="733" spans="1:5" x14ac:dyDescent="0.35">
      <c r="A733" s="11">
        <v>49372</v>
      </c>
      <c r="B733" s="12" t="s">
        <v>19</v>
      </c>
      <c r="C733" s="13">
        <v>21.2</v>
      </c>
      <c r="D733" s="14">
        <v>5.3</v>
      </c>
      <c r="E733">
        <f t="shared" si="11"/>
        <v>1.1235999999999999</v>
      </c>
    </row>
    <row r="734" spans="1:5" x14ac:dyDescent="0.35">
      <c r="A734" s="7">
        <v>49373</v>
      </c>
      <c r="B734" s="8" t="s">
        <v>6</v>
      </c>
      <c r="C734" s="9">
        <v>10.4</v>
      </c>
      <c r="D734" s="10">
        <v>8.6</v>
      </c>
      <c r="E734">
        <f t="shared" si="11"/>
        <v>0.89439999999999997</v>
      </c>
    </row>
    <row r="735" spans="1:5" x14ac:dyDescent="0.35">
      <c r="A735" s="11">
        <v>49374</v>
      </c>
      <c r="B735" s="12" t="s">
        <v>26</v>
      </c>
      <c r="C735" s="13">
        <v>25.1</v>
      </c>
      <c r="D735" s="14">
        <v>3.3</v>
      </c>
      <c r="E735">
        <f t="shared" si="11"/>
        <v>0.82830000000000004</v>
      </c>
    </row>
    <row r="736" spans="1:5" x14ac:dyDescent="0.35">
      <c r="A736" s="7">
        <v>49375</v>
      </c>
      <c r="B736" s="8" t="s">
        <v>19</v>
      </c>
      <c r="C736" s="9">
        <v>27.8</v>
      </c>
      <c r="D736" s="10">
        <v>20.9</v>
      </c>
      <c r="E736">
        <f t="shared" si="11"/>
        <v>5.8102</v>
      </c>
    </row>
    <row r="737" spans="1:5" x14ac:dyDescent="0.35">
      <c r="A737" s="11">
        <v>49376</v>
      </c>
      <c r="B737" s="12" t="s">
        <v>11</v>
      </c>
      <c r="C737" s="13">
        <v>26.1</v>
      </c>
      <c r="D737" s="14">
        <v>0</v>
      </c>
      <c r="E737">
        <f t="shared" si="11"/>
        <v>0</v>
      </c>
    </row>
    <row r="738" spans="1:5" x14ac:dyDescent="0.35">
      <c r="A738" s="7">
        <v>49377</v>
      </c>
      <c r="B738" s="8" t="s">
        <v>13</v>
      </c>
      <c r="C738" s="9">
        <v>18.3</v>
      </c>
      <c r="D738" s="10">
        <v>7.8</v>
      </c>
      <c r="E738">
        <f t="shared" si="11"/>
        <v>1.4274</v>
      </c>
    </row>
    <row r="739" spans="1:5" x14ac:dyDescent="0.35">
      <c r="A739" s="11">
        <v>49378</v>
      </c>
      <c r="B739" s="12" t="s">
        <v>11</v>
      </c>
      <c r="C739" s="13">
        <v>16.3</v>
      </c>
      <c r="D739" s="14">
        <v>0</v>
      </c>
      <c r="E739">
        <f t="shared" si="11"/>
        <v>0</v>
      </c>
    </row>
    <row r="740" spans="1:5" x14ac:dyDescent="0.35">
      <c r="A740" s="7">
        <v>49379</v>
      </c>
      <c r="B740" s="8" t="s">
        <v>11</v>
      </c>
      <c r="C740" s="9">
        <v>17.2</v>
      </c>
      <c r="D740" s="10">
        <v>12.5</v>
      </c>
      <c r="E740">
        <f t="shared" si="11"/>
        <v>2.15</v>
      </c>
    </row>
    <row r="741" spans="1:5" x14ac:dyDescent="0.35">
      <c r="A741" s="11">
        <v>49380</v>
      </c>
      <c r="B741" s="12" t="s">
        <v>24</v>
      </c>
      <c r="C741" s="13">
        <v>22.1</v>
      </c>
      <c r="D741" s="14">
        <v>3.7</v>
      </c>
      <c r="E741">
        <f t="shared" si="11"/>
        <v>0.81770000000000009</v>
      </c>
    </row>
    <row r="742" spans="1:5" x14ac:dyDescent="0.35">
      <c r="A742" s="7">
        <v>49381</v>
      </c>
      <c r="B742" s="8" t="s">
        <v>23</v>
      </c>
      <c r="C742" s="9">
        <v>18.8</v>
      </c>
      <c r="D742" s="10">
        <v>0</v>
      </c>
      <c r="E742">
        <f t="shared" si="11"/>
        <v>0</v>
      </c>
    </row>
    <row r="743" spans="1:5" x14ac:dyDescent="0.35">
      <c r="A743" s="11">
        <v>49382</v>
      </c>
      <c r="B743" s="12" t="s">
        <v>18</v>
      </c>
      <c r="C743" s="13">
        <v>12.3</v>
      </c>
      <c r="D743" s="14">
        <v>7.1</v>
      </c>
      <c r="E743">
        <f t="shared" si="11"/>
        <v>0.87329999999999997</v>
      </c>
    </row>
    <row r="744" spans="1:5" x14ac:dyDescent="0.35">
      <c r="A744" s="7">
        <v>49383</v>
      </c>
      <c r="B744" s="8" t="s">
        <v>10</v>
      </c>
      <c r="C744" s="9">
        <v>27.5</v>
      </c>
      <c r="D744" s="10">
        <v>34.299999999999997</v>
      </c>
      <c r="E744">
        <f t="shared" si="11"/>
        <v>9.4324999999999992</v>
      </c>
    </row>
    <row r="745" spans="1:5" x14ac:dyDescent="0.35">
      <c r="A745" s="11">
        <v>49384</v>
      </c>
      <c r="B745" s="12" t="s">
        <v>18</v>
      </c>
      <c r="C745" s="13">
        <v>23.1</v>
      </c>
      <c r="D745" s="14">
        <v>0</v>
      </c>
      <c r="E745">
        <f t="shared" si="11"/>
        <v>0</v>
      </c>
    </row>
    <row r="746" spans="1:5" x14ac:dyDescent="0.35">
      <c r="A746" s="7">
        <v>49385</v>
      </c>
      <c r="B746" s="8" t="s">
        <v>11</v>
      </c>
      <c r="C746" s="9">
        <v>21.3</v>
      </c>
      <c r="D746" s="10">
        <v>0</v>
      </c>
      <c r="E746">
        <f t="shared" si="11"/>
        <v>0</v>
      </c>
    </row>
    <row r="747" spans="1:5" x14ac:dyDescent="0.35">
      <c r="A747" s="11">
        <v>49386</v>
      </c>
      <c r="B747" s="12" t="s">
        <v>26</v>
      </c>
      <c r="C747" s="13">
        <v>13.8</v>
      </c>
      <c r="D747" s="14">
        <v>5.9</v>
      </c>
      <c r="E747">
        <f t="shared" si="11"/>
        <v>0.81420000000000015</v>
      </c>
    </row>
    <row r="748" spans="1:5" x14ac:dyDescent="0.35">
      <c r="A748" s="7">
        <v>49387</v>
      </c>
      <c r="B748" s="8" t="s">
        <v>13</v>
      </c>
      <c r="C748" s="9">
        <v>20</v>
      </c>
      <c r="D748" s="10">
        <v>16</v>
      </c>
      <c r="E748">
        <f t="shared" si="11"/>
        <v>3.2</v>
      </c>
    </row>
    <row r="749" spans="1:5" x14ac:dyDescent="0.35">
      <c r="A749" s="11">
        <v>49388</v>
      </c>
      <c r="B749" s="12" t="s">
        <v>12</v>
      </c>
      <c r="C749" s="13">
        <v>23.9</v>
      </c>
      <c r="D749" s="14">
        <v>0</v>
      </c>
      <c r="E749">
        <f t="shared" si="11"/>
        <v>0</v>
      </c>
    </row>
    <row r="750" spans="1:5" x14ac:dyDescent="0.35">
      <c r="A750" s="7">
        <v>49389</v>
      </c>
      <c r="B750" s="8" t="s">
        <v>29</v>
      </c>
      <c r="C750" s="9">
        <v>15.3</v>
      </c>
      <c r="D750" s="10">
        <v>0.1</v>
      </c>
      <c r="E750">
        <f t="shared" si="11"/>
        <v>0</v>
      </c>
    </row>
    <row r="751" spans="1:5" x14ac:dyDescent="0.35">
      <c r="A751" s="11">
        <v>49390</v>
      </c>
      <c r="B751" s="12" t="s">
        <v>14</v>
      </c>
      <c r="C751" s="13">
        <v>16.600000000000001</v>
      </c>
      <c r="D751" s="14">
        <v>0</v>
      </c>
      <c r="E751">
        <f t="shared" si="11"/>
        <v>0</v>
      </c>
    </row>
    <row r="752" spans="1:5" x14ac:dyDescent="0.35">
      <c r="A752" s="7">
        <v>49391</v>
      </c>
      <c r="B752" s="8" t="s">
        <v>27</v>
      </c>
      <c r="C752" s="9">
        <v>20.8</v>
      </c>
      <c r="D752" s="10">
        <v>2</v>
      </c>
      <c r="E752">
        <f t="shared" si="11"/>
        <v>0.41600000000000004</v>
      </c>
    </row>
    <row r="753" spans="1:5" x14ac:dyDescent="0.35">
      <c r="A753" s="11">
        <v>49392</v>
      </c>
      <c r="B753" s="12" t="s">
        <v>11</v>
      </c>
      <c r="C753" s="13">
        <v>10.8</v>
      </c>
      <c r="D753" s="14">
        <v>12.3</v>
      </c>
      <c r="E753">
        <f t="shared" si="11"/>
        <v>1.3284</v>
      </c>
    </row>
    <row r="754" spans="1:5" x14ac:dyDescent="0.35">
      <c r="A754" s="7">
        <v>49393</v>
      </c>
      <c r="B754" s="8" t="s">
        <v>11</v>
      </c>
      <c r="C754" s="9">
        <v>12.5</v>
      </c>
      <c r="D754" s="10">
        <v>18.399999999999999</v>
      </c>
      <c r="E754">
        <f t="shared" si="11"/>
        <v>2.2999999999999998</v>
      </c>
    </row>
    <row r="755" spans="1:5" x14ac:dyDescent="0.35">
      <c r="A755" s="11">
        <v>49394</v>
      </c>
      <c r="B755" s="12" t="s">
        <v>9</v>
      </c>
      <c r="C755" s="13">
        <v>24</v>
      </c>
      <c r="D755" s="14">
        <v>4.9000000000000004</v>
      </c>
      <c r="E755">
        <f t="shared" si="11"/>
        <v>1.1760000000000002</v>
      </c>
    </row>
    <row r="756" spans="1:5" x14ac:dyDescent="0.35">
      <c r="A756" s="7">
        <v>49395</v>
      </c>
      <c r="B756" s="8" t="s">
        <v>10</v>
      </c>
      <c r="C756" s="9">
        <v>21.4</v>
      </c>
      <c r="D756" s="10">
        <v>11.1</v>
      </c>
      <c r="E756">
        <f t="shared" si="11"/>
        <v>2.3753999999999995</v>
      </c>
    </row>
    <row r="757" spans="1:5" x14ac:dyDescent="0.35">
      <c r="A757" s="11">
        <v>49396</v>
      </c>
      <c r="B757" s="12" t="s">
        <v>22</v>
      </c>
      <c r="C757" s="13">
        <v>18.3</v>
      </c>
      <c r="D757" s="14">
        <v>0</v>
      </c>
      <c r="E757">
        <f t="shared" si="11"/>
        <v>0</v>
      </c>
    </row>
    <row r="758" spans="1:5" x14ac:dyDescent="0.35">
      <c r="A758" s="7">
        <v>49397</v>
      </c>
      <c r="B758" s="8" t="s">
        <v>15</v>
      </c>
      <c r="C758" s="9">
        <v>10.5</v>
      </c>
      <c r="D758" s="10">
        <v>3.9</v>
      </c>
      <c r="E758">
        <f t="shared" si="11"/>
        <v>0.40949999999999998</v>
      </c>
    </row>
    <row r="759" spans="1:5" x14ac:dyDescent="0.35">
      <c r="A759" s="11">
        <v>49398</v>
      </c>
      <c r="B759" s="12" t="s">
        <v>10</v>
      </c>
      <c r="C759" s="13">
        <v>11.7</v>
      </c>
      <c r="D759" s="14">
        <v>0</v>
      </c>
      <c r="E759">
        <f t="shared" si="11"/>
        <v>0</v>
      </c>
    </row>
    <row r="760" spans="1:5" x14ac:dyDescent="0.35">
      <c r="A760" s="7">
        <v>49399</v>
      </c>
      <c r="B760" s="8" t="s">
        <v>7</v>
      </c>
      <c r="C760" s="9">
        <v>26.8</v>
      </c>
      <c r="D760" s="10">
        <v>0</v>
      </c>
      <c r="E760">
        <f t="shared" si="11"/>
        <v>0</v>
      </c>
    </row>
    <row r="761" spans="1:5" x14ac:dyDescent="0.35">
      <c r="A761" s="11">
        <v>49400</v>
      </c>
      <c r="B761" s="12" t="s">
        <v>10</v>
      </c>
      <c r="C761" s="13">
        <v>22.1</v>
      </c>
      <c r="D761" s="14">
        <v>33.799999999999997</v>
      </c>
      <c r="E761">
        <f t="shared" si="11"/>
        <v>7.4698000000000002</v>
      </c>
    </row>
    <row r="762" spans="1:5" x14ac:dyDescent="0.35">
      <c r="A762" s="7">
        <v>49401</v>
      </c>
      <c r="B762" s="8" t="s">
        <v>32</v>
      </c>
      <c r="C762" s="9">
        <v>17.100000000000001</v>
      </c>
      <c r="D762" s="10">
        <v>0</v>
      </c>
      <c r="E762">
        <f t="shared" si="11"/>
        <v>0</v>
      </c>
    </row>
    <row r="763" spans="1:5" x14ac:dyDescent="0.35">
      <c r="A763" s="11">
        <v>49402</v>
      </c>
      <c r="B763" s="12" t="s">
        <v>13</v>
      </c>
      <c r="C763" s="13">
        <v>12.1</v>
      </c>
      <c r="D763" s="14">
        <v>14.4</v>
      </c>
      <c r="E763">
        <f t="shared" si="11"/>
        <v>1.7424000000000002</v>
      </c>
    </row>
    <row r="764" spans="1:5" x14ac:dyDescent="0.35">
      <c r="A764" s="7">
        <v>49403</v>
      </c>
      <c r="B764" s="8" t="s">
        <v>19</v>
      </c>
      <c r="C764" s="9">
        <v>28.6</v>
      </c>
      <c r="D764" s="10">
        <v>23.2</v>
      </c>
      <c r="E764">
        <f t="shared" si="11"/>
        <v>6.6352000000000002</v>
      </c>
    </row>
    <row r="765" spans="1:5" x14ac:dyDescent="0.35">
      <c r="A765" s="11">
        <v>49404</v>
      </c>
      <c r="B765" s="12" t="s">
        <v>6</v>
      </c>
      <c r="C765" s="13">
        <v>21.2</v>
      </c>
      <c r="D765" s="14">
        <v>1.5</v>
      </c>
      <c r="E765">
        <f t="shared" si="11"/>
        <v>0.31799999999999995</v>
      </c>
    </row>
    <row r="766" spans="1:5" x14ac:dyDescent="0.35">
      <c r="A766" s="7">
        <v>49405</v>
      </c>
      <c r="B766" s="8" t="s">
        <v>9</v>
      </c>
      <c r="C766" s="9">
        <v>17.2</v>
      </c>
      <c r="D766" s="10">
        <v>2.4</v>
      </c>
      <c r="E766">
        <f t="shared" si="11"/>
        <v>0.41279999999999994</v>
      </c>
    </row>
    <row r="767" spans="1:5" x14ac:dyDescent="0.35">
      <c r="A767" s="11">
        <v>49406</v>
      </c>
      <c r="B767" s="12" t="s">
        <v>10</v>
      </c>
      <c r="C767" s="13">
        <v>22.3</v>
      </c>
      <c r="D767" s="14">
        <v>0</v>
      </c>
      <c r="E767">
        <f t="shared" si="11"/>
        <v>0</v>
      </c>
    </row>
    <row r="768" spans="1:5" x14ac:dyDescent="0.35">
      <c r="A768" s="7">
        <v>49407</v>
      </c>
      <c r="B768" s="8" t="s">
        <v>15</v>
      </c>
      <c r="C768" s="9">
        <v>13.2</v>
      </c>
      <c r="D768" s="10">
        <v>3.6</v>
      </c>
      <c r="E768">
        <f t="shared" si="11"/>
        <v>0.47519999999999996</v>
      </c>
    </row>
    <row r="769" spans="1:5" x14ac:dyDescent="0.35">
      <c r="A769" s="11">
        <v>49408</v>
      </c>
      <c r="B769" s="12" t="s">
        <v>18</v>
      </c>
      <c r="C769" s="13">
        <v>13.6</v>
      </c>
      <c r="D769" s="14">
        <v>13.4</v>
      </c>
      <c r="E769">
        <f t="shared" si="11"/>
        <v>1.8224</v>
      </c>
    </row>
    <row r="770" spans="1:5" x14ac:dyDescent="0.35">
      <c r="A770" s="7">
        <v>49409</v>
      </c>
      <c r="B770" s="8" t="s">
        <v>12</v>
      </c>
      <c r="C770" s="9">
        <v>15.7</v>
      </c>
      <c r="D770" s="10">
        <v>0</v>
      </c>
      <c r="E770">
        <f t="shared" si="11"/>
        <v>0</v>
      </c>
    </row>
    <row r="771" spans="1:5" x14ac:dyDescent="0.35">
      <c r="A771" s="11">
        <v>49410</v>
      </c>
      <c r="B771" s="12" t="s">
        <v>9</v>
      </c>
      <c r="C771" s="13">
        <v>24.8</v>
      </c>
      <c r="D771" s="14">
        <v>0</v>
      </c>
      <c r="E771">
        <f t="shared" ref="E771:E834" si="12">IF(D771&gt;=1,C771*D771/100,0)</f>
        <v>0</v>
      </c>
    </row>
    <row r="772" spans="1:5" x14ac:dyDescent="0.35">
      <c r="A772" s="7">
        <v>49411</v>
      </c>
      <c r="B772" s="8" t="s">
        <v>10</v>
      </c>
      <c r="C772" s="9">
        <v>25.1</v>
      </c>
      <c r="D772" s="10">
        <v>5.0999999999999996</v>
      </c>
      <c r="E772">
        <f t="shared" si="12"/>
        <v>1.2801</v>
      </c>
    </row>
    <row r="773" spans="1:5" x14ac:dyDescent="0.35">
      <c r="A773" s="11">
        <v>49412</v>
      </c>
      <c r="B773" s="12" t="s">
        <v>19</v>
      </c>
      <c r="C773" s="13">
        <v>14.2</v>
      </c>
      <c r="D773" s="14">
        <v>23.5</v>
      </c>
      <c r="E773">
        <f t="shared" si="12"/>
        <v>3.3369999999999997</v>
      </c>
    </row>
    <row r="774" spans="1:5" x14ac:dyDescent="0.35">
      <c r="A774" s="7">
        <v>49413</v>
      </c>
      <c r="B774" s="8" t="s">
        <v>14</v>
      </c>
      <c r="C774" s="9">
        <v>21.1</v>
      </c>
      <c r="D774" s="10">
        <v>1.4</v>
      </c>
      <c r="E774">
        <f t="shared" si="12"/>
        <v>0.2954</v>
      </c>
    </row>
    <row r="775" spans="1:5" x14ac:dyDescent="0.35">
      <c r="A775" s="11">
        <v>49414</v>
      </c>
      <c r="B775" s="12" t="s">
        <v>10</v>
      </c>
      <c r="C775" s="13">
        <v>25.4</v>
      </c>
      <c r="D775" s="14">
        <v>28</v>
      </c>
      <c r="E775">
        <f t="shared" si="12"/>
        <v>7.1119999999999992</v>
      </c>
    </row>
    <row r="776" spans="1:5" x14ac:dyDescent="0.35">
      <c r="A776" s="7">
        <v>49415</v>
      </c>
      <c r="B776" s="8" t="s">
        <v>10</v>
      </c>
      <c r="C776" s="9">
        <v>24.7</v>
      </c>
      <c r="D776" s="10">
        <v>5.7</v>
      </c>
      <c r="E776">
        <f t="shared" si="12"/>
        <v>1.4078999999999999</v>
      </c>
    </row>
    <row r="777" spans="1:5" x14ac:dyDescent="0.35">
      <c r="A777" s="11">
        <v>49416</v>
      </c>
      <c r="B777" s="12" t="s">
        <v>13</v>
      </c>
      <c r="C777" s="13">
        <v>19.8</v>
      </c>
      <c r="D777" s="14">
        <v>0</v>
      </c>
      <c r="E777">
        <f t="shared" si="12"/>
        <v>0</v>
      </c>
    </row>
    <row r="778" spans="1:5" x14ac:dyDescent="0.35">
      <c r="A778" s="7">
        <v>49417</v>
      </c>
      <c r="B778" s="8" t="s">
        <v>27</v>
      </c>
      <c r="C778" s="9">
        <v>28.4</v>
      </c>
      <c r="D778" s="10">
        <v>2.9</v>
      </c>
      <c r="E778">
        <f t="shared" si="12"/>
        <v>0.8236</v>
      </c>
    </row>
    <row r="779" spans="1:5" x14ac:dyDescent="0.35">
      <c r="A779" s="11">
        <v>49418</v>
      </c>
      <c r="B779" s="12" t="s">
        <v>11</v>
      </c>
      <c r="C779" s="13">
        <v>26.5</v>
      </c>
      <c r="D779" s="14">
        <v>0</v>
      </c>
      <c r="E779">
        <f t="shared" si="12"/>
        <v>0</v>
      </c>
    </row>
    <row r="780" spans="1:5" x14ac:dyDescent="0.35">
      <c r="A780" s="7">
        <v>49419</v>
      </c>
      <c r="B780" s="8" t="s">
        <v>10</v>
      </c>
      <c r="C780" s="9">
        <v>14.1</v>
      </c>
      <c r="D780" s="10">
        <v>13.1</v>
      </c>
      <c r="E780">
        <f t="shared" si="12"/>
        <v>1.8470999999999997</v>
      </c>
    </row>
    <row r="781" spans="1:5" x14ac:dyDescent="0.35">
      <c r="A781" s="11">
        <v>49420</v>
      </c>
      <c r="B781" s="12" t="s">
        <v>28</v>
      </c>
      <c r="C781" s="13">
        <v>15.9</v>
      </c>
      <c r="D781" s="14">
        <v>0.5</v>
      </c>
      <c r="E781">
        <f t="shared" si="12"/>
        <v>0</v>
      </c>
    </row>
    <row r="782" spans="1:5" x14ac:dyDescent="0.35">
      <c r="A782" s="7">
        <v>49421</v>
      </c>
      <c r="B782" s="8" t="s">
        <v>19</v>
      </c>
      <c r="C782" s="9">
        <v>28.2</v>
      </c>
      <c r="D782" s="10">
        <v>26.9</v>
      </c>
      <c r="E782">
        <f t="shared" si="12"/>
        <v>7.585799999999999</v>
      </c>
    </row>
    <row r="783" spans="1:5" x14ac:dyDescent="0.35">
      <c r="A783" s="11">
        <v>49422</v>
      </c>
      <c r="B783" s="12" t="s">
        <v>28</v>
      </c>
      <c r="C783" s="13">
        <v>17.100000000000001</v>
      </c>
      <c r="D783" s="14">
        <v>0.5</v>
      </c>
      <c r="E783">
        <f t="shared" si="12"/>
        <v>0</v>
      </c>
    </row>
    <row r="784" spans="1:5" x14ac:dyDescent="0.35">
      <c r="A784" s="7">
        <v>49423</v>
      </c>
      <c r="B784" s="8" t="s">
        <v>19</v>
      </c>
      <c r="C784" s="9">
        <v>27</v>
      </c>
      <c r="D784" s="10">
        <v>0</v>
      </c>
      <c r="E784">
        <f t="shared" si="12"/>
        <v>0</v>
      </c>
    </row>
    <row r="785" spans="1:5" x14ac:dyDescent="0.35">
      <c r="A785" s="11">
        <v>49424</v>
      </c>
      <c r="B785" s="12" t="s">
        <v>18</v>
      </c>
      <c r="C785" s="13">
        <v>24.1</v>
      </c>
      <c r="D785" s="14">
        <v>0</v>
      </c>
      <c r="E785">
        <f t="shared" si="12"/>
        <v>0</v>
      </c>
    </row>
    <row r="786" spans="1:5" x14ac:dyDescent="0.35">
      <c r="A786" s="7">
        <v>49425</v>
      </c>
      <c r="B786" s="8" t="s">
        <v>12</v>
      </c>
      <c r="C786" s="9">
        <v>10.4</v>
      </c>
      <c r="D786" s="10">
        <v>7.2</v>
      </c>
      <c r="E786">
        <f t="shared" si="12"/>
        <v>0.74880000000000013</v>
      </c>
    </row>
    <row r="787" spans="1:5" x14ac:dyDescent="0.35">
      <c r="A787" s="11">
        <v>49426</v>
      </c>
      <c r="B787" s="12" t="s">
        <v>13</v>
      </c>
      <c r="C787" s="13">
        <v>27.2</v>
      </c>
      <c r="D787" s="14">
        <v>15.1</v>
      </c>
      <c r="E787">
        <f t="shared" si="12"/>
        <v>4.1071999999999997</v>
      </c>
    </row>
    <row r="788" spans="1:5" x14ac:dyDescent="0.35">
      <c r="A788" s="7">
        <v>49427</v>
      </c>
      <c r="B788" s="8" t="s">
        <v>22</v>
      </c>
      <c r="C788" s="9">
        <v>22.1</v>
      </c>
      <c r="D788" s="10">
        <v>0</v>
      </c>
      <c r="E788">
        <f t="shared" si="12"/>
        <v>0</v>
      </c>
    </row>
    <row r="789" spans="1:5" x14ac:dyDescent="0.35">
      <c r="A789" s="11">
        <v>49428</v>
      </c>
      <c r="B789" s="12" t="s">
        <v>14</v>
      </c>
      <c r="C789" s="13">
        <v>13.3</v>
      </c>
      <c r="D789" s="14">
        <v>8.5</v>
      </c>
      <c r="E789">
        <f t="shared" si="12"/>
        <v>1.1305000000000001</v>
      </c>
    </row>
    <row r="790" spans="1:5" x14ac:dyDescent="0.35">
      <c r="A790" s="7">
        <v>49429</v>
      </c>
      <c r="B790" s="8" t="s">
        <v>12</v>
      </c>
      <c r="C790" s="9">
        <v>26.4</v>
      </c>
      <c r="D790" s="10">
        <v>0</v>
      </c>
      <c r="E790">
        <f t="shared" si="12"/>
        <v>0</v>
      </c>
    </row>
    <row r="791" spans="1:5" x14ac:dyDescent="0.35">
      <c r="A791" s="11">
        <v>49430</v>
      </c>
      <c r="B791" s="12" t="s">
        <v>25</v>
      </c>
      <c r="C791" s="13">
        <v>25.8</v>
      </c>
      <c r="D791" s="14">
        <v>2.9</v>
      </c>
      <c r="E791">
        <f t="shared" si="12"/>
        <v>0.74819999999999998</v>
      </c>
    </row>
    <row r="792" spans="1:5" x14ac:dyDescent="0.35">
      <c r="A792" s="7">
        <v>49431</v>
      </c>
      <c r="B792" s="8" t="s">
        <v>15</v>
      </c>
      <c r="C792" s="9">
        <v>23</v>
      </c>
      <c r="D792" s="10">
        <v>3.8</v>
      </c>
      <c r="E792">
        <f t="shared" si="12"/>
        <v>0.87399999999999989</v>
      </c>
    </row>
    <row r="793" spans="1:5" x14ac:dyDescent="0.35">
      <c r="A793" s="11">
        <v>49432</v>
      </c>
      <c r="B793" s="12" t="s">
        <v>13</v>
      </c>
      <c r="C793" s="13">
        <v>22.7</v>
      </c>
      <c r="D793" s="14">
        <v>0</v>
      </c>
      <c r="E793">
        <f t="shared" si="12"/>
        <v>0</v>
      </c>
    </row>
    <row r="794" spans="1:5" x14ac:dyDescent="0.35">
      <c r="A794" s="7">
        <v>49433</v>
      </c>
      <c r="B794" s="8" t="s">
        <v>26</v>
      </c>
      <c r="C794" s="9">
        <v>26.2</v>
      </c>
      <c r="D794" s="10">
        <v>5.0999999999999996</v>
      </c>
      <c r="E794">
        <f t="shared" si="12"/>
        <v>1.3361999999999998</v>
      </c>
    </row>
    <row r="795" spans="1:5" x14ac:dyDescent="0.35">
      <c r="A795" s="11">
        <v>49434</v>
      </c>
      <c r="B795" s="12" t="s">
        <v>14</v>
      </c>
      <c r="C795" s="13">
        <v>16.600000000000001</v>
      </c>
      <c r="D795" s="14">
        <v>0</v>
      </c>
      <c r="E795">
        <f t="shared" si="12"/>
        <v>0</v>
      </c>
    </row>
    <row r="796" spans="1:5" x14ac:dyDescent="0.35">
      <c r="A796" s="7">
        <v>49435</v>
      </c>
      <c r="B796" s="8" t="s">
        <v>23</v>
      </c>
      <c r="C796" s="9">
        <v>23.9</v>
      </c>
      <c r="D796" s="10">
        <v>0</v>
      </c>
      <c r="E796">
        <f t="shared" si="12"/>
        <v>0</v>
      </c>
    </row>
    <row r="797" spans="1:5" x14ac:dyDescent="0.35">
      <c r="A797" s="11">
        <v>49436</v>
      </c>
      <c r="B797" s="12" t="s">
        <v>7</v>
      </c>
      <c r="C797" s="13">
        <v>10.6</v>
      </c>
      <c r="D797" s="14">
        <v>21.3</v>
      </c>
      <c r="E797">
        <f t="shared" si="12"/>
        <v>2.2578</v>
      </c>
    </row>
    <row r="798" spans="1:5" x14ac:dyDescent="0.35">
      <c r="A798" s="7">
        <v>49437</v>
      </c>
      <c r="B798" s="8" t="s">
        <v>10</v>
      </c>
      <c r="C798" s="9">
        <v>22.8</v>
      </c>
      <c r="D798" s="10">
        <v>24.6</v>
      </c>
      <c r="E798">
        <f t="shared" si="12"/>
        <v>5.6087999999999996</v>
      </c>
    </row>
    <row r="799" spans="1:5" x14ac:dyDescent="0.35">
      <c r="A799" s="11">
        <v>49438</v>
      </c>
      <c r="B799" s="12" t="s">
        <v>5</v>
      </c>
      <c r="C799" s="13">
        <v>26.8</v>
      </c>
      <c r="D799" s="14">
        <v>7.5</v>
      </c>
      <c r="E799">
        <f t="shared" si="12"/>
        <v>2.0099999999999998</v>
      </c>
    </row>
    <row r="800" spans="1:5" x14ac:dyDescent="0.35">
      <c r="A800" s="7">
        <v>49439</v>
      </c>
      <c r="B800" s="8" t="s">
        <v>19</v>
      </c>
      <c r="C800" s="9">
        <v>21.3</v>
      </c>
      <c r="D800" s="10">
        <v>37.700000000000003</v>
      </c>
      <c r="E800">
        <f t="shared" si="12"/>
        <v>8.0301000000000009</v>
      </c>
    </row>
    <row r="801" spans="1:5" x14ac:dyDescent="0.35">
      <c r="A801" s="11">
        <v>49440</v>
      </c>
      <c r="B801" s="12" t="s">
        <v>12</v>
      </c>
      <c r="C801" s="13">
        <v>20.3</v>
      </c>
      <c r="D801" s="14">
        <v>11</v>
      </c>
      <c r="E801">
        <f t="shared" si="12"/>
        <v>2.2330000000000001</v>
      </c>
    </row>
    <row r="802" spans="1:5" x14ac:dyDescent="0.35">
      <c r="A802" s="7">
        <v>49441</v>
      </c>
      <c r="B802" s="8" t="s">
        <v>19</v>
      </c>
      <c r="C802" s="9">
        <v>25.6</v>
      </c>
      <c r="D802" s="10">
        <v>20.100000000000001</v>
      </c>
      <c r="E802">
        <f t="shared" si="12"/>
        <v>5.1456000000000008</v>
      </c>
    </row>
    <row r="803" spans="1:5" x14ac:dyDescent="0.35">
      <c r="A803" s="11">
        <v>49442</v>
      </c>
      <c r="B803" s="12" t="s">
        <v>13</v>
      </c>
      <c r="C803" s="13">
        <v>25.1</v>
      </c>
      <c r="D803" s="14">
        <v>14.7</v>
      </c>
      <c r="E803">
        <f t="shared" si="12"/>
        <v>3.6897000000000002</v>
      </c>
    </row>
    <row r="804" spans="1:5" x14ac:dyDescent="0.35">
      <c r="A804" s="7">
        <v>49443</v>
      </c>
      <c r="B804" s="8" t="s">
        <v>7</v>
      </c>
      <c r="C804" s="9">
        <v>24.3</v>
      </c>
      <c r="D804" s="10">
        <v>24.3</v>
      </c>
      <c r="E804">
        <f t="shared" si="12"/>
        <v>5.9049000000000005</v>
      </c>
    </row>
    <row r="805" spans="1:5" x14ac:dyDescent="0.35">
      <c r="A805" s="11">
        <v>49444</v>
      </c>
      <c r="B805" s="12" t="s">
        <v>14</v>
      </c>
      <c r="C805" s="13">
        <v>12.9</v>
      </c>
      <c r="D805" s="14">
        <v>2.7</v>
      </c>
      <c r="E805">
        <f t="shared" si="12"/>
        <v>0.34830000000000005</v>
      </c>
    </row>
    <row r="806" spans="1:5" x14ac:dyDescent="0.35">
      <c r="A806" s="7">
        <v>49445</v>
      </c>
      <c r="B806" s="8" t="s">
        <v>19</v>
      </c>
      <c r="C806" s="9">
        <v>16.7</v>
      </c>
      <c r="D806" s="10">
        <v>27.7</v>
      </c>
      <c r="E806">
        <f t="shared" si="12"/>
        <v>4.6258999999999997</v>
      </c>
    </row>
    <row r="807" spans="1:5" x14ac:dyDescent="0.35">
      <c r="A807" s="11">
        <v>49446</v>
      </c>
      <c r="B807" s="12" t="s">
        <v>10</v>
      </c>
      <c r="C807" s="13">
        <v>16.2</v>
      </c>
      <c r="D807" s="14">
        <v>20.5</v>
      </c>
      <c r="E807">
        <f t="shared" si="12"/>
        <v>3.3209999999999997</v>
      </c>
    </row>
    <row r="808" spans="1:5" x14ac:dyDescent="0.35">
      <c r="A808" s="7">
        <v>49447</v>
      </c>
      <c r="B808" s="8" t="s">
        <v>12</v>
      </c>
      <c r="C808" s="9">
        <v>19.5</v>
      </c>
      <c r="D808" s="10">
        <v>5.0999999999999996</v>
      </c>
      <c r="E808">
        <f t="shared" si="12"/>
        <v>0.99449999999999994</v>
      </c>
    </row>
    <row r="809" spans="1:5" x14ac:dyDescent="0.35">
      <c r="A809" s="11">
        <v>49448</v>
      </c>
      <c r="B809" s="12" t="s">
        <v>10</v>
      </c>
      <c r="C809" s="13">
        <v>22.9</v>
      </c>
      <c r="D809" s="14">
        <v>6.6</v>
      </c>
      <c r="E809">
        <f t="shared" si="12"/>
        <v>1.5113999999999999</v>
      </c>
    </row>
    <row r="810" spans="1:5" x14ac:dyDescent="0.35">
      <c r="A810" s="7">
        <v>49449</v>
      </c>
      <c r="B810" s="8" t="s">
        <v>19</v>
      </c>
      <c r="C810" s="9">
        <v>25.9</v>
      </c>
      <c r="D810" s="10">
        <v>4.4000000000000004</v>
      </c>
      <c r="E810">
        <f t="shared" si="12"/>
        <v>1.1396000000000002</v>
      </c>
    </row>
    <row r="811" spans="1:5" x14ac:dyDescent="0.35">
      <c r="A811" s="11">
        <v>49450</v>
      </c>
      <c r="B811" s="12" t="s">
        <v>18</v>
      </c>
      <c r="C811" s="13">
        <v>20.3</v>
      </c>
      <c r="D811" s="14">
        <v>4.5999999999999996</v>
      </c>
      <c r="E811">
        <f t="shared" si="12"/>
        <v>0.93379999999999996</v>
      </c>
    </row>
    <row r="812" spans="1:5" x14ac:dyDescent="0.35">
      <c r="A812" s="7">
        <v>49451</v>
      </c>
      <c r="B812" s="8" t="s">
        <v>28</v>
      </c>
      <c r="C812" s="9">
        <v>11.3</v>
      </c>
      <c r="D812" s="10">
        <v>0.3</v>
      </c>
      <c r="E812">
        <f t="shared" si="12"/>
        <v>0</v>
      </c>
    </row>
    <row r="813" spans="1:5" x14ac:dyDescent="0.35">
      <c r="A813" s="11">
        <v>49452</v>
      </c>
      <c r="B813" s="12" t="s">
        <v>10</v>
      </c>
      <c r="C813" s="13">
        <v>27.4</v>
      </c>
      <c r="D813" s="14">
        <v>29.9</v>
      </c>
      <c r="E813">
        <f t="shared" si="12"/>
        <v>8.1925999999999988</v>
      </c>
    </row>
    <row r="814" spans="1:5" x14ac:dyDescent="0.35">
      <c r="A814" s="7">
        <v>49453</v>
      </c>
      <c r="B814" s="8" t="s">
        <v>19</v>
      </c>
      <c r="C814" s="9">
        <v>29.2</v>
      </c>
      <c r="D814" s="10">
        <v>0</v>
      </c>
      <c r="E814">
        <f t="shared" si="12"/>
        <v>0</v>
      </c>
    </row>
    <row r="815" spans="1:5" x14ac:dyDescent="0.35">
      <c r="A815" s="11">
        <v>49454</v>
      </c>
      <c r="B815" s="12" t="s">
        <v>4</v>
      </c>
      <c r="C815" s="13">
        <v>27.4</v>
      </c>
      <c r="D815" s="14">
        <v>0</v>
      </c>
      <c r="E815">
        <f t="shared" si="12"/>
        <v>0</v>
      </c>
    </row>
    <row r="816" spans="1:5" x14ac:dyDescent="0.35">
      <c r="A816" s="7">
        <v>49455</v>
      </c>
      <c r="B816" s="8" t="s">
        <v>19</v>
      </c>
      <c r="C816" s="9">
        <v>10.1</v>
      </c>
      <c r="D816" s="10">
        <v>8.1</v>
      </c>
      <c r="E816">
        <f t="shared" si="12"/>
        <v>0.81809999999999983</v>
      </c>
    </row>
    <row r="817" spans="1:5" x14ac:dyDescent="0.35">
      <c r="A817" s="11">
        <v>49456</v>
      </c>
      <c r="B817" s="12" t="s">
        <v>5</v>
      </c>
      <c r="C817" s="13">
        <v>12.9</v>
      </c>
      <c r="D817" s="14">
        <v>5.9</v>
      </c>
      <c r="E817">
        <f t="shared" si="12"/>
        <v>0.76110000000000011</v>
      </c>
    </row>
    <row r="818" spans="1:5" x14ac:dyDescent="0.35">
      <c r="A818" s="7">
        <v>49457</v>
      </c>
      <c r="B818" s="8" t="s">
        <v>14</v>
      </c>
      <c r="C818" s="9">
        <v>18.7</v>
      </c>
      <c r="D818" s="10">
        <v>0</v>
      </c>
      <c r="E818">
        <f t="shared" si="12"/>
        <v>0</v>
      </c>
    </row>
    <row r="819" spans="1:5" x14ac:dyDescent="0.35">
      <c r="A819" s="11">
        <v>49458</v>
      </c>
      <c r="B819" s="12" t="s">
        <v>32</v>
      </c>
      <c r="C819" s="13">
        <v>17.8</v>
      </c>
      <c r="D819" s="14">
        <v>0.3</v>
      </c>
      <c r="E819">
        <f t="shared" si="12"/>
        <v>0</v>
      </c>
    </row>
    <row r="820" spans="1:5" x14ac:dyDescent="0.35">
      <c r="A820" s="7">
        <v>49459</v>
      </c>
      <c r="B820" s="8" t="s">
        <v>10</v>
      </c>
      <c r="C820" s="9">
        <v>24.7</v>
      </c>
      <c r="D820" s="10">
        <v>42.9</v>
      </c>
      <c r="E820">
        <f t="shared" si="12"/>
        <v>10.596299999999999</v>
      </c>
    </row>
    <row r="821" spans="1:5" x14ac:dyDescent="0.35">
      <c r="A821" s="11">
        <v>49460</v>
      </c>
      <c r="B821" s="12" t="s">
        <v>10</v>
      </c>
      <c r="C821" s="13">
        <v>28.7</v>
      </c>
      <c r="D821" s="14">
        <v>33.799999999999997</v>
      </c>
      <c r="E821">
        <f t="shared" si="12"/>
        <v>9.7005999999999997</v>
      </c>
    </row>
    <row r="822" spans="1:5" x14ac:dyDescent="0.35">
      <c r="A822" s="7">
        <v>49461</v>
      </c>
      <c r="B822" s="8" t="s">
        <v>18</v>
      </c>
      <c r="C822" s="9">
        <v>12.3</v>
      </c>
      <c r="D822" s="10">
        <v>1.7</v>
      </c>
      <c r="E822">
        <f t="shared" si="12"/>
        <v>0.20910000000000001</v>
      </c>
    </row>
    <row r="823" spans="1:5" x14ac:dyDescent="0.35">
      <c r="A823" s="11">
        <v>49462</v>
      </c>
      <c r="B823" s="12" t="s">
        <v>19</v>
      </c>
      <c r="C823" s="13">
        <v>22.9</v>
      </c>
      <c r="D823" s="14">
        <v>0</v>
      </c>
      <c r="E823">
        <f t="shared" si="12"/>
        <v>0</v>
      </c>
    </row>
    <row r="824" spans="1:5" x14ac:dyDescent="0.35">
      <c r="A824" s="7">
        <v>49463</v>
      </c>
      <c r="B824" s="8" t="s">
        <v>17</v>
      </c>
      <c r="C824" s="9">
        <v>20</v>
      </c>
      <c r="D824" s="10">
        <v>3</v>
      </c>
      <c r="E824">
        <f t="shared" si="12"/>
        <v>0.6</v>
      </c>
    </row>
    <row r="825" spans="1:5" x14ac:dyDescent="0.35">
      <c r="A825" s="11">
        <v>49464</v>
      </c>
      <c r="B825" s="12" t="s">
        <v>10</v>
      </c>
      <c r="C825" s="13">
        <v>27.3</v>
      </c>
      <c r="D825" s="14">
        <v>0</v>
      </c>
      <c r="E825">
        <f t="shared" si="12"/>
        <v>0</v>
      </c>
    </row>
    <row r="826" spans="1:5" x14ac:dyDescent="0.35">
      <c r="A826" s="7">
        <v>49465</v>
      </c>
      <c r="B826" s="8" t="s">
        <v>13</v>
      </c>
      <c r="C826" s="9">
        <v>29.9</v>
      </c>
      <c r="D826" s="10">
        <v>7.7</v>
      </c>
      <c r="E826">
        <f t="shared" si="12"/>
        <v>2.3022999999999998</v>
      </c>
    </row>
    <row r="827" spans="1:5" x14ac:dyDescent="0.35">
      <c r="A827" s="11">
        <v>49466</v>
      </c>
      <c r="B827" s="12" t="s">
        <v>12</v>
      </c>
      <c r="C827" s="13">
        <v>27.5</v>
      </c>
      <c r="D827" s="14">
        <v>2.7</v>
      </c>
      <c r="E827">
        <f t="shared" si="12"/>
        <v>0.74250000000000005</v>
      </c>
    </row>
    <row r="828" spans="1:5" x14ac:dyDescent="0.35">
      <c r="A828" s="7">
        <v>49467</v>
      </c>
      <c r="B828" s="8" t="s">
        <v>18</v>
      </c>
      <c r="C828" s="9">
        <v>16.5</v>
      </c>
      <c r="D828" s="10">
        <v>13.3</v>
      </c>
      <c r="E828">
        <f t="shared" si="12"/>
        <v>2.1945000000000001</v>
      </c>
    </row>
    <row r="829" spans="1:5" x14ac:dyDescent="0.35">
      <c r="A829" s="11">
        <v>49468</v>
      </c>
      <c r="B829" s="12" t="s">
        <v>5</v>
      </c>
      <c r="C829" s="13">
        <v>23.5</v>
      </c>
      <c r="D829" s="14">
        <v>5.9</v>
      </c>
      <c r="E829">
        <f t="shared" si="12"/>
        <v>1.3865000000000001</v>
      </c>
    </row>
    <row r="830" spans="1:5" x14ac:dyDescent="0.35">
      <c r="A830" s="7">
        <v>49469</v>
      </c>
      <c r="B830" s="8" t="s">
        <v>5</v>
      </c>
      <c r="C830" s="9">
        <v>21.5</v>
      </c>
      <c r="D830" s="10">
        <v>4.0999999999999996</v>
      </c>
      <c r="E830">
        <f t="shared" si="12"/>
        <v>0.88149999999999995</v>
      </c>
    </row>
    <row r="831" spans="1:5" x14ac:dyDescent="0.35">
      <c r="A831" s="11">
        <v>49470</v>
      </c>
      <c r="B831" s="12" t="s">
        <v>15</v>
      </c>
      <c r="C831" s="13">
        <v>10.3</v>
      </c>
      <c r="D831" s="14">
        <v>15.6</v>
      </c>
      <c r="E831">
        <f t="shared" si="12"/>
        <v>1.6068</v>
      </c>
    </row>
    <row r="832" spans="1:5" x14ac:dyDescent="0.35">
      <c r="A832" s="7">
        <v>49471</v>
      </c>
      <c r="B832" s="8" t="s">
        <v>10</v>
      </c>
      <c r="C832" s="9">
        <v>15</v>
      </c>
      <c r="D832" s="10">
        <v>0</v>
      </c>
      <c r="E832">
        <f t="shared" si="12"/>
        <v>0</v>
      </c>
    </row>
    <row r="833" spans="1:5" x14ac:dyDescent="0.35">
      <c r="A833" s="11">
        <v>49472</v>
      </c>
      <c r="B833" s="12" t="s">
        <v>6</v>
      </c>
      <c r="C833" s="13">
        <v>23.3</v>
      </c>
      <c r="D833" s="14">
        <v>5.3</v>
      </c>
      <c r="E833">
        <f t="shared" si="12"/>
        <v>1.2348999999999999</v>
      </c>
    </row>
    <row r="834" spans="1:5" x14ac:dyDescent="0.35">
      <c r="A834" s="7">
        <v>49473</v>
      </c>
      <c r="B834" s="8" t="s">
        <v>15</v>
      </c>
      <c r="C834" s="9">
        <v>10.5</v>
      </c>
      <c r="D834" s="10">
        <v>14.4</v>
      </c>
      <c r="E834">
        <f t="shared" si="12"/>
        <v>1.5120000000000002</v>
      </c>
    </row>
    <row r="835" spans="1:5" x14ac:dyDescent="0.35">
      <c r="A835" s="11">
        <v>49474</v>
      </c>
      <c r="B835" s="12" t="s">
        <v>10</v>
      </c>
      <c r="C835" s="13">
        <v>18.5</v>
      </c>
      <c r="D835" s="14">
        <v>0</v>
      </c>
      <c r="E835">
        <f t="shared" ref="E835:E898" si="13">IF(D835&gt;=1,C835*D835/100,0)</f>
        <v>0</v>
      </c>
    </row>
    <row r="836" spans="1:5" x14ac:dyDescent="0.35">
      <c r="A836" s="7">
        <v>49475</v>
      </c>
      <c r="B836" s="8" t="s">
        <v>14</v>
      </c>
      <c r="C836" s="9">
        <v>20.2</v>
      </c>
      <c r="D836" s="10">
        <v>5.4</v>
      </c>
      <c r="E836">
        <f t="shared" si="13"/>
        <v>1.0908</v>
      </c>
    </row>
    <row r="837" spans="1:5" x14ac:dyDescent="0.35">
      <c r="A837" s="11">
        <v>49476</v>
      </c>
      <c r="B837" s="12" t="s">
        <v>23</v>
      </c>
      <c r="C837" s="13">
        <v>29</v>
      </c>
      <c r="D837" s="14">
        <v>4.2</v>
      </c>
      <c r="E837">
        <f t="shared" si="13"/>
        <v>1.2180000000000002</v>
      </c>
    </row>
    <row r="838" spans="1:5" x14ac:dyDescent="0.35">
      <c r="A838" s="7">
        <v>49477</v>
      </c>
      <c r="B838" s="8" t="s">
        <v>15</v>
      </c>
      <c r="C838" s="9">
        <v>12.1</v>
      </c>
      <c r="D838" s="10">
        <v>18.100000000000001</v>
      </c>
      <c r="E838">
        <f t="shared" si="13"/>
        <v>2.1901000000000002</v>
      </c>
    </row>
    <row r="839" spans="1:5" x14ac:dyDescent="0.35">
      <c r="A839" s="11">
        <v>49478</v>
      </c>
      <c r="B839" s="12" t="s">
        <v>13</v>
      </c>
      <c r="C839" s="13">
        <v>14.1</v>
      </c>
      <c r="D839" s="14">
        <v>5.6</v>
      </c>
      <c r="E839">
        <f t="shared" si="13"/>
        <v>0.78959999999999997</v>
      </c>
    </row>
    <row r="840" spans="1:5" x14ac:dyDescent="0.35">
      <c r="A840" s="7">
        <v>49479</v>
      </c>
      <c r="B840" s="8" t="s">
        <v>10</v>
      </c>
      <c r="C840" s="9">
        <v>19.5</v>
      </c>
      <c r="D840" s="10">
        <v>2.7</v>
      </c>
      <c r="E840">
        <f t="shared" si="13"/>
        <v>0.52650000000000008</v>
      </c>
    </row>
    <row r="841" spans="1:5" x14ac:dyDescent="0.35">
      <c r="A841" s="11">
        <v>49480</v>
      </c>
      <c r="B841" s="12" t="s">
        <v>27</v>
      </c>
      <c r="C841" s="13">
        <v>28.7</v>
      </c>
      <c r="D841" s="14">
        <v>0.3</v>
      </c>
      <c r="E841">
        <f t="shared" si="13"/>
        <v>0</v>
      </c>
    </row>
    <row r="842" spans="1:5" x14ac:dyDescent="0.35">
      <c r="A842" s="7">
        <v>49481</v>
      </c>
      <c r="B842" s="8" t="s">
        <v>19</v>
      </c>
      <c r="C842" s="9">
        <v>20.3</v>
      </c>
      <c r="D842" s="10">
        <v>15</v>
      </c>
      <c r="E842">
        <f t="shared" si="13"/>
        <v>3.0449999999999999</v>
      </c>
    </row>
    <row r="843" spans="1:5" x14ac:dyDescent="0.35">
      <c r="A843" s="11">
        <v>49482</v>
      </c>
      <c r="B843" s="12" t="s">
        <v>7</v>
      </c>
      <c r="C843" s="13">
        <v>25.9</v>
      </c>
      <c r="D843" s="14">
        <v>4.7</v>
      </c>
      <c r="E843">
        <f t="shared" si="13"/>
        <v>1.2173</v>
      </c>
    </row>
    <row r="844" spans="1:5" x14ac:dyDescent="0.35">
      <c r="A844" s="7">
        <v>49483</v>
      </c>
      <c r="B844" s="8" t="s">
        <v>7</v>
      </c>
      <c r="C844" s="9">
        <v>25.3</v>
      </c>
      <c r="D844" s="10">
        <v>0</v>
      </c>
      <c r="E844">
        <f t="shared" si="13"/>
        <v>0</v>
      </c>
    </row>
    <row r="845" spans="1:5" x14ac:dyDescent="0.35">
      <c r="A845" s="11">
        <v>49484</v>
      </c>
      <c r="B845" s="12" t="s">
        <v>20</v>
      </c>
      <c r="C845" s="13">
        <v>22.8</v>
      </c>
      <c r="D845" s="14">
        <v>0.6</v>
      </c>
      <c r="E845">
        <f t="shared" si="13"/>
        <v>0</v>
      </c>
    </row>
    <row r="846" spans="1:5" x14ac:dyDescent="0.35">
      <c r="A846" s="7">
        <v>49485</v>
      </c>
      <c r="B846" s="8" t="s">
        <v>22</v>
      </c>
      <c r="C846" s="9">
        <v>28.4</v>
      </c>
      <c r="D846" s="10">
        <v>2.2999999999999998</v>
      </c>
      <c r="E846">
        <f t="shared" si="13"/>
        <v>0.65319999999999989</v>
      </c>
    </row>
    <row r="847" spans="1:5" x14ac:dyDescent="0.35">
      <c r="A847" s="11">
        <v>49486</v>
      </c>
      <c r="B847" s="12" t="s">
        <v>22</v>
      </c>
      <c r="C847" s="13">
        <v>29.7</v>
      </c>
      <c r="D847" s="14">
        <v>0</v>
      </c>
      <c r="E847">
        <f t="shared" si="13"/>
        <v>0</v>
      </c>
    </row>
    <row r="848" spans="1:5" x14ac:dyDescent="0.35">
      <c r="A848" s="7">
        <v>49487</v>
      </c>
      <c r="B848" s="8" t="s">
        <v>15</v>
      </c>
      <c r="C848" s="9">
        <v>11.7</v>
      </c>
      <c r="D848" s="10">
        <v>6.4</v>
      </c>
      <c r="E848">
        <f t="shared" si="13"/>
        <v>0.74879999999999991</v>
      </c>
    </row>
    <row r="849" spans="1:5" x14ac:dyDescent="0.35">
      <c r="A849" s="11">
        <v>49488</v>
      </c>
      <c r="B849" s="12" t="s">
        <v>22</v>
      </c>
      <c r="C849" s="13">
        <v>12.8</v>
      </c>
      <c r="D849" s="14">
        <v>6.9</v>
      </c>
      <c r="E849">
        <f t="shared" si="13"/>
        <v>0.8832000000000001</v>
      </c>
    </row>
    <row r="850" spans="1:5" x14ac:dyDescent="0.35">
      <c r="A850" s="7">
        <v>49489</v>
      </c>
      <c r="B850" s="8" t="s">
        <v>10</v>
      </c>
      <c r="C850" s="9">
        <v>11</v>
      </c>
      <c r="D850" s="10">
        <v>0</v>
      </c>
      <c r="E850">
        <f t="shared" si="13"/>
        <v>0</v>
      </c>
    </row>
    <row r="851" spans="1:5" x14ac:dyDescent="0.35">
      <c r="A851" s="11">
        <v>49490</v>
      </c>
      <c r="B851" s="12" t="s">
        <v>33</v>
      </c>
      <c r="C851" s="13">
        <v>14.7</v>
      </c>
      <c r="D851" s="14">
        <v>0.5</v>
      </c>
      <c r="E851">
        <f t="shared" si="13"/>
        <v>0</v>
      </c>
    </row>
    <row r="852" spans="1:5" x14ac:dyDescent="0.35">
      <c r="A852" s="7">
        <v>49491</v>
      </c>
      <c r="B852" s="8" t="s">
        <v>26</v>
      </c>
      <c r="C852" s="9">
        <v>13.2</v>
      </c>
      <c r="D852" s="10">
        <v>2.5</v>
      </c>
      <c r="E852">
        <f t="shared" si="13"/>
        <v>0.33</v>
      </c>
    </row>
    <row r="853" spans="1:5" x14ac:dyDescent="0.35">
      <c r="A853" s="11">
        <v>49492</v>
      </c>
      <c r="B853" s="12" t="s">
        <v>26</v>
      </c>
      <c r="C853" s="13">
        <v>28</v>
      </c>
      <c r="D853" s="14">
        <v>3.8</v>
      </c>
      <c r="E853">
        <f t="shared" si="13"/>
        <v>1.0639999999999998</v>
      </c>
    </row>
    <row r="854" spans="1:5" x14ac:dyDescent="0.35">
      <c r="A854" s="7">
        <v>49493</v>
      </c>
      <c r="B854" s="8" t="s">
        <v>11</v>
      </c>
      <c r="C854" s="9">
        <v>27.5</v>
      </c>
      <c r="D854" s="10">
        <v>10.3</v>
      </c>
      <c r="E854">
        <f t="shared" si="13"/>
        <v>2.8325</v>
      </c>
    </row>
    <row r="855" spans="1:5" x14ac:dyDescent="0.35">
      <c r="A855" s="11">
        <v>49494</v>
      </c>
      <c r="B855" s="12" t="s">
        <v>26</v>
      </c>
      <c r="C855" s="13">
        <v>12.1</v>
      </c>
      <c r="D855" s="14">
        <v>4.7</v>
      </c>
      <c r="E855">
        <f t="shared" si="13"/>
        <v>0.56869999999999998</v>
      </c>
    </row>
    <row r="856" spans="1:5" x14ac:dyDescent="0.35">
      <c r="A856" s="7">
        <v>49495</v>
      </c>
      <c r="B856" s="8" t="s">
        <v>15</v>
      </c>
      <c r="C856" s="9">
        <v>24.7</v>
      </c>
      <c r="D856" s="10">
        <v>7.2</v>
      </c>
      <c r="E856">
        <f t="shared" si="13"/>
        <v>1.7784</v>
      </c>
    </row>
    <row r="857" spans="1:5" x14ac:dyDescent="0.35">
      <c r="A857" s="11">
        <v>49496</v>
      </c>
      <c r="B857" s="12" t="s">
        <v>25</v>
      </c>
      <c r="C857" s="13">
        <v>27.1</v>
      </c>
      <c r="D857" s="14">
        <v>2.6</v>
      </c>
      <c r="E857">
        <f t="shared" si="13"/>
        <v>0.70460000000000012</v>
      </c>
    </row>
    <row r="858" spans="1:5" x14ac:dyDescent="0.35">
      <c r="A858" s="7">
        <v>49497</v>
      </c>
      <c r="B858" s="8" t="s">
        <v>7</v>
      </c>
      <c r="C858" s="9">
        <v>28.7</v>
      </c>
      <c r="D858" s="10">
        <v>3</v>
      </c>
      <c r="E858">
        <f t="shared" si="13"/>
        <v>0.86099999999999999</v>
      </c>
    </row>
    <row r="859" spans="1:5" x14ac:dyDescent="0.35">
      <c r="A859" s="11">
        <v>49498</v>
      </c>
      <c r="B859" s="12" t="s">
        <v>10</v>
      </c>
      <c r="C859" s="13">
        <v>15</v>
      </c>
      <c r="D859" s="14">
        <v>21.4</v>
      </c>
      <c r="E859">
        <f t="shared" si="13"/>
        <v>3.21</v>
      </c>
    </row>
    <row r="860" spans="1:5" x14ac:dyDescent="0.35">
      <c r="A860" s="7">
        <v>49499</v>
      </c>
      <c r="B860" s="8" t="s">
        <v>11</v>
      </c>
      <c r="C860" s="9">
        <v>11.6</v>
      </c>
      <c r="D860" s="10">
        <v>3.7</v>
      </c>
      <c r="E860">
        <f t="shared" si="13"/>
        <v>0.42920000000000003</v>
      </c>
    </row>
    <row r="861" spans="1:5" x14ac:dyDescent="0.35">
      <c r="A861" s="11">
        <v>49500</v>
      </c>
      <c r="B861" s="12" t="s">
        <v>10</v>
      </c>
      <c r="C861" s="13">
        <v>13.1</v>
      </c>
      <c r="D861" s="14">
        <v>0</v>
      </c>
      <c r="E861">
        <f t="shared" si="13"/>
        <v>0</v>
      </c>
    </row>
    <row r="862" spans="1:5" x14ac:dyDescent="0.35">
      <c r="A862" s="7">
        <v>49501</v>
      </c>
      <c r="B862" s="8" t="s">
        <v>26</v>
      </c>
      <c r="C862" s="9">
        <v>25.5</v>
      </c>
      <c r="D862" s="10">
        <v>0</v>
      </c>
      <c r="E862">
        <f t="shared" si="13"/>
        <v>0</v>
      </c>
    </row>
    <row r="863" spans="1:5" x14ac:dyDescent="0.35">
      <c r="A863" s="11">
        <v>49502</v>
      </c>
      <c r="B863" s="12" t="s">
        <v>28</v>
      </c>
      <c r="C863" s="13">
        <v>19.399999999999999</v>
      </c>
      <c r="D863" s="14">
        <v>0.7</v>
      </c>
      <c r="E863">
        <f t="shared" si="13"/>
        <v>0</v>
      </c>
    </row>
    <row r="864" spans="1:5" x14ac:dyDescent="0.35">
      <c r="A864" s="7">
        <v>49503</v>
      </c>
      <c r="B864" s="8" t="s">
        <v>7</v>
      </c>
      <c r="C864" s="9">
        <v>27.3</v>
      </c>
      <c r="D864" s="10">
        <v>2.6</v>
      </c>
      <c r="E864">
        <f t="shared" si="13"/>
        <v>0.70979999999999999</v>
      </c>
    </row>
    <row r="865" spans="1:5" x14ac:dyDescent="0.35">
      <c r="A865" s="11">
        <v>49504</v>
      </c>
      <c r="B865" s="12" t="s">
        <v>10</v>
      </c>
      <c r="C865" s="13">
        <v>21</v>
      </c>
      <c r="D865" s="14">
        <v>27.8</v>
      </c>
      <c r="E865">
        <f t="shared" si="13"/>
        <v>5.838000000000001</v>
      </c>
    </row>
    <row r="866" spans="1:5" x14ac:dyDescent="0.35">
      <c r="A866" s="7">
        <v>49505</v>
      </c>
      <c r="B866" s="8" t="s">
        <v>14</v>
      </c>
      <c r="C866" s="9">
        <v>11.5</v>
      </c>
      <c r="D866" s="10">
        <v>0</v>
      </c>
      <c r="E866">
        <f t="shared" si="13"/>
        <v>0</v>
      </c>
    </row>
    <row r="867" spans="1:5" x14ac:dyDescent="0.35">
      <c r="A867" s="11">
        <v>49506</v>
      </c>
      <c r="B867" s="12" t="s">
        <v>21</v>
      </c>
      <c r="C867" s="13">
        <v>13.6</v>
      </c>
      <c r="D867" s="14">
        <v>2.7</v>
      </c>
      <c r="E867">
        <f t="shared" si="13"/>
        <v>0.36719999999999997</v>
      </c>
    </row>
    <row r="868" spans="1:5" x14ac:dyDescent="0.35">
      <c r="A868" s="7">
        <v>49507</v>
      </c>
      <c r="B868" s="8" t="s">
        <v>8</v>
      </c>
      <c r="C868" s="9">
        <v>17.8</v>
      </c>
      <c r="D868" s="10">
        <v>0.3</v>
      </c>
      <c r="E868">
        <f t="shared" si="13"/>
        <v>0</v>
      </c>
    </row>
    <row r="869" spans="1:5" x14ac:dyDescent="0.35">
      <c r="A869" s="11">
        <v>49508</v>
      </c>
      <c r="B869" s="12" t="s">
        <v>8</v>
      </c>
      <c r="C869" s="13">
        <v>10.8</v>
      </c>
      <c r="D869" s="14">
        <v>0</v>
      </c>
      <c r="E869">
        <f t="shared" si="13"/>
        <v>0</v>
      </c>
    </row>
    <row r="870" spans="1:5" x14ac:dyDescent="0.35">
      <c r="A870" s="7">
        <v>49509</v>
      </c>
      <c r="B870" s="8" t="s">
        <v>10</v>
      </c>
      <c r="C870" s="9">
        <v>23</v>
      </c>
      <c r="D870" s="10">
        <v>3.3</v>
      </c>
      <c r="E870">
        <f t="shared" si="13"/>
        <v>0.7589999999999999</v>
      </c>
    </row>
    <row r="871" spans="1:5" x14ac:dyDescent="0.35">
      <c r="A871" s="11">
        <v>49510</v>
      </c>
      <c r="B871" s="12" t="s">
        <v>11</v>
      </c>
      <c r="C871" s="13">
        <v>14</v>
      </c>
      <c r="D871" s="14">
        <v>18.100000000000001</v>
      </c>
      <c r="E871">
        <f t="shared" si="13"/>
        <v>2.5340000000000003</v>
      </c>
    </row>
    <row r="872" spans="1:5" x14ac:dyDescent="0.35">
      <c r="A872" s="7">
        <v>49511</v>
      </c>
      <c r="B872" s="8" t="s">
        <v>26</v>
      </c>
      <c r="C872" s="9">
        <v>10.7</v>
      </c>
      <c r="D872" s="10">
        <v>0.4</v>
      </c>
      <c r="E872">
        <f t="shared" si="13"/>
        <v>0</v>
      </c>
    </row>
    <row r="873" spans="1:5" x14ac:dyDescent="0.35">
      <c r="A873" s="11">
        <v>49512</v>
      </c>
      <c r="B873" s="12" t="s">
        <v>13</v>
      </c>
      <c r="C873" s="13">
        <v>24.7</v>
      </c>
      <c r="D873" s="14">
        <v>9.1</v>
      </c>
      <c r="E873">
        <f t="shared" si="13"/>
        <v>2.2477</v>
      </c>
    </row>
    <row r="874" spans="1:5" x14ac:dyDescent="0.35">
      <c r="A874" s="7">
        <v>49513</v>
      </c>
      <c r="B874" s="8" t="s">
        <v>19</v>
      </c>
      <c r="C874" s="9">
        <v>12.2</v>
      </c>
      <c r="D874" s="10">
        <v>18.600000000000001</v>
      </c>
      <c r="E874">
        <f t="shared" si="13"/>
        <v>2.2692000000000001</v>
      </c>
    </row>
    <row r="875" spans="1:5" x14ac:dyDescent="0.35">
      <c r="A875" s="11">
        <v>49514</v>
      </c>
      <c r="B875" s="12" t="s">
        <v>6</v>
      </c>
      <c r="C875" s="13">
        <v>23.8</v>
      </c>
      <c r="D875" s="14">
        <v>7.7</v>
      </c>
      <c r="E875">
        <f t="shared" si="13"/>
        <v>1.8326000000000002</v>
      </c>
    </row>
    <row r="876" spans="1:5" x14ac:dyDescent="0.35">
      <c r="A876" s="7">
        <v>49515</v>
      </c>
      <c r="B876" s="8" t="s">
        <v>12</v>
      </c>
      <c r="C876" s="9">
        <v>18.5</v>
      </c>
      <c r="D876" s="10">
        <v>0</v>
      </c>
      <c r="E876">
        <f t="shared" si="13"/>
        <v>0</v>
      </c>
    </row>
    <row r="877" spans="1:5" x14ac:dyDescent="0.35">
      <c r="A877" s="11">
        <v>49516</v>
      </c>
      <c r="B877" s="12" t="s">
        <v>17</v>
      </c>
      <c r="C877" s="13">
        <v>24.6</v>
      </c>
      <c r="D877" s="14">
        <v>0.4</v>
      </c>
      <c r="E877">
        <f t="shared" si="13"/>
        <v>0</v>
      </c>
    </row>
    <row r="878" spans="1:5" x14ac:dyDescent="0.35">
      <c r="A878" s="7">
        <v>49517</v>
      </c>
      <c r="B878" s="8" t="s">
        <v>19</v>
      </c>
      <c r="C878" s="9">
        <v>24.6</v>
      </c>
      <c r="D878" s="10">
        <v>10.4</v>
      </c>
      <c r="E878">
        <f t="shared" si="13"/>
        <v>2.5584000000000002</v>
      </c>
    </row>
    <row r="879" spans="1:5" x14ac:dyDescent="0.35">
      <c r="A879" s="11">
        <v>49518</v>
      </c>
      <c r="B879" s="12" t="s">
        <v>12</v>
      </c>
      <c r="C879" s="13">
        <v>25.4</v>
      </c>
      <c r="D879" s="14">
        <v>11.2</v>
      </c>
      <c r="E879">
        <f t="shared" si="13"/>
        <v>2.8447999999999998</v>
      </c>
    </row>
    <row r="880" spans="1:5" x14ac:dyDescent="0.35">
      <c r="A880" s="7">
        <v>49519</v>
      </c>
      <c r="B880" s="8" t="s">
        <v>11</v>
      </c>
      <c r="C880" s="9">
        <v>13.1</v>
      </c>
      <c r="D880" s="10">
        <v>22.2</v>
      </c>
      <c r="E880">
        <f t="shared" si="13"/>
        <v>2.9081999999999999</v>
      </c>
    </row>
    <row r="881" spans="1:5" x14ac:dyDescent="0.35">
      <c r="A881" s="11">
        <v>49520</v>
      </c>
      <c r="B881" s="12" t="s">
        <v>10</v>
      </c>
      <c r="C881" s="13">
        <v>10.1</v>
      </c>
      <c r="D881" s="14">
        <v>11.6</v>
      </c>
      <c r="E881">
        <f t="shared" si="13"/>
        <v>1.1716</v>
      </c>
    </row>
    <row r="882" spans="1:5" x14ac:dyDescent="0.35">
      <c r="A882" s="7">
        <v>49521</v>
      </c>
      <c r="B882" s="8" t="s">
        <v>15</v>
      </c>
      <c r="C882" s="9">
        <v>25</v>
      </c>
      <c r="D882" s="10">
        <v>0</v>
      </c>
      <c r="E882">
        <f t="shared" si="13"/>
        <v>0</v>
      </c>
    </row>
    <row r="883" spans="1:5" x14ac:dyDescent="0.35">
      <c r="A883" s="11">
        <v>49522</v>
      </c>
      <c r="B883" s="12" t="s">
        <v>18</v>
      </c>
      <c r="C883" s="13">
        <v>20.9</v>
      </c>
      <c r="D883" s="14">
        <v>11.4</v>
      </c>
      <c r="E883">
        <f t="shared" si="13"/>
        <v>2.3826000000000001</v>
      </c>
    </row>
    <row r="884" spans="1:5" x14ac:dyDescent="0.35">
      <c r="A884" s="7">
        <v>49523</v>
      </c>
      <c r="B884" s="8" t="s">
        <v>14</v>
      </c>
      <c r="C884" s="9">
        <v>27.6</v>
      </c>
      <c r="D884" s="10">
        <v>2.5</v>
      </c>
      <c r="E884">
        <f t="shared" si="13"/>
        <v>0.69</v>
      </c>
    </row>
    <row r="885" spans="1:5" x14ac:dyDescent="0.35">
      <c r="A885" s="11">
        <v>49524</v>
      </c>
      <c r="B885" s="12" t="s">
        <v>10</v>
      </c>
      <c r="C885" s="13">
        <v>22.8</v>
      </c>
      <c r="D885" s="14">
        <v>0</v>
      </c>
      <c r="E885">
        <f t="shared" si="13"/>
        <v>0</v>
      </c>
    </row>
    <row r="886" spans="1:5" x14ac:dyDescent="0.35">
      <c r="A886" s="7">
        <v>49525</v>
      </c>
      <c r="B886" s="8" t="s">
        <v>9</v>
      </c>
      <c r="C886" s="9">
        <v>12</v>
      </c>
      <c r="D886" s="10">
        <v>0</v>
      </c>
      <c r="E886">
        <f t="shared" si="13"/>
        <v>0</v>
      </c>
    </row>
    <row r="887" spans="1:5" x14ac:dyDescent="0.35">
      <c r="A887" s="11">
        <v>49526</v>
      </c>
      <c r="B887" s="12" t="s">
        <v>23</v>
      </c>
      <c r="C887" s="13">
        <v>16.8</v>
      </c>
      <c r="D887" s="14">
        <v>4.9000000000000004</v>
      </c>
      <c r="E887">
        <f t="shared" si="13"/>
        <v>0.82320000000000004</v>
      </c>
    </row>
    <row r="888" spans="1:5" x14ac:dyDescent="0.35">
      <c r="A888" s="7">
        <v>49527</v>
      </c>
      <c r="B888" s="8" t="s">
        <v>20</v>
      </c>
      <c r="C888" s="9">
        <v>12.9</v>
      </c>
      <c r="D888" s="10">
        <v>3</v>
      </c>
      <c r="E888">
        <f t="shared" si="13"/>
        <v>0.38700000000000001</v>
      </c>
    </row>
    <row r="889" spans="1:5" x14ac:dyDescent="0.35">
      <c r="A889" s="11">
        <v>49528</v>
      </c>
      <c r="B889" s="12" t="s">
        <v>10</v>
      </c>
      <c r="C889" s="13">
        <v>18</v>
      </c>
      <c r="D889" s="14">
        <v>13.6</v>
      </c>
      <c r="E889">
        <f t="shared" si="13"/>
        <v>2.448</v>
      </c>
    </row>
    <row r="890" spans="1:5" x14ac:dyDescent="0.35">
      <c r="A890" s="7">
        <v>49529</v>
      </c>
      <c r="B890" s="8" t="s">
        <v>19</v>
      </c>
      <c r="C890" s="9">
        <v>26</v>
      </c>
      <c r="D890" s="10">
        <v>30.4</v>
      </c>
      <c r="E890">
        <f t="shared" si="13"/>
        <v>7.9039999999999999</v>
      </c>
    </row>
    <row r="891" spans="1:5" x14ac:dyDescent="0.35">
      <c r="A891" s="11">
        <v>49530</v>
      </c>
      <c r="B891" s="12" t="s">
        <v>15</v>
      </c>
      <c r="C891" s="13">
        <v>21.3</v>
      </c>
      <c r="D891" s="14">
        <v>0</v>
      </c>
      <c r="E891">
        <f t="shared" si="13"/>
        <v>0</v>
      </c>
    </row>
    <row r="892" spans="1:5" x14ac:dyDescent="0.35">
      <c r="A892" s="7">
        <v>49531</v>
      </c>
      <c r="B892" s="8" t="s">
        <v>11</v>
      </c>
      <c r="C892" s="9">
        <v>15.7</v>
      </c>
      <c r="D892" s="10">
        <v>5.9</v>
      </c>
      <c r="E892">
        <f t="shared" si="13"/>
        <v>0.9262999999999999</v>
      </c>
    </row>
    <row r="893" spans="1:5" x14ac:dyDescent="0.35">
      <c r="A893" s="11">
        <v>49532</v>
      </c>
      <c r="B893" s="12" t="s">
        <v>10</v>
      </c>
      <c r="C893" s="13">
        <v>19.100000000000001</v>
      </c>
      <c r="D893" s="14">
        <v>0</v>
      </c>
      <c r="E893">
        <f t="shared" si="13"/>
        <v>0</v>
      </c>
    </row>
    <row r="894" spans="1:5" x14ac:dyDescent="0.35">
      <c r="A894" s="7">
        <v>49533</v>
      </c>
      <c r="B894" s="8" t="s">
        <v>19</v>
      </c>
      <c r="C894" s="9">
        <v>24.6</v>
      </c>
      <c r="D894" s="10">
        <v>12.3</v>
      </c>
      <c r="E894">
        <f t="shared" si="13"/>
        <v>3.0258000000000003</v>
      </c>
    </row>
    <row r="895" spans="1:5" x14ac:dyDescent="0.35">
      <c r="A895" s="11">
        <v>49534</v>
      </c>
      <c r="B895" s="12" t="s">
        <v>10</v>
      </c>
      <c r="C895" s="13">
        <v>18.7</v>
      </c>
      <c r="D895" s="14">
        <v>17.8</v>
      </c>
      <c r="E895">
        <f t="shared" si="13"/>
        <v>3.3286000000000002</v>
      </c>
    </row>
    <row r="896" spans="1:5" x14ac:dyDescent="0.35">
      <c r="A896" s="7">
        <v>49535</v>
      </c>
      <c r="B896" s="8" t="s">
        <v>9</v>
      </c>
      <c r="C896" s="9">
        <v>13.2</v>
      </c>
      <c r="D896" s="10">
        <v>3.2</v>
      </c>
      <c r="E896">
        <f t="shared" si="13"/>
        <v>0.4224</v>
      </c>
    </row>
    <row r="897" spans="1:5" x14ac:dyDescent="0.35">
      <c r="A897" s="11">
        <v>49536</v>
      </c>
      <c r="B897" s="12" t="s">
        <v>12</v>
      </c>
      <c r="C897" s="13">
        <v>24.8</v>
      </c>
      <c r="D897" s="14">
        <v>2.2999999999999998</v>
      </c>
      <c r="E897">
        <f t="shared" si="13"/>
        <v>0.57040000000000002</v>
      </c>
    </row>
    <row r="898" spans="1:5" x14ac:dyDescent="0.35">
      <c r="A898" s="7">
        <v>49537</v>
      </c>
      <c r="B898" s="8" t="s">
        <v>15</v>
      </c>
      <c r="C898" s="9">
        <v>19.3</v>
      </c>
      <c r="D898" s="10">
        <v>1.8</v>
      </c>
      <c r="E898">
        <f t="shared" si="13"/>
        <v>0.34740000000000004</v>
      </c>
    </row>
    <row r="899" spans="1:5" x14ac:dyDescent="0.35">
      <c r="A899" s="11">
        <v>49538</v>
      </c>
      <c r="B899" s="12" t="s">
        <v>18</v>
      </c>
      <c r="C899" s="13">
        <v>22.7</v>
      </c>
      <c r="D899" s="14">
        <v>0</v>
      </c>
      <c r="E899">
        <f t="shared" ref="E899:E962" si="14">IF(D899&gt;=1,C899*D899/100,0)</f>
        <v>0</v>
      </c>
    </row>
    <row r="900" spans="1:5" x14ac:dyDescent="0.35">
      <c r="A900" s="7">
        <v>49539</v>
      </c>
      <c r="B900" s="8" t="s">
        <v>11</v>
      </c>
      <c r="C900" s="9">
        <v>15.2</v>
      </c>
      <c r="D900" s="10">
        <v>0</v>
      </c>
      <c r="E900">
        <f t="shared" si="14"/>
        <v>0</v>
      </c>
    </row>
    <row r="901" spans="1:5" x14ac:dyDescent="0.35">
      <c r="A901" s="11">
        <v>49540</v>
      </c>
      <c r="B901" s="12" t="s">
        <v>23</v>
      </c>
      <c r="C901" s="13">
        <v>28.6</v>
      </c>
      <c r="D901" s="14">
        <v>0.2</v>
      </c>
      <c r="E901">
        <f t="shared" si="14"/>
        <v>0</v>
      </c>
    </row>
    <row r="902" spans="1:5" x14ac:dyDescent="0.35">
      <c r="A902" s="7">
        <v>49541</v>
      </c>
      <c r="B902" s="8" t="s">
        <v>7</v>
      </c>
      <c r="C902" s="9">
        <v>17.899999999999999</v>
      </c>
      <c r="D902" s="10">
        <v>18.600000000000001</v>
      </c>
      <c r="E902">
        <f t="shared" si="14"/>
        <v>3.3294000000000001</v>
      </c>
    </row>
    <row r="903" spans="1:5" x14ac:dyDescent="0.35">
      <c r="A903" s="11">
        <v>49542</v>
      </c>
      <c r="B903" s="12" t="s">
        <v>31</v>
      </c>
      <c r="C903" s="13">
        <v>11.6</v>
      </c>
      <c r="D903" s="14">
        <v>0</v>
      </c>
      <c r="E903">
        <f t="shared" si="14"/>
        <v>0</v>
      </c>
    </row>
    <row r="904" spans="1:5" x14ac:dyDescent="0.35">
      <c r="A904" s="7">
        <v>49543</v>
      </c>
      <c r="B904" s="8" t="s">
        <v>21</v>
      </c>
      <c r="C904" s="9">
        <v>19</v>
      </c>
      <c r="D904" s="10">
        <v>2.2000000000000002</v>
      </c>
      <c r="E904">
        <f t="shared" si="14"/>
        <v>0.41800000000000004</v>
      </c>
    </row>
    <row r="905" spans="1:5" x14ac:dyDescent="0.35">
      <c r="A905" s="11">
        <v>49544</v>
      </c>
      <c r="B905" s="12" t="s">
        <v>12</v>
      </c>
      <c r="C905" s="13">
        <v>17.600000000000001</v>
      </c>
      <c r="D905" s="14">
        <v>7.2</v>
      </c>
      <c r="E905">
        <f t="shared" si="14"/>
        <v>1.2672000000000001</v>
      </c>
    </row>
    <row r="906" spans="1:5" x14ac:dyDescent="0.35">
      <c r="A906" s="7">
        <v>49545</v>
      </c>
      <c r="B906" s="8" t="s">
        <v>7</v>
      </c>
      <c r="C906" s="9">
        <v>12.1</v>
      </c>
      <c r="D906" s="10">
        <v>7.2</v>
      </c>
      <c r="E906">
        <f t="shared" si="14"/>
        <v>0.87120000000000009</v>
      </c>
    </row>
    <row r="907" spans="1:5" x14ac:dyDescent="0.35">
      <c r="A907" s="11">
        <v>49546</v>
      </c>
      <c r="B907" s="12" t="s">
        <v>13</v>
      </c>
      <c r="C907" s="13">
        <v>28.3</v>
      </c>
      <c r="D907" s="14">
        <v>1.8</v>
      </c>
      <c r="E907">
        <f t="shared" si="14"/>
        <v>0.50940000000000007</v>
      </c>
    </row>
    <row r="908" spans="1:5" x14ac:dyDescent="0.35">
      <c r="A908" s="7">
        <v>49547</v>
      </c>
      <c r="B908" s="8" t="s">
        <v>18</v>
      </c>
      <c r="C908" s="9">
        <v>13.3</v>
      </c>
      <c r="D908" s="10">
        <v>0</v>
      </c>
      <c r="E908">
        <f t="shared" si="14"/>
        <v>0</v>
      </c>
    </row>
    <row r="909" spans="1:5" x14ac:dyDescent="0.35">
      <c r="A909" s="11">
        <v>49548</v>
      </c>
      <c r="B909" s="12" t="s">
        <v>11</v>
      </c>
      <c r="C909" s="13">
        <v>21</v>
      </c>
      <c r="D909" s="14">
        <v>4.2</v>
      </c>
      <c r="E909">
        <f t="shared" si="14"/>
        <v>0.88200000000000001</v>
      </c>
    </row>
    <row r="910" spans="1:5" x14ac:dyDescent="0.35">
      <c r="A910" s="7">
        <v>49549</v>
      </c>
      <c r="B910" s="8" t="s">
        <v>10</v>
      </c>
      <c r="C910" s="9">
        <v>12</v>
      </c>
      <c r="D910" s="10">
        <v>2.2000000000000002</v>
      </c>
      <c r="E910">
        <f t="shared" si="14"/>
        <v>0.26400000000000001</v>
      </c>
    </row>
    <row r="911" spans="1:5" x14ac:dyDescent="0.35">
      <c r="A911" s="11">
        <v>49550</v>
      </c>
      <c r="B911" s="12" t="s">
        <v>19</v>
      </c>
      <c r="C911" s="13">
        <v>12.1</v>
      </c>
      <c r="D911" s="14">
        <v>0</v>
      </c>
      <c r="E911">
        <f t="shared" si="14"/>
        <v>0</v>
      </c>
    </row>
    <row r="912" spans="1:5" x14ac:dyDescent="0.35">
      <c r="A912" s="7">
        <v>49551</v>
      </c>
      <c r="B912" s="8" t="s">
        <v>11</v>
      </c>
      <c r="C912" s="9">
        <v>15.8</v>
      </c>
      <c r="D912" s="10">
        <v>17.2</v>
      </c>
      <c r="E912">
        <f t="shared" si="14"/>
        <v>2.7176</v>
      </c>
    </row>
    <row r="913" spans="1:5" x14ac:dyDescent="0.35">
      <c r="A913" s="11">
        <v>49552</v>
      </c>
      <c r="B913" s="12" t="s">
        <v>12</v>
      </c>
      <c r="C913" s="13">
        <v>25.7</v>
      </c>
      <c r="D913" s="14">
        <v>5.9</v>
      </c>
      <c r="E913">
        <f t="shared" si="14"/>
        <v>1.5163</v>
      </c>
    </row>
    <row r="914" spans="1:5" x14ac:dyDescent="0.35">
      <c r="A914" s="7">
        <v>49553</v>
      </c>
      <c r="B914" s="8" t="s">
        <v>10</v>
      </c>
      <c r="C914" s="9">
        <v>20.5</v>
      </c>
      <c r="D914" s="10">
        <v>26</v>
      </c>
      <c r="E914">
        <f t="shared" si="14"/>
        <v>5.33</v>
      </c>
    </row>
    <row r="915" spans="1:5" x14ac:dyDescent="0.35">
      <c r="A915" s="11">
        <v>49554</v>
      </c>
      <c r="B915" s="12" t="s">
        <v>13</v>
      </c>
      <c r="C915" s="13">
        <v>23.5</v>
      </c>
      <c r="D915" s="14">
        <v>15.3</v>
      </c>
      <c r="E915">
        <f t="shared" si="14"/>
        <v>3.5954999999999999</v>
      </c>
    </row>
    <row r="916" spans="1:5" x14ac:dyDescent="0.35">
      <c r="A916" s="7">
        <v>49555</v>
      </c>
      <c r="B916" s="8" t="s">
        <v>12</v>
      </c>
      <c r="C916" s="9">
        <v>21.7</v>
      </c>
      <c r="D916" s="10">
        <v>1.2</v>
      </c>
      <c r="E916">
        <f t="shared" si="14"/>
        <v>0.26039999999999996</v>
      </c>
    </row>
    <row r="917" spans="1:5" x14ac:dyDescent="0.35">
      <c r="A917" s="11">
        <v>49556</v>
      </c>
      <c r="B917" s="12" t="s">
        <v>10</v>
      </c>
      <c r="C917" s="13">
        <v>29.8</v>
      </c>
      <c r="D917" s="14">
        <v>0</v>
      </c>
      <c r="E917">
        <f t="shared" si="14"/>
        <v>0</v>
      </c>
    </row>
    <row r="918" spans="1:5" x14ac:dyDescent="0.35">
      <c r="A918" s="7">
        <v>49557</v>
      </c>
      <c r="B918" s="8" t="s">
        <v>7</v>
      </c>
      <c r="C918" s="9">
        <v>27.1</v>
      </c>
      <c r="D918" s="10">
        <v>0</v>
      </c>
      <c r="E918">
        <f t="shared" si="14"/>
        <v>0</v>
      </c>
    </row>
    <row r="919" spans="1:5" x14ac:dyDescent="0.35">
      <c r="A919" s="11">
        <v>49558</v>
      </c>
      <c r="B919" s="12" t="s">
        <v>12</v>
      </c>
      <c r="C919" s="13">
        <v>27.3</v>
      </c>
      <c r="D919" s="14">
        <v>0</v>
      </c>
      <c r="E919">
        <f t="shared" si="14"/>
        <v>0</v>
      </c>
    </row>
    <row r="920" spans="1:5" x14ac:dyDescent="0.35">
      <c r="A920" s="7">
        <v>49559</v>
      </c>
      <c r="B920" s="8" t="s">
        <v>19</v>
      </c>
      <c r="C920" s="9">
        <v>15.5</v>
      </c>
      <c r="D920" s="10">
        <v>27.6</v>
      </c>
      <c r="E920">
        <f t="shared" si="14"/>
        <v>4.2780000000000005</v>
      </c>
    </row>
    <row r="921" spans="1:5" x14ac:dyDescent="0.35">
      <c r="A921" s="11">
        <v>49560</v>
      </c>
      <c r="B921" s="12" t="s">
        <v>13</v>
      </c>
      <c r="C921" s="13">
        <v>27.9</v>
      </c>
      <c r="D921" s="14">
        <v>5.0999999999999996</v>
      </c>
      <c r="E921">
        <f t="shared" si="14"/>
        <v>1.4228999999999998</v>
      </c>
    </row>
    <row r="922" spans="1:5" x14ac:dyDescent="0.35">
      <c r="A922" s="7">
        <v>49561</v>
      </c>
      <c r="B922" s="8" t="s">
        <v>10</v>
      </c>
      <c r="C922" s="9">
        <v>19.7</v>
      </c>
      <c r="D922" s="10">
        <v>21.4</v>
      </c>
      <c r="E922">
        <f t="shared" si="14"/>
        <v>4.2157999999999998</v>
      </c>
    </row>
    <row r="923" spans="1:5" x14ac:dyDescent="0.35">
      <c r="A923" s="11">
        <v>49562</v>
      </c>
      <c r="B923" s="12" t="s">
        <v>10</v>
      </c>
      <c r="C923" s="13">
        <v>27.8</v>
      </c>
      <c r="D923" s="14">
        <v>27.6</v>
      </c>
      <c r="E923">
        <f t="shared" si="14"/>
        <v>7.6728000000000005</v>
      </c>
    </row>
    <row r="924" spans="1:5" x14ac:dyDescent="0.35">
      <c r="A924" s="7">
        <v>49563</v>
      </c>
      <c r="B924" s="8" t="s">
        <v>22</v>
      </c>
      <c r="C924" s="9">
        <v>12.3</v>
      </c>
      <c r="D924" s="10">
        <v>2.9</v>
      </c>
      <c r="E924">
        <f t="shared" si="14"/>
        <v>0.35670000000000002</v>
      </c>
    </row>
    <row r="925" spans="1:5" x14ac:dyDescent="0.35">
      <c r="A925" s="11">
        <v>49564</v>
      </c>
      <c r="B925" s="12" t="s">
        <v>18</v>
      </c>
      <c r="C925" s="13">
        <v>12.8</v>
      </c>
      <c r="D925" s="14">
        <v>8.8000000000000007</v>
      </c>
      <c r="E925">
        <f t="shared" si="14"/>
        <v>1.1264000000000001</v>
      </c>
    </row>
    <row r="926" spans="1:5" x14ac:dyDescent="0.35">
      <c r="A926" s="7">
        <v>49565</v>
      </c>
      <c r="B926" s="8" t="s">
        <v>10</v>
      </c>
      <c r="C926" s="9">
        <v>15</v>
      </c>
      <c r="D926" s="10">
        <v>0</v>
      </c>
      <c r="E926">
        <f t="shared" si="14"/>
        <v>0</v>
      </c>
    </row>
    <row r="927" spans="1:5" x14ac:dyDescent="0.35">
      <c r="A927" s="11">
        <v>49566</v>
      </c>
      <c r="B927" s="12" t="s">
        <v>23</v>
      </c>
      <c r="C927" s="13">
        <v>27.6</v>
      </c>
      <c r="D927" s="14">
        <v>4.7</v>
      </c>
      <c r="E927">
        <f t="shared" si="14"/>
        <v>1.2971999999999999</v>
      </c>
    </row>
    <row r="928" spans="1:5" x14ac:dyDescent="0.35">
      <c r="A928" s="7">
        <v>49567</v>
      </c>
      <c r="B928" s="8" t="s">
        <v>10</v>
      </c>
      <c r="C928" s="9">
        <v>19.600000000000001</v>
      </c>
      <c r="D928" s="10">
        <v>0</v>
      </c>
      <c r="E928">
        <f t="shared" si="14"/>
        <v>0</v>
      </c>
    </row>
    <row r="929" spans="1:5" x14ac:dyDescent="0.35">
      <c r="A929" s="11">
        <v>49568</v>
      </c>
      <c r="B929" s="12" t="s">
        <v>30</v>
      </c>
      <c r="C929" s="13">
        <v>16</v>
      </c>
      <c r="D929" s="14">
        <v>0.4</v>
      </c>
      <c r="E929">
        <f t="shared" si="14"/>
        <v>0</v>
      </c>
    </row>
    <row r="930" spans="1:5" x14ac:dyDescent="0.35">
      <c r="A930" s="7">
        <v>49569</v>
      </c>
      <c r="B930" s="8" t="s">
        <v>10</v>
      </c>
      <c r="C930" s="9">
        <v>10.3</v>
      </c>
      <c r="D930" s="10">
        <v>0</v>
      </c>
      <c r="E930">
        <f t="shared" si="14"/>
        <v>0</v>
      </c>
    </row>
    <row r="931" spans="1:5" x14ac:dyDescent="0.35">
      <c r="A931" s="11">
        <v>49570</v>
      </c>
      <c r="B931" s="12" t="s">
        <v>18</v>
      </c>
      <c r="C931" s="13">
        <v>20.2</v>
      </c>
      <c r="D931" s="14">
        <v>13.9</v>
      </c>
      <c r="E931">
        <f t="shared" si="14"/>
        <v>2.8077999999999999</v>
      </c>
    </row>
    <row r="932" spans="1:5" x14ac:dyDescent="0.35">
      <c r="A932" s="7">
        <v>49571</v>
      </c>
      <c r="B932" s="8" t="s">
        <v>26</v>
      </c>
      <c r="C932" s="9">
        <v>26.4</v>
      </c>
      <c r="D932" s="10">
        <v>6.8</v>
      </c>
      <c r="E932">
        <f t="shared" si="14"/>
        <v>1.7951999999999999</v>
      </c>
    </row>
    <row r="933" spans="1:5" x14ac:dyDescent="0.35">
      <c r="A933" s="11">
        <v>49572</v>
      </c>
      <c r="B933" s="12" t="s">
        <v>17</v>
      </c>
      <c r="C933" s="13">
        <v>20.6</v>
      </c>
      <c r="D933" s="14">
        <v>0</v>
      </c>
      <c r="E933">
        <f t="shared" si="14"/>
        <v>0</v>
      </c>
    </row>
    <row r="934" spans="1:5" x14ac:dyDescent="0.35">
      <c r="A934" s="7">
        <v>49573</v>
      </c>
      <c r="B934" s="8" t="s">
        <v>19</v>
      </c>
      <c r="C934" s="9">
        <v>12.3</v>
      </c>
      <c r="D934" s="10">
        <v>0.2</v>
      </c>
      <c r="E934">
        <f t="shared" si="14"/>
        <v>0</v>
      </c>
    </row>
    <row r="935" spans="1:5" x14ac:dyDescent="0.35">
      <c r="A935" s="11">
        <v>49574</v>
      </c>
      <c r="B935" s="12" t="s">
        <v>19</v>
      </c>
      <c r="C935" s="13">
        <v>11.2</v>
      </c>
      <c r="D935" s="14">
        <v>36.200000000000003</v>
      </c>
      <c r="E935">
        <f t="shared" si="14"/>
        <v>4.0544000000000002</v>
      </c>
    </row>
    <row r="936" spans="1:5" x14ac:dyDescent="0.35">
      <c r="A936" s="7">
        <v>49575</v>
      </c>
      <c r="B936" s="8" t="s">
        <v>8</v>
      </c>
      <c r="C936" s="9">
        <v>22.6</v>
      </c>
      <c r="D936" s="10">
        <v>2.4</v>
      </c>
      <c r="E936">
        <f t="shared" si="14"/>
        <v>0.54239999999999999</v>
      </c>
    </row>
    <row r="937" spans="1:5" x14ac:dyDescent="0.35">
      <c r="A937" s="11">
        <v>49576</v>
      </c>
      <c r="B937" s="12" t="s">
        <v>25</v>
      </c>
      <c r="C937" s="13">
        <v>16.399999999999999</v>
      </c>
      <c r="D937" s="14">
        <v>0.1</v>
      </c>
      <c r="E937">
        <f t="shared" si="14"/>
        <v>0</v>
      </c>
    </row>
    <row r="938" spans="1:5" x14ac:dyDescent="0.35">
      <c r="A938" s="7">
        <v>49577</v>
      </c>
      <c r="B938" s="8" t="s">
        <v>27</v>
      </c>
      <c r="C938" s="9">
        <v>23.4</v>
      </c>
      <c r="D938" s="10">
        <v>0</v>
      </c>
      <c r="E938">
        <f t="shared" si="14"/>
        <v>0</v>
      </c>
    </row>
    <row r="939" spans="1:5" x14ac:dyDescent="0.35">
      <c r="A939" s="11">
        <v>49578</v>
      </c>
      <c r="B939" s="12" t="s">
        <v>23</v>
      </c>
      <c r="C939" s="13">
        <v>20.2</v>
      </c>
      <c r="D939" s="14">
        <v>0.3</v>
      </c>
      <c r="E939">
        <f t="shared" si="14"/>
        <v>0</v>
      </c>
    </row>
    <row r="940" spans="1:5" x14ac:dyDescent="0.35">
      <c r="A940" s="7">
        <v>49579</v>
      </c>
      <c r="B940" s="8" t="s">
        <v>11</v>
      </c>
      <c r="C940" s="9">
        <v>17.600000000000001</v>
      </c>
      <c r="D940" s="10">
        <v>15</v>
      </c>
      <c r="E940">
        <f t="shared" si="14"/>
        <v>2.64</v>
      </c>
    </row>
    <row r="941" spans="1:5" x14ac:dyDescent="0.35">
      <c r="A941" s="11">
        <v>49580</v>
      </c>
      <c r="B941" s="12" t="s">
        <v>10</v>
      </c>
      <c r="C941" s="13">
        <v>21.7</v>
      </c>
      <c r="D941" s="14">
        <v>33.299999999999997</v>
      </c>
      <c r="E941">
        <f t="shared" si="14"/>
        <v>7.2260999999999989</v>
      </c>
    </row>
    <row r="942" spans="1:5" x14ac:dyDescent="0.35">
      <c r="A942" s="7">
        <v>49581</v>
      </c>
      <c r="B942" s="8" t="s">
        <v>10</v>
      </c>
      <c r="C942" s="9">
        <v>18.399999999999999</v>
      </c>
      <c r="D942" s="10">
        <v>19.3</v>
      </c>
      <c r="E942">
        <f t="shared" si="14"/>
        <v>3.5512000000000001</v>
      </c>
    </row>
    <row r="943" spans="1:5" x14ac:dyDescent="0.35">
      <c r="A943" s="11">
        <v>49582</v>
      </c>
      <c r="B943" s="12" t="s">
        <v>7</v>
      </c>
      <c r="C943" s="13">
        <v>20.100000000000001</v>
      </c>
      <c r="D943" s="14">
        <v>15.4</v>
      </c>
      <c r="E943">
        <f t="shared" si="14"/>
        <v>3.0954000000000002</v>
      </c>
    </row>
    <row r="944" spans="1:5" x14ac:dyDescent="0.35">
      <c r="A944" s="7">
        <v>49583</v>
      </c>
      <c r="B944" s="8" t="s">
        <v>18</v>
      </c>
      <c r="C944" s="9">
        <v>16.5</v>
      </c>
      <c r="D944" s="10">
        <v>14.7</v>
      </c>
      <c r="E944">
        <f t="shared" si="14"/>
        <v>2.4255</v>
      </c>
    </row>
    <row r="945" spans="1:5" x14ac:dyDescent="0.35">
      <c r="A945" s="11">
        <v>49584</v>
      </c>
      <c r="B945" s="12" t="s">
        <v>10</v>
      </c>
      <c r="C945" s="13">
        <v>12.3</v>
      </c>
      <c r="D945" s="14">
        <v>30.2</v>
      </c>
      <c r="E945">
        <f t="shared" si="14"/>
        <v>3.7146000000000003</v>
      </c>
    </row>
    <row r="946" spans="1:5" x14ac:dyDescent="0.35">
      <c r="A946" s="7">
        <v>49585</v>
      </c>
      <c r="B946" s="8" t="s">
        <v>10</v>
      </c>
      <c r="C946" s="9">
        <v>29.6</v>
      </c>
      <c r="D946" s="10">
        <v>42.8</v>
      </c>
      <c r="E946">
        <f t="shared" si="14"/>
        <v>12.668799999999999</v>
      </c>
    </row>
    <row r="947" spans="1:5" x14ac:dyDescent="0.35">
      <c r="A947" s="11">
        <v>49586</v>
      </c>
      <c r="B947" s="12" t="s">
        <v>12</v>
      </c>
      <c r="C947" s="13">
        <v>26.6</v>
      </c>
      <c r="D947" s="14">
        <v>9.1999999999999993</v>
      </c>
      <c r="E947">
        <f t="shared" si="14"/>
        <v>2.4472</v>
      </c>
    </row>
    <row r="948" spans="1:5" x14ac:dyDescent="0.35">
      <c r="A948" s="7">
        <v>49587</v>
      </c>
      <c r="B948" s="8" t="s">
        <v>18</v>
      </c>
      <c r="C948" s="9">
        <v>26.7</v>
      </c>
      <c r="D948" s="10">
        <v>4</v>
      </c>
      <c r="E948">
        <f t="shared" si="14"/>
        <v>1.0680000000000001</v>
      </c>
    </row>
    <row r="949" spans="1:5" x14ac:dyDescent="0.35">
      <c r="A949" s="11">
        <v>49588</v>
      </c>
      <c r="B949" s="12" t="s">
        <v>15</v>
      </c>
      <c r="C949" s="13">
        <v>23.6</v>
      </c>
      <c r="D949" s="14">
        <v>0</v>
      </c>
      <c r="E949">
        <f t="shared" si="14"/>
        <v>0</v>
      </c>
    </row>
    <row r="950" spans="1:5" x14ac:dyDescent="0.35">
      <c r="A950" s="7">
        <v>49589</v>
      </c>
      <c r="B950" s="8" t="s">
        <v>25</v>
      </c>
      <c r="C950" s="9">
        <v>13.6</v>
      </c>
      <c r="D950" s="10">
        <v>2.8</v>
      </c>
      <c r="E950">
        <f t="shared" si="14"/>
        <v>0.38079999999999997</v>
      </c>
    </row>
    <row r="951" spans="1:5" x14ac:dyDescent="0.35">
      <c r="A951" s="11">
        <v>49590</v>
      </c>
      <c r="B951" s="12" t="s">
        <v>5</v>
      </c>
      <c r="C951" s="13">
        <v>13.8</v>
      </c>
      <c r="D951" s="14">
        <v>6.5</v>
      </c>
      <c r="E951">
        <f t="shared" si="14"/>
        <v>0.89700000000000002</v>
      </c>
    </row>
    <row r="952" spans="1:5" x14ac:dyDescent="0.35">
      <c r="A952" s="7">
        <v>49591</v>
      </c>
      <c r="B952" s="8" t="s">
        <v>6</v>
      </c>
      <c r="C952" s="9">
        <v>12.3</v>
      </c>
      <c r="D952" s="10">
        <v>0</v>
      </c>
      <c r="E952">
        <f t="shared" si="14"/>
        <v>0</v>
      </c>
    </row>
    <row r="953" spans="1:5" x14ac:dyDescent="0.35">
      <c r="A953" s="11">
        <v>49592</v>
      </c>
      <c r="B953" s="12" t="s">
        <v>7</v>
      </c>
      <c r="C953" s="13">
        <v>12.3</v>
      </c>
      <c r="D953" s="14">
        <v>0</v>
      </c>
      <c r="E953">
        <f t="shared" si="14"/>
        <v>0</v>
      </c>
    </row>
    <row r="954" spans="1:5" x14ac:dyDescent="0.35">
      <c r="A954" s="7">
        <v>49593</v>
      </c>
      <c r="B954" s="8" t="s">
        <v>18</v>
      </c>
      <c r="C954" s="9">
        <v>22.7</v>
      </c>
      <c r="D954" s="10">
        <v>10.3</v>
      </c>
      <c r="E954">
        <f t="shared" si="14"/>
        <v>2.3380999999999998</v>
      </c>
    </row>
    <row r="955" spans="1:5" x14ac:dyDescent="0.35">
      <c r="A955" s="11">
        <v>49594</v>
      </c>
      <c r="B955" s="12" t="s">
        <v>10</v>
      </c>
      <c r="C955" s="13">
        <v>19</v>
      </c>
      <c r="D955" s="14">
        <v>0</v>
      </c>
      <c r="E955">
        <f t="shared" si="14"/>
        <v>0</v>
      </c>
    </row>
    <row r="956" spans="1:5" x14ac:dyDescent="0.35">
      <c r="A956" s="7">
        <v>49595</v>
      </c>
      <c r="B956" s="8" t="s">
        <v>8</v>
      </c>
      <c r="C956" s="9">
        <v>23.4</v>
      </c>
      <c r="D956" s="10">
        <v>0</v>
      </c>
      <c r="E956">
        <f t="shared" si="14"/>
        <v>0</v>
      </c>
    </row>
    <row r="957" spans="1:5" x14ac:dyDescent="0.35">
      <c r="A957" s="11">
        <v>49596</v>
      </c>
      <c r="B957" s="12" t="s">
        <v>15</v>
      </c>
      <c r="C957" s="13">
        <v>28.2</v>
      </c>
      <c r="D957" s="14">
        <v>0</v>
      </c>
      <c r="E957">
        <f t="shared" si="14"/>
        <v>0</v>
      </c>
    </row>
    <row r="958" spans="1:5" x14ac:dyDescent="0.35">
      <c r="A958" s="7">
        <v>49597</v>
      </c>
      <c r="B958" s="8" t="s">
        <v>15</v>
      </c>
      <c r="C958" s="9">
        <v>20.100000000000001</v>
      </c>
      <c r="D958" s="10">
        <v>9.6999999999999993</v>
      </c>
      <c r="E958">
        <f t="shared" si="14"/>
        <v>1.9497</v>
      </c>
    </row>
    <row r="959" spans="1:5" x14ac:dyDescent="0.35">
      <c r="A959" s="11">
        <v>49598</v>
      </c>
      <c r="B959" s="12" t="s">
        <v>17</v>
      </c>
      <c r="C959" s="13">
        <v>29.6</v>
      </c>
      <c r="D959" s="14">
        <v>0</v>
      </c>
      <c r="E959">
        <f t="shared" si="14"/>
        <v>0</v>
      </c>
    </row>
    <row r="960" spans="1:5" x14ac:dyDescent="0.35">
      <c r="A960" s="7">
        <v>49599</v>
      </c>
      <c r="B960" s="8" t="s">
        <v>7</v>
      </c>
      <c r="C960" s="9">
        <v>25.8</v>
      </c>
      <c r="D960" s="10">
        <v>0</v>
      </c>
      <c r="E960">
        <f t="shared" si="14"/>
        <v>0</v>
      </c>
    </row>
    <row r="961" spans="1:5" x14ac:dyDescent="0.35">
      <c r="A961" s="11">
        <v>49600</v>
      </c>
      <c r="B961" s="12" t="s">
        <v>10</v>
      </c>
      <c r="C961" s="13">
        <v>19.600000000000001</v>
      </c>
      <c r="D961" s="14">
        <v>18.5</v>
      </c>
      <c r="E961">
        <f t="shared" si="14"/>
        <v>3.6260000000000003</v>
      </c>
    </row>
    <row r="962" spans="1:5" x14ac:dyDescent="0.35">
      <c r="A962" s="7">
        <v>49601</v>
      </c>
      <c r="B962" s="8" t="s">
        <v>19</v>
      </c>
      <c r="C962" s="9">
        <v>21.5</v>
      </c>
      <c r="D962" s="10">
        <v>3</v>
      </c>
      <c r="E962">
        <f t="shared" si="14"/>
        <v>0.64500000000000002</v>
      </c>
    </row>
    <row r="963" spans="1:5" x14ac:dyDescent="0.35">
      <c r="A963" s="11">
        <v>49602</v>
      </c>
      <c r="B963" s="12" t="s">
        <v>15</v>
      </c>
      <c r="C963" s="13">
        <v>24.2</v>
      </c>
      <c r="D963" s="14">
        <v>17.399999999999999</v>
      </c>
      <c r="E963">
        <f t="shared" ref="E963:E1026" si="15">IF(D963&gt;=1,C963*D963/100,0)</f>
        <v>4.210799999999999</v>
      </c>
    </row>
    <row r="964" spans="1:5" x14ac:dyDescent="0.35">
      <c r="A964" s="7">
        <v>49603</v>
      </c>
      <c r="B964" s="8" t="s">
        <v>27</v>
      </c>
      <c r="C964" s="9">
        <v>12</v>
      </c>
      <c r="D964" s="10">
        <v>0</v>
      </c>
      <c r="E964">
        <f t="shared" si="15"/>
        <v>0</v>
      </c>
    </row>
    <row r="965" spans="1:5" x14ac:dyDescent="0.35">
      <c r="A965" s="11">
        <v>49604</v>
      </c>
      <c r="B965" s="12" t="s">
        <v>33</v>
      </c>
      <c r="C965" s="13">
        <v>23</v>
      </c>
      <c r="D965" s="14">
        <v>0</v>
      </c>
      <c r="E965">
        <f t="shared" si="15"/>
        <v>0</v>
      </c>
    </row>
    <row r="966" spans="1:5" x14ac:dyDescent="0.35">
      <c r="A966" s="7">
        <v>49605</v>
      </c>
      <c r="B966" s="8" t="s">
        <v>19</v>
      </c>
      <c r="C966" s="9">
        <v>19.8</v>
      </c>
      <c r="D966" s="10">
        <v>29.2</v>
      </c>
      <c r="E966">
        <f t="shared" si="15"/>
        <v>5.7816000000000001</v>
      </c>
    </row>
    <row r="967" spans="1:5" x14ac:dyDescent="0.35">
      <c r="A967" s="11">
        <v>49606</v>
      </c>
      <c r="B967" s="12" t="s">
        <v>5</v>
      </c>
      <c r="C967" s="13">
        <v>14.9</v>
      </c>
      <c r="D967" s="14">
        <v>0.8</v>
      </c>
      <c r="E967">
        <f t="shared" si="15"/>
        <v>0</v>
      </c>
    </row>
    <row r="968" spans="1:5" x14ac:dyDescent="0.35">
      <c r="A968" s="7">
        <v>49607</v>
      </c>
      <c r="B968" s="8" t="s">
        <v>15</v>
      </c>
      <c r="C968" s="9">
        <v>17.899999999999999</v>
      </c>
      <c r="D968" s="10">
        <v>10.3</v>
      </c>
      <c r="E968">
        <f t="shared" si="15"/>
        <v>1.8437000000000001</v>
      </c>
    </row>
    <row r="969" spans="1:5" x14ac:dyDescent="0.35">
      <c r="A969" s="11">
        <v>49608</v>
      </c>
      <c r="B969" s="12" t="s">
        <v>7</v>
      </c>
      <c r="C969" s="13">
        <v>26</v>
      </c>
      <c r="D969" s="14">
        <v>0</v>
      </c>
      <c r="E969">
        <f t="shared" si="15"/>
        <v>0</v>
      </c>
    </row>
    <row r="970" spans="1:5" x14ac:dyDescent="0.35">
      <c r="A970" s="7">
        <v>49609</v>
      </c>
      <c r="B970" s="8" t="s">
        <v>12</v>
      </c>
      <c r="C970" s="9">
        <v>21.5</v>
      </c>
      <c r="D970" s="10">
        <v>9.3000000000000007</v>
      </c>
      <c r="E970">
        <f t="shared" si="15"/>
        <v>1.9995000000000003</v>
      </c>
    </row>
    <row r="971" spans="1:5" x14ac:dyDescent="0.35">
      <c r="A971" s="11">
        <v>49610</v>
      </c>
      <c r="B971" s="12" t="s">
        <v>19</v>
      </c>
      <c r="C971" s="13">
        <v>29.9</v>
      </c>
      <c r="D971" s="14">
        <v>2.4</v>
      </c>
      <c r="E971">
        <f t="shared" si="15"/>
        <v>0.7175999999999999</v>
      </c>
    </row>
    <row r="972" spans="1:5" x14ac:dyDescent="0.35">
      <c r="A972" s="7">
        <v>49611</v>
      </c>
      <c r="B972" s="8" t="s">
        <v>10</v>
      </c>
      <c r="C972" s="9">
        <v>12.3</v>
      </c>
      <c r="D972" s="10">
        <v>35.1</v>
      </c>
      <c r="E972">
        <f t="shared" si="15"/>
        <v>4.3173000000000004</v>
      </c>
    </row>
    <row r="973" spans="1:5" x14ac:dyDescent="0.35">
      <c r="A973" s="11">
        <v>49612</v>
      </c>
      <c r="B973" s="12" t="s">
        <v>17</v>
      </c>
      <c r="C973" s="13">
        <v>21.7</v>
      </c>
      <c r="D973" s="14">
        <v>3.9</v>
      </c>
      <c r="E973">
        <f t="shared" si="15"/>
        <v>0.84629999999999994</v>
      </c>
    </row>
    <row r="974" spans="1:5" x14ac:dyDescent="0.35">
      <c r="A974" s="7">
        <v>49613</v>
      </c>
      <c r="B974" s="8" t="s">
        <v>10</v>
      </c>
      <c r="C974" s="9">
        <v>10.7</v>
      </c>
      <c r="D974" s="10">
        <v>0</v>
      </c>
      <c r="E974">
        <f t="shared" si="15"/>
        <v>0</v>
      </c>
    </row>
    <row r="975" spans="1:5" x14ac:dyDescent="0.35">
      <c r="A975" s="11">
        <v>49614</v>
      </c>
      <c r="B975" s="12" t="s">
        <v>5</v>
      </c>
      <c r="C975" s="13">
        <v>21.5</v>
      </c>
      <c r="D975" s="14">
        <v>0</v>
      </c>
      <c r="E975">
        <f t="shared" si="15"/>
        <v>0</v>
      </c>
    </row>
    <row r="976" spans="1:5" x14ac:dyDescent="0.35">
      <c r="A976" s="7">
        <v>49615</v>
      </c>
      <c r="B976" s="8" t="s">
        <v>10</v>
      </c>
      <c r="C976" s="9">
        <v>26</v>
      </c>
      <c r="D976" s="10">
        <v>33.799999999999997</v>
      </c>
      <c r="E976">
        <f t="shared" si="15"/>
        <v>8.7880000000000003</v>
      </c>
    </row>
    <row r="977" spans="1:5" x14ac:dyDescent="0.35">
      <c r="A977" s="11">
        <v>49616</v>
      </c>
      <c r="B977" s="12" t="s">
        <v>15</v>
      </c>
      <c r="C977" s="13">
        <v>24.4</v>
      </c>
      <c r="D977" s="14">
        <v>15.4</v>
      </c>
      <c r="E977">
        <f t="shared" si="15"/>
        <v>3.7576000000000001</v>
      </c>
    </row>
    <row r="978" spans="1:5" x14ac:dyDescent="0.35">
      <c r="A978" s="7">
        <v>49617</v>
      </c>
      <c r="B978" s="8" t="s">
        <v>5</v>
      </c>
      <c r="C978" s="9">
        <v>20.8</v>
      </c>
      <c r="D978" s="10">
        <v>0</v>
      </c>
      <c r="E978">
        <f t="shared" si="15"/>
        <v>0</v>
      </c>
    </row>
    <row r="979" spans="1:5" x14ac:dyDescent="0.35">
      <c r="A979" s="11">
        <v>49618</v>
      </c>
      <c r="B979" s="12" t="s">
        <v>13</v>
      </c>
      <c r="C979" s="13">
        <v>18.2</v>
      </c>
      <c r="D979" s="14">
        <v>15.7</v>
      </c>
      <c r="E979">
        <f t="shared" si="15"/>
        <v>2.8573999999999997</v>
      </c>
    </row>
    <row r="980" spans="1:5" x14ac:dyDescent="0.35">
      <c r="A980" s="7">
        <v>49619</v>
      </c>
      <c r="B980" s="8" t="s">
        <v>17</v>
      </c>
      <c r="C980" s="9">
        <v>25.6</v>
      </c>
      <c r="D980" s="10">
        <v>7</v>
      </c>
      <c r="E980">
        <f t="shared" si="15"/>
        <v>1.7920000000000003</v>
      </c>
    </row>
    <row r="981" spans="1:5" x14ac:dyDescent="0.35">
      <c r="A981" s="11">
        <v>49620</v>
      </c>
      <c r="B981" s="12" t="s">
        <v>11</v>
      </c>
      <c r="C981" s="13">
        <v>25.2</v>
      </c>
      <c r="D981" s="14">
        <v>0</v>
      </c>
      <c r="E981">
        <f t="shared" si="15"/>
        <v>0</v>
      </c>
    </row>
    <row r="982" spans="1:5" x14ac:dyDescent="0.35">
      <c r="A982" s="7">
        <v>49621</v>
      </c>
      <c r="B982" s="8" t="s">
        <v>12</v>
      </c>
      <c r="C982" s="9">
        <v>19.5</v>
      </c>
      <c r="D982" s="10">
        <v>5.3</v>
      </c>
      <c r="E982">
        <f t="shared" si="15"/>
        <v>1.0334999999999999</v>
      </c>
    </row>
    <row r="983" spans="1:5" x14ac:dyDescent="0.35">
      <c r="A983" s="11">
        <v>49622</v>
      </c>
      <c r="B983" s="12" t="s">
        <v>24</v>
      </c>
      <c r="C983" s="13">
        <v>15.2</v>
      </c>
      <c r="D983" s="14">
        <v>2.1</v>
      </c>
      <c r="E983">
        <f t="shared" si="15"/>
        <v>0.31919999999999998</v>
      </c>
    </row>
    <row r="984" spans="1:5" x14ac:dyDescent="0.35">
      <c r="A984" s="7">
        <v>49623</v>
      </c>
      <c r="B984" s="8" t="s">
        <v>15</v>
      </c>
      <c r="C984" s="9">
        <v>21.3</v>
      </c>
      <c r="D984" s="10">
        <v>11.4</v>
      </c>
      <c r="E984">
        <f t="shared" si="15"/>
        <v>2.4282000000000004</v>
      </c>
    </row>
    <row r="985" spans="1:5" x14ac:dyDescent="0.35">
      <c r="A985" s="11">
        <v>49624</v>
      </c>
      <c r="B985" s="12" t="s">
        <v>15</v>
      </c>
      <c r="C985" s="13">
        <v>21.8</v>
      </c>
      <c r="D985" s="14">
        <v>17.399999999999999</v>
      </c>
      <c r="E985">
        <f t="shared" si="15"/>
        <v>3.7932000000000001</v>
      </c>
    </row>
    <row r="986" spans="1:5" x14ac:dyDescent="0.35">
      <c r="A986" s="7">
        <v>49625</v>
      </c>
      <c r="B986" s="8" t="s">
        <v>16</v>
      </c>
      <c r="C986" s="9">
        <v>27.7</v>
      </c>
      <c r="D986" s="10">
        <v>0.5</v>
      </c>
      <c r="E986">
        <f t="shared" si="15"/>
        <v>0</v>
      </c>
    </row>
    <row r="987" spans="1:5" x14ac:dyDescent="0.35">
      <c r="A987" s="11">
        <v>49626</v>
      </c>
      <c r="B987" s="12" t="s">
        <v>10</v>
      </c>
      <c r="C987" s="13">
        <v>28.5</v>
      </c>
      <c r="D987" s="14">
        <v>46</v>
      </c>
      <c r="E987">
        <f t="shared" si="15"/>
        <v>13.11</v>
      </c>
    </row>
    <row r="988" spans="1:5" x14ac:dyDescent="0.35">
      <c r="A988" s="7">
        <v>49627</v>
      </c>
      <c r="B988" s="8" t="s">
        <v>27</v>
      </c>
      <c r="C988" s="9">
        <v>25.7</v>
      </c>
      <c r="D988" s="10">
        <v>0</v>
      </c>
      <c r="E988">
        <f t="shared" si="15"/>
        <v>0</v>
      </c>
    </row>
    <row r="989" spans="1:5" x14ac:dyDescent="0.35">
      <c r="A989" s="11">
        <v>49628</v>
      </c>
      <c r="B989" s="12" t="s">
        <v>10</v>
      </c>
      <c r="C989" s="13">
        <v>18</v>
      </c>
      <c r="D989" s="14">
        <v>0.5</v>
      </c>
      <c r="E989">
        <f t="shared" si="15"/>
        <v>0</v>
      </c>
    </row>
    <row r="990" spans="1:5" x14ac:dyDescent="0.35">
      <c r="A990" s="7">
        <v>49629</v>
      </c>
      <c r="B990" s="8" t="s">
        <v>6</v>
      </c>
      <c r="C990" s="9">
        <v>29.5</v>
      </c>
      <c r="D990" s="10">
        <v>0</v>
      </c>
      <c r="E990">
        <f t="shared" si="15"/>
        <v>0</v>
      </c>
    </row>
    <row r="991" spans="1:5" x14ac:dyDescent="0.35">
      <c r="A991" s="11">
        <v>49630</v>
      </c>
      <c r="B991" s="12" t="s">
        <v>18</v>
      </c>
      <c r="C991" s="13">
        <v>21</v>
      </c>
      <c r="D991" s="14">
        <v>10.3</v>
      </c>
      <c r="E991">
        <f t="shared" si="15"/>
        <v>2.1630000000000003</v>
      </c>
    </row>
    <row r="992" spans="1:5" x14ac:dyDescent="0.35">
      <c r="A992" s="7">
        <v>49631</v>
      </c>
      <c r="B992" s="8" t="s">
        <v>20</v>
      </c>
      <c r="C992" s="9">
        <v>11.4</v>
      </c>
      <c r="D992" s="10">
        <v>3.2</v>
      </c>
      <c r="E992">
        <f t="shared" si="15"/>
        <v>0.36480000000000001</v>
      </c>
    </row>
    <row r="993" spans="1:5" x14ac:dyDescent="0.35">
      <c r="A993" s="11">
        <v>49632</v>
      </c>
      <c r="B993" s="12" t="s">
        <v>10</v>
      </c>
      <c r="C993" s="13">
        <v>12.7</v>
      </c>
      <c r="D993" s="14">
        <v>0</v>
      </c>
      <c r="E993">
        <f t="shared" si="15"/>
        <v>0</v>
      </c>
    </row>
    <row r="994" spans="1:5" x14ac:dyDescent="0.35">
      <c r="A994" s="7">
        <v>49633</v>
      </c>
      <c r="B994" s="8" t="s">
        <v>5</v>
      </c>
      <c r="C994" s="9">
        <v>14.1</v>
      </c>
      <c r="D994" s="10">
        <v>6.2</v>
      </c>
      <c r="E994">
        <f t="shared" si="15"/>
        <v>0.87419999999999998</v>
      </c>
    </row>
    <row r="995" spans="1:5" x14ac:dyDescent="0.35">
      <c r="A995" s="11">
        <v>49634</v>
      </c>
      <c r="B995" s="12" t="s">
        <v>10</v>
      </c>
      <c r="C995" s="13">
        <v>29.5</v>
      </c>
      <c r="D995" s="14">
        <v>29.9</v>
      </c>
      <c r="E995">
        <f t="shared" si="15"/>
        <v>8.8204999999999991</v>
      </c>
    </row>
    <row r="996" spans="1:5" x14ac:dyDescent="0.35">
      <c r="A996" s="7">
        <v>49635</v>
      </c>
      <c r="B996" s="8" t="s">
        <v>22</v>
      </c>
      <c r="C996" s="9">
        <v>18.399999999999999</v>
      </c>
      <c r="D996" s="10">
        <v>0</v>
      </c>
      <c r="E996">
        <f t="shared" si="15"/>
        <v>0</v>
      </c>
    </row>
    <row r="997" spans="1:5" x14ac:dyDescent="0.35">
      <c r="A997" s="11">
        <v>49636</v>
      </c>
      <c r="B997" s="12" t="s">
        <v>10</v>
      </c>
      <c r="C997" s="13">
        <v>29.6</v>
      </c>
      <c r="D997" s="14">
        <v>43.9</v>
      </c>
      <c r="E997">
        <f t="shared" si="15"/>
        <v>12.994400000000001</v>
      </c>
    </row>
    <row r="998" spans="1:5" x14ac:dyDescent="0.35">
      <c r="A998" s="7">
        <v>49637</v>
      </c>
      <c r="B998" s="8" t="s">
        <v>15</v>
      </c>
      <c r="C998" s="9">
        <v>22.6</v>
      </c>
      <c r="D998" s="10">
        <v>14.6</v>
      </c>
      <c r="E998">
        <f t="shared" si="15"/>
        <v>3.2996000000000003</v>
      </c>
    </row>
    <row r="999" spans="1:5" x14ac:dyDescent="0.35">
      <c r="A999" s="11">
        <v>49638</v>
      </c>
      <c r="B999" s="12" t="s">
        <v>14</v>
      </c>
      <c r="C999" s="13">
        <v>13.2</v>
      </c>
      <c r="D999" s="14">
        <v>6.7</v>
      </c>
      <c r="E999">
        <f t="shared" si="15"/>
        <v>0.88439999999999996</v>
      </c>
    </row>
    <row r="1000" spans="1:5" x14ac:dyDescent="0.35">
      <c r="A1000" s="7">
        <v>49639</v>
      </c>
      <c r="B1000" s="8" t="s">
        <v>6</v>
      </c>
      <c r="C1000" s="9">
        <v>10.4</v>
      </c>
      <c r="D1000" s="10">
        <v>8.5</v>
      </c>
      <c r="E1000">
        <f t="shared" si="15"/>
        <v>0.88400000000000001</v>
      </c>
    </row>
    <row r="1001" spans="1:5" x14ac:dyDescent="0.35">
      <c r="A1001" s="11">
        <v>49640</v>
      </c>
      <c r="B1001" s="12" t="s">
        <v>13</v>
      </c>
      <c r="C1001" s="13">
        <v>16.899999999999999</v>
      </c>
      <c r="D1001" s="14">
        <v>16.399999999999999</v>
      </c>
      <c r="E1001">
        <f t="shared" si="15"/>
        <v>2.7715999999999998</v>
      </c>
    </row>
    <row r="1002" spans="1:5" x14ac:dyDescent="0.35">
      <c r="A1002" s="7">
        <v>49641</v>
      </c>
      <c r="B1002" s="8" t="s">
        <v>15</v>
      </c>
      <c r="C1002" s="9">
        <v>19.399999999999999</v>
      </c>
      <c r="D1002" s="10">
        <v>0</v>
      </c>
      <c r="E1002">
        <f t="shared" si="15"/>
        <v>0</v>
      </c>
    </row>
    <row r="1003" spans="1:5" x14ac:dyDescent="0.35">
      <c r="A1003" s="11">
        <v>49642</v>
      </c>
      <c r="B1003" s="12" t="s">
        <v>24</v>
      </c>
      <c r="C1003" s="13">
        <v>16.899999999999999</v>
      </c>
      <c r="D1003" s="14">
        <v>1</v>
      </c>
      <c r="E1003">
        <f t="shared" si="15"/>
        <v>0.16899999999999998</v>
      </c>
    </row>
    <row r="1004" spans="1:5" x14ac:dyDescent="0.35">
      <c r="A1004" s="7">
        <v>49643</v>
      </c>
      <c r="B1004" s="8" t="s">
        <v>10</v>
      </c>
      <c r="C1004" s="9">
        <v>18.399999999999999</v>
      </c>
      <c r="D1004" s="10">
        <v>0</v>
      </c>
      <c r="E1004">
        <f t="shared" si="15"/>
        <v>0</v>
      </c>
    </row>
    <row r="1005" spans="1:5" x14ac:dyDescent="0.35">
      <c r="A1005" s="11">
        <v>49644</v>
      </c>
      <c r="B1005" s="12" t="s">
        <v>15</v>
      </c>
      <c r="C1005" s="13">
        <v>13.4</v>
      </c>
      <c r="D1005" s="14">
        <v>12.8</v>
      </c>
      <c r="E1005">
        <f t="shared" si="15"/>
        <v>1.7152000000000001</v>
      </c>
    </row>
    <row r="1006" spans="1:5" x14ac:dyDescent="0.35">
      <c r="A1006" s="7">
        <v>49645</v>
      </c>
      <c r="B1006" s="8" t="s">
        <v>7</v>
      </c>
      <c r="C1006" s="9">
        <v>28.8</v>
      </c>
      <c r="D1006" s="10">
        <v>0</v>
      </c>
      <c r="E1006">
        <f t="shared" si="15"/>
        <v>0</v>
      </c>
    </row>
    <row r="1007" spans="1:5" x14ac:dyDescent="0.35">
      <c r="A1007" s="11">
        <v>49646</v>
      </c>
      <c r="B1007" s="12" t="s">
        <v>13</v>
      </c>
      <c r="C1007" s="13">
        <v>19.5</v>
      </c>
      <c r="D1007" s="14">
        <v>1.3</v>
      </c>
      <c r="E1007">
        <f t="shared" si="15"/>
        <v>0.2535</v>
      </c>
    </row>
    <row r="1008" spans="1:5" x14ac:dyDescent="0.35">
      <c r="A1008" s="7">
        <v>49647</v>
      </c>
      <c r="B1008" s="8" t="s">
        <v>11</v>
      </c>
      <c r="C1008" s="9">
        <v>29</v>
      </c>
      <c r="D1008" s="10">
        <v>14</v>
      </c>
      <c r="E1008">
        <f t="shared" si="15"/>
        <v>4.0599999999999996</v>
      </c>
    </row>
    <row r="1009" spans="1:5" x14ac:dyDescent="0.35">
      <c r="A1009" s="11">
        <v>49648</v>
      </c>
      <c r="B1009" s="12" t="s">
        <v>10</v>
      </c>
      <c r="C1009" s="13">
        <v>29.6</v>
      </c>
      <c r="D1009" s="14">
        <v>28.7</v>
      </c>
      <c r="E1009">
        <f t="shared" si="15"/>
        <v>8.4952000000000005</v>
      </c>
    </row>
    <row r="1010" spans="1:5" x14ac:dyDescent="0.35">
      <c r="A1010" s="7">
        <v>49649</v>
      </c>
      <c r="B1010" s="8" t="s">
        <v>6</v>
      </c>
      <c r="C1010" s="9">
        <v>26.5</v>
      </c>
      <c r="D1010" s="10">
        <v>0</v>
      </c>
      <c r="E1010">
        <f t="shared" si="15"/>
        <v>0</v>
      </c>
    </row>
    <row r="1011" spans="1:5" x14ac:dyDescent="0.35">
      <c r="A1011" s="11">
        <v>49650</v>
      </c>
      <c r="B1011" s="12" t="s">
        <v>18</v>
      </c>
      <c r="C1011" s="13">
        <v>24.8</v>
      </c>
      <c r="D1011" s="14">
        <v>12.1</v>
      </c>
      <c r="E1011">
        <f t="shared" si="15"/>
        <v>3.0007999999999999</v>
      </c>
    </row>
    <row r="1012" spans="1:5" x14ac:dyDescent="0.35">
      <c r="A1012" s="7">
        <v>49651</v>
      </c>
      <c r="B1012" s="8" t="s">
        <v>10</v>
      </c>
      <c r="C1012" s="9">
        <v>20</v>
      </c>
      <c r="D1012" s="10">
        <v>14.7</v>
      </c>
      <c r="E1012">
        <f t="shared" si="15"/>
        <v>2.94</v>
      </c>
    </row>
    <row r="1013" spans="1:5" x14ac:dyDescent="0.35">
      <c r="A1013" s="11">
        <v>49652</v>
      </c>
      <c r="B1013" s="12" t="s">
        <v>19</v>
      </c>
      <c r="C1013" s="13">
        <v>16.899999999999999</v>
      </c>
      <c r="D1013" s="14">
        <v>38.299999999999997</v>
      </c>
      <c r="E1013">
        <f t="shared" si="15"/>
        <v>6.4726999999999988</v>
      </c>
    </row>
    <row r="1014" spans="1:5" x14ac:dyDescent="0.35">
      <c r="A1014" s="7">
        <v>49653</v>
      </c>
      <c r="B1014" s="8" t="s">
        <v>10</v>
      </c>
      <c r="C1014" s="9">
        <v>11.5</v>
      </c>
      <c r="D1014" s="10">
        <v>24.7</v>
      </c>
      <c r="E1014">
        <f t="shared" si="15"/>
        <v>2.8405</v>
      </c>
    </row>
    <row r="1015" spans="1:5" x14ac:dyDescent="0.35">
      <c r="A1015" s="11">
        <v>49654</v>
      </c>
      <c r="B1015" s="12" t="s">
        <v>13</v>
      </c>
      <c r="C1015" s="13">
        <v>11.4</v>
      </c>
      <c r="D1015" s="14">
        <v>0</v>
      </c>
      <c r="E1015">
        <f t="shared" si="15"/>
        <v>0</v>
      </c>
    </row>
    <row r="1016" spans="1:5" x14ac:dyDescent="0.35">
      <c r="A1016" s="7">
        <v>49655</v>
      </c>
      <c r="B1016" s="8" t="s">
        <v>6</v>
      </c>
      <c r="C1016" s="9">
        <v>28.5</v>
      </c>
      <c r="D1016" s="10">
        <v>0</v>
      </c>
      <c r="E1016">
        <f t="shared" si="15"/>
        <v>0</v>
      </c>
    </row>
    <row r="1017" spans="1:5" x14ac:dyDescent="0.35">
      <c r="A1017" s="11">
        <v>49656</v>
      </c>
      <c r="B1017" s="12" t="s">
        <v>22</v>
      </c>
      <c r="C1017" s="13">
        <v>27.9</v>
      </c>
      <c r="D1017" s="14">
        <v>0.7</v>
      </c>
      <c r="E1017">
        <f t="shared" si="15"/>
        <v>0</v>
      </c>
    </row>
    <row r="1018" spans="1:5" x14ac:dyDescent="0.35">
      <c r="A1018" s="7">
        <v>49657</v>
      </c>
      <c r="B1018" s="8" t="s">
        <v>7</v>
      </c>
      <c r="C1018" s="9">
        <v>26.7</v>
      </c>
      <c r="D1018" s="10">
        <v>15.5</v>
      </c>
      <c r="E1018">
        <f t="shared" si="15"/>
        <v>4.1384999999999996</v>
      </c>
    </row>
    <row r="1019" spans="1:5" x14ac:dyDescent="0.35">
      <c r="A1019" s="11">
        <v>49658</v>
      </c>
      <c r="B1019" s="12" t="s">
        <v>18</v>
      </c>
      <c r="C1019" s="13">
        <v>28.3</v>
      </c>
      <c r="D1019" s="14">
        <v>6.8</v>
      </c>
      <c r="E1019">
        <f t="shared" si="15"/>
        <v>1.9243999999999999</v>
      </c>
    </row>
    <row r="1020" spans="1:5" x14ac:dyDescent="0.35">
      <c r="A1020" s="7">
        <v>49659</v>
      </c>
      <c r="B1020" s="8" t="s">
        <v>10</v>
      </c>
      <c r="C1020" s="9">
        <v>28.9</v>
      </c>
      <c r="D1020" s="10">
        <v>0</v>
      </c>
      <c r="E1020">
        <f t="shared" si="15"/>
        <v>0</v>
      </c>
    </row>
    <row r="1021" spans="1:5" x14ac:dyDescent="0.35">
      <c r="A1021" s="11">
        <v>49660</v>
      </c>
      <c r="B1021" s="12" t="s">
        <v>20</v>
      </c>
      <c r="C1021" s="13">
        <v>21.6</v>
      </c>
      <c r="D1021" s="14">
        <v>4</v>
      </c>
      <c r="E1021">
        <f t="shared" si="15"/>
        <v>0.8640000000000001</v>
      </c>
    </row>
    <row r="1022" spans="1:5" x14ac:dyDescent="0.35">
      <c r="A1022" s="7">
        <v>49661</v>
      </c>
      <c r="B1022" s="8" t="s">
        <v>23</v>
      </c>
      <c r="C1022" s="9">
        <v>16.5</v>
      </c>
      <c r="D1022" s="10">
        <v>4.2</v>
      </c>
      <c r="E1022">
        <f t="shared" si="15"/>
        <v>0.69299999999999995</v>
      </c>
    </row>
    <row r="1023" spans="1:5" x14ac:dyDescent="0.35">
      <c r="A1023" s="11">
        <v>49662</v>
      </c>
      <c r="B1023" s="12" t="s">
        <v>13</v>
      </c>
      <c r="C1023" s="13">
        <v>24.6</v>
      </c>
      <c r="D1023" s="14">
        <v>10.6</v>
      </c>
      <c r="E1023">
        <f t="shared" si="15"/>
        <v>2.6075999999999997</v>
      </c>
    </row>
    <row r="1024" spans="1:5" x14ac:dyDescent="0.35">
      <c r="A1024" s="7">
        <v>49663</v>
      </c>
      <c r="B1024" s="8" t="s">
        <v>10</v>
      </c>
      <c r="C1024" s="9">
        <v>28.9</v>
      </c>
      <c r="D1024" s="10">
        <v>40.799999999999997</v>
      </c>
      <c r="E1024">
        <f t="shared" si="15"/>
        <v>11.791199999999998</v>
      </c>
    </row>
    <row r="1025" spans="1:5" x14ac:dyDescent="0.35">
      <c r="A1025" s="11">
        <v>49664</v>
      </c>
      <c r="B1025" s="12" t="s">
        <v>10</v>
      </c>
      <c r="C1025" s="13">
        <v>22.1</v>
      </c>
      <c r="D1025" s="14">
        <v>10</v>
      </c>
      <c r="E1025">
        <f t="shared" si="15"/>
        <v>2.21</v>
      </c>
    </row>
    <row r="1026" spans="1:5" x14ac:dyDescent="0.35">
      <c r="A1026" s="7">
        <v>49665</v>
      </c>
      <c r="B1026" s="8" t="s">
        <v>21</v>
      </c>
      <c r="C1026" s="9">
        <v>29.3</v>
      </c>
      <c r="D1026" s="10">
        <v>0</v>
      </c>
      <c r="E1026">
        <f t="shared" si="15"/>
        <v>0</v>
      </c>
    </row>
    <row r="1027" spans="1:5" x14ac:dyDescent="0.35">
      <c r="A1027" s="11">
        <v>49666</v>
      </c>
      <c r="B1027" s="12" t="s">
        <v>18</v>
      </c>
      <c r="C1027" s="13">
        <v>18.8</v>
      </c>
      <c r="D1027" s="14">
        <v>4.7</v>
      </c>
      <c r="E1027">
        <f t="shared" ref="E1027:E1090" si="16">IF(D1027&gt;=1,C1027*D1027/100,0)</f>
        <v>0.88360000000000016</v>
      </c>
    </row>
    <row r="1028" spans="1:5" x14ac:dyDescent="0.35">
      <c r="A1028" s="7">
        <v>49667</v>
      </c>
      <c r="B1028" s="8" t="s">
        <v>19</v>
      </c>
      <c r="C1028" s="9">
        <v>26.5</v>
      </c>
      <c r="D1028" s="10">
        <v>7.3</v>
      </c>
      <c r="E1028">
        <f t="shared" si="16"/>
        <v>1.9344999999999999</v>
      </c>
    </row>
    <row r="1029" spans="1:5" x14ac:dyDescent="0.35">
      <c r="A1029" s="11">
        <v>49668</v>
      </c>
      <c r="B1029" s="12" t="s">
        <v>11</v>
      </c>
      <c r="C1029" s="13">
        <v>24</v>
      </c>
      <c r="D1029" s="14">
        <v>0</v>
      </c>
      <c r="E1029">
        <f t="shared" si="16"/>
        <v>0</v>
      </c>
    </row>
    <row r="1030" spans="1:5" x14ac:dyDescent="0.35">
      <c r="A1030" s="7">
        <v>49669</v>
      </c>
      <c r="B1030" s="8" t="s">
        <v>19</v>
      </c>
      <c r="C1030" s="9">
        <v>21</v>
      </c>
      <c r="D1030" s="10">
        <v>12.2</v>
      </c>
      <c r="E1030">
        <f t="shared" si="16"/>
        <v>2.5619999999999998</v>
      </c>
    </row>
    <row r="1031" spans="1:5" x14ac:dyDescent="0.35">
      <c r="A1031" s="11">
        <v>49670</v>
      </c>
      <c r="B1031" s="12" t="s">
        <v>17</v>
      </c>
      <c r="C1031" s="13">
        <v>28.1</v>
      </c>
      <c r="D1031" s="14">
        <v>6.7</v>
      </c>
      <c r="E1031">
        <f t="shared" si="16"/>
        <v>1.8827</v>
      </c>
    </row>
    <row r="1032" spans="1:5" x14ac:dyDescent="0.35">
      <c r="A1032" s="7">
        <v>49671</v>
      </c>
      <c r="B1032" s="8" t="s">
        <v>14</v>
      </c>
      <c r="C1032" s="9">
        <v>23.3</v>
      </c>
      <c r="D1032" s="10">
        <v>4.8</v>
      </c>
      <c r="E1032">
        <f t="shared" si="16"/>
        <v>1.1184000000000001</v>
      </c>
    </row>
    <row r="1033" spans="1:5" x14ac:dyDescent="0.35">
      <c r="A1033" s="11">
        <v>49672</v>
      </c>
      <c r="B1033" s="12" t="s">
        <v>17</v>
      </c>
      <c r="C1033" s="13">
        <v>14.3</v>
      </c>
      <c r="D1033" s="14">
        <v>1.5</v>
      </c>
      <c r="E1033">
        <f t="shared" si="16"/>
        <v>0.21450000000000002</v>
      </c>
    </row>
    <row r="1034" spans="1:5" x14ac:dyDescent="0.35">
      <c r="A1034" s="7">
        <v>49673</v>
      </c>
      <c r="B1034" s="8" t="s">
        <v>25</v>
      </c>
      <c r="C1034" s="9">
        <v>12.6</v>
      </c>
      <c r="D1034" s="10">
        <v>1.1000000000000001</v>
      </c>
      <c r="E1034">
        <f t="shared" si="16"/>
        <v>0.1386</v>
      </c>
    </row>
    <row r="1035" spans="1:5" x14ac:dyDescent="0.35">
      <c r="A1035" s="11">
        <v>49674</v>
      </c>
      <c r="B1035" s="12" t="s">
        <v>19</v>
      </c>
      <c r="C1035" s="13">
        <v>18.100000000000001</v>
      </c>
      <c r="D1035" s="14">
        <v>0</v>
      </c>
      <c r="E1035">
        <f t="shared" si="16"/>
        <v>0</v>
      </c>
    </row>
    <row r="1036" spans="1:5" x14ac:dyDescent="0.35">
      <c r="A1036" s="7">
        <v>49675</v>
      </c>
      <c r="B1036" s="8" t="s">
        <v>15</v>
      </c>
      <c r="C1036" s="9">
        <v>19</v>
      </c>
      <c r="D1036" s="10">
        <v>11</v>
      </c>
      <c r="E1036">
        <f t="shared" si="16"/>
        <v>2.09</v>
      </c>
    </row>
    <row r="1037" spans="1:5" x14ac:dyDescent="0.35">
      <c r="A1037" s="11">
        <v>49676</v>
      </c>
      <c r="B1037" s="12" t="s">
        <v>14</v>
      </c>
      <c r="C1037" s="13">
        <v>13.1</v>
      </c>
      <c r="D1037" s="14">
        <v>0</v>
      </c>
      <c r="E1037">
        <f t="shared" si="16"/>
        <v>0</v>
      </c>
    </row>
    <row r="1038" spans="1:5" x14ac:dyDescent="0.35">
      <c r="A1038" s="7">
        <v>49677</v>
      </c>
      <c r="B1038" s="8" t="s">
        <v>13</v>
      </c>
      <c r="C1038" s="9">
        <v>17.3</v>
      </c>
      <c r="D1038" s="10">
        <v>1.1000000000000001</v>
      </c>
      <c r="E1038">
        <f t="shared" si="16"/>
        <v>0.19030000000000002</v>
      </c>
    </row>
    <row r="1039" spans="1:5" x14ac:dyDescent="0.35">
      <c r="A1039" s="11">
        <v>49678</v>
      </c>
      <c r="B1039" s="12" t="s">
        <v>17</v>
      </c>
      <c r="C1039" s="13">
        <v>23.7</v>
      </c>
      <c r="D1039" s="14">
        <v>5.9</v>
      </c>
      <c r="E1039">
        <f t="shared" si="16"/>
        <v>1.3983000000000001</v>
      </c>
    </row>
    <row r="1040" spans="1:5" x14ac:dyDescent="0.35">
      <c r="A1040" s="7">
        <v>49679</v>
      </c>
      <c r="B1040" s="8" t="s">
        <v>33</v>
      </c>
      <c r="C1040" s="9">
        <v>26.3</v>
      </c>
      <c r="D1040" s="10">
        <v>0</v>
      </c>
      <c r="E1040">
        <f t="shared" si="16"/>
        <v>0</v>
      </c>
    </row>
    <row r="1041" spans="1:5" x14ac:dyDescent="0.35">
      <c r="A1041" s="11">
        <v>49680</v>
      </c>
      <c r="B1041" s="12" t="s">
        <v>15</v>
      </c>
      <c r="C1041" s="13">
        <v>16.399999999999999</v>
      </c>
      <c r="D1041" s="14">
        <v>0</v>
      </c>
      <c r="E1041">
        <f t="shared" si="16"/>
        <v>0</v>
      </c>
    </row>
    <row r="1042" spans="1:5" x14ac:dyDescent="0.35">
      <c r="A1042" s="7">
        <v>49681</v>
      </c>
      <c r="B1042" s="8" t="s">
        <v>9</v>
      </c>
      <c r="C1042" s="9">
        <v>13</v>
      </c>
      <c r="D1042" s="10">
        <v>0</v>
      </c>
      <c r="E1042">
        <f t="shared" si="16"/>
        <v>0</v>
      </c>
    </row>
    <row r="1043" spans="1:5" x14ac:dyDescent="0.35">
      <c r="A1043" s="11">
        <v>49682</v>
      </c>
      <c r="B1043" s="12" t="s">
        <v>11</v>
      </c>
      <c r="C1043" s="13">
        <v>28.6</v>
      </c>
      <c r="D1043" s="14">
        <v>1</v>
      </c>
      <c r="E1043">
        <f t="shared" si="16"/>
        <v>0.28600000000000003</v>
      </c>
    </row>
    <row r="1044" spans="1:5" x14ac:dyDescent="0.35">
      <c r="A1044" s="7">
        <v>49683</v>
      </c>
      <c r="B1044" s="8" t="s">
        <v>10</v>
      </c>
      <c r="C1044" s="9">
        <v>11.1</v>
      </c>
      <c r="D1044" s="10">
        <v>2.4</v>
      </c>
      <c r="E1044">
        <f t="shared" si="16"/>
        <v>0.26639999999999997</v>
      </c>
    </row>
    <row r="1045" spans="1:5" x14ac:dyDescent="0.35">
      <c r="A1045" s="11">
        <v>49684</v>
      </c>
      <c r="B1045" s="12" t="s">
        <v>24</v>
      </c>
      <c r="C1045" s="13">
        <v>12.9</v>
      </c>
      <c r="D1045" s="14">
        <v>2.9</v>
      </c>
      <c r="E1045">
        <f t="shared" si="16"/>
        <v>0.37409999999999999</v>
      </c>
    </row>
    <row r="1046" spans="1:5" x14ac:dyDescent="0.35">
      <c r="A1046" s="7">
        <v>49685</v>
      </c>
      <c r="B1046" s="8" t="s">
        <v>30</v>
      </c>
      <c r="C1046" s="9">
        <v>28.4</v>
      </c>
      <c r="D1046" s="10">
        <v>0.9</v>
      </c>
      <c r="E1046">
        <f t="shared" si="16"/>
        <v>0</v>
      </c>
    </row>
    <row r="1047" spans="1:5" x14ac:dyDescent="0.35">
      <c r="A1047" s="11">
        <v>49686</v>
      </c>
      <c r="B1047" s="12" t="s">
        <v>19</v>
      </c>
      <c r="C1047" s="13">
        <v>21.8</v>
      </c>
      <c r="D1047" s="14">
        <v>3.4</v>
      </c>
      <c r="E1047">
        <f t="shared" si="16"/>
        <v>0.74120000000000008</v>
      </c>
    </row>
    <row r="1048" spans="1:5" x14ac:dyDescent="0.35">
      <c r="A1048" s="7">
        <v>49687</v>
      </c>
      <c r="B1048" s="8" t="s">
        <v>6</v>
      </c>
      <c r="C1048" s="9">
        <v>20.8</v>
      </c>
      <c r="D1048" s="10">
        <v>11.8</v>
      </c>
      <c r="E1048">
        <f t="shared" si="16"/>
        <v>2.4544000000000001</v>
      </c>
    </row>
    <row r="1049" spans="1:5" x14ac:dyDescent="0.35">
      <c r="A1049" s="11">
        <v>49688</v>
      </c>
      <c r="B1049" s="12" t="s">
        <v>13</v>
      </c>
      <c r="C1049" s="13">
        <v>17.399999999999999</v>
      </c>
      <c r="D1049" s="14">
        <v>0</v>
      </c>
      <c r="E1049">
        <f t="shared" si="16"/>
        <v>0</v>
      </c>
    </row>
    <row r="1050" spans="1:5" x14ac:dyDescent="0.35">
      <c r="A1050" s="7">
        <v>49689</v>
      </c>
      <c r="B1050" s="8" t="s">
        <v>6</v>
      </c>
      <c r="C1050" s="9">
        <v>24.8</v>
      </c>
      <c r="D1050" s="10">
        <v>0</v>
      </c>
      <c r="E1050">
        <f t="shared" si="16"/>
        <v>0</v>
      </c>
    </row>
    <row r="1051" spans="1:5" x14ac:dyDescent="0.35">
      <c r="A1051" s="11">
        <v>49690</v>
      </c>
      <c r="B1051" s="12" t="s">
        <v>9</v>
      </c>
      <c r="C1051" s="13">
        <v>12.9</v>
      </c>
      <c r="D1051" s="14">
        <v>0</v>
      </c>
      <c r="E1051">
        <f t="shared" si="16"/>
        <v>0</v>
      </c>
    </row>
    <row r="1052" spans="1:5" x14ac:dyDescent="0.35">
      <c r="A1052" s="7">
        <v>49691</v>
      </c>
      <c r="B1052" s="8" t="s">
        <v>17</v>
      </c>
      <c r="C1052" s="9">
        <v>25.9</v>
      </c>
      <c r="D1052" s="10">
        <v>0</v>
      </c>
      <c r="E1052">
        <f t="shared" si="16"/>
        <v>0</v>
      </c>
    </row>
    <row r="1053" spans="1:5" x14ac:dyDescent="0.35">
      <c r="A1053" s="11">
        <v>49692</v>
      </c>
      <c r="B1053" s="12" t="s">
        <v>10</v>
      </c>
      <c r="C1053" s="13">
        <v>11.5</v>
      </c>
      <c r="D1053" s="14">
        <v>23.2</v>
      </c>
      <c r="E1053">
        <f t="shared" si="16"/>
        <v>2.6680000000000001</v>
      </c>
    </row>
    <row r="1054" spans="1:5" x14ac:dyDescent="0.35">
      <c r="A1054" s="7">
        <v>49693</v>
      </c>
      <c r="B1054" s="8" t="s">
        <v>20</v>
      </c>
      <c r="C1054" s="9">
        <v>25.5</v>
      </c>
      <c r="D1054" s="10">
        <v>0</v>
      </c>
      <c r="E1054">
        <f t="shared" si="16"/>
        <v>0</v>
      </c>
    </row>
    <row r="1055" spans="1:5" x14ac:dyDescent="0.35">
      <c r="A1055" s="11">
        <v>49694</v>
      </c>
      <c r="B1055" s="12" t="s">
        <v>33</v>
      </c>
      <c r="C1055" s="13">
        <v>22.6</v>
      </c>
      <c r="D1055" s="14">
        <v>2.2000000000000002</v>
      </c>
      <c r="E1055">
        <f t="shared" si="16"/>
        <v>0.49720000000000009</v>
      </c>
    </row>
    <row r="1056" spans="1:5" x14ac:dyDescent="0.35">
      <c r="A1056" s="7">
        <v>49695</v>
      </c>
      <c r="B1056" s="8" t="s">
        <v>10</v>
      </c>
      <c r="C1056" s="9">
        <v>14.2</v>
      </c>
      <c r="D1056" s="10">
        <v>0</v>
      </c>
      <c r="E1056">
        <f t="shared" si="16"/>
        <v>0</v>
      </c>
    </row>
    <row r="1057" spans="1:5" x14ac:dyDescent="0.35">
      <c r="A1057" s="11">
        <v>49696</v>
      </c>
      <c r="B1057" s="12" t="s">
        <v>13</v>
      </c>
      <c r="C1057" s="13">
        <v>26.9</v>
      </c>
      <c r="D1057" s="14">
        <v>9.1999999999999993</v>
      </c>
      <c r="E1057">
        <f t="shared" si="16"/>
        <v>2.4747999999999997</v>
      </c>
    </row>
    <row r="1058" spans="1:5" x14ac:dyDescent="0.35">
      <c r="A1058" s="7">
        <v>49697</v>
      </c>
      <c r="B1058" s="8" t="s">
        <v>19</v>
      </c>
      <c r="C1058" s="9">
        <v>30</v>
      </c>
      <c r="D1058" s="10">
        <v>32.299999999999997</v>
      </c>
      <c r="E1058">
        <f t="shared" si="16"/>
        <v>9.69</v>
      </c>
    </row>
    <row r="1059" spans="1:5" x14ac:dyDescent="0.35">
      <c r="A1059" s="11">
        <v>49698</v>
      </c>
      <c r="B1059" s="12" t="s">
        <v>27</v>
      </c>
      <c r="C1059" s="13">
        <v>16.2</v>
      </c>
      <c r="D1059" s="14">
        <v>5.2</v>
      </c>
      <c r="E1059">
        <f t="shared" si="16"/>
        <v>0.84239999999999993</v>
      </c>
    </row>
    <row r="1060" spans="1:5" x14ac:dyDescent="0.35">
      <c r="A1060" s="7">
        <v>49699</v>
      </c>
      <c r="B1060" s="8" t="s">
        <v>11</v>
      </c>
      <c r="C1060" s="9">
        <v>12.2</v>
      </c>
      <c r="D1060" s="10">
        <v>0</v>
      </c>
      <c r="E1060">
        <f t="shared" si="16"/>
        <v>0</v>
      </c>
    </row>
    <row r="1061" spans="1:5" x14ac:dyDescent="0.35">
      <c r="A1061" s="11">
        <v>49700</v>
      </c>
      <c r="B1061" s="12" t="s">
        <v>15</v>
      </c>
      <c r="C1061" s="13">
        <v>28.7</v>
      </c>
      <c r="D1061" s="14">
        <v>0.5</v>
      </c>
      <c r="E1061">
        <f t="shared" si="16"/>
        <v>0</v>
      </c>
    </row>
    <row r="1062" spans="1:5" x14ac:dyDescent="0.35">
      <c r="A1062" s="7">
        <v>49701</v>
      </c>
      <c r="B1062" s="8" t="s">
        <v>6</v>
      </c>
      <c r="C1062" s="9">
        <v>23.3</v>
      </c>
      <c r="D1062" s="10">
        <v>11.1</v>
      </c>
      <c r="E1062">
        <f t="shared" si="16"/>
        <v>2.5863</v>
      </c>
    </row>
    <row r="1063" spans="1:5" x14ac:dyDescent="0.35">
      <c r="A1063" s="11">
        <v>49702</v>
      </c>
      <c r="B1063" s="12" t="s">
        <v>15</v>
      </c>
      <c r="C1063" s="13">
        <v>30</v>
      </c>
      <c r="D1063" s="14">
        <v>16.100000000000001</v>
      </c>
      <c r="E1063">
        <f t="shared" si="16"/>
        <v>4.830000000000001</v>
      </c>
    </row>
    <row r="1064" spans="1:5" x14ac:dyDescent="0.35">
      <c r="A1064" s="7">
        <v>49703</v>
      </c>
      <c r="B1064" s="8" t="s">
        <v>18</v>
      </c>
      <c r="C1064" s="9">
        <v>16</v>
      </c>
      <c r="D1064" s="10">
        <v>9.8000000000000007</v>
      </c>
      <c r="E1064">
        <f t="shared" si="16"/>
        <v>1.5680000000000001</v>
      </c>
    </row>
    <row r="1065" spans="1:5" x14ac:dyDescent="0.35">
      <c r="A1065" s="11">
        <v>49704</v>
      </c>
      <c r="B1065" s="12" t="s">
        <v>20</v>
      </c>
      <c r="C1065" s="13">
        <v>21.6</v>
      </c>
      <c r="D1065" s="14">
        <v>3.4</v>
      </c>
      <c r="E1065">
        <f t="shared" si="16"/>
        <v>0.73439999999999994</v>
      </c>
    </row>
    <row r="1066" spans="1:5" x14ac:dyDescent="0.35">
      <c r="A1066" s="7">
        <v>49705</v>
      </c>
      <c r="B1066" s="8" t="s">
        <v>19</v>
      </c>
      <c r="C1066" s="9">
        <v>27.9</v>
      </c>
      <c r="D1066" s="10">
        <v>4.8</v>
      </c>
      <c r="E1066">
        <f t="shared" si="16"/>
        <v>1.3391999999999999</v>
      </c>
    </row>
    <row r="1067" spans="1:5" x14ac:dyDescent="0.35">
      <c r="A1067" s="11">
        <v>49706</v>
      </c>
      <c r="B1067" s="12" t="s">
        <v>13</v>
      </c>
      <c r="C1067" s="13">
        <v>17.5</v>
      </c>
      <c r="D1067" s="14">
        <v>14.7</v>
      </c>
      <c r="E1067">
        <f t="shared" si="16"/>
        <v>2.5724999999999998</v>
      </c>
    </row>
    <row r="1068" spans="1:5" x14ac:dyDescent="0.35">
      <c r="A1068" s="7">
        <v>49707</v>
      </c>
      <c r="B1068" s="8" t="s">
        <v>7</v>
      </c>
      <c r="C1068" s="9">
        <v>20.7</v>
      </c>
      <c r="D1068" s="10">
        <v>0</v>
      </c>
      <c r="E1068">
        <f t="shared" si="16"/>
        <v>0</v>
      </c>
    </row>
    <row r="1069" spans="1:5" x14ac:dyDescent="0.35">
      <c r="A1069" s="11">
        <v>49708</v>
      </c>
      <c r="B1069" s="12" t="s">
        <v>10</v>
      </c>
      <c r="C1069" s="13">
        <v>10.8</v>
      </c>
      <c r="D1069" s="14">
        <v>36.4</v>
      </c>
      <c r="E1069">
        <f t="shared" si="16"/>
        <v>3.9312</v>
      </c>
    </row>
    <row r="1070" spans="1:5" x14ac:dyDescent="0.35">
      <c r="A1070" s="7">
        <v>49709</v>
      </c>
      <c r="B1070" s="8" t="s">
        <v>19</v>
      </c>
      <c r="C1070" s="9">
        <v>27.6</v>
      </c>
      <c r="D1070" s="10">
        <v>32.799999999999997</v>
      </c>
      <c r="E1070">
        <f t="shared" si="16"/>
        <v>9.0527999999999995</v>
      </c>
    </row>
    <row r="1071" spans="1:5" x14ac:dyDescent="0.35">
      <c r="A1071" s="11">
        <v>49710</v>
      </c>
      <c r="B1071" s="12" t="s">
        <v>11</v>
      </c>
      <c r="C1071" s="13">
        <v>10.8</v>
      </c>
      <c r="D1071" s="14">
        <v>11.6</v>
      </c>
      <c r="E1071">
        <f t="shared" si="16"/>
        <v>1.2527999999999999</v>
      </c>
    </row>
    <row r="1072" spans="1:5" x14ac:dyDescent="0.35">
      <c r="A1072" s="7">
        <v>49711</v>
      </c>
      <c r="B1072" s="8" t="s">
        <v>17</v>
      </c>
      <c r="C1072" s="9">
        <v>13.7</v>
      </c>
      <c r="D1072" s="10">
        <v>0</v>
      </c>
      <c r="E1072">
        <f t="shared" si="16"/>
        <v>0</v>
      </c>
    </row>
    <row r="1073" spans="1:5" x14ac:dyDescent="0.35">
      <c r="A1073" s="11">
        <v>49712</v>
      </c>
      <c r="B1073" s="12" t="s">
        <v>18</v>
      </c>
      <c r="C1073" s="13">
        <v>19.5</v>
      </c>
      <c r="D1073" s="14">
        <v>0</v>
      </c>
      <c r="E1073">
        <f t="shared" si="16"/>
        <v>0</v>
      </c>
    </row>
    <row r="1074" spans="1:5" x14ac:dyDescent="0.35">
      <c r="A1074" s="7">
        <v>49713</v>
      </c>
      <c r="B1074" s="8" t="s">
        <v>9</v>
      </c>
      <c r="C1074" s="9">
        <v>21.6</v>
      </c>
      <c r="D1074" s="10">
        <v>11.6</v>
      </c>
      <c r="E1074">
        <f t="shared" si="16"/>
        <v>2.5055999999999998</v>
      </c>
    </row>
    <row r="1075" spans="1:5" x14ac:dyDescent="0.35">
      <c r="A1075" s="11">
        <v>49714</v>
      </c>
      <c r="B1075" s="12" t="s">
        <v>17</v>
      </c>
      <c r="C1075" s="13">
        <v>21.6</v>
      </c>
      <c r="D1075" s="14">
        <v>2.7</v>
      </c>
      <c r="E1075">
        <f t="shared" si="16"/>
        <v>0.58320000000000005</v>
      </c>
    </row>
    <row r="1076" spans="1:5" x14ac:dyDescent="0.35">
      <c r="A1076" s="7">
        <v>49715</v>
      </c>
      <c r="B1076" s="8" t="s">
        <v>24</v>
      </c>
      <c r="C1076" s="9">
        <v>16.100000000000001</v>
      </c>
      <c r="D1076" s="10">
        <v>0</v>
      </c>
      <c r="E1076">
        <f t="shared" si="16"/>
        <v>0</v>
      </c>
    </row>
    <row r="1077" spans="1:5" x14ac:dyDescent="0.35">
      <c r="A1077" s="11">
        <v>49716</v>
      </c>
      <c r="B1077" s="12" t="s">
        <v>6</v>
      </c>
      <c r="C1077" s="13">
        <v>29.4</v>
      </c>
      <c r="D1077" s="14">
        <v>12.5</v>
      </c>
      <c r="E1077">
        <f t="shared" si="16"/>
        <v>3.6749999999999998</v>
      </c>
    </row>
    <row r="1078" spans="1:5" x14ac:dyDescent="0.35">
      <c r="A1078" s="7">
        <v>49717</v>
      </c>
      <c r="B1078" s="8" t="s">
        <v>26</v>
      </c>
      <c r="C1078" s="9">
        <v>17.8</v>
      </c>
      <c r="D1078" s="10">
        <v>5.9</v>
      </c>
      <c r="E1078">
        <f t="shared" si="16"/>
        <v>1.0502</v>
      </c>
    </row>
    <row r="1079" spans="1:5" x14ac:dyDescent="0.35">
      <c r="A1079" s="11">
        <v>49718</v>
      </c>
      <c r="B1079" s="12" t="s">
        <v>19</v>
      </c>
      <c r="C1079" s="13">
        <v>26.1</v>
      </c>
      <c r="D1079" s="14">
        <v>14.8</v>
      </c>
      <c r="E1079">
        <f t="shared" si="16"/>
        <v>3.8628000000000005</v>
      </c>
    </row>
    <row r="1080" spans="1:5" x14ac:dyDescent="0.35">
      <c r="A1080" s="7">
        <v>49719</v>
      </c>
      <c r="B1080" s="8" t="s">
        <v>10</v>
      </c>
      <c r="C1080" s="9">
        <v>13.8</v>
      </c>
      <c r="D1080" s="10">
        <v>0</v>
      </c>
      <c r="E1080">
        <f t="shared" si="16"/>
        <v>0</v>
      </c>
    </row>
    <row r="1081" spans="1:5" x14ac:dyDescent="0.35">
      <c r="A1081" s="11">
        <v>49720</v>
      </c>
      <c r="B1081" s="12" t="s">
        <v>12</v>
      </c>
      <c r="C1081" s="13">
        <v>16.100000000000001</v>
      </c>
      <c r="D1081" s="14">
        <v>6.2</v>
      </c>
      <c r="E1081">
        <f t="shared" si="16"/>
        <v>0.99820000000000009</v>
      </c>
    </row>
    <row r="1082" spans="1:5" x14ac:dyDescent="0.35">
      <c r="A1082" s="7">
        <v>49721</v>
      </c>
      <c r="B1082" s="8" t="s">
        <v>10</v>
      </c>
      <c r="C1082" s="9">
        <v>23.2</v>
      </c>
      <c r="D1082" s="10">
        <v>45.8</v>
      </c>
      <c r="E1082">
        <f t="shared" si="16"/>
        <v>10.625599999999999</v>
      </c>
    </row>
    <row r="1083" spans="1:5" x14ac:dyDescent="0.35">
      <c r="A1083" s="11">
        <v>49722</v>
      </c>
      <c r="B1083" s="12" t="s">
        <v>12</v>
      </c>
      <c r="C1083" s="13">
        <v>18.899999999999999</v>
      </c>
      <c r="D1083" s="14">
        <v>0</v>
      </c>
      <c r="E1083">
        <f t="shared" si="16"/>
        <v>0</v>
      </c>
    </row>
    <row r="1084" spans="1:5" x14ac:dyDescent="0.35">
      <c r="A1084" s="7">
        <v>49723</v>
      </c>
      <c r="B1084" s="8" t="s">
        <v>19</v>
      </c>
      <c r="C1084" s="9">
        <v>28.9</v>
      </c>
      <c r="D1084" s="10">
        <v>34.1</v>
      </c>
      <c r="E1084">
        <f t="shared" si="16"/>
        <v>9.8549000000000007</v>
      </c>
    </row>
    <row r="1085" spans="1:5" x14ac:dyDescent="0.35">
      <c r="A1085" s="11">
        <v>49724</v>
      </c>
      <c r="B1085" s="12" t="s">
        <v>10</v>
      </c>
      <c r="C1085" s="13">
        <v>19.3</v>
      </c>
      <c r="D1085" s="14">
        <v>49.6</v>
      </c>
      <c r="E1085">
        <f t="shared" si="16"/>
        <v>9.5728000000000009</v>
      </c>
    </row>
    <row r="1086" spans="1:5" x14ac:dyDescent="0.35">
      <c r="A1086" s="7">
        <v>49725</v>
      </c>
      <c r="B1086" s="8" t="s">
        <v>18</v>
      </c>
      <c r="C1086" s="9">
        <v>23.9</v>
      </c>
      <c r="D1086" s="10">
        <v>11.7</v>
      </c>
      <c r="E1086">
        <f t="shared" si="16"/>
        <v>2.7962999999999996</v>
      </c>
    </row>
    <row r="1087" spans="1:5" x14ac:dyDescent="0.35">
      <c r="A1087" s="11">
        <v>49726</v>
      </c>
      <c r="B1087" s="12" t="s">
        <v>13</v>
      </c>
      <c r="C1087" s="13">
        <v>28.6</v>
      </c>
      <c r="D1087" s="14">
        <v>11.5</v>
      </c>
      <c r="E1087">
        <f t="shared" si="16"/>
        <v>3.2890000000000001</v>
      </c>
    </row>
    <row r="1088" spans="1:5" x14ac:dyDescent="0.35">
      <c r="A1088" s="7">
        <v>49727</v>
      </c>
      <c r="B1088" s="8" t="s">
        <v>26</v>
      </c>
      <c r="C1088" s="9">
        <v>14.5</v>
      </c>
      <c r="D1088" s="10">
        <v>0.3</v>
      </c>
      <c r="E1088">
        <f t="shared" si="16"/>
        <v>0</v>
      </c>
    </row>
    <row r="1089" spans="1:5" x14ac:dyDescent="0.35">
      <c r="A1089" s="11">
        <v>49728</v>
      </c>
      <c r="B1089" s="12" t="s">
        <v>10</v>
      </c>
      <c r="C1089" s="13">
        <v>13</v>
      </c>
      <c r="D1089" s="14">
        <v>0</v>
      </c>
      <c r="E1089">
        <f t="shared" si="16"/>
        <v>0</v>
      </c>
    </row>
    <row r="1090" spans="1:5" x14ac:dyDescent="0.35">
      <c r="A1090" s="7">
        <v>49729</v>
      </c>
      <c r="B1090" s="8" t="s">
        <v>19</v>
      </c>
      <c r="C1090" s="9">
        <v>16.2</v>
      </c>
      <c r="D1090" s="10">
        <v>9.1999999999999993</v>
      </c>
      <c r="E1090">
        <f t="shared" si="16"/>
        <v>1.4903999999999999</v>
      </c>
    </row>
    <row r="1091" spans="1:5" x14ac:dyDescent="0.35">
      <c r="A1091" s="11">
        <v>49730</v>
      </c>
      <c r="B1091" s="12" t="s">
        <v>15</v>
      </c>
      <c r="C1091" s="13">
        <v>27.1</v>
      </c>
      <c r="D1091" s="14">
        <v>6.3</v>
      </c>
      <c r="E1091">
        <f t="shared" ref="E1091:E1154" si="17">IF(D1091&gt;=1,C1091*D1091/100,0)</f>
        <v>1.7073000000000003</v>
      </c>
    </row>
    <row r="1092" spans="1:5" x14ac:dyDescent="0.35">
      <c r="A1092" s="7">
        <v>49731</v>
      </c>
      <c r="B1092" s="8" t="s">
        <v>10</v>
      </c>
      <c r="C1092" s="9">
        <v>15.6</v>
      </c>
      <c r="D1092" s="10">
        <v>28</v>
      </c>
      <c r="E1092">
        <f t="shared" si="17"/>
        <v>4.3680000000000003</v>
      </c>
    </row>
    <row r="1093" spans="1:5" x14ac:dyDescent="0.35">
      <c r="A1093" s="11">
        <v>49732</v>
      </c>
      <c r="B1093" s="12" t="s">
        <v>26</v>
      </c>
      <c r="C1093" s="13">
        <v>28.9</v>
      </c>
      <c r="D1093" s="14">
        <v>6.8</v>
      </c>
      <c r="E1093">
        <f t="shared" si="17"/>
        <v>1.9651999999999998</v>
      </c>
    </row>
    <row r="1094" spans="1:5" x14ac:dyDescent="0.35">
      <c r="A1094" s="7">
        <v>49733</v>
      </c>
      <c r="B1094" s="8" t="s">
        <v>6</v>
      </c>
      <c r="C1094" s="9">
        <v>13.8</v>
      </c>
      <c r="D1094" s="10">
        <v>11.9</v>
      </c>
      <c r="E1094">
        <f t="shared" si="17"/>
        <v>1.6422000000000003</v>
      </c>
    </row>
    <row r="1095" spans="1:5" x14ac:dyDescent="0.35">
      <c r="A1095" s="11">
        <v>49734</v>
      </c>
      <c r="B1095" s="12" t="s">
        <v>6</v>
      </c>
      <c r="C1095" s="13">
        <v>17.8</v>
      </c>
      <c r="D1095" s="14">
        <v>1.5</v>
      </c>
      <c r="E1095">
        <f t="shared" si="17"/>
        <v>0.26700000000000002</v>
      </c>
    </row>
    <row r="1096" spans="1:5" x14ac:dyDescent="0.35">
      <c r="A1096" s="7">
        <v>49735</v>
      </c>
      <c r="B1096" s="8" t="s">
        <v>22</v>
      </c>
      <c r="C1096" s="9">
        <v>25.1</v>
      </c>
      <c r="D1096" s="10">
        <v>0</v>
      </c>
      <c r="E1096">
        <f t="shared" si="17"/>
        <v>0</v>
      </c>
    </row>
    <row r="1097" spans="1:5" x14ac:dyDescent="0.35">
      <c r="A1097" s="11">
        <v>49736</v>
      </c>
      <c r="B1097" s="12" t="s">
        <v>22</v>
      </c>
      <c r="C1097" s="13">
        <v>29.5</v>
      </c>
      <c r="D1097" s="14">
        <v>0</v>
      </c>
      <c r="E1097">
        <f t="shared" si="17"/>
        <v>0</v>
      </c>
    </row>
    <row r="1098" spans="1:5" x14ac:dyDescent="0.35">
      <c r="A1098" s="7">
        <v>49737</v>
      </c>
      <c r="B1098" s="8" t="s">
        <v>26</v>
      </c>
      <c r="C1098" s="9">
        <v>16.100000000000001</v>
      </c>
      <c r="D1098" s="10">
        <v>7.1</v>
      </c>
      <c r="E1098">
        <f t="shared" si="17"/>
        <v>1.1431</v>
      </c>
    </row>
    <row r="1099" spans="1:5" x14ac:dyDescent="0.35">
      <c r="A1099" s="11">
        <v>49738</v>
      </c>
      <c r="B1099" s="12" t="s">
        <v>9</v>
      </c>
      <c r="C1099" s="13">
        <v>18</v>
      </c>
      <c r="D1099" s="14">
        <v>12</v>
      </c>
      <c r="E1099">
        <f t="shared" si="17"/>
        <v>2.16</v>
      </c>
    </row>
    <row r="1100" spans="1:5" x14ac:dyDescent="0.35">
      <c r="A1100" s="7">
        <v>49739</v>
      </c>
      <c r="B1100" s="8" t="s">
        <v>10</v>
      </c>
      <c r="C1100" s="9">
        <v>12.2</v>
      </c>
      <c r="D1100" s="10">
        <v>26.8</v>
      </c>
      <c r="E1100">
        <f t="shared" si="17"/>
        <v>3.2695999999999996</v>
      </c>
    </row>
    <row r="1101" spans="1:5" x14ac:dyDescent="0.35">
      <c r="A1101" s="11">
        <v>49740</v>
      </c>
      <c r="B1101" s="12" t="s">
        <v>14</v>
      </c>
      <c r="C1101" s="13">
        <v>20.7</v>
      </c>
      <c r="D1101" s="14">
        <v>4.7</v>
      </c>
      <c r="E1101">
        <f t="shared" si="17"/>
        <v>0.9729000000000001</v>
      </c>
    </row>
    <row r="1102" spans="1:5" x14ac:dyDescent="0.35">
      <c r="A1102" s="7">
        <v>49741</v>
      </c>
      <c r="B1102" s="8" t="s">
        <v>10</v>
      </c>
      <c r="C1102" s="9">
        <v>20.100000000000001</v>
      </c>
      <c r="D1102" s="10">
        <v>47.4</v>
      </c>
      <c r="E1102">
        <f t="shared" si="17"/>
        <v>9.5274000000000001</v>
      </c>
    </row>
    <row r="1103" spans="1:5" x14ac:dyDescent="0.35">
      <c r="A1103" s="11">
        <v>49742</v>
      </c>
      <c r="B1103" s="12" t="s">
        <v>10</v>
      </c>
      <c r="C1103" s="13">
        <v>14.9</v>
      </c>
      <c r="D1103" s="14">
        <v>43.8</v>
      </c>
      <c r="E1103">
        <f t="shared" si="17"/>
        <v>6.5262000000000002</v>
      </c>
    </row>
    <row r="1104" spans="1:5" x14ac:dyDescent="0.35">
      <c r="A1104" s="7">
        <v>49743</v>
      </c>
      <c r="B1104" s="8" t="s">
        <v>10</v>
      </c>
      <c r="C1104" s="9">
        <v>19</v>
      </c>
      <c r="D1104" s="10">
        <v>0</v>
      </c>
      <c r="E1104">
        <f t="shared" si="17"/>
        <v>0</v>
      </c>
    </row>
    <row r="1105" spans="1:5" x14ac:dyDescent="0.35">
      <c r="A1105" s="11">
        <v>49744</v>
      </c>
      <c r="B1105" s="12" t="s">
        <v>6</v>
      </c>
      <c r="C1105" s="13">
        <v>12.5</v>
      </c>
      <c r="D1105" s="14">
        <v>0</v>
      </c>
      <c r="E1105">
        <f t="shared" si="17"/>
        <v>0</v>
      </c>
    </row>
    <row r="1106" spans="1:5" x14ac:dyDescent="0.35">
      <c r="A1106" s="7">
        <v>49745</v>
      </c>
      <c r="B1106" s="8" t="s">
        <v>13</v>
      </c>
      <c r="C1106" s="9">
        <v>15.2</v>
      </c>
      <c r="D1106" s="10">
        <v>13.9</v>
      </c>
      <c r="E1106">
        <f t="shared" si="17"/>
        <v>2.1128</v>
      </c>
    </row>
    <row r="1107" spans="1:5" x14ac:dyDescent="0.35">
      <c r="A1107" s="11">
        <v>49746</v>
      </c>
      <c r="B1107" s="12" t="s">
        <v>19</v>
      </c>
      <c r="C1107" s="13">
        <v>29.2</v>
      </c>
      <c r="D1107" s="14">
        <v>26.8</v>
      </c>
      <c r="E1107">
        <f t="shared" si="17"/>
        <v>7.8255999999999997</v>
      </c>
    </row>
    <row r="1108" spans="1:5" x14ac:dyDescent="0.35">
      <c r="A1108" s="7">
        <v>49747</v>
      </c>
      <c r="B1108" s="8" t="s">
        <v>6</v>
      </c>
      <c r="C1108" s="9">
        <v>13.9</v>
      </c>
      <c r="D1108" s="10">
        <v>1.1000000000000001</v>
      </c>
      <c r="E1108">
        <f t="shared" si="17"/>
        <v>0.15290000000000001</v>
      </c>
    </row>
    <row r="1109" spans="1:5" x14ac:dyDescent="0.35">
      <c r="A1109" s="11">
        <v>49748</v>
      </c>
      <c r="B1109" s="12" t="s">
        <v>15</v>
      </c>
      <c r="C1109" s="13">
        <v>11.4</v>
      </c>
      <c r="D1109" s="14">
        <v>0</v>
      </c>
      <c r="E1109">
        <f t="shared" si="17"/>
        <v>0</v>
      </c>
    </row>
    <row r="1110" spans="1:5" x14ac:dyDescent="0.35">
      <c r="A1110" s="7">
        <v>49749</v>
      </c>
      <c r="B1110" s="8" t="s">
        <v>9</v>
      </c>
      <c r="C1110" s="9">
        <v>15.8</v>
      </c>
      <c r="D1110" s="10">
        <v>7</v>
      </c>
      <c r="E1110">
        <f t="shared" si="17"/>
        <v>1.1060000000000001</v>
      </c>
    </row>
    <row r="1111" spans="1:5" x14ac:dyDescent="0.35">
      <c r="A1111" s="11">
        <v>49750</v>
      </c>
      <c r="B1111" s="12" t="s">
        <v>10</v>
      </c>
      <c r="C1111" s="13">
        <v>10.199999999999999</v>
      </c>
      <c r="D1111" s="14">
        <v>43.3</v>
      </c>
      <c r="E1111">
        <f t="shared" si="17"/>
        <v>4.4165999999999999</v>
      </c>
    </row>
    <row r="1112" spans="1:5" x14ac:dyDescent="0.35">
      <c r="A1112" s="7">
        <v>49751</v>
      </c>
      <c r="B1112" s="8" t="s">
        <v>13</v>
      </c>
      <c r="C1112" s="9">
        <v>19.600000000000001</v>
      </c>
      <c r="D1112" s="10">
        <v>8.9</v>
      </c>
      <c r="E1112">
        <f t="shared" si="17"/>
        <v>1.7444000000000002</v>
      </c>
    </row>
    <row r="1113" spans="1:5" x14ac:dyDescent="0.35">
      <c r="A1113" s="11">
        <v>49752</v>
      </c>
      <c r="B1113" s="12" t="s">
        <v>6</v>
      </c>
      <c r="C1113" s="13">
        <v>15.5</v>
      </c>
      <c r="D1113" s="14">
        <v>10.1</v>
      </c>
      <c r="E1113">
        <f t="shared" si="17"/>
        <v>1.5654999999999999</v>
      </c>
    </row>
    <row r="1114" spans="1:5" x14ac:dyDescent="0.35">
      <c r="A1114" s="7">
        <v>49753</v>
      </c>
      <c r="B1114" s="8" t="s">
        <v>15</v>
      </c>
      <c r="C1114" s="9">
        <v>19.899999999999999</v>
      </c>
      <c r="D1114" s="10">
        <v>16.2</v>
      </c>
      <c r="E1114">
        <f t="shared" si="17"/>
        <v>3.2237999999999993</v>
      </c>
    </row>
    <row r="1115" spans="1:5" x14ac:dyDescent="0.35">
      <c r="A1115" s="11">
        <v>49754</v>
      </c>
      <c r="B1115" s="12" t="s">
        <v>18</v>
      </c>
      <c r="C1115" s="13">
        <v>10.7</v>
      </c>
      <c r="D1115" s="14">
        <v>2.8</v>
      </c>
      <c r="E1115">
        <f t="shared" si="17"/>
        <v>0.29959999999999998</v>
      </c>
    </row>
    <row r="1116" spans="1:5" x14ac:dyDescent="0.35">
      <c r="A1116" s="7">
        <v>49755</v>
      </c>
      <c r="B1116" s="8" t="s">
        <v>26</v>
      </c>
      <c r="C1116" s="9">
        <v>11.5</v>
      </c>
      <c r="D1116" s="10">
        <v>5.9</v>
      </c>
      <c r="E1116">
        <f t="shared" si="17"/>
        <v>0.6785000000000001</v>
      </c>
    </row>
    <row r="1117" spans="1:5" x14ac:dyDescent="0.35">
      <c r="A1117" s="11">
        <v>49756</v>
      </c>
      <c r="B1117" s="12" t="s">
        <v>14</v>
      </c>
      <c r="C1117" s="13">
        <v>28.4</v>
      </c>
      <c r="D1117" s="14">
        <v>1</v>
      </c>
      <c r="E1117">
        <f t="shared" si="17"/>
        <v>0.28399999999999997</v>
      </c>
    </row>
    <row r="1118" spans="1:5" x14ac:dyDescent="0.35">
      <c r="A1118" s="7">
        <v>49757</v>
      </c>
      <c r="B1118" s="8" t="s">
        <v>19</v>
      </c>
      <c r="C1118" s="9">
        <v>22.3</v>
      </c>
      <c r="D1118" s="10">
        <v>5.0999999999999996</v>
      </c>
      <c r="E1118">
        <f t="shared" si="17"/>
        <v>1.1373</v>
      </c>
    </row>
    <row r="1119" spans="1:5" x14ac:dyDescent="0.35">
      <c r="A1119" s="11">
        <v>49758</v>
      </c>
      <c r="B1119" s="12" t="s">
        <v>13</v>
      </c>
      <c r="C1119" s="13">
        <v>28.7</v>
      </c>
      <c r="D1119" s="14">
        <v>11.5</v>
      </c>
      <c r="E1119">
        <f t="shared" si="17"/>
        <v>3.3005</v>
      </c>
    </row>
    <row r="1120" spans="1:5" x14ac:dyDescent="0.35">
      <c r="A1120" s="7">
        <v>49759</v>
      </c>
      <c r="B1120" s="8" t="s">
        <v>6</v>
      </c>
      <c r="C1120" s="9">
        <v>19.100000000000001</v>
      </c>
      <c r="D1120" s="10">
        <v>0</v>
      </c>
      <c r="E1120">
        <f t="shared" si="17"/>
        <v>0</v>
      </c>
    </row>
    <row r="1121" spans="1:5" x14ac:dyDescent="0.35">
      <c r="A1121" s="11">
        <v>49760</v>
      </c>
      <c r="B1121" s="12" t="s">
        <v>10</v>
      </c>
      <c r="C1121" s="13">
        <v>10.199999999999999</v>
      </c>
      <c r="D1121" s="14">
        <v>7.6</v>
      </c>
      <c r="E1121">
        <f t="shared" si="17"/>
        <v>0.7752</v>
      </c>
    </row>
    <row r="1122" spans="1:5" x14ac:dyDescent="0.35">
      <c r="A1122" s="7">
        <v>49761</v>
      </c>
      <c r="B1122" s="8" t="s">
        <v>10</v>
      </c>
      <c r="C1122" s="9">
        <v>18.399999999999999</v>
      </c>
      <c r="D1122" s="10">
        <v>0</v>
      </c>
      <c r="E1122">
        <f t="shared" si="17"/>
        <v>0</v>
      </c>
    </row>
    <row r="1123" spans="1:5" x14ac:dyDescent="0.35">
      <c r="A1123" s="11">
        <v>49762</v>
      </c>
      <c r="B1123" s="12" t="s">
        <v>19</v>
      </c>
      <c r="C1123" s="13">
        <v>29.3</v>
      </c>
      <c r="D1123" s="14">
        <v>0</v>
      </c>
      <c r="E1123">
        <f t="shared" si="17"/>
        <v>0</v>
      </c>
    </row>
    <row r="1124" spans="1:5" x14ac:dyDescent="0.35">
      <c r="A1124" s="7">
        <v>49763</v>
      </c>
      <c r="B1124" s="8" t="s">
        <v>17</v>
      </c>
      <c r="C1124" s="9">
        <v>26.7</v>
      </c>
      <c r="D1124" s="10">
        <v>5.7</v>
      </c>
      <c r="E1124">
        <f t="shared" si="17"/>
        <v>1.5219</v>
      </c>
    </row>
    <row r="1125" spans="1:5" x14ac:dyDescent="0.35">
      <c r="A1125" s="11">
        <v>49764</v>
      </c>
      <c r="B1125" s="12" t="s">
        <v>8</v>
      </c>
      <c r="C1125" s="13">
        <v>22.2</v>
      </c>
      <c r="D1125" s="14">
        <v>0.9</v>
      </c>
      <c r="E1125">
        <f t="shared" si="17"/>
        <v>0</v>
      </c>
    </row>
    <row r="1126" spans="1:5" x14ac:dyDescent="0.35">
      <c r="A1126" s="7">
        <v>49765</v>
      </c>
      <c r="B1126" s="8" t="s">
        <v>13</v>
      </c>
      <c r="C1126" s="9">
        <v>25.5</v>
      </c>
      <c r="D1126" s="10">
        <v>5.8</v>
      </c>
      <c r="E1126">
        <f t="shared" si="17"/>
        <v>1.4790000000000001</v>
      </c>
    </row>
    <row r="1127" spans="1:5" x14ac:dyDescent="0.35">
      <c r="A1127" s="11">
        <v>49766</v>
      </c>
      <c r="B1127" s="12" t="s">
        <v>19</v>
      </c>
      <c r="C1127" s="13">
        <v>23.5</v>
      </c>
      <c r="D1127" s="14">
        <v>32</v>
      </c>
      <c r="E1127">
        <f t="shared" si="17"/>
        <v>7.52</v>
      </c>
    </row>
    <row r="1128" spans="1:5" x14ac:dyDescent="0.35">
      <c r="A1128" s="7">
        <v>49767</v>
      </c>
      <c r="B1128" s="8" t="s">
        <v>5</v>
      </c>
      <c r="C1128" s="9">
        <v>28.4</v>
      </c>
      <c r="D1128" s="10">
        <v>5.7</v>
      </c>
      <c r="E1128">
        <f t="shared" si="17"/>
        <v>1.6188</v>
      </c>
    </row>
    <row r="1129" spans="1:5" x14ac:dyDescent="0.35">
      <c r="A1129" s="11">
        <v>49768</v>
      </c>
      <c r="B1129" s="12" t="s">
        <v>22</v>
      </c>
      <c r="C1129" s="13">
        <v>13.7</v>
      </c>
      <c r="D1129" s="14">
        <v>6</v>
      </c>
      <c r="E1129">
        <f t="shared" si="17"/>
        <v>0.82199999999999984</v>
      </c>
    </row>
    <row r="1130" spans="1:5" x14ac:dyDescent="0.35">
      <c r="A1130" s="7">
        <v>49769</v>
      </c>
      <c r="B1130" s="8" t="s">
        <v>9</v>
      </c>
      <c r="C1130" s="9">
        <v>22.1</v>
      </c>
      <c r="D1130" s="10">
        <v>11.7</v>
      </c>
      <c r="E1130">
        <f t="shared" si="17"/>
        <v>2.5857000000000001</v>
      </c>
    </row>
    <row r="1131" spans="1:5" x14ac:dyDescent="0.35">
      <c r="A1131" s="11">
        <v>49770</v>
      </c>
      <c r="B1131" s="12" t="s">
        <v>11</v>
      </c>
      <c r="C1131" s="13">
        <v>16.899999999999999</v>
      </c>
      <c r="D1131" s="14">
        <v>18.2</v>
      </c>
      <c r="E1131">
        <f t="shared" si="17"/>
        <v>3.0757999999999996</v>
      </c>
    </row>
    <row r="1132" spans="1:5" x14ac:dyDescent="0.35">
      <c r="A1132" s="7">
        <v>49771</v>
      </c>
      <c r="B1132" s="8" t="s">
        <v>22</v>
      </c>
      <c r="C1132" s="9">
        <v>28</v>
      </c>
      <c r="D1132" s="10">
        <v>0</v>
      </c>
      <c r="E1132">
        <f t="shared" si="17"/>
        <v>0</v>
      </c>
    </row>
    <row r="1133" spans="1:5" x14ac:dyDescent="0.35">
      <c r="A1133" s="11">
        <v>49772</v>
      </c>
      <c r="B1133" s="12" t="s">
        <v>10</v>
      </c>
      <c r="C1133" s="13">
        <v>13.5</v>
      </c>
      <c r="D1133" s="14">
        <v>3.7</v>
      </c>
      <c r="E1133">
        <f t="shared" si="17"/>
        <v>0.49950000000000006</v>
      </c>
    </row>
    <row r="1134" spans="1:5" x14ac:dyDescent="0.35">
      <c r="A1134" s="7">
        <v>49773</v>
      </c>
      <c r="B1134" s="8" t="s">
        <v>19</v>
      </c>
      <c r="C1134" s="9">
        <v>13.4</v>
      </c>
      <c r="D1134" s="10">
        <v>22.5</v>
      </c>
      <c r="E1134">
        <f t="shared" si="17"/>
        <v>3.0150000000000001</v>
      </c>
    </row>
    <row r="1135" spans="1:5" x14ac:dyDescent="0.35">
      <c r="A1135" s="11">
        <v>49774</v>
      </c>
      <c r="B1135" s="12" t="s">
        <v>6</v>
      </c>
      <c r="C1135" s="13">
        <v>19.899999999999999</v>
      </c>
      <c r="D1135" s="14">
        <v>11.6</v>
      </c>
      <c r="E1135">
        <f t="shared" si="17"/>
        <v>2.3083999999999998</v>
      </c>
    </row>
    <row r="1136" spans="1:5" x14ac:dyDescent="0.35">
      <c r="A1136" s="7">
        <v>49775</v>
      </c>
      <c r="B1136" s="8" t="s">
        <v>7</v>
      </c>
      <c r="C1136" s="9">
        <v>24.2</v>
      </c>
      <c r="D1136" s="10">
        <v>11</v>
      </c>
      <c r="E1136">
        <f t="shared" si="17"/>
        <v>2.6619999999999999</v>
      </c>
    </row>
    <row r="1137" spans="1:5" x14ac:dyDescent="0.35">
      <c r="A1137" s="11">
        <v>49776</v>
      </c>
      <c r="B1137" s="12" t="s">
        <v>27</v>
      </c>
      <c r="C1137" s="13">
        <v>20.399999999999999</v>
      </c>
      <c r="D1137" s="14">
        <v>0</v>
      </c>
      <c r="E1137">
        <f t="shared" si="17"/>
        <v>0</v>
      </c>
    </row>
    <row r="1138" spans="1:5" x14ac:dyDescent="0.35">
      <c r="A1138" s="7">
        <v>49777</v>
      </c>
      <c r="B1138" s="8" t="s">
        <v>27</v>
      </c>
      <c r="C1138" s="9">
        <v>16.600000000000001</v>
      </c>
      <c r="D1138" s="10">
        <v>3.9</v>
      </c>
      <c r="E1138">
        <f t="shared" si="17"/>
        <v>0.64740000000000009</v>
      </c>
    </row>
    <row r="1139" spans="1:5" x14ac:dyDescent="0.35">
      <c r="A1139" s="11">
        <v>49778</v>
      </c>
      <c r="B1139" s="12" t="s">
        <v>33</v>
      </c>
      <c r="C1139" s="13">
        <v>14.3</v>
      </c>
      <c r="D1139" s="14">
        <v>0</v>
      </c>
      <c r="E1139">
        <f t="shared" si="17"/>
        <v>0</v>
      </c>
    </row>
    <row r="1140" spans="1:5" x14ac:dyDescent="0.35">
      <c r="A1140" s="7">
        <v>49779</v>
      </c>
      <c r="B1140" s="8" t="s">
        <v>26</v>
      </c>
      <c r="C1140" s="9">
        <v>24.4</v>
      </c>
      <c r="D1140" s="10">
        <v>4.4000000000000004</v>
      </c>
      <c r="E1140">
        <f t="shared" si="17"/>
        <v>1.0735999999999999</v>
      </c>
    </row>
    <row r="1141" spans="1:5" x14ac:dyDescent="0.35">
      <c r="A1141" s="11">
        <v>49780</v>
      </c>
      <c r="B1141" s="12" t="s">
        <v>10</v>
      </c>
      <c r="C1141" s="13">
        <v>26.7</v>
      </c>
      <c r="D1141" s="14">
        <v>30.4</v>
      </c>
      <c r="E1141">
        <f t="shared" si="17"/>
        <v>8.1167999999999996</v>
      </c>
    </row>
    <row r="1142" spans="1:5" x14ac:dyDescent="0.35">
      <c r="A1142" s="7">
        <v>49781</v>
      </c>
      <c r="B1142" s="8" t="s">
        <v>13</v>
      </c>
      <c r="C1142" s="9">
        <v>20.100000000000001</v>
      </c>
      <c r="D1142" s="10">
        <v>3.1</v>
      </c>
      <c r="E1142">
        <f t="shared" si="17"/>
        <v>0.6231000000000001</v>
      </c>
    </row>
    <row r="1143" spans="1:5" x14ac:dyDescent="0.35">
      <c r="A1143" s="11">
        <v>49782</v>
      </c>
      <c r="B1143" s="12" t="s">
        <v>6</v>
      </c>
      <c r="C1143" s="13">
        <v>13.5</v>
      </c>
      <c r="D1143" s="14">
        <v>6.9</v>
      </c>
      <c r="E1143">
        <f t="shared" si="17"/>
        <v>0.93150000000000011</v>
      </c>
    </row>
    <row r="1144" spans="1:5" x14ac:dyDescent="0.35">
      <c r="A1144" s="7">
        <v>49783</v>
      </c>
      <c r="B1144" s="8" t="s">
        <v>7</v>
      </c>
      <c r="C1144" s="9">
        <v>18.8</v>
      </c>
      <c r="D1144" s="10">
        <v>21.5</v>
      </c>
      <c r="E1144">
        <f t="shared" si="17"/>
        <v>4.0419999999999998</v>
      </c>
    </row>
    <row r="1145" spans="1:5" x14ac:dyDescent="0.35">
      <c r="A1145" s="11">
        <v>49784</v>
      </c>
      <c r="B1145" s="12" t="s">
        <v>19</v>
      </c>
      <c r="C1145" s="13">
        <v>18</v>
      </c>
      <c r="D1145" s="14">
        <v>13.9</v>
      </c>
      <c r="E1145">
        <f t="shared" si="17"/>
        <v>2.5020000000000002</v>
      </c>
    </row>
    <row r="1146" spans="1:5" x14ac:dyDescent="0.35">
      <c r="A1146" s="7">
        <v>49785</v>
      </c>
      <c r="B1146" s="8" t="s">
        <v>27</v>
      </c>
      <c r="C1146" s="9">
        <v>16.899999999999999</v>
      </c>
      <c r="D1146" s="10">
        <v>1.8</v>
      </c>
      <c r="E1146">
        <f t="shared" si="17"/>
        <v>0.30419999999999997</v>
      </c>
    </row>
    <row r="1147" spans="1:5" x14ac:dyDescent="0.35">
      <c r="A1147" s="11">
        <v>49786</v>
      </c>
      <c r="B1147" s="12" t="s">
        <v>6</v>
      </c>
      <c r="C1147" s="13">
        <v>23.7</v>
      </c>
      <c r="D1147" s="14">
        <v>13</v>
      </c>
      <c r="E1147">
        <f t="shared" si="17"/>
        <v>3.0809999999999995</v>
      </c>
    </row>
    <row r="1148" spans="1:5" x14ac:dyDescent="0.35">
      <c r="A1148" s="7">
        <v>49787</v>
      </c>
      <c r="B1148" s="8" t="s">
        <v>32</v>
      </c>
      <c r="C1148" s="9">
        <v>17.600000000000001</v>
      </c>
      <c r="D1148" s="10">
        <v>0.6</v>
      </c>
      <c r="E1148">
        <f t="shared" si="17"/>
        <v>0</v>
      </c>
    </row>
    <row r="1149" spans="1:5" x14ac:dyDescent="0.35">
      <c r="A1149" s="11">
        <v>49788</v>
      </c>
      <c r="B1149" s="12" t="s">
        <v>7</v>
      </c>
      <c r="C1149" s="13">
        <v>29.1</v>
      </c>
      <c r="D1149" s="14">
        <v>8.3000000000000007</v>
      </c>
      <c r="E1149">
        <f t="shared" si="17"/>
        <v>2.4153000000000002</v>
      </c>
    </row>
    <row r="1150" spans="1:5" x14ac:dyDescent="0.35">
      <c r="A1150" s="7">
        <v>49789</v>
      </c>
      <c r="B1150" s="8" t="s">
        <v>9</v>
      </c>
      <c r="C1150" s="9">
        <v>26.8</v>
      </c>
      <c r="D1150" s="10">
        <v>11.2</v>
      </c>
      <c r="E1150">
        <f t="shared" si="17"/>
        <v>3.0015999999999998</v>
      </c>
    </row>
    <row r="1151" spans="1:5" x14ac:dyDescent="0.35">
      <c r="A1151" s="11">
        <v>49790</v>
      </c>
      <c r="B1151" s="12" t="s">
        <v>18</v>
      </c>
      <c r="C1151" s="13">
        <v>10.5</v>
      </c>
      <c r="D1151" s="14">
        <v>0</v>
      </c>
      <c r="E1151">
        <f t="shared" si="17"/>
        <v>0</v>
      </c>
    </row>
    <row r="1152" spans="1:5" x14ac:dyDescent="0.35">
      <c r="A1152" s="7">
        <v>49791</v>
      </c>
      <c r="B1152" s="8" t="s">
        <v>11</v>
      </c>
      <c r="C1152" s="9">
        <v>13.5</v>
      </c>
      <c r="D1152" s="10">
        <v>0</v>
      </c>
      <c r="E1152">
        <f t="shared" si="17"/>
        <v>0</v>
      </c>
    </row>
    <row r="1153" spans="1:5" x14ac:dyDescent="0.35">
      <c r="A1153" s="11">
        <v>49792</v>
      </c>
      <c r="B1153" s="12" t="s">
        <v>10</v>
      </c>
      <c r="C1153" s="13">
        <v>14</v>
      </c>
      <c r="D1153" s="14">
        <v>22</v>
      </c>
      <c r="E1153">
        <f t="shared" si="17"/>
        <v>3.08</v>
      </c>
    </row>
    <row r="1154" spans="1:5" x14ac:dyDescent="0.35">
      <c r="A1154" s="7">
        <v>49793</v>
      </c>
      <c r="B1154" s="8" t="s">
        <v>11</v>
      </c>
      <c r="C1154" s="9">
        <v>26.7</v>
      </c>
      <c r="D1154" s="10">
        <v>8</v>
      </c>
      <c r="E1154">
        <f t="shared" si="17"/>
        <v>2.1360000000000001</v>
      </c>
    </row>
    <row r="1155" spans="1:5" x14ac:dyDescent="0.35">
      <c r="A1155" s="11">
        <v>49794</v>
      </c>
      <c r="B1155" s="12" t="s">
        <v>26</v>
      </c>
      <c r="C1155" s="13">
        <v>11.2</v>
      </c>
      <c r="D1155" s="14">
        <v>6.1</v>
      </c>
      <c r="E1155">
        <f t="shared" ref="E1155:E1218" si="18">IF(D1155&gt;=1,C1155*D1155/100,0)</f>
        <v>0.68319999999999992</v>
      </c>
    </row>
    <row r="1156" spans="1:5" x14ac:dyDescent="0.35">
      <c r="A1156" s="7">
        <v>49795</v>
      </c>
      <c r="B1156" s="8" t="s">
        <v>27</v>
      </c>
      <c r="C1156" s="9">
        <v>24.7</v>
      </c>
      <c r="D1156" s="10">
        <v>0</v>
      </c>
      <c r="E1156">
        <f t="shared" si="18"/>
        <v>0</v>
      </c>
    </row>
    <row r="1157" spans="1:5" x14ac:dyDescent="0.35">
      <c r="A1157" s="11">
        <v>49796</v>
      </c>
      <c r="B1157" s="12" t="s">
        <v>29</v>
      </c>
      <c r="C1157" s="13">
        <v>27.2</v>
      </c>
      <c r="D1157" s="14">
        <v>0.3</v>
      </c>
      <c r="E1157">
        <f t="shared" si="18"/>
        <v>0</v>
      </c>
    </row>
    <row r="1158" spans="1:5" x14ac:dyDescent="0.35">
      <c r="A1158" s="7">
        <v>49797</v>
      </c>
      <c r="B1158" s="8" t="s">
        <v>30</v>
      </c>
      <c r="C1158" s="9">
        <v>11</v>
      </c>
      <c r="D1158" s="10">
        <v>0</v>
      </c>
      <c r="E1158">
        <f t="shared" si="18"/>
        <v>0</v>
      </c>
    </row>
    <row r="1159" spans="1:5" x14ac:dyDescent="0.35">
      <c r="A1159" s="11">
        <v>49798</v>
      </c>
      <c r="B1159" s="12" t="s">
        <v>12</v>
      </c>
      <c r="C1159" s="13">
        <v>10.9</v>
      </c>
      <c r="D1159" s="14">
        <v>4.4000000000000004</v>
      </c>
      <c r="E1159">
        <f t="shared" si="18"/>
        <v>0.47960000000000008</v>
      </c>
    </row>
    <row r="1160" spans="1:5" x14ac:dyDescent="0.35">
      <c r="A1160" s="7">
        <v>49799</v>
      </c>
      <c r="B1160" s="8" t="s">
        <v>7</v>
      </c>
      <c r="C1160" s="9">
        <v>27.4</v>
      </c>
      <c r="D1160" s="10">
        <v>6</v>
      </c>
      <c r="E1160">
        <f t="shared" si="18"/>
        <v>1.6439999999999997</v>
      </c>
    </row>
    <row r="1161" spans="1:5" x14ac:dyDescent="0.35">
      <c r="A1161" s="11">
        <v>49800</v>
      </c>
      <c r="B1161" s="12" t="s">
        <v>6</v>
      </c>
      <c r="C1161" s="13">
        <v>20</v>
      </c>
      <c r="D1161" s="14">
        <v>7.6</v>
      </c>
      <c r="E1161">
        <f t="shared" si="18"/>
        <v>1.52</v>
      </c>
    </row>
    <row r="1162" spans="1:5" x14ac:dyDescent="0.35">
      <c r="A1162" s="7">
        <v>49801</v>
      </c>
      <c r="B1162" s="8" t="s">
        <v>18</v>
      </c>
      <c r="C1162" s="9">
        <v>23.5</v>
      </c>
      <c r="D1162" s="10">
        <v>2.5</v>
      </c>
      <c r="E1162">
        <f t="shared" si="18"/>
        <v>0.58750000000000002</v>
      </c>
    </row>
    <row r="1163" spans="1:5" x14ac:dyDescent="0.35">
      <c r="A1163" s="11">
        <v>49802</v>
      </c>
      <c r="B1163" s="12" t="s">
        <v>11</v>
      </c>
      <c r="C1163" s="13">
        <v>28.5</v>
      </c>
      <c r="D1163" s="14">
        <v>0</v>
      </c>
      <c r="E1163">
        <f t="shared" si="18"/>
        <v>0</v>
      </c>
    </row>
    <row r="1164" spans="1:5" x14ac:dyDescent="0.35">
      <c r="A1164" s="7">
        <v>49803</v>
      </c>
      <c r="B1164" s="8" t="s">
        <v>27</v>
      </c>
      <c r="C1164" s="9">
        <v>10.8</v>
      </c>
      <c r="D1164" s="10">
        <v>5.8</v>
      </c>
      <c r="E1164">
        <f t="shared" si="18"/>
        <v>0.62639999999999996</v>
      </c>
    </row>
    <row r="1165" spans="1:5" x14ac:dyDescent="0.35">
      <c r="A1165" s="11">
        <v>49804</v>
      </c>
      <c r="B1165" s="12" t="s">
        <v>15</v>
      </c>
      <c r="C1165" s="13">
        <v>18.899999999999999</v>
      </c>
      <c r="D1165" s="14">
        <v>9.5</v>
      </c>
      <c r="E1165">
        <f t="shared" si="18"/>
        <v>1.7954999999999999</v>
      </c>
    </row>
    <row r="1166" spans="1:5" x14ac:dyDescent="0.35">
      <c r="A1166" s="7">
        <v>49805</v>
      </c>
      <c r="B1166" s="8" t="s">
        <v>13</v>
      </c>
      <c r="C1166" s="9">
        <v>24</v>
      </c>
      <c r="D1166" s="10">
        <v>4</v>
      </c>
      <c r="E1166">
        <f t="shared" si="18"/>
        <v>0.96</v>
      </c>
    </row>
    <row r="1167" spans="1:5" x14ac:dyDescent="0.35">
      <c r="A1167" s="11">
        <v>49806</v>
      </c>
      <c r="B1167" s="12" t="s">
        <v>12</v>
      </c>
      <c r="C1167" s="13">
        <v>12.7</v>
      </c>
      <c r="D1167" s="14">
        <v>3</v>
      </c>
      <c r="E1167">
        <f t="shared" si="18"/>
        <v>0.38099999999999995</v>
      </c>
    </row>
    <row r="1168" spans="1:5" x14ac:dyDescent="0.35">
      <c r="A1168" s="7">
        <v>49807</v>
      </c>
      <c r="B1168" s="8" t="s">
        <v>7</v>
      </c>
      <c r="C1168" s="9">
        <v>13.4</v>
      </c>
      <c r="D1168" s="10">
        <v>6.2</v>
      </c>
      <c r="E1168">
        <f t="shared" si="18"/>
        <v>0.83079999999999998</v>
      </c>
    </row>
    <row r="1169" spans="1:5" x14ac:dyDescent="0.35">
      <c r="A1169" s="11">
        <v>49808</v>
      </c>
      <c r="B1169" s="12" t="s">
        <v>10</v>
      </c>
      <c r="C1169" s="13">
        <v>15.9</v>
      </c>
      <c r="D1169" s="14">
        <v>0</v>
      </c>
      <c r="E1169">
        <f t="shared" si="18"/>
        <v>0</v>
      </c>
    </row>
    <row r="1170" spans="1:5" x14ac:dyDescent="0.35">
      <c r="A1170" s="7">
        <v>49809</v>
      </c>
      <c r="B1170" s="8" t="s">
        <v>11</v>
      </c>
      <c r="C1170" s="9">
        <v>19.399999999999999</v>
      </c>
      <c r="D1170" s="10">
        <v>21.2</v>
      </c>
      <c r="E1170">
        <f t="shared" si="18"/>
        <v>4.1128</v>
      </c>
    </row>
    <row r="1171" spans="1:5" x14ac:dyDescent="0.35">
      <c r="A1171" s="11">
        <v>49810</v>
      </c>
      <c r="B1171" s="12" t="s">
        <v>15</v>
      </c>
      <c r="C1171" s="13">
        <v>16.3</v>
      </c>
      <c r="D1171" s="14">
        <v>17.600000000000001</v>
      </c>
      <c r="E1171">
        <f t="shared" si="18"/>
        <v>2.8688000000000007</v>
      </c>
    </row>
    <row r="1172" spans="1:5" x14ac:dyDescent="0.35">
      <c r="A1172" s="7">
        <v>49811</v>
      </c>
      <c r="B1172" s="8" t="s">
        <v>11</v>
      </c>
      <c r="C1172" s="9">
        <v>28</v>
      </c>
      <c r="D1172" s="10">
        <v>20.399999999999999</v>
      </c>
      <c r="E1172">
        <f t="shared" si="18"/>
        <v>5.7119999999999997</v>
      </c>
    </row>
    <row r="1173" spans="1:5" x14ac:dyDescent="0.35">
      <c r="A1173" s="11">
        <v>49812</v>
      </c>
      <c r="B1173" s="12" t="s">
        <v>12</v>
      </c>
      <c r="C1173" s="13">
        <v>19</v>
      </c>
      <c r="D1173" s="14">
        <v>5.2</v>
      </c>
      <c r="E1173">
        <f t="shared" si="18"/>
        <v>0.98799999999999999</v>
      </c>
    </row>
    <row r="1174" spans="1:5" x14ac:dyDescent="0.35">
      <c r="A1174" s="7">
        <v>49813</v>
      </c>
      <c r="B1174" s="8" t="s">
        <v>27</v>
      </c>
      <c r="C1174" s="9">
        <v>24.1</v>
      </c>
      <c r="D1174" s="10">
        <v>4.8</v>
      </c>
      <c r="E1174">
        <f t="shared" si="18"/>
        <v>1.1568000000000001</v>
      </c>
    </row>
    <row r="1175" spans="1:5" x14ac:dyDescent="0.35">
      <c r="A1175" s="11">
        <v>49814</v>
      </c>
      <c r="B1175" s="12" t="s">
        <v>10</v>
      </c>
      <c r="C1175" s="13">
        <v>15.2</v>
      </c>
      <c r="D1175" s="14">
        <v>25.7</v>
      </c>
      <c r="E1175">
        <f t="shared" si="18"/>
        <v>3.9063999999999997</v>
      </c>
    </row>
    <row r="1176" spans="1:5" x14ac:dyDescent="0.35">
      <c r="A1176" s="7">
        <v>49815</v>
      </c>
      <c r="B1176" s="8" t="s">
        <v>11</v>
      </c>
      <c r="C1176" s="9">
        <v>16.3</v>
      </c>
      <c r="D1176" s="10">
        <v>21</v>
      </c>
      <c r="E1176">
        <f t="shared" si="18"/>
        <v>3.423</v>
      </c>
    </row>
    <row r="1177" spans="1:5" x14ac:dyDescent="0.35">
      <c r="A1177" s="11">
        <v>49816</v>
      </c>
      <c r="B1177" s="12" t="s">
        <v>7</v>
      </c>
      <c r="C1177" s="13">
        <v>26.9</v>
      </c>
      <c r="D1177" s="14">
        <v>0</v>
      </c>
      <c r="E1177">
        <f t="shared" si="18"/>
        <v>0</v>
      </c>
    </row>
    <row r="1178" spans="1:5" x14ac:dyDescent="0.35">
      <c r="A1178" s="7">
        <v>49817</v>
      </c>
      <c r="B1178" s="8" t="s">
        <v>9</v>
      </c>
      <c r="C1178" s="9">
        <v>25</v>
      </c>
      <c r="D1178" s="10">
        <v>0.5</v>
      </c>
      <c r="E1178">
        <f t="shared" si="18"/>
        <v>0</v>
      </c>
    </row>
    <row r="1179" spans="1:5" x14ac:dyDescent="0.35">
      <c r="A1179" s="11">
        <v>49818</v>
      </c>
      <c r="B1179" s="12" t="s">
        <v>17</v>
      </c>
      <c r="C1179" s="13">
        <v>25.1</v>
      </c>
      <c r="D1179" s="14">
        <v>5.2</v>
      </c>
      <c r="E1179">
        <f t="shared" si="18"/>
        <v>1.3052000000000001</v>
      </c>
    </row>
    <row r="1180" spans="1:5" x14ac:dyDescent="0.35">
      <c r="A1180" s="7">
        <v>49819</v>
      </c>
      <c r="B1180" s="8" t="s">
        <v>12</v>
      </c>
      <c r="C1180" s="9">
        <v>29.2</v>
      </c>
      <c r="D1180" s="10">
        <v>7.1</v>
      </c>
      <c r="E1180">
        <f t="shared" si="18"/>
        <v>2.0731999999999999</v>
      </c>
    </row>
    <row r="1181" spans="1:5" x14ac:dyDescent="0.35">
      <c r="A1181" s="11">
        <v>49820</v>
      </c>
      <c r="B1181" s="12" t="s">
        <v>13</v>
      </c>
      <c r="C1181" s="13">
        <v>18.100000000000001</v>
      </c>
      <c r="D1181" s="14">
        <v>5.0999999999999996</v>
      </c>
      <c r="E1181">
        <f t="shared" si="18"/>
        <v>0.92310000000000003</v>
      </c>
    </row>
    <row r="1182" spans="1:5" x14ac:dyDescent="0.35">
      <c r="A1182" s="7">
        <v>49821</v>
      </c>
      <c r="B1182" s="8" t="s">
        <v>11</v>
      </c>
      <c r="C1182" s="9">
        <v>12.5</v>
      </c>
      <c r="D1182" s="10">
        <v>0</v>
      </c>
      <c r="E1182">
        <f t="shared" si="18"/>
        <v>0</v>
      </c>
    </row>
    <row r="1183" spans="1:5" x14ac:dyDescent="0.35">
      <c r="A1183" s="11">
        <v>49822</v>
      </c>
      <c r="B1183" s="12" t="s">
        <v>11</v>
      </c>
      <c r="C1183" s="13">
        <v>19.100000000000001</v>
      </c>
      <c r="D1183" s="14">
        <v>0.3</v>
      </c>
      <c r="E1183">
        <f t="shared" si="18"/>
        <v>0</v>
      </c>
    </row>
    <row r="1184" spans="1:5" x14ac:dyDescent="0.35">
      <c r="A1184" s="7">
        <v>49823</v>
      </c>
      <c r="B1184" s="8" t="s">
        <v>19</v>
      </c>
      <c r="C1184" s="9">
        <v>27.4</v>
      </c>
      <c r="D1184" s="10">
        <v>0</v>
      </c>
      <c r="E1184">
        <f t="shared" si="18"/>
        <v>0</v>
      </c>
    </row>
    <row r="1185" spans="1:5" x14ac:dyDescent="0.35">
      <c r="A1185" s="11">
        <v>49824</v>
      </c>
      <c r="B1185" s="12" t="s">
        <v>7</v>
      </c>
      <c r="C1185" s="13">
        <v>21.1</v>
      </c>
      <c r="D1185" s="14">
        <v>10.4</v>
      </c>
      <c r="E1185">
        <f t="shared" si="18"/>
        <v>2.1944000000000004</v>
      </c>
    </row>
    <row r="1186" spans="1:5" x14ac:dyDescent="0.35">
      <c r="A1186" s="7">
        <v>49825</v>
      </c>
      <c r="B1186" s="8" t="s">
        <v>27</v>
      </c>
      <c r="C1186" s="9">
        <v>13.4</v>
      </c>
      <c r="D1186" s="10">
        <v>0</v>
      </c>
      <c r="E1186">
        <f t="shared" si="18"/>
        <v>0</v>
      </c>
    </row>
    <row r="1187" spans="1:5" x14ac:dyDescent="0.35">
      <c r="A1187" s="11">
        <v>49826</v>
      </c>
      <c r="B1187" s="12" t="s">
        <v>5</v>
      </c>
      <c r="C1187" s="13">
        <v>11.9</v>
      </c>
      <c r="D1187" s="14">
        <v>7.3</v>
      </c>
      <c r="E1187">
        <f t="shared" si="18"/>
        <v>0.86870000000000003</v>
      </c>
    </row>
    <row r="1188" spans="1:5" x14ac:dyDescent="0.35">
      <c r="A1188" s="7">
        <v>49827</v>
      </c>
      <c r="B1188" s="8" t="s">
        <v>13</v>
      </c>
      <c r="C1188" s="9">
        <v>20.399999999999999</v>
      </c>
      <c r="D1188" s="10">
        <v>4.3</v>
      </c>
      <c r="E1188">
        <f t="shared" si="18"/>
        <v>0.87719999999999987</v>
      </c>
    </row>
    <row r="1189" spans="1:5" x14ac:dyDescent="0.35">
      <c r="A1189" s="11">
        <v>49828</v>
      </c>
      <c r="B1189" s="12" t="s">
        <v>7</v>
      </c>
      <c r="C1189" s="13">
        <v>29.5</v>
      </c>
      <c r="D1189" s="14">
        <v>18.600000000000001</v>
      </c>
      <c r="E1189">
        <f t="shared" si="18"/>
        <v>5.4870000000000001</v>
      </c>
    </row>
    <row r="1190" spans="1:5" x14ac:dyDescent="0.35">
      <c r="A1190" s="7">
        <v>49829</v>
      </c>
      <c r="B1190" s="8" t="s">
        <v>12</v>
      </c>
      <c r="C1190" s="9">
        <v>24.1</v>
      </c>
      <c r="D1190" s="10">
        <v>5</v>
      </c>
      <c r="E1190">
        <f t="shared" si="18"/>
        <v>1.2050000000000001</v>
      </c>
    </row>
    <row r="1191" spans="1:5" x14ac:dyDescent="0.35">
      <c r="A1191" s="11">
        <v>49830</v>
      </c>
      <c r="B1191" s="12" t="s">
        <v>14</v>
      </c>
      <c r="C1191" s="13">
        <v>11.5</v>
      </c>
      <c r="D1191" s="14">
        <v>3.6</v>
      </c>
      <c r="E1191">
        <f t="shared" si="18"/>
        <v>0.41399999999999998</v>
      </c>
    </row>
    <row r="1192" spans="1:5" x14ac:dyDescent="0.35">
      <c r="A1192" s="7">
        <v>49831</v>
      </c>
      <c r="B1192" s="8" t="s">
        <v>25</v>
      </c>
      <c r="C1192" s="9">
        <v>21.2</v>
      </c>
      <c r="D1192" s="10">
        <v>1.8</v>
      </c>
      <c r="E1192">
        <f t="shared" si="18"/>
        <v>0.38159999999999994</v>
      </c>
    </row>
    <row r="1193" spans="1:5" x14ac:dyDescent="0.35">
      <c r="A1193" s="11">
        <v>49832</v>
      </c>
      <c r="B1193" s="12" t="s">
        <v>10</v>
      </c>
      <c r="C1193" s="13">
        <v>22.2</v>
      </c>
      <c r="D1193" s="14">
        <v>40.299999999999997</v>
      </c>
      <c r="E1193">
        <f t="shared" si="18"/>
        <v>8.9465999999999983</v>
      </c>
    </row>
    <row r="1194" spans="1:5" x14ac:dyDescent="0.35">
      <c r="A1194" s="7">
        <v>49833</v>
      </c>
      <c r="B1194" s="8" t="s">
        <v>10</v>
      </c>
      <c r="C1194" s="9">
        <v>14.6</v>
      </c>
      <c r="D1194" s="10">
        <v>2.6</v>
      </c>
      <c r="E1194">
        <f t="shared" si="18"/>
        <v>0.37959999999999999</v>
      </c>
    </row>
    <row r="1195" spans="1:5" x14ac:dyDescent="0.35">
      <c r="A1195" s="11">
        <v>49834</v>
      </c>
      <c r="B1195" s="12" t="s">
        <v>13</v>
      </c>
      <c r="C1195" s="13">
        <v>23.3</v>
      </c>
      <c r="D1195" s="14">
        <v>8.1</v>
      </c>
      <c r="E1195">
        <f t="shared" si="18"/>
        <v>1.8873</v>
      </c>
    </row>
    <row r="1196" spans="1:5" x14ac:dyDescent="0.35">
      <c r="A1196" s="7">
        <v>49835</v>
      </c>
      <c r="B1196" s="8" t="s">
        <v>13</v>
      </c>
      <c r="C1196" s="9">
        <v>16.2</v>
      </c>
      <c r="D1196" s="10">
        <v>10.4</v>
      </c>
      <c r="E1196">
        <f t="shared" si="18"/>
        <v>1.6847999999999999</v>
      </c>
    </row>
    <row r="1197" spans="1:5" x14ac:dyDescent="0.35">
      <c r="A1197" s="11">
        <v>49836</v>
      </c>
      <c r="B1197" s="12" t="s">
        <v>10</v>
      </c>
      <c r="C1197" s="13">
        <v>25.9</v>
      </c>
      <c r="D1197" s="14">
        <v>0</v>
      </c>
      <c r="E1197">
        <f t="shared" si="18"/>
        <v>0</v>
      </c>
    </row>
    <row r="1198" spans="1:5" x14ac:dyDescent="0.35">
      <c r="A1198" s="7">
        <v>49837</v>
      </c>
      <c r="B1198" s="8" t="s">
        <v>5</v>
      </c>
      <c r="C1198" s="9">
        <v>14.6</v>
      </c>
      <c r="D1198" s="10">
        <v>7</v>
      </c>
      <c r="E1198">
        <f t="shared" si="18"/>
        <v>1.022</v>
      </c>
    </row>
    <row r="1199" spans="1:5" x14ac:dyDescent="0.35">
      <c r="A1199" s="11">
        <v>49838</v>
      </c>
      <c r="B1199" s="12" t="s">
        <v>18</v>
      </c>
      <c r="C1199" s="13">
        <v>15.1</v>
      </c>
      <c r="D1199" s="14">
        <v>11.7</v>
      </c>
      <c r="E1199">
        <f t="shared" si="18"/>
        <v>1.7666999999999999</v>
      </c>
    </row>
    <row r="1200" spans="1:5" x14ac:dyDescent="0.35">
      <c r="A1200" s="7">
        <v>49839</v>
      </c>
      <c r="B1200" s="8" t="s">
        <v>19</v>
      </c>
      <c r="C1200" s="9">
        <v>14.1</v>
      </c>
      <c r="D1200" s="10">
        <v>6.5</v>
      </c>
      <c r="E1200">
        <f t="shared" si="18"/>
        <v>0.91649999999999987</v>
      </c>
    </row>
    <row r="1201" spans="1:5" x14ac:dyDescent="0.35">
      <c r="A1201" s="11">
        <v>49840</v>
      </c>
      <c r="B1201" s="12" t="s">
        <v>27</v>
      </c>
      <c r="C1201" s="13">
        <v>22.1</v>
      </c>
      <c r="D1201" s="14">
        <v>1.8</v>
      </c>
      <c r="E1201">
        <f t="shared" si="18"/>
        <v>0.39779999999999999</v>
      </c>
    </row>
    <row r="1202" spans="1:5" x14ac:dyDescent="0.35">
      <c r="A1202" s="7">
        <v>49841</v>
      </c>
      <c r="B1202" s="8" t="s">
        <v>11</v>
      </c>
      <c r="C1202" s="9">
        <v>27.2</v>
      </c>
      <c r="D1202" s="10">
        <v>21.9</v>
      </c>
      <c r="E1202">
        <f t="shared" si="18"/>
        <v>5.9567999999999994</v>
      </c>
    </row>
    <row r="1203" spans="1:5" x14ac:dyDescent="0.35">
      <c r="A1203" s="11">
        <v>49842</v>
      </c>
      <c r="B1203" s="12" t="s">
        <v>6</v>
      </c>
      <c r="C1203" s="13">
        <v>10.8</v>
      </c>
      <c r="D1203" s="14">
        <v>0</v>
      </c>
      <c r="E1203">
        <f t="shared" si="18"/>
        <v>0</v>
      </c>
    </row>
    <row r="1204" spans="1:5" x14ac:dyDescent="0.35">
      <c r="A1204" s="7">
        <v>49843</v>
      </c>
      <c r="B1204" s="8" t="s">
        <v>7</v>
      </c>
      <c r="C1204" s="9">
        <v>24.6</v>
      </c>
      <c r="D1204" s="10">
        <v>0</v>
      </c>
      <c r="E1204">
        <f t="shared" si="18"/>
        <v>0</v>
      </c>
    </row>
    <row r="1205" spans="1:5" x14ac:dyDescent="0.35">
      <c r="A1205" s="11">
        <v>49844</v>
      </c>
      <c r="B1205" s="12" t="s">
        <v>10</v>
      </c>
      <c r="C1205" s="13">
        <v>27.8</v>
      </c>
      <c r="D1205" s="14">
        <v>26.3</v>
      </c>
      <c r="E1205">
        <f t="shared" si="18"/>
        <v>7.3113999999999999</v>
      </c>
    </row>
    <row r="1206" spans="1:5" x14ac:dyDescent="0.35">
      <c r="A1206" s="7">
        <v>49845</v>
      </c>
      <c r="B1206" s="8" t="s">
        <v>14</v>
      </c>
      <c r="C1206" s="9">
        <v>12.9</v>
      </c>
      <c r="D1206" s="10">
        <v>2.8</v>
      </c>
      <c r="E1206">
        <f t="shared" si="18"/>
        <v>0.36119999999999997</v>
      </c>
    </row>
    <row r="1207" spans="1:5" x14ac:dyDescent="0.35">
      <c r="A1207" s="11">
        <v>49846</v>
      </c>
      <c r="B1207" s="12" t="s">
        <v>13</v>
      </c>
      <c r="C1207" s="13">
        <v>13.9</v>
      </c>
      <c r="D1207" s="14">
        <v>0.6</v>
      </c>
      <c r="E1207">
        <f t="shared" si="18"/>
        <v>0</v>
      </c>
    </row>
    <row r="1208" spans="1:5" x14ac:dyDescent="0.35">
      <c r="A1208" s="7">
        <v>49847</v>
      </c>
      <c r="B1208" s="8" t="s">
        <v>29</v>
      </c>
      <c r="C1208" s="9">
        <v>27.6</v>
      </c>
      <c r="D1208" s="10">
        <v>0.6</v>
      </c>
      <c r="E1208">
        <f t="shared" si="18"/>
        <v>0</v>
      </c>
    </row>
    <row r="1209" spans="1:5" x14ac:dyDescent="0.35">
      <c r="A1209" s="11">
        <v>49848</v>
      </c>
      <c r="B1209" s="12" t="s">
        <v>11</v>
      </c>
      <c r="C1209" s="13">
        <v>18.600000000000001</v>
      </c>
      <c r="D1209" s="14">
        <v>21.5</v>
      </c>
      <c r="E1209">
        <f t="shared" si="18"/>
        <v>3.9990000000000006</v>
      </c>
    </row>
    <row r="1210" spans="1:5" x14ac:dyDescent="0.35">
      <c r="A1210" s="7">
        <v>49849</v>
      </c>
      <c r="B1210" s="8" t="s">
        <v>6</v>
      </c>
      <c r="C1210" s="9">
        <v>17.8</v>
      </c>
      <c r="D1210" s="10">
        <v>0</v>
      </c>
      <c r="E1210">
        <f t="shared" si="18"/>
        <v>0</v>
      </c>
    </row>
    <row r="1211" spans="1:5" x14ac:dyDescent="0.35">
      <c r="A1211" s="11">
        <v>49850</v>
      </c>
      <c r="B1211" s="12" t="s">
        <v>15</v>
      </c>
      <c r="C1211" s="13">
        <v>20.8</v>
      </c>
      <c r="D1211" s="14">
        <v>8.5</v>
      </c>
      <c r="E1211">
        <f t="shared" si="18"/>
        <v>1.768</v>
      </c>
    </row>
    <row r="1212" spans="1:5" x14ac:dyDescent="0.35">
      <c r="A1212" s="7">
        <v>49851</v>
      </c>
      <c r="B1212" s="8" t="s">
        <v>22</v>
      </c>
      <c r="C1212" s="9">
        <v>16.399999999999999</v>
      </c>
      <c r="D1212" s="10">
        <v>6.8</v>
      </c>
      <c r="E1212">
        <f t="shared" si="18"/>
        <v>1.1151999999999997</v>
      </c>
    </row>
    <row r="1213" spans="1:5" x14ac:dyDescent="0.35">
      <c r="A1213" s="11">
        <v>49852</v>
      </c>
      <c r="B1213" s="12" t="s">
        <v>27</v>
      </c>
      <c r="C1213" s="13">
        <v>14.6</v>
      </c>
      <c r="D1213" s="14">
        <v>0</v>
      </c>
      <c r="E1213">
        <f t="shared" si="18"/>
        <v>0</v>
      </c>
    </row>
    <row r="1214" spans="1:5" x14ac:dyDescent="0.35">
      <c r="A1214" s="7">
        <v>49853</v>
      </c>
      <c r="B1214" s="8" t="s">
        <v>9</v>
      </c>
      <c r="C1214" s="9">
        <v>27.1</v>
      </c>
      <c r="D1214" s="10">
        <v>1.2</v>
      </c>
      <c r="E1214">
        <f t="shared" si="18"/>
        <v>0.32520000000000004</v>
      </c>
    </row>
    <row r="1215" spans="1:5" x14ac:dyDescent="0.35">
      <c r="A1215" s="11">
        <v>49854</v>
      </c>
      <c r="B1215" s="12" t="s">
        <v>10</v>
      </c>
      <c r="C1215" s="13">
        <v>18.3</v>
      </c>
      <c r="D1215" s="14">
        <v>3.7</v>
      </c>
      <c r="E1215">
        <f t="shared" si="18"/>
        <v>0.67710000000000004</v>
      </c>
    </row>
    <row r="1216" spans="1:5" x14ac:dyDescent="0.35">
      <c r="A1216" s="7">
        <v>49855</v>
      </c>
      <c r="B1216" s="8" t="s">
        <v>29</v>
      </c>
      <c r="C1216" s="9">
        <v>27.1</v>
      </c>
      <c r="D1216" s="10">
        <v>0.2</v>
      </c>
      <c r="E1216">
        <f t="shared" si="18"/>
        <v>0</v>
      </c>
    </row>
    <row r="1217" spans="1:5" x14ac:dyDescent="0.35">
      <c r="A1217" s="11">
        <v>49856</v>
      </c>
      <c r="B1217" s="12" t="s">
        <v>15</v>
      </c>
      <c r="C1217" s="13">
        <v>12.9</v>
      </c>
      <c r="D1217" s="14">
        <v>10.199999999999999</v>
      </c>
      <c r="E1217">
        <f t="shared" si="18"/>
        <v>1.3157999999999999</v>
      </c>
    </row>
    <row r="1218" spans="1:5" x14ac:dyDescent="0.35">
      <c r="A1218" s="7">
        <v>49857</v>
      </c>
      <c r="B1218" s="8" t="s">
        <v>19</v>
      </c>
      <c r="C1218" s="9">
        <v>19.100000000000001</v>
      </c>
      <c r="D1218" s="10">
        <v>19.600000000000001</v>
      </c>
      <c r="E1218">
        <f t="shared" si="18"/>
        <v>3.7436000000000007</v>
      </c>
    </row>
    <row r="1219" spans="1:5" x14ac:dyDescent="0.35">
      <c r="A1219" s="11">
        <v>49858</v>
      </c>
      <c r="B1219" s="12" t="s">
        <v>6</v>
      </c>
      <c r="C1219" s="13">
        <v>19.2</v>
      </c>
      <c r="D1219" s="14">
        <v>3.6</v>
      </c>
      <c r="E1219">
        <f t="shared" ref="E1219:E1282" si="19">IF(D1219&gt;=1,C1219*D1219/100,0)</f>
        <v>0.69120000000000004</v>
      </c>
    </row>
    <row r="1220" spans="1:5" x14ac:dyDescent="0.35">
      <c r="A1220" s="7">
        <v>49859</v>
      </c>
      <c r="B1220" s="8" t="s">
        <v>9</v>
      </c>
      <c r="C1220" s="9">
        <v>25.2</v>
      </c>
      <c r="D1220" s="10">
        <v>0</v>
      </c>
      <c r="E1220">
        <f t="shared" si="19"/>
        <v>0</v>
      </c>
    </row>
    <row r="1221" spans="1:5" x14ac:dyDescent="0.35">
      <c r="A1221" s="11">
        <v>49860</v>
      </c>
      <c r="B1221" s="12" t="s">
        <v>15</v>
      </c>
      <c r="C1221" s="13">
        <v>13.5</v>
      </c>
      <c r="D1221" s="14">
        <v>6.3</v>
      </c>
      <c r="E1221">
        <f t="shared" si="19"/>
        <v>0.85049999999999992</v>
      </c>
    </row>
    <row r="1222" spans="1:5" x14ac:dyDescent="0.35">
      <c r="A1222" s="7">
        <v>49861</v>
      </c>
      <c r="B1222" s="8" t="s">
        <v>12</v>
      </c>
      <c r="C1222" s="9">
        <v>19.2</v>
      </c>
      <c r="D1222" s="10">
        <v>7.7</v>
      </c>
      <c r="E1222">
        <f t="shared" si="19"/>
        <v>1.4783999999999999</v>
      </c>
    </row>
    <row r="1223" spans="1:5" x14ac:dyDescent="0.35">
      <c r="A1223" s="11">
        <v>49862</v>
      </c>
      <c r="B1223" s="12" t="s">
        <v>14</v>
      </c>
      <c r="C1223" s="13">
        <v>24.1</v>
      </c>
      <c r="D1223" s="14">
        <v>7.8</v>
      </c>
      <c r="E1223">
        <f t="shared" si="19"/>
        <v>1.8798000000000001</v>
      </c>
    </row>
    <row r="1224" spans="1:5" x14ac:dyDescent="0.35">
      <c r="A1224" s="7">
        <v>49863</v>
      </c>
      <c r="B1224" s="8" t="s">
        <v>10</v>
      </c>
      <c r="C1224" s="9">
        <v>17.8</v>
      </c>
      <c r="D1224" s="10">
        <v>13.4</v>
      </c>
      <c r="E1224">
        <f t="shared" si="19"/>
        <v>2.3852000000000002</v>
      </c>
    </row>
    <row r="1225" spans="1:5" x14ac:dyDescent="0.35">
      <c r="A1225" s="11">
        <v>49864</v>
      </c>
      <c r="B1225" s="12" t="s">
        <v>7</v>
      </c>
      <c r="C1225" s="13">
        <v>24.7</v>
      </c>
      <c r="D1225" s="14">
        <v>21.1</v>
      </c>
      <c r="E1225">
        <f t="shared" si="19"/>
        <v>5.2117000000000004</v>
      </c>
    </row>
    <row r="1226" spans="1:5" x14ac:dyDescent="0.35">
      <c r="A1226" s="7">
        <v>49865</v>
      </c>
      <c r="B1226" s="8" t="s">
        <v>20</v>
      </c>
      <c r="C1226" s="9">
        <v>16.8</v>
      </c>
      <c r="D1226" s="10">
        <v>0</v>
      </c>
      <c r="E1226">
        <f t="shared" si="19"/>
        <v>0</v>
      </c>
    </row>
    <row r="1227" spans="1:5" x14ac:dyDescent="0.35">
      <c r="A1227" s="11">
        <v>49866</v>
      </c>
      <c r="B1227" s="12" t="s">
        <v>5</v>
      </c>
      <c r="C1227" s="13">
        <v>10.7</v>
      </c>
      <c r="D1227" s="14">
        <v>3</v>
      </c>
      <c r="E1227">
        <f t="shared" si="19"/>
        <v>0.32099999999999995</v>
      </c>
    </row>
    <row r="1228" spans="1:5" x14ac:dyDescent="0.35">
      <c r="A1228" s="7">
        <v>49867</v>
      </c>
      <c r="B1228" s="8" t="s">
        <v>6</v>
      </c>
      <c r="C1228" s="9">
        <v>29.3</v>
      </c>
      <c r="D1228" s="10">
        <v>8.3000000000000007</v>
      </c>
      <c r="E1228">
        <f t="shared" si="19"/>
        <v>2.4319000000000002</v>
      </c>
    </row>
    <row r="1229" spans="1:5" x14ac:dyDescent="0.35">
      <c r="A1229" s="11">
        <v>49868</v>
      </c>
      <c r="B1229" s="12" t="s">
        <v>25</v>
      </c>
      <c r="C1229" s="13">
        <v>28.2</v>
      </c>
      <c r="D1229" s="14">
        <v>0</v>
      </c>
      <c r="E1229">
        <f t="shared" si="19"/>
        <v>0</v>
      </c>
    </row>
    <row r="1230" spans="1:5" x14ac:dyDescent="0.35">
      <c r="A1230" s="7">
        <v>49869</v>
      </c>
      <c r="B1230" s="8" t="s">
        <v>10</v>
      </c>
      <c r="C1230" s="9">
        <v>17.3</v>
      </c>
      <c r="D1230" s="10">
        <v>33.6</v>
      </c>
      <c r="E1230">
        <f t="shared" si="19"/>
        <v>5.8128000000000011</v>
      </c>
    </row>
    <row r="1231" spans="1:5" x14ac:dyDescent="0.35">
      <c r="A1231" s="11">
        <v>49870</v>
      </c>
      <c r="B1231" s="12" t="s">
        <v>6</v>
      </c>
      <c r="C1231" s="13">
        <v>24.6</v>
      </c>
      <c r="D1231" s="14">
        <v>0</v>
      </c>
      <c r="E1231">
        <f t="shared" si="19"/>
        <v>0</v>
      </c>
    </row>
    <row r="1232" spans="1:5" x14ac:dyDescent="0.35">
      <c r="A1232" s="7">
        <v>49871</v>
      </c>
      <c r="B1232" s="8" t="s">
        <v>12</v>
      </c>
      <c r="C1232" s="9">
        <v>12.6</v>
      </c>
      <c r="D1232" s="10">
        <v>0.6</v>
      </c>
      <c r="E1232">
        <f t="shared" si="19"/>
        <v>0</v>
      </c>
    </row>
    <row r="1233" spans="1:5" x14ac:dyDescent="0.35">
      <c r="A1233" s="11">
        <v>49872</v>
      </c>
      <c r="B1233" s="12" t="s">
        <v>19</v>
      </c>
      <c r="C1233" s="13">
        <v>27.3</v>
      </c>
      <c r="D1233" s="14">
        <v>0</v>
      </c>
      <c r="E1233">
        <f t="shared" si="19"/>
        <v>0</v>
      </c>
    </row>
    <row r="1234" spans="1:5" x14ac:dyDescent="0.35">
      <c r="A1234" s="7">
        <v>49873</v>
      </c>
      <c r="B1234" s="8" t="s">
        <v>8</v>
      </c>
      <c r="C1234" s="9">
        <v>14.4</v>
      </c>
      <c r="D1234" s="10">
        <v>2</v>
      </c>
      <c r="E1234">
        <f t="shared" si="19"/>
        <v>0.28800000000000003</v>
      </c>
    </row>
    <row r="1235" spans="1:5" x14ac:dyDescent="0.35">
      <c r="A1235" s="11">
        <v>49874</v>
      </c>
      <c r="B1235" s="12" t="s">
        <v>10</v>
      </c>
      <c r="C1235" s="13">
        <v>11.2</v>
      </c>
      <c r="D1235" s="14">
        <v>32.6</v>
      </c>
      <c r="E1235">
        <f t="shared" si="19"/>
        <v>3.6512000000000002</v>
      </c>
    </row>
    <row r="1236" spans="1:5" x14ac:dyDescent="0.35">
      <c r="A1236" s="7">
        <v>49875</v>
      </c>
      <c r="B1236" s="8" t="s">
        <v>19</v>
      </c>
      <c r="C1236" s="9">
        <v>11.4</v>
      </c>
      <c r="D1236" s="10">
        <v>5.5</v>
      </c>
      <c r="E1236">
        <f t="shared" si="19"/>
        <v>0.627</v>
      </c>
    </row>
    <row r="1237" spans="1:5" x14ac:dyDescent="0.35">
      <c r="A1237" s="11">
        <v>49876</v>
      </c>
      <c r="B1237" s="12" t="s">
        <v>14</v>
      </c>
      <c r="C1237" s="13">
        <v>22.9</v>
      </c>
      <c r="D1237" s="14">
        <v>0</v>
      </c>
      <c r="E1237">
        <f t="shared" si="19"/>
        <v>0</v>
      </c>
    </row>
    <row r="1238" spans="1:5" x14ac:dyDescent="0.35">
      <c r="A1238" s="7">
        <v>49877</v>
      </c>
      <c r="B1238" s="8" t="s">
        <v>7</v>
      </c>
      <c r="C1238" s="9">
        <v>14.3</v>
      </c>
      <c r="D1238" s="10">
        <v>13.2</v>
      </c>
      <c r="E1238">
        <f t="shared" si="19"/>
        <v>1.8875999999999999</v>
      </c>
    </row>
    <row r="1239" spans="1:5" x14ac:dyDescent="0.35">
      <c r="A1239" s="11">
        <v>49878</v>
      </c>
      <c r="B1239" s="12" t="s">
        <v>10</v>
      </c>
      <c r="C1239" s="13">
        <v>22.9</v>
      </c>
      <c r="D1239" s="14">
        <v>22.9</v>
      </c>
      <c r="E1239">
        <f t="shared" si="19"/>
        <v>5.2440999999999995</v>
      </c>
    </row>
    <row r="1240" spans="1:5" x14ac:dyDescent="0.35">
      <c r="A1240" s="7">
        <v>49879</v>
      </c>
      <c r="B1240" s="8" t="s">
        <v>11</v>
      </c>
      <c r="C1240" s="9">
        <v>11.8</v>
      </c>
      <c r="D1240" s="10">
        <v>0</v>
      </c>
      <c r="E1240">
        <f t="shared" si="19"/>
        <v>0</v>
      </c>
    </row>
    <row r="1241" spans="1:5" x14ac:dyDescent="0.35">
      <c r="A1241" s="11">
        <v>49880</v>
      </c>
      <c r="B1241" s="12" t="s">
        <v>18</v>
      </c>
      <c r="C1241" s="13">
        <v>24.5</v>
      </c>
      <c r="D1241" s="14">
        <v>0</v>
      </c>
      <c r="E1241">
        <f t="shared" si="19"/>
        <v>0</v>
      </c>
    </row>
    <row r="1242" spans="1:5" x14ac:dyDescent="0.35">
      <c r="A1242" s="7">
        <v>49881</v>
      </c>
      <c r="B1242" s="8" t="s">
        <v>15</v>
      </c>
      <c r="C1242" s="9">
        <v>25.5</v>
      </c>
      <c r="D1242" s="10">
        <v>19.3</v>
      </c>
      <c r="E1242">
        <f t="shared" si="19"/>
        <v>4.9215</v>
      </c>
    </row>
    <row r="1243" spans="1:5" x14ac:dyDescent="0.35">
      <c r="A1243" s="11">
        <v>49882</v>
      </c>
      <c r="B1243" s="12" t="s">
        <v>19</v>
      </c>
      <c r="C1243" s="13">
        <v>14.7</v>
      </c>
      <c r="D1243" s="14">
        <v>18.3</v>
      </c>
      <c r="E1243">
        <f t="shared" si="19"/>
        <v>2.6900999999999997</v>
      </c>
    </row>
    <row r="1244" spans="1:5" x14ac:dyDescent="0.35">
      <c r="A1244" s="7">
        <v>49883</v>
      </c>
      <c r="B1244" s="8" t="s">
        <v>15</v>
      </c>
      <c r="C1244" s="9">
        <v>28.7</v>
      </c>
      <c r="D1244" s="10">
        <v>0</v>
      </c>
      <c r="E1244">
        <f t="shared" si="19"/>
        <v>0</v>
      </c>
    </row>
    <row r="1245" spans="1:5" x14ac:dyDescent="0.35">
      <c r="A1245" s="11">
        <v>49884</v>
      </c>
      <c r="B1245" s="12" t="s">
        <v>10</v>
      </c>
      <c r="C1245" s="13">
        <v>16.7</v>
      </c>
      <c r="D1245" s="14">
        <v>0</v>
      </c>
      <c r="E1245">
        <f t="shared" si="19"/>
        <v>0</v>
      </c>
    </row>
    <row r="1246" spans="1:5" x14ac:dyDescent="0.35">
      <c r="A1246" s="7">
        <v>49885</v>
      </c>
      <c r="B1246" s="8" t="s">
        <v>15</v>
      </c>
      <c r="C1246" s="9">
        <v>17.399999999999999</v>
      </c>
      <c r="D1246" s="10">
        <v>13.7</v>
      </c>
      <c r="E1246">
        <f t="shared" si="19"/>
        <v>2.3837999999999995</v>
      </c>
    </row>
    <row r="1247" spans="1:5" x14ac:dyDescent="0.35">
      <c r="A1247" s="11">
        <v>49886</v>
      </c>
      <c r="B1247" s="12" t="s">
        <v>10</v>
      </c>
      <c r="C1247" s="13">
        <v>15.6</v>
      </c>
      <c r="D1247" s="14">
        <v>0</v>
      </c>
      <c r="E1247">
        <f t="shared" si="19"/>
        <v>0</v>
      </c>
    </row>
    <row r="1248" spans="1:5" x14ac:dyDescent="0.35">
      <c r="A1248" s="7">
        <v>49887</v>
      </c>
      <c r="B1248" s="8" t="s">
        <v>19</v>
      </c>
      <c r="C1248" s="9">
        <v>21.7</v>
      </c>
      <c r="D1248" s="10">
        <v>0</v>
      </c>
      <c r="E1248">
        <f t="shared" si="19"/>
        <v>0</v>
      </c>
    </row>
    <row r="1249" spans="1:5" x14ac:dyDescent="0.35">
      <c r="A1249" s="11">
        <v>49888</v>
      </c>
      <c r="B1249" s="12" t="s">
        <v>7</v>
      </c>
      <c r="C1249" s="13">
        <v>26</v>
      </c>
      <c r="D1249" s="14">
        <v>0</v>
      </c>
      <c r="E1249">
        <f t="shared" si="19"/>
        <v>0</v>
      </c>
    </row>
    <row r="1250" spans="1:5" x14ac:dyDescent="0.35">
      <c r="A1250" s="7">
        <v>49889</v>
      </c>
      <c r="B1250" s="8" t="s">
        <v>22</v>
      </c>
      <c r="C1250" s="9">
        <v>24.5</v>
      </c>
      <c r="D1250" s="10">
        <v>9</v>
      </c>
      <c r="E1250">
        <f t="shared" si="19"/>
        <v>2.2050000000000001</v>
      </c>
    </row>
    <row r="1251" spans="1:5" x14ac:dyDescent="0.35">
      <c r="A1251" s="11">
        <v>49890</v>
      </c>
      <c r="B1251" s="12" t="s">
        <v>17</v>
      </c>
      <c r="C1251" s="13">
        <v>23.2</v>
      </c>
      <c r="D1251" s="14">
        <v>0</v>
      </c>
      <c r="E1251">
        <f t="shared" si="19"/>
        <v>0</v>
      </c>
    </row>
    <row r="1252" spans="1:5" x14ac:dyDescent="0.35">
      <c r="A1252" s="7">
        <v>49891</v>
      </c>
      <c r="B1252" s="8" t="s">
        <v>24</v>
      </c>
      <c r="C1252" s="9">
        <v>17.600000000000001</v>
      </c>
      <c r="D1252" s="10">
        <v>0.8</v>
      </c>
      <c r="E1252">
        <f t="shared" si="19"/>
        <v>0</v>
      </c>
    </row>
    <row r="1253" spans="1:5" x14ac:dyDescent="0.35">
      <c r="A1253" s="11">
        <v>49892</v>
      </c>
      <c r="B1253" s="12" t="s">
        <v>7</v>
      </c>
      <c r="C1253" s="13">
        <v>13.9</v>
      </c>
      <c r="D1253" s="14">
        <v>8.8000000000000007</v>
      </c>
      <c r="E1253">
        <f t="shared" si="19"/>
        <v>1.2232000000000001</v>
      </c>
    </row>
    <row r="1254" spans="1:5" x14ac:dyDescent="0.35">
      <c r="A1254" s="7">
        <v>49893</v>
      </c>
      <c r="B1254" s="8" t="s">
        <v>27</v>
      </c>
      <c r="C1254" s="9">
        <v>20.7</v>
      </c>
      <c r="D1254" s="10">
        <v>4.3</v>
      </c>
      <c r="E1254">
        <f t="shared" si="19"/>
        <v>0.89009999999999989</v>
      </c>
    </row>
    <row r="1255" spans="1:5" x14ac:dyDescent="0.35">
      <c r="A1255" s="11">
        <v>49894</v>
      </c>
      <c r="B1255" s="12" t="s">
        <v>5</v>
      </c>
      <c r="C1255" s="13">
        <v>10.1</v>
      </c>
      <c r="D1255" s="14">
        <v>1.7</v>
      </c>
      <c r="E1255">
        <f t="shared" si="19"/>
        <v>0.17169999999999999</v>
      </c>
    </row>
    <row r="1256" spans="1:5" x14ac:dyDescent="0.35">
      <c r="A1256" s="7">
        <v>49895</v>
      </c>
      <c r="B1256" s="8" t="s">
        <v>7</v>
      </c>
      <c r="C1256" s="9">
        <v>26.2</v>
      </c>
      <c r="D1256" s="10">
        <v>22.7</v>
      </c>
      <c r="E1256">
        <f t="shared" si="19"/>
        <v>5.9474</v>
      </c>
    </row>
    <row r="1257" spans="1:5" x14ac:dyDescent="0.35">
      <c r="A1257" s="11">
        <v>49896</v>
      </c>
      <c r="B1257" s="12" t="s">
        <v>19</v>
      </c>
      <c r="C1257" s="13">
        <v>27.6</v>
      </c>
      <c r="D1257" s="14">
        <v>13.8</v>
      </c>
      <c r="E1257">
        <f t="shared" si="19"/>
        <v>3.8088000000000006</v>
      </c>
    </row>
    <row r="1258" spans="1:5" x14ac:dyDescent="0.35">
      <c r="A1258" s="7">
        <v>49897</v>
      </c>
      <c r="B1258" s="8" t="s">
        <v>6</v>
      </c>
      <c r="C1258" s="9">
        <v>20.6</v>
      </c>
      <c r="D1258" s="10">
        <v>4.7</v>
      </c>
      <c r="E1258">
        <f t="shared" si="19"/>
        <v>0.96820000000000006</v>
      </c>
    </row>
    <row r="1259" spans="1:5" x14ac:dyDescent="0.35">
      <c r="A1259" s="11">
        <v>49898</v>
      </c>
      <c r="B1259" s="12" t="s">
        <v>9</v>
      </c>
      <c r="C1259" s="13">
        <v>21.4</v>
      </c>
      <c r="D1259" s="14">
        <v>5</v>
      </c>
      <c r="E1259">
        <f t="shared" si="19"/>
        <v>1.07</v>
      </c>
    </row>
    <row r="1260" spans="1:5" x14ac:dyDescent="0.35">
      <c r="A1260" s="7">
        <v>49899</v>
      </c>
      <c r="B1260" s="8" t="s">
        <v>6</v>
      </c>
      <c r="C1260" s="9">
        <v>17.100000000000001</v>
      </c>
      <c r="D1260" s="10">
        <v>0</v>
      </c>
      <c r="E1260">
        <f t="shared" si="19"/>
        <v>0</v>
      </c>
    </row>
    <row r="1261" spans="1:5" x14ac:dyDescent="0.35">
      <c r="A1261" s="11">
        <v>49900</v>
      </c>
      <c r="B1261" s="12" t="s">
        <v>10</v>
      </c>
      <c r="C1261" s="13">
        <v>19.5</v>
      </c>
      <c r="D1261" s="14">
        <v>20.5</v>
      </c>
      <c r="E1261">
        <f t="shared" si="19"/>
        <v>3.9975000000000001</v>
      </c>
    </row>
    <row r="1262" spans="1:5" x14ac:dyDescent="0.35">
      <c r="A1262" s="7">
        <v>49901</v>
      </c>
      <c r="B1262" s="8" t="s">
        <v>13</v>
      </c>
      <c r="C1262" s="9">
        <v>15.9</v>
      </c>
      <c r="D1262" s="10">
        <v>0</v>
      </c>
      <c r="E1262">
        <f t="shared" si="19"/>
        <v>0</v>
      </c>
    </row>
    <row r="1263" spans="1:5" x14ac:dyDescent="0.35">
      <c r="A1263" s="11">
        <v>49902</v>
      </c>
      <c r="B1263" s="12" t="s">
        <v>10</v>
      </c>
      <c r="C1263" s="13">
        <v>21.1</v>
      </c>
      <c r="D1263" s="14">
        <v>46.8</v>
      </c>
      <c r="E1263">
        <f t="shared" si="19"/>
        <v>9.8748000000000005</v>
      </c>
    </row>
    <row r="1264" spans="1:5" x14ac:dyDescent="0.35">
      <c r="A1264" s="7">
        <v>49903</v>
      </c>
      <c r="B1264" s="8" t="s">
        <v>19</v>
      </c>
      <c r="C1264" s="9">
        <v>20.2</v>
      </c>
      <c r="D1264" s="10">
        <v>36.6</v>
      </c>
      <c r="E1264">
        <f t="shared" si="19"/>
        <v>7.3932000000000002</v>
      </c>
    </row>
    <row r="1265" spans="1:5" x14ac:dyDescent="0.35">
      <c r="A1265" s="11">
        <v>49904</v>
      </c>
      <c r="B1265" s="12" t="s">
        <v>12</v>
      </c>
      <c r="C1265" s="13">
        <v>25</v>
      </c>
      <c r="D1265" s="14">
        <v>7.8</v>
      </c>
      <c r="E1265">
        <f t="shared" si="19"/>
        <v>1.95</v>
      </c>
    </row>
    <row r="1266" spans="1:5" x14ac:dyDescent="0.35">
      <c r="A1266" s="7">
        <v>49905</v>
      </c>
      <c r="B1266" s="8" t="s">
        <v>10</v>
      </c>
      <c r="C1266" s="9">
        <v>22.1</v>
      </c>
      <c r="D1266" s="10">
        <v>8.8000000000000007</v>
      </c>
      <c r="E1266">
        <f t="shared" si="19"/>
        <v>1.9448000000000001</v>
      </c>
    </row>
    <row r="1267" spans="1:5" x14ac:dyDescent="0.35">
      <c r="A1267" s="11">
        <v>49906</v>
      </c>
      <c r="B1267" s="12" t="s">
        <v>33</v>
      </c>
      <c r="C1267" s="13">
        <v>28.9</v>
      </c>
      <c r="D1267" s="14">
        <v>0.5</v>
      </c>
      <c r="E1267">
        <f t="shared" si="19"/>
        <v>0</v>
      </c>
    </row>
    <row r="1268" spans="1:5" x14ac:dyDescent="0.35">
      <c r="A1268" s="7">
        <v>49907</v>
      </c>
      <c r="B1268" s="8" t="s">
        <v>11</v>
      </c>
      <c r="C1268" s="9">
        <v>19.600000000000001</v>
      </c>
      <c r="D1268" s="10">
        <v>0</v>
      </c>
      <c r="E1268">
        <f t="shared" si="19"/>
        <v>0</v>
      </c>
    </row>
    <row r="1269" spans="1:5" x14ac:dyDescent="0.35">
      <c r="A1269" s="11">
        <v>49908</v>
      </c>
      <c r="B1269" s="12" t="s">
        <v>7</v>
      </c>
      <c r="C1269" s="13">
        <v>18</v>
      </c>
      <c r="D1269" s="14">
        <v>13.2</v>
      </c>
      <c r="E1269">
        <f t="shared" si="19"/>
        <v>2.3759999999999999</v>
      </c>
    </row>
    <row r="1270" spans="1:5" x14ac:dyDescent="0.35">
      <c r="A1270" s="7">
        <v>49909</v>
      </c>
      <c r="B1270" s="8" t="s">
        <v>12</v>
      </c>
      <c r="C1270" s="9">
        <v>28.3</v>
      </c>
      <c r="D1270" s="10">
        <v>0</v>
      </c>
      <c r="E1270">
        <f t="shared" si="19"/>
        <v>0</v>
      </c>
    </row>
    <row r="1271" spans="1:5" x14ac:dyDescent="0.35">
      <c r="A1271" s="11">
        <v>49910</v>
      </c>
      <c r="B1271" s="12" t="s">
        <v>6</v>
      </c>
      <c r="C1271" s="13">
        <v>25.2</v>
      </c>
      <c r="D1271" s="14">
        <v>0</v>
      </c>
      <c r="E1271">
        <f t="shared" si="19"/>
        <v>0</v>
      </c>
    </row>
    <row r="1272" spans="1:5" x14ac:dyDescent="0.35">
      <c r="A1272" s="7">
        <v>49911</v>
      </c>
      <c r="B1272" s="8" t="s">
        <v>10</v>
      </c>
      <c r="C1272" s="9">
        <v>22.5</v>
      </c>
      <c r="D1272" s="10">
        <v>0</v>
      </c>
      <c r="E1272">
        <f t="shared" si="19"/>
        <v>0</v>
      </c>
    </row>
    <row r="1273" spans="1:5" x14ac:dyDescent="0.35">
      <c r="A1273" s="11">
        <v>49912</v>
      </c>
      <c r="B1273" s="12" t="s">
        <v>13</v>
      </c>
      <c r="C1273" s="13">
        <v>19.899999999999999</v>
      </c>
      <c r="D1273" s="14">
        <v>6.7</v>
      </c>
      <c r="E1273">
        <f t="shared" si="19"/>
        <v>1.3332999999999999</v>
      </c>
    </row>
    <row r="1274" spans="1:5" x14ac:dyDescent="0.35">
      <c r="A1274" s="7">
        <v>49913</v>
      </c>
      <c r="B1274" s="8" t="s">
        <v>11</v>
      </c>
      <c r="C1274" s="9">
        <v>10.8</v>
      </c>
      <c r="D1274" s="10">
        <v>19.600000000000001</v>
      </c>
      <c r="E1274">
        <f t="shared" si="19"/>
        <v>2.1168000000000005</v>
      </c>
    </row>
    <row r="1275" spans="1:5" x14ac:dyDescent="0.35">
      <c r="A1275" s="11">
        <v>49914</v>
      </c>
      <c r="B1275" s="12" t="s">
        <v>19</v>
      </c>
      <c r="C1275" s="13">
        <v>18.399999999999999</v>
      </c>
      <c r="D1275" s="14">
        <v>0.6</v>
      </c>
      <c r="E1275">
        <f t="shared" si="19"/>
        <v>0</v>
      </c>
    </row>
    <row r="1276" spans="1:5" x14ac:dyDescent="0.35">
      <c r="A1276" s="7">
        <v>49915</v>
      </c>
      <c r="B1276" s="8" t="s">
        <v>26</v>
      </c>
      <c r="C1276" s="9">
        <v>27.6</v>
      </c>
      <c r="D1276" s="10">
        <v>3.7</v>
      </c>
      <c r="E1276">
        <f t="shared" si="19"/>
        <v>1.0212000000000001</v>
      </c>
    </row>
    <row r="1277" spans="1:5" x14ac:dyDescent="0.35">
      <c r="A1277" s="11">
        <v>49916</v>
      </c>
      <c r="B1277" s="12" t="s">
        <v>26</v>
      </c>
      <c r="C1277" s="13">
        <v>11.3</v>
      </c>
      <c r="D1277" s="14">
        <v>1.9</v>
      </c>
      <c r="E1277">
        <f t="shared" si="19"/>
        <v>0.2147</v>
      </c>
    </row>
    <row r="1278" spans="1:5" x14ac:dyDescent="0.35">
      <c r="A1278" s="7">
        <v>49917</v>
      </c>
      <c r="B1278" s="8" t="s">
        <v>26</v>
      </c>
      <c r="C1278" s="9">
        <v>28.7</v>
      </c>
      <c r="D1278" s="10">
        <v>0</v>
      </c>
      <c r="E1278">
        <f t="shared" si="19"/>
        <v>0</v>
      </c>
    </row>
    <row r="1279" spans="1:5" x14ac:dyDescent="0.35">
      <c r="A1279" s="11">
        <v>49918</v>
      </c>
      <c r="B1279" s="12" t="s">
        <v>21</v>
      </c>
      <c r="C1279" s="13">
        <v>15</v>
      </c>
      <c r="D1279" s="14">
        <v>1.7</v>
      </c>
      <c r="E1279">
        <f t="shared" si="19"/>
        <v>0.255</v>
      </c>
    </row>
    <row r="1280" spans="1:5" x14ac:dyDescent="0.35">
      <c r="A1280" s="7">
        <v>49919</v>
      </c>
      <c r="B1280" s="8" t="s">
        <v>7</v>
      </c>
      <c r="C1280" s="9">
        <v>15.1</v>
      </c>
      <c r="D1280" s="10">
        <v>13.5</v>
      </c>
      <c r="E1280">
        <f t="shared" si="19"/>
        <v>2.0385</v>
      </c>
    </row>
    <row r="1281" spans="1:5" x14ac:dyDescent="0.35">
      <c r="A1281" s="11">
        <v>49920</v>
      </c>
      <c r="B1281" s="12" t="s">
        <v>19</v>
      </c>
      <c r="C1281" s="13">
        <v>19.399999999999999</v>
      </c>
      <c r="D1281" s="14">
        <v>29.6</v>
      </c>
      <c r="E1281">
        <f t="shared" si="19"/>
        <v>5.7423999999999999</v>
      </c>
    </row>
    <row r="1282" spans="1:5" x14ac:dyDescent="0.35">
      <c r="A1282" s="7">
        <v>49921</v>
      </c>
      <c r="B1282" s="8" t="s">
        <v>7</v>
      </c>
      <c r="C1282" s="9">
        <v>21.9</v>
      </c>
      <c r="D1282" s="10">
        <v>1.6</v>
      </c>
      <c r="E1282">
        <f t="shared" si="19"/>
        <v>0.35039999999999999</v>
      </c>
    </row>
    <row r="1283" spans="1:5" x14ac:dyDescent="0.35">
      <c r="A1283" s="11">
        <v>49922</v>
      </c>
      <c r="B1283" s="12" t="s">
        <v>18</v>
      </c>
      <c r="C1283" s="13">
        <v>19.399999999999999</v>
      </c>
      <c r="D1283" s="14">
        <v>9.8000000000000007</v>
      </c>
      <c r="E1283">
        <f t="shared" ref="E1283:E1346" si="20">IF(D1283&gt;=1,C1283*D1283/100,0)</f>
        <v>1.9012</v>
      </c>
    </row>
    <row r="1284" spans="1:5" x14ac:dyDescent="0.35">
      <c r="A1284" s="7">
        <v>49923</v>
      </c>
      <c r="B1284" s="8" t="s">
        <v>7</v>
      </c>
      <c r="C1284" s="9">
        <v>21.8</v>
      </c>
      <c r="D1284" s="10">
        <v>18.5</v>
      </c>
      <c r="E1284">
        <f t="shared" si="20"/>
        <v>4.0330000000000004</v>
      </c>
    </row>
    <row r="1285" spans="1:5" x14ac:dyDescent="0.35">
      <c r="A1285" s="11">
        <v>49924</v>
      </c>
      <c r="B1285" s="12" t="s">
        <v>17</v>
      </c>
      <c r="C1285" s="13">
        <v>29.3</v>
      </c>
      <c r="D1285" s="14">
        <v>2.8</v>
      </c>
      <c r="E1285">
        <f t="shared" si="20"/>
        <v>0.82039999999999991</v>
      </c>
    </row>
    <row r="1286" spans="1:5" x14ac:dyDescent="0.35">
      <c r="A1286" s="7">
        <v>49925</v>
      </c>
      <c r="B1286" s="8" t="s">
        <v>19</v>
      </c>
      <c r="C1286" s="9">
        <v>14.4</v>
      </c>
      <c r="D1286" s="10">
        <v>0</v>
      </c>
      <c r="E1286">
        <f t="shared" si="20"/>
        <v>0</v>
      </c>
    </row>
    <row r="1287" spans="1:5" x14ac:dyDescent="0.35">
      <c r="A1287" s="11">
        <v>49926</v>
      </c>
      <c r="B1287" s="12" t="s">
        <v>10</v>
      </c>
      <c r="C1287" s="13">
        <v>14.5</v>
      </c>
      <c r="D1287" s="14">
        <v>0</v>
      </c>
      <c r="E1287">
        <f t="shared" si="20"/>
        <v>0</v>
      </c>
    </row>
    <row r="1288" spans="1:5" x14ac:dyDescent="0.35">
      <c r="A1288" s="7">
        <v>49927</v>
      </c>
      <c r="B1288" s="8" t="s">
        <v>15</v>
      </c>
      <c r="C1288" s="9">
        <v>18.399999999999999</v>
      </c>
      <c r="D1288" s="10">
        <v>10.1</v>
      </c>
      <c r="E1288">
        <f t="shared" si="20"/>
        <v>1.8583999999999998</v>
      </c>
    </row>
    <row r="1289" spans="1:5" x14ac:dyDescent="0.35">
      <c r="A1289" s="11">
        <v>49928</v>
      </c>
      <c r="B1289" s="12" t="s">
        <v>18</v>
      </c>
      <c r="C1289" s="13">
        <v>29.8</v>
      </c>
      <c r="D1289" s="14">
        <v>0</v>
      </c>
      <c r="E1289">
        <f t="shared" si="20"/>
        <v>0</v>
      </c>
    </row>
    <row r="1290" spans="1:5" x14ac:dyDescent="0.35">
      <c r="A1290" s="7">
        <v>49929</v>
      </c>
      <c r="B1290" s="8" t="s">
        <v>7</v>
      </c>
      <c r="C1290" s="9">
        <v>27.3</v>
      </c>
      <c r="D1290" s="10">
        <v>18.600000000000001</v>
      </c>
      <c r="E1290">
        <f t="shared" si="20"/>
        <v>5.0777999999999999</v>
      </c>
    </row>
    <row r="1291" spans="1:5" x14ac:dyDescent="0.35">
      <c r="A1291" s="11">
        <v>49930</v>
      </c>
      <c r="B1291" s="12" t="s">
        <v>9</v>
      </c>
      <c r="C1291" s="13">
        <v>22.7</v>
      </c>
      <c r="D1291" s="14">
        <v>0</v>
      </c>
      <c r="E1291">
        <f t="shared" si="20"/>
        <v>0</v>
      </c>
    </row>
    <row r="1292" spans="1:5" x14ac:dyDescent="0.35">
      <c r="A1292" s="7">
        <v>49931</v>
      </c>
      <c r="B1292" s="8" t="s">
        <v>10</v>
      </c>
      <c r="C1292" s="9">
        <v>27.3</v>
      </c>
      <c r="D1292" s="10">
        <v>18.399999999999999</v>
      </c>
      <c r="E1292">
        <f t="shared" si="20"/>
        <v>5.0232000000000001</v>
      </c>
    </row>
    <row r="1293" spans="1:5" x14ac:dyDescent="0.35">
      <c r="A1293" s="11">
        <v>49932</v>
      </c>
      <c r="B1293" s="12" t="s">
        <v>18</v>
      </c>
      <c r="C1293" s="13">
        <v>12.9</v>
      </c>
      <c r="D1293" s="14">
        <v>0</v>
      </c>
      <c r="E1293">
        <f t="shared" si="20"/>
        <v>0</v>
      </c>
    </row>
    <row r="1294" spans="1:5" x14ac:dyDescent="0.35">
      <c r="A1294" s="7">
        <v>49933</v>
      </c>
      <c r="B1294" s="8" t="s">
        <v>19</v>
      </c>
      <c r="C1294" s="9">
        <v>24.3</v>
      </c>
      <c r="D1294" s="10">
        <v>1.9</v>
      </c>
      <c r="E1294">
        <f t="shared" si="20"/>
        <v>0.4617</v>
      </c>
    </row>
    <row r="1295" spans="1:5" x14ac:dyDescent="0.35">
      <c r="A1295" s="11">
        <v>49934</v>
      </c>
      <c r="B1295" s="12" t="s">
        <v>18</v>
      </c>
      <c r="C1295" s="13">
        <v>20.6</v>
      </c>
      <c r="D1295" s="14">
        <v>14.6</v>
      </c>
      <c r="E1295">
        <f t="shared" si="20"/>
        <v>3.0076000000000001</v>
      </c>
    </row>
    <row r="1296" spans="1:5" x14ac:dyDescent="0.35">
      <c r="A1296" s="7">
        <v>49935</v>
      </c>
      <c r="B1296" s="8" t="s">
        <v>5</v>
      </c>
      <c r="C1296" s="9">
        <v>24.2</v>
      </c>
      <c r="D1296" s="10">
        <v>0</v>
      </c>
      <c r="E1296">
        <f t="shared" si="20"/>
        <v>0</v>
      </c>
    </row>
    <row r="1297" spans="1:5" x14ac:dyDescent="0.35">
      <c r="A1297" s="11">
        <v>49936</v>
      </c>
      <c r="B1297" s="12" t="s">
        <v>10</v>
      </c>
      <c r="C1297" s="13">
        <v>15.2</v>
      </c>
      <c r="D1297" s="14">
        <v>0</v>
      </c>
      <c r="E1297">
        <f t="shared" si="20"/>
        <v>0</v>
      </c>
    </row>
    <row r="1298" spans="1:5" x14ac:dyDescent="0.35">
      <c r="A1298" s="7">
        <v>49937</v>
      </c>
      <c r="B1298" s="8" t="s">
        <v>25</v>
      </c>
      <c r="C1298" s="9">
        <v>27.3</v>
      </c>
      <c r="D1298" s="10">
        <v>2.5</v>
      </c>
      <c r="E1298">
        <f t="shared" si="20"/>
        <v>0.6825</v>
      </c>
    </row>
    <row r="1299" spans="1:5" x14ac:dyDescent="0.35">
      <c r="A1299" s="11">
        <v>49938</v>
      </c>
      <c r="B1299" s="12" t="s">
        <v>25</v>
      </c>
      <c r="C1299" s="13">
        <v>28</v>
      </c>
      <c r="D1299" s="14">
        <v>0</v>
      </c>
      <c r="E1299">
        <f t="shared" si="20"/>
        <v>0</v>
      </c>
    </row>
    <row r="1300" spans="1:5" x14ac:dyDescent="0.35">
      <c r="A1300" s="7">
        <v>49939</v>
      </c>
      <c r="B1300" s="8" t="s">
        <v>31</v>
      </c>
      <c r="C1300" s="9">
        <v>16.100000000000001</v>
      </c>
      <c r="D1300" s="10">
        <v>0</v>
      </c>
      <c r="E1300">
        <f t="shared" si="20"/>
        <v>0</v>
      </c>
    </row>
    <row r="1301" spans="1:5" x14ac:dyDescent="0.35">
      <c r="A1301" s="11">
        <v>49940</v>
      </c>
      <c r="B1301" s="12" t="s">
        <v>19</v>
      </c>
      <c r="C1301" s="13">
        <v>18.8</v>
      </c>
      <c r="D1301" s="14">
        <v>16.899999999999999</v>
      </c>
      <c r="E1301">
        <f t="shared" si="20"/>
        <v>3.1771999999999996</v>
      </c>
    </row>
    <row r="1302" spans="1:5" x14ac:dyDescent="0.35">
      <c r="A1302" s="7">
        <v>49941</v>
      </c>
      <c r="B1302" s="8" t="s">
        <v>10</v>
      </c>
      <c r="C1302" s="9">
        <v>13.2</v>
      </c>
      <c r="D1302" s="10">
        <v>10.4</v>
      </c>
      <c r="E1302">
        <f t="shared" si="20"/>
        <v>1.3728</v>
      </c>
    </row>
    <row r="1303" spans="1:5" x14ac:dyDescent="0.35">
      <c r="A1303" s="11">
        <v>49942</v>
      </c>
      <c r="B1303" s="12" t="s">
        <v>5</v>
      </c>
      <c r="C1303" s="13">
        <v>17.899999999999999</v>
      </c>
      <c r="D1303" s="14">
        <v>3.5</v>
      </c>
      <c r="E1303">
        <f t="shared" si="20"/>
        <v>0.62649999999999995</v>
      </c>
    </row>
    <row r="1304" spans="1:5" x14ac:dyDescent="0.35">
      <c r="A1304" s="7">
        <v>49943</v>
      </c>
      <c r="B1304" s="8" t="s">
        <v>7</v>
      </c>
      <c r="C1304" s="9">
        <v>18.3</v>
      </c>
      <c r="D1304" s="10">
        <v>16.7</v>
      </c>
      <c r="E1304">
        <f t="shared" si="20"/>
        <v>3.0561000000000003</v>
      </c>
    </row>
    <row r="1305" spans="1:5" x14ac:dyDescent="0.35">
      <c r="A1305" s="11">
        <v>49944</v>
      </c>
      <c r="B1305" s="12" t="s">
        <v>17</v>
      </c>
      <c r="C1305" s="13">
        <v>25.7</v>
      </c>
      <c r="D1305" s="14">
        <v>2</v>
      </c>
      <c r="E1305">
        <f t="shared" si="20"/>
        <v>0.51400000000000001</v>
      </c>
    </row>
    <row r="1306" spans="1:5" x14ac:dyDescent="0.35">
      <c r="A1306" s="7">
        <v>49945</v>
      </c>
      <c r="B1306" s="8" t="s">
        <v>10</v>
      </c>
      <c r="C1306" s="9">
        <v>29.2</v>
      </c>
      <c r="D1306" s="10">
        <v>31.5</v>
      </c>
      <c r="E1306">
        <f t="shared" si="20"/>
        <v>9.1980000000000004</v>
      </c>
    </row>
    <row r="1307" spans="1:5" x14ac:dyDescent="0.35">
      <c r="A1307" s="11">
        <v>49946</v>
      </c>
      <c r="B1307" s="12" t="s">
        <v>7</v>
      </c>
      <c r="C1307" s="13">
        <v>21.5</v>
      </c>
      <c r="D1307" s="14">
        <v>0</v>
      </c>
      <c r="E1307">
        <f t="shared" si="20"/>
        <v>0</v>
      </c>
    </row>
    <row r="1308" spans="1:5" x14ac:dyDescent="0.35">
      <c r="A1308" s="7">
        <v>49947</v>
      </c>
      <c r="B1308" s="8" t="s">
        <v>11</v>
      </c>
      <c r="C1308" s="9">
        <v>29.5</v>
      </c>
      <c r="D1308" s="10">
        <v>12.2</v>
      </c>
      <c r="E1308">
        <f t="shared" si="20"/>
        <v>3.5989999999999998</v>
      </c>
    </row>
    <row r="1309" spans="1:5" x14ac:dyDescent="0.35">
      <c r="A1309" s="11">
        <v>49948</v>
      </c>
      <c r="B1309" s="12" t="s">
        <v>7</v>
      </c>
      <c r="C1309" s="13">
        <v>17.7</v>
      </c>
      <c r="D1309" s="14">
        <v>10.1</v>
      </c>
      <c r="E1309">
        <f t="shared" si="20"/>
        <v>1.7876999999999998</v>
      </c>
    </row>
    <row r="1310" spans="1:5" x14ac:dyDescent="0.35">
      <c r="A1310" s="7">
        <v>49949</v>
      </c>
      <c r="B1310" s="8" t="s">
        <v>19</v>
      </c>
      <c r="C1310" s="9">
        <v>26.7</v>
      </c>
      <c r="D1310" s="10">
        <v>1.2</v>
      </c>
      <c r="E1310">
        <f t="shared" si="20"/>
        <v>0.32040000000000002</v>
      </c>
    </row>
    <row r="1311" spans="1:5" x14ac:dyDescent="0.35">
      <c r="A1311" s="11">
        <v>49950</v>
      </c>
      <c r="B1311" s="12" t="s">
        <v>10</v>
      </c>
      <c r="C1311" s="13">
        <v>13.3</v>
      </c>
      <c r="D1311" s="14">
        <v>0.5</v>
      </c>
      <c r="E1311">
        <f t="shared" si="20"/>
        <v>0</v>
      </c>
    </row>
    <row r="1312" spans="1:5" x14ac:dyDescent="0.35">
      <c r="A1312" s="7">
        <v>49951</v>
      </c>
      <c r="B1312" s="8" t="s">
        <v>7</v>
      </c>
      <c r="C1312" s="9">
        <v>13.4</v>
      </c>
      <c r="D1312" s="10">
        <v>23.4</v>
      </c>
      <c r="E1312">
        <f t="shared" si="20"/>
        <v>3.1356000000000002</v>
      </c>
    </row>
    <row r="1313" spans="1:5" x14ac:dyDescent="0.35">
      <c r="A1313" s="11">
        <v>49952</v>
      </c>
      <c r="B1313" s="12" t="s">
        <v>11</v>
      </c>
      <c r="C1313" s="13">
        <v>22.1</v>
      </c>
      <c r="D1313" s="14">
        <v>17.7</v>
      </c>
      <c r="E1313">
        <f t="shared" si="20"/>
        <v>3.9117000000000002</v>
      </c>
    </row>
    <row r="1314" spans="1:5" x14ac:dyDescent="0.35">
      <c r="A1314" s="7">
        <v>49953</v>
      </c>
      <c r="B1314" s="8" t="s">
        <v>22</v>
      </c>
      <c r="C1314" s="9">
        <v>11.4</v>
      </c>
      <c r="D1314" s="10">
        <v>0</v>
      </c>
      <c r="E1314">
        <f t="shared" si="20"/>
        <v>0</v>
      </c>
    </row>
    <row r="1315" spans="1:5" x14ac:dyDescent="0.35">
      <c r="A1315" s="11">
        <v>49954</v>
      </c>
      <c r="B1315" s="12" t="s">
        <v>15</v>
      </c>
      <c r="C1315" s="13">
        <v>26</v>
      </c>
      <c r="D1315" s="14">
        <v>4.9000000000000004</v>
      </c>
      <c r="E1315">
        <f t="shared" si="20"/>
        <v>1.274</v>
      </c>
    </row>
    <row r="1316" spans="1:5" x14ac:dyDescent="0.35">
      <c r="A1316" s="7">
        <v>49955</v>
      </c>
      <c r="B1316" s="8" t="s">
        <v>15</v>
      </c>
      <c r="C1316" s="9">
        <v>27.8</v>
      </c>
      <c r="D1316" s="10">
        <v>6.7</v>
      </c>
      <c r="E1316">
        <f t="shared" si="20"/>
        <v>1.8626000000000003</v>
      </c>
    </row>
    <row r="1317" spans="1:5" x14ac:dyDescent="0.35">
      <c r="A1317" s="11">
        <v>49956</v>
      </c>
      <c r="B1317" s="12" t="s">
        <v>7</v>
      </c>
      <c r="C1317" s="13">
        <v>29.3</v>
      </c>
      <c r="D1317" s="14">
        <v>1.7</v>
      </c>
      <c r="E1317">
        <f t="shared" si="20"/>
        <v>0.49810000000000004</v>
      </c>
    </row>
    <row r="1318" spans="1:5" x14ac:dyDescent="0.35">
      <c r="A1318" s="7">
        <v>49957</v>
      </c>
      <c r="B1318" s="8" t="s">
        <v>23</v>
      </c>
      <c r="C1318" s="9">
        <v>24.7</v>
      </c>
      <c r="D1318" s="10">
        <v>2.5</v>
      </c>
      <c r="E1318">
        <f t="shared" si="20"/>
        <v>0.61750000000000005</v>
      </c>
    </row>
    <row r="1319" spans="1:5" x14ac:dyDescent="0.35">
      <c r="A1319" s="11">
        <v>49958</v>
      </c>
      <c r="B1319" s="12" t="s">
        <v>4</v>
      </c>
      <c r="C1319" s="13">
        <v>16.600000000000001</v>
      </c>
      <c r="D1319" s="14">
        <v>0.1</v>
      </c>
      <c r="E1319">
        <f t="shared" si="20"/>
        <v>0</v>
      </c>
    </row>
    <row r="1320" spans="1:5" x14ac:dyDescent="0.35">
      <c r="A1320" s="7">
        <v>49959</v>
      </c>
      <c r="B1320" s="8" t="s">
        <v>18</v>
      </c>
      <c r="C1320" s="9">
        <v>27.5</v>
      </c>
      <c r="D1320" s="10">
        <v>0</v>
      </c>
      <c r="E1320">
        <f t="shared" si="20"/>
        <v>0</v>
      </c>
    </row>
    <row r="1321" spans="1:5" x14ac:dyDescent="0.35">
      <c r="A1321" s="11">
        <v>49960</v>
      </c>
      <c r="B1321" s="12" t="s">
        <v>15</v>
      </c>
      <c r="C1321" s="13">
        <v>22.7</v>
      </c>
      <c r="D1321" s="14">
        <v>0</v>
      </c>
      <c r="E1321">
        <f t="shared" si="20"/>
        <v>0</v>
      </c>
    </row>
    <row r="1322" spans="1:5" x14ac:dyDescent="0.35">
      <c r="A1322" s="7">
        <v>49961</v>
      </c>
      <c r="B1322" s="8" t="s">
        <v>12</v>
      </c>
      <c r="C1322" s="9">
        <v>20.100000000000001</v>
      </c>
      <c r="D1322" s="10">
        <v>10.5</v>
      </c>
      <c r="E1322">
        <f t="shared" si="20"/>
        <v>2.1105</v>
      </c>
    </row>
    <row r="1323" spans="1:5" x14ac:dyDescent="0.35">
      <c r="A1323" s="11">
        <v>49962</v>
      </c>
      <c r="B1323" s="12" t="s">
        <v>7</v>
      </c>
      <c r="C1323" s="13">
        <v>16.100000000000001</v>
      </c>
      <c r="D1323" s="14">
        <v>8.1</v>
      </c>
      <c r="E1323">
        <f t="shared" si="20"/>
        <v>1.3041</v>
      </c>
    </row>
    <row r="1324" spans="1:5" x14ac:dyDescent="0.35">
      <c r="A1324" s="7">
        <v>49963</v>
      </c>
      <c r="B1324" s="8" t="s">
        <v>7</v>
      </c>
      <c r="C1324" s="9">
        <v>13.9</v>
      </c>
      <c r="D1324" s="10">
        <v>0</v>
      </c>
      <c r="E1324">
        <f t="shared" si="20"/>
        <v>0</v>
      </c>
    </row>
    <row r="1325" spans="1:5" x14ac:dyDescent="0.35">
      <c r="A1325" s="11">
        <v>49964</v>
      </c>
      <c r="B1325" s="12" t="s">
        <v>12</v>
      </c>
      <c r="C1325" s="13">
        <v>22.3</v>
      </c>
      <c r="D1325" s="14">
        <v>0</v>
      </c>
      <c r="E1325">
        <f t="shared" si="20"/>
        <v>0</v>
      </c>
    </row>
    <row r="1326" spans="1:5" x14ac:dyDescent="0.35">
      <c r="A1326" s="7">
        <v>49965</v>
      </c>
      <c r="B1326" s="8" t="s">
        <v>26</v>
      </c>
      <c r="C1326" s="9">
        <v>13</v>
      </c>
      <c r="D1326" s="10">
        <v>0</v>
      </c>
      <c r="E1326">
        <f t="shared" si="20"/>
        <v>0</v>
      </c>
    </row>
    <row r="1327" spans="1:5" x14ac:dyDescent="0.35">
      <c r="A1327" s="11">
        <v>49966</v>
      </c>
      <c r="B1327" s="12" t="s">
        <v>11</v>
      </c>
      <c r="C1327" s="13">
        <v>16.2</v>
      </c>
      <c r="D1327" s="14">
        <v>0</v>
      </c>
      <c r="E1327">
        <f t="shared" si="20"/>
        <v>0</v>
      </c>
    </row>
    <row r="1328" spans="1:5" x14ac:dyDescent="0.35">
      <c r="A1328" s="7">
        <v>49967</v>
      </c>
      <c r="B1328" s="8" t="s">
        <v>14</v>
      </c>
      <c r="C1328" s="9">
        <v>24.8</v>
      </c>
      <c r="D1328" s="10">
        <v>0</v>
      </c>
      <c r="E1328">
        <f t="shared" si="20"/>
        <v>0</v>
      </c>
    </row>
    <row r="1329" spans="1:5" x14ac:dyDescent="0.35">
      <c r="A1329" s="11">
        <v>49968</v>
      </c>
      <c r="B1329" s="12" t="s">
        <v>13</v>
      </c>
      <c r="C1329" s="13">
        <v>29.7</v>
      </c>
      <c r="D1329" s="14">
        <v>0</v>
      </c>
      <c r="E1329">
        <f t="shared" si="20"/>
        <v>0</v>
      </c>
    </row>
    <row r="1330" spans="1:5" x14ac:dyDescent="0.35">
      <c r="A1330" s="7">
        <v>49969</v>
      </c>
      <c r="B1330" s="8" t="s">
        <v>10</v>
      </c>
      <c r="C1330" s="9">
        <v>17.600000000000001</v>
      </c>
      <c r="D1330" s="10">
        <v>14.7</v>
      </c>
      <c r="E1330">
        <f t="shared" si="20"/>
        <v>2.5872000000000002</v>
      </c>
    </row>
    <row r="1331" spans="1:5" x14ac:dyDescent="0.35">
      <c r="A1331" s="11">
        <v>49970</v>
      </c>
      <c r="B1331" s="12" t="s">
        <v>10</v>
      </c>
      <c r="C1331" s="13">
        <v>10.4</v>
      </c>
      <c r="D1331" s="14">
        <v>27.7</v>
      </c>
      <c r="E1331">
        <f t="shared" si="20"/>
        <v>2.8807999999999998</v>
      </c>
    </row>
    <row r="1332" spans="1:5" x14ac:dyDescent="0.35">
      <c r="A1332" s="7">
        <v>49971</v>
      </c>
      <c r="B1332" s="8" t="s">
        <v>15</v>
      </c>
      <c r="C1332" s="9">
        <v>17</v>
      </c>
      <c r="D1332" s="10">
        <v>1.1000000000000001</v>
      </c>
      <c r="E1332">
        <f t="shared" si="20"/>
        <v>0.18700000000000003</v>
      </c>
    </row>
    <row r="1333" spans="1:5" x14ac:dyDescent="0.35">
      <c r="A1333" s="11">
        <v>49972</v>
      </c>
      <c r="B1333" s="12" t="s">
        <v>18</v>
      </c>
      <c r="C1333" s="13">
        <v>15.7</v>
      </c>
      <c r="D1333" s="14">
        <v>5.9</v>
      </c>
      <c r="E1333">
        <f t="shared" si="20"/>
        <v>0.9262999999999999</v>
      </c>
    </row>
    <row r="1334" spans="1:5" x14ac:dyDescent="0.35">
      <c r="A1334" s="7">
        <v>49973</v>
      </c>
      <c r="B1334" s="8" t="s">
        <v>19</v>
      </c>
      <c r="C1334" s="9">
        <v>23.8</v>
      </c>
      <c r="D1334" s="10">
        <v>4.3</v>
      </c>
      <c r="E1334">
        <f t="shared" si="20"/>
        <v>1.0234000000000001</v>
      </c>
    </row>
    <row r="1335" spans="1:5" x14ac:dyDescent="0.35">
      <c r="A1335" s="11">
        <v>49974</v>
      </c>
      <c r="B1335" s="12" t="s">
        <v>11</v>
      </c>
      <c r="C1335" s="13">
        <v>16.2</v>
      </c>
      <c r="D1335" s="14">
        <v>8.6999999999999993</v>
      </c>
      <c r="E1335">
        <f t="shared" si="20"/>
        <v>1.4093999999999998</v>
      </c>
    </row>
    <row r="1336" spans="1:5" x14ac:dyDescent="0.35">
      <c r="A1336" s="7">
        <v>49975</v>
      </c>
      <c r="B1336" s="8" t="s">
        <v>5</v>
      </c>
      <c r="C1336" s="9">
        <v>23.3</v>
      </c>
      <c r="D1336" s="10">
        <v>5.8</v>
      </c>
      <c r="E1336">
        <f t="shared" si="20"/>
        <v>1.3513999999999999</v>
      </c>
    </row>
    <row r="1337" spans="1:5" x14ac:dyDescent="0.35">
      <c r="A1337" s="11">
        <v>49976</v>
      </c>
      <c r="B1337" s="12" t="s">
        <v>7</v>
      </c>
      <c r="C1337" s="13">
        <v>18.7</v>
      </c>
      <c r="D1337" s="14">
        <v>1.1000000000000001</v>
      </c>
      <c r="E1337">
        <f t="shared" si="20"/>
        <v>0.20569999999999999</v>
      </c>
    </row>
    <row r="1338" spans="1:5" x14ac:dyDescent="0.35">
      <c r="A1338" s="7">
        <v>49977</v>
      </c>
      <c r="B1338" s="8" t="s">
        <v>17</v>
      </c>
      <c r="C1338" s="9">
        <v>27.9</v>
      </c>
      <c r="D1338" s="10">
        <v>2.6</v>
      </c>
      <c r="E1338">
        <f t="shared" si="20"/>
        <v>0.72539999999999993</v>
      </c>
    </row>
    <row r="1339" spans="1:5" x14ac:dyDescent="0.35">
      <c r="A1339" s="11">
        <v>49978</v>
      </c>
      <c r="B1339" s="12" t="s">
        <v>18</v>
      </c>
      <c r="C1339" s="13">
        <v>19.8</v>
      </c>
      <c r="D1339" s="14">
        <v>0</v>
      </c>
      <c r="E1339">
        <f t="shared" si="20"/>
        <v>0</v>
      </c>
    </row>
    <row r="1340" spans="1:5" x14ac:dyDescent="0.35">
      <c r="A1340" s="7">
        <v>49979</v>
      </c>
      <c r="B1340" s="8" t="s">
        <v>11</v>
      </c>
      <c r="C1340" s="9">
        <v>16.7</v>
      </c>
      <c r="D1340" s="10">
        <v>3.5</v>
      </c>
      <c r="E1340">
        <f t="shared" si="20"/>
        <v>0.58449999999999991</v>
      </c>
    </row>
    <row r="1341" spans="1:5" x14ac:dyDescent="0.35">
      <c r="A1341" s="11">
        <v>49980</v>
      </c>
      <c r="B1341" s="12" t="s">
        <v>23</v>
      </c>
      <c r="C1341" s="13">
        <v>28.6</v>
      </c>
      <c r="D1341" s="14">
        <v>0</v>
      </c>
      <c r="E1341">
        <f t="shared" si="20"/>
        <v>0</v>
      </c>
    </row>
    <row r="1342" spans="1:5" x14ac:dyDescent="0.35">
      <c r="A1342" s="7">
        <v>49981</v>
      </c>
      <c r="B1342" s="8" t="s">
        <v>10</v>
      </c>
      <c r="C1342" s="9">
        <v>10.8</v>
      </c>
      <c r="D1342" s="10">
        <v>32.9</v>
      </c>
      <c r="E1342">
        <f t="shared" si="20"/>
        <v>3.5531999999999999</v>
      </c>
    </row>
    <row r="1343" spans="1:5" x14ac:dyDescent="0.35">
      <c r="A1343" s="11">
        <v>49982</v>
      </c>
      <c r="B1343" s="12" t="s">
        <v>18</v>
      </c>
      <c r="C1343" s="13">
        <v>12.8</v>
      </c>
      <c r="D1343" s="14">
        <v>0</v>
      </c>
      <c r="E1343">
        <f t="shared" si="20"/>
        <v>0</v>
      </c>
    </row>
    <row r="1344" spans="1:5" x14ac:dyDescent="0.35">
      <c r="A1344" s="7">
        <v>49983</v>
      </c>
      <c r="B1344" s="8" t="s">
        <v>26</v>
      </c>
      <c r="C1344" s="9">
        <v>17.600000000000001</v>
      </c>
      <c r="D1344" s="10">
        <v>0</v>
      </c>
      <c r="E1344">
        <f t="shared" si="20"/>
        <v>0</v>
      </c>
    </row>
    <row r="1345" spans="1:5" x14ac:dyDescent="0.35">
      <c r="A1345" s="11">
        <v>49984</v>
      </c>
      <c r="B1345" s="12" t="s">
        <v>22</v>
      </c>
      <c r="C1345" s="13">
        <v>24.1</v>
      </c>
      <c r="D1345" s="14">
        <v>0</v>
      </c>
      <c r="E1345">
        <f t="shared" si="20"/>
        <v>0</v>
      </c>
    </row>
    <row r="1346" spans="1:5" x14ac:dyDescent="0.35">
      <c r="A1346" s="7">
        <v>49985</v>
      </c>
      <c r="B1346" s="8" t="s">
        <v>11</v>
      </c>
      <c r="C1346" s="9">
        <v>11.4</v>
      </c>
      <c r="D1346" s="10">
        <v>18.2</v>
      </c>
      <c r="E1346">
        <f t="shared" si="20"/>
        <v>2.0747999999999998</v>
      </c>
    </row>
    <row r="1347" spans="1:5" x14ac:dyDescent="0.35">
      <c r="A1347" s="11">
        <v>49986</v>
      </c>
      <c r="B1347" s="12" t="s">
        <v>9</v>
      </c>
      <c r="C1347" s="13">
        <v>21.9</v>
      </c>
      <c r="D1347" s="14">
        <v>5.4</v>
      </c>
      <c r="E1347">
        <f t="shared" ref="E1347:E1410" si="21">IF(D1347&gt;=1,C1347*D1347/100,0)</f>
        <v>1.1826000000000001</v>
      </c>
    </row>
    <row r="1348" spans="1:5" x14ac:dyDescent="0.35">
      <c r="A1348" s="7">
        <v>49987</v>
      </c>
      <c r="B1348" s="8" t="s">
        <v>26</v>
      </c>
      <c r="C1348" s="9">
        <v>16.8</v>
      </c>
      <c r="D1348" s="10">
        <v>1.6</v>
      </c>
      <c r="E1348">
        <f t="shared" si="21"/>
        <v>0.26880000000000004</v>
      </c>
    </row>
    <row r="1349" spans="1:5" x14ac:dyDescent="0.35">
      <c r="A1349" s="11">
        <v>49988</v>
      </c>
      <c r="B1349" s="12" t="s">
        <v>6</v>
      </c>
      <c r="C1349" s="13">
        <v>26</v>
      </c>
      <c r="D1349" s="14">
        <v>0</v>
      </c>
      <c r="E1349">
        <f t="shared" si="21"/>
        <v>0</v>
      </c>
    </row>
    <row r="1350" spans="1:5" x14ac:dyDescent="0.35">
      <c r="A1350" s="7">
        <v>49989</v>
      </c>
      <c r="B1350" s="8" t="s">
        <v>11</v>
      </c>
      <c r="C1350" s="9">
        <v>20.2</v>
      </c>
      <c r="D1350" s="10">
        <v>10</v>
      </c>
      <c r="E1350">
        <f t="shared" si="21"/>
        <v>2.02</v>
      </c>
    </row>
    <row r="1351" spans="1:5" x14ac:dyDescent="0.35">
      <c r="A1351" s="11">
        <v>49990</v>
      </c>
      <c r="B1351" s="12" t="s">
        <v>19</v>
      </c>
      <c r="C1351" s="13">
        <v>20.3</v>
      </c>
      <c r="D1351" s="14">
        <v>37.799999999999997</v>
      </c>
      <c r="E1351">
        <f t="shared" si="21"/>
        <v>7.6733999999999991</v>
      </c>
    </row>
    <row r="1352" spans="1:5" x14ac:dyDescent="0.35">
      <c r="A1352" s="7">
        <v>49991</v>
      </c>
      <c r="B1352" s="8" t="s">
        <v>7</v>
      </c>
      <c r="C1352" s="9">
        <v>27.5</v>
      </c>
      <c r="D1352" s="10">
        <v>20.8</v>
      </c>
      <c r="E1352">
        <f t="shared" si="21"/>
        <v>5.72</v>
      </c>
    </row>
    <row r="1353" spans="1:5" x14ac:dyDescent="0.35">
      <c r="A1353" s="11">
        <v>49992</v>
      </c>
      <c r="B1353" s="12" t="s">
        <v>19</v>
      </c>
      <c r="C1353" s="13">
        <v>24.2</v>
      </c>
      <c r="D1353" s="14">
        <v>2.9</v>
      </c>
      <c r="E1353">
        <f t="shared" si="21"/>
        <v>0.70179999999999998</v>
      </c>
    </row>
    <row r="1354" spans="1:5" x14ac:dyDescent="0.35">
      <c r="A1354" s="7">
        <v>49993</v>
      </c>
      <c r="B1354" s="8" t="s">
        <v>11</v>
      </c>
      <c r="C1354" s="9">
        <v>10.7</v>
      </c>
      <c r="D1354" s="10">
        <v>14.3</v>
      </c>
      <c r="E1354">
        <f t="shared" si="21"/>
        <v>1.5301</v>
      </c>
    </row>
    <row r="1355" spans="1:5" x14ac:dyDescent="0.35">
      <c r="A1355" s="11">
        <v>49994</v>
      </c>
      <c r="B1355" s="12" t="s">
        <v>19</v>
      </c>
      <c r="C1355" s="13">
        <v>17.3</v>
      </c>
      <c r="D1355" s="14">
        <v>0</v>
      </c>
      <c r="E1355">
        <f t="shared" si="21"/>
        <v>0</v>
      </c>
    </row>
    <row r="1356" spans="1:5" x14ac:dyDescent="0.35">
      <c r="A1356" s="7">
        <v>49995</v>
      </c>
      <c r="B1356" s="8" t="s">
        <v>11</v>
      </c>
      <c r="C1356" s="9">
        <v>13.5</v>
      </c>
      <c r="D1356" s="10">
        <v>21.1</v>
      </c>
      <c r="E1356">
        <f t="shared" si="21"/>
        <v>2.8485</v>
      </c>
    </row>
    <row r="1357" spans="1:5" x14ac:dyDescent="0.35">
      <c r="A1357" s="11">
        <v>49996</v>
      </c>
      <c r="B1357" s="12" t="s">
        <v>6</v>
      </c>
      <c r="C1357" s="13">
        <v>13.6</v>
      </c>
      <c r="D1357" s="14">
        <v>6</v>
      </c>
      <c r="E1357">
        <f t="shared" si="21"/>
        <v>0.81599999999999995</v>
      </c>
    </row>
    <row r="1358" spans="1:5" x14ac:dyDescent="0.35">
      <c r="A1358" s="7">
        <v>49997</v>
      </c>
      <c r="B1358" s="8" t="s">
        <v>5</v>
      </c>
      <c r="C1358" s="9">
        <v>19.899999999999999</v>
      </c>
      <c r="D1358" s="10">
        <v>0</v>
      </c>
      <c r="E1358">
        <f t="shared" si="21"/>
        <v>0</v>
      </c>
    </row>
    <row r="1359" spans="1:5" x14ac:dyDescent="0.35">
      <c r="A1359" s="11">
        <v>49998</v>
      </c>
      <c r="B1359" s="12" t="s">
        <v>18</v>
      </c>
      <c r="C1359" s="13">
        <v>13.1</v>
      </c>
      <c r="D1359" s="14">
        <v>10.199999999999999</v>
      </c>
      <c r="E1359">
        <f t="shared" si="21"/>
        <v>1.3361999999999998</v>
      </c>
    </row>
    <row r="1360" spans="1:5" x14ac:dyDescent="0.35">
      <c r="A1360" s="7">
        <v>49999</v>
      </c>
      <c r="B1360" s="8" t="s">
        <v>21</v>
      </c>
      <c r="C1360" s="9">
        <v>29.8</v>
      </c>
      <c r="D1360" s="10">
        <v>1.9</v>
      </c>
      <c r="E1360">
        <f t="shared" si="21"/>
        <v>0.56619999999999993</v>
      </c>
    </row>
    <row r="1361" spans="1:5" x14ac:dyDescent="0.35">
      <c r="A1361" s="11">
        <v>50000</v>
      </c>
      <c r="B1361" s="12" t="s">
        <v>28</v>
      </c>
      <c r="C1361" s="13">
        <v>23.7</v>
      </c>
      <c r="D1361" s="14">
        <v>0.3</v>
      </c>
      <c r="E1361">
        <f t="shared" si="21"/>
        <v>0</v>
      </c>
    </row>
    <row r="1362" spans="1:5" x14ac:dyDescent="0.35">
      <c r="A1362" s="7">
        <v>50001</v>
      </c>
      <c r="B1362" s="8" t="s">
        <v>19</v>
      </c>
      <c r="C1362" s="9">
        <v>14</v>
      </c>
      <c r="D1362" s="10">
        <v>0</v>
      </c>
      <c r="E1362">
        <f t="shared" si="21"/>
        <v>0</v>
      </c>
    </row>
    <row r="1363" spans="1:5" x14ac:dyDescent="0.35">
      <c r="A1363" s="11">
        <v>50002</v>
      </c>
      <c r="B1363" s="12" t="s">
        <v>30</v>
      </c>
      <c r="C1363" s="13">
        <v>19</v>
      </c>
      <c r="D1363" s="14">
        <v>0.5</v>
      </c>
      <c r="E1363">
        <f t="shared" si="21"/>
        <v>0</v>
      </c>
    </row>
    <row r="1364" spans="1:5" x14ac:dyDescent="0.35">
      <c r="A1364" s="7">
        <v>50003</v>
      </c>
      <c r="B1364" s="8" t="s">
        <v>32</v>
      </c>
      <c r="C1364" s="9">
        <v>23.9</v>
      </c>
      <c r="D1364" s="10">
        <v>0.5</v>
      </c>
      <c r="E1364">
        <f t="shared" si="21"/>
        <v>0</v>
      </c>
    </row>
    <row r="1365" spans="1:5" x14ac:dyDescent="0.35">
      <c r="A1365" s="11">
        <v>50004</v>
      </c>
      <c r="B1365" s="12" t="s">
        <v>19</v>
      </c>
      <c r="C1365" s="13">
        <v>12.8</v>
      </c>
      <c r="D1365" s="14">
        <v>26.7</v>
      </c>
      <c r="E1365">
        <f t="shared" si="21"/>
        <v>3.4175999999999997</v>
      </c>
    </row>
    <row r="1366" spans="1:5" x14ac:dyDescent="0.35">
      <c r="A1366" s="7">
        <v>50005</v>
      </c>
      <c r="B1366" s="8" t="s">
        <v>7</v>
      </c>
      <c r="C1366" s="9">
        <v>26.9</v>
      </c>
      <c r="D1366" s="10">
        <v>4.5</v>
      </c>
      <c r="E1366">
        <f t="shared" si="21"/>
        <v>1.2104999999999999</v>
      </c>
    </row>
    <row r="1367" spans="1:5" x14ac:dyDescent="0.35">
      <c r="A1367" s="11">
        <v>50006</v>
      </c>
      <c r="B1367" s="12" t="s">
        <v>26</v>
      </c>
      <c r="C1367" s="13">
        <v>10.6</v>
      </c>
      <c r="D1367" s="14">
        <v>0</v>
      </c>
      <c r="E1367">
        <f t="shared" si="21"/>
        <v>0</v>
      </c>
    </row>
    <row r="1368" spans="1:5" x14ac:dyDescent="0.35">
      <c r="A1368" s="7">
        <v>50007</v>
      </c>
      <c r="B1368" s="8" t="s">
        <v>11</v>
      </c>
      <c r="C1368" s="9">
        <v>21.1</v>
      </c>
      <c r="D1368" s="10">
        <v>10.6</v>
      </c>
      <c r="E1368">
        <f t="shared" si="21"/>
        <v>2.2366000000000001</v>
      </c>
    </row>
    <row r="1369" spans="1:5" x14ac:dyDescent="0.35">
      <c r="A1369" s="11">
        <v>50008</v>
      </c>
      <c r="B1369" s="12" t="s">
        <v>6</v>
      </c>
      <c r="C1369" s="13">
        <v>11.7</v>
      </c>
      <c r="D1369" s="14">
        <v>9.9</v>
      </c>
      <c r="E1369">
        <f t="shared" si="21"/>
        <v>1.1582999999999999</v>
      </c>
    </row>
    <row r="1370" spans="1:5" x14ac:dyDescent="0.35">
      <c r="A1370" s="7">
        <v>50009</v>
      </c>
      <c r="B1370" s="8" t="s">
        <v>8</v>
      </c>
      <c r="C1370" s="9">
        <v>20.5</v>
      </c>
      <c r="D1370" s="10">
        <v>3.7</v>
      </c>
      <c r="E1370">
        <f t="shared" si="21"/>
        <v>0.75850000000000006</v>
      </c>
    </row>
    <row r="1371" spans="1:5" x14ac:dyDescent="0.35">
      <c r="A1371" s="11">
        <v>50010</v>
      </c>
      <c r="B1371" s="12" t="s">
        <v>19</v>
      </c>
      <c r="C1371" s="13">
        <v>27.4</v>
      </c>
      <c r="D1371" s="14">
        <v>10.4</v>
      </c>
      <c r="E1371">
        <f t="shared" si="21"/>
        <v>2.8495999999999997</v>
      </c>
    </row>
    <row r="1372" spans="1:5" x14ac:dyDescent="0.35">
      <c r="A1372" s="7">
        <v>50011</v>
      </c>
      <c r="B1372" s="8" t="s">
        <v>10</v>
      </c>
      <c r="C1372" s="9">
        <v>15.8</v>
      </c>
      <c r="D1372" s="10">
        <v>10.199999999999999</v>
      </c>
      <c r="E1372">
        <f t="shared" si="21"/>
        <v>1.6115999999999999</v>
      </c>
    </row>
    <row r="1373" spans="1:5" x14ac:dyDescent="0.35">
      <c r="A1373" s="11">
        <v>50012</v>
      </c>
      <c r="B1373" s="12" t="s">
        <v>19</v>
      </c>
      <c r="C1373" s="13">
        <v>19.600000000000001</v>
      </c>
      <c r="D1373" s="14">
        <v>0</v>
      </c>
      <c r="E1373">
        <f t="shared" si="21"/>
        <v>0</v>
      </c>
    </row>
    <row r="1374" spans="1:5" x14ac:dyDescent="0.35">
      <c r="A1374" s="7">
        <v>50013</v>
      </c>
      <c r="B1374" s="8" t="s">
        <v>10</v>
      </c>
      <c r="C1374" s="9">
        <v>16.899999999999999</v>
      </c>
      <c r="D1374" s="10">
        <v>48.4</v>
      </c>
      <c r="E1374">
        <f t="shared" si="21"/>
        <v>8.1795999999999989</v>
      </c>
    </row>
    <row r="1375" spans="1:5" x14ac:dyDescent="0.35">
      <c r="A1375" s="11">
        <v>50014</v>
      </c>
      <c r="B1375" s="12" t="s">
        <v>19</v>
      </c>
      <c r="C1375" s="13">
        <v>12.2</v>
      </c>
      <c r="D1375" s="14">
        <v>0</v>
      </c>
      <c r="E1375">
        <f t="shared" si="21"/>
        <v>0</v>
      </c>
    </row>
    <row r="1376" spans="1:5" x14ac:dyDescent="0.35">
      <c r="A1376" s="7">
        <v>50015</v>
      </c>
      <c r="B1376" s="8" t="s">
        <v>10</v>
      </c>
      <c r="C1376" s="9">
        <v>16.600000000000001</v>
      </c>
      <c r="D1376" s="10">
        <v>14.1</v>
      </c>
      <c r="E1376">
        <f t="shared" si="21"/>
        <v>2.3406000000000002</v>
      </c>
    </row>
    <row r="1377" spans="1:5" x14ac:dyDescent="0.35">
      <c r="A1377" s="11">
        <v>50016</v>
      </c>
      <c r="B1377" s="12" t="s">
        <v>11</v>
      </c>
      <c r="C1377" s="13">
        <v>27.6</v>
      </c>
      <c r="D1377" s="14">
        <v>0</v>
      </c>
      <c r="E1377">
        <f t="shared" si="21"/>
        <v>0</v>
      </c>
    </row>
    <row r="1378" spans="1:5" x14ac:dyDescent="0.35">
      <c r="A1378" s="7">
        <v>50017</v>
      </c>
      <c r="B1378" s="8" t="s">
        <v>15</v>
      </c>
      <c r="C1378" s="9">
        <v>24.8</v>
      </c>
      <c r="D1378" s="10">
        <v>0</v>
      </c>
      <c r="E1378">
        <f t="shared" si="21"/>
        <v>0</v>
      </c>
    </row>
    <row r="1379" spans="1:5" x14ac:dyDescent="0.35">
      <c r="A1379" s="11">
        <v>50018</v>
      </c>
      <c r="B1379" s="12" t="s">
        <v>10</v>
      </c>
      <c r="C1379" s="13">
        <v>23.1</v>
      </c>
      <c r="D1379" s="14">
        <v>29.8</v>
      </c>
      <c r="E1379">
        <f t="shared" si="21"/>
        <v>6.8838000000000008</v>
      </c>
    </row>
    <row r="1380" spans="1:5" x14ac:dyDescent="0.35">
      <c r="A1380" s="7">
        <v>50019</v>
      </c>
      <c r="B1380" s="8" t="s">
        <v>27</v>
      </c>
      <c r="C1380" s="9">
        <v>12.4</v>
      </c>
      <c r="D1380" s="10">
        <v>6.1</v>
      </c>
      <c r="E1380">
        <f t="shared" si="21"/>
        <v>0.75639999999999996</v>
      </c>
    </row>
    <row r="1381" spans="1:5" x14ac:dyDescent="0.35">
      <c r="A1381" s="11">
        <v>50020</v>
      </c>
      <c r="B1381" s="12" t="s">
        <v>19</v>
      </c>
      <c r="C1381" s="13">
        <v>13.9</v>
      </c>
      <c r="D1381" s="14">
        <v>21.5</v>
      </c>
      <c r="E1381">
        <f t="shared" si="21"/>
        <v>2.9885000000000002</v>
      </c>
    </row>
    <row r="1382" spans="1:5" x14ac:dyDescent="0.35">
      <c r="A1382" s="7">
        <v>50021</v>
      </c>
      <c r="B1382" s="8" t="s">
        <v>20</v>
      </c>
      <c r="C1382" s="9">
        <v>16.600000000000001</v>
      </c>
      <c r="D1382" s="10">
        <v>4.7</v>
      </c>
      <c r="E1382">
        <f t="shared" si="21"/>
        <v>0.78020000000000012</v>
      </c>
    </row>
    <row r="1383" spans="1:5" x14ac:dyDescent="0.35">
      <c r="A1383" s="11">
        <v>50022</v>
      </c>
      <c r="B1383" s="12" t="s">
        <v>13</v>
      </c>
      <c r="C1383" s="13">
        <v>17.7</v>
      </c>
      <c r="D1383" s="14">
        <v>14</v>
      </c>
      <c r="E1383">
        <f t="shared" si="21"/>
        <v>2.4779999999999998</v>
      </c>
    </row>
    <row r="1384" spans="1:5" x14ac:dyDescent="0.35">
      <c r="A1384" s="7">
        <v>50023</v>
      </c>
      <c r="B1384" s="8" t="s">
        <v>11</v>
      </c>
      <c r="C1384" s="9">
        <v>19</v>
      </c>
      <c r="D1384" s="10">
        <v>1.7</v>
      </c>
      <c r="E1384">
        <f t="shared" si="21"/>
        <v>0.32299999999999995</v>
      </c>
    </row>
    <row r="1385" spans="1:5" x14ac:dyDescent="0.35">
      <c r="A1385" s="11">
        <v>50024</v>
      </c>
      <c r="B1385" s="12" t="s">
        <v>7</v>
      </c>
      <c r="C1385" s="13">
        <v>29.9</v>
      </c>
      <c r="D1385" s="14">
        <v>0</v>
      </c>
      <c r="E1385">
        <f t="shared" si="21"/>
        <v>0</v>
      </c>
    </row>
    <row r="1386" spans="1:5" x14ac:dyDescent="0.35">
      <c r="A1386" s="7">
        <v>50025</v>
      </c>
      <c r="B1386" s="8" t="s">
        <v>19</v>
      </c>
      <c r="C1386" s="9">
        <v>23.7</v>
      </c>
      <c r="D1386" s="10">
        <v>31.4</v>
      </c>
      <c r="E1386">
        <f t="shared" si="21"/>
        <v>7.4417999999999997</v>
      </c>
    </row>
    <row r="1387" spans="1:5" x14ac:dyDescent="0.35">
      <c r="A1387" s="11">
        <v>50026</v>
      </c>
      <c r="B1387" s="12" t="s">
        <v>10</v>
      </c>
      <c r="C1387" s="13">
        <v>25.4</v>
      </c>
      <c r="D1387" s="14">
        <v>0</v>
      </c>
      <c r="E1387">
        <f t="shared" si="21"/>
        <v>0</v>
      </c>
    </row>
    <row r="1388" spans="1:5" x14ac:dyDescent="0.35">
      <c r="A1388" s="7">
        <v>50027</v>
      </c>
      <c r="B1388" s="8" t="s">
        <v>18</v>
      </c>
      <c r="C1388" s="9">
        <v>24.3</v>
      </c>
      <c r="D1388" s="10">
        <v>15.8</v>
      </c>
      <c r="E1388">
        <f t="shared" si="21"/>
        <v>3.8394000000000004</v>
      </c>
    </row>
    <row r="1389" spans="1:5" x14ac:dyDescent="0.35">
      <c r="A1389" s="11">
        <v>50028</v>
      </c>
      <c r="B1389" s="12" t="s">
        <v>7</v>
      </c>
      <c r="C1389" s="13">
        <v>10.8</v>
      </c>
      <c r="D1389" s="14">
        <v>0</v>
      </c>
      <c r="E1389">
        <f t="shared" si="21"/>
        <v>0</v>
      </c>
    </row>
    <row r="1390" spans="1:5" x14ac:dyDescent="0.35">
      <c r="A1390" s="7">
        <v>50029</v>
      </c>
      <c r="B1390" s="8" t="s">
        <v>10</v>
      </c>
      <c r="C1390" s="9">
        <v>19</v>
      </c>
      <c r="D1390" s="10">
        <v>9.1</v>
      </c>
      <c r="E1390">
        <f t="shared" si="21"/>
        <v>1.7290000000000001</v>
      </c>
    </row>
    <row r="1391" spans="1:5" x14ac:dyDescent="0.35">
      <c r="A1391" s="11">
        <v>50030</v>
      </c>
      <c r="B1391" s="12" t="s">
        <v>15</v>
      </c>
      <c r="C1391" s="13">
        <v>27.8</v>
      </c>
      <c r="D1391" s="14">
        <v>15.2</v>
      </c>
      <c r="E1391">
        <f t="shared" si="21"/>
        <v>4.2256</v>
      </c>
    </row>
    <row r="1392" spans="1:5" x14ac:dyDescent="0.35">
      <c r="A1392" s="7">
        <v>50031</v>
      </c>
      <c r="B1392" s="8" t="s">
        <v>7</v>
      </c>
      <c r="C1392" s="9">
        <v>28.8</v>
      </c>
      <c r="D1392" s="10">
        <v>0</v>
      </c>
      <c r="E1392">
        <f t="shared" si="21"/>
        <v>0</v>
      </c>
    </row>
    <row r="1393" spans="1:5" x14ac:dyDescent="0.35">
      <c r="A1393" s="11">
        <v>50032</v>
      </c>
      <c r="B1393" s="12" t="s">
        <v>5</v>
      </c>
      <c r="C1393" s="13">
        <v>12.6</v>
      </c>
      <c r="D1393" s="14">
        <v>0.8</v>
      </c>
      <c r="E1393">
        <f t="shared" si="21"/>
        <v>0</v>
      </c>
    </row>
    <row r="1394" spans="1:5" x14ac:dyDescent="0.35">
      <c r="A1394" s="7">
        <v>50033</v>
      </c>
      <c r="B1394" s="8" t="s">
        <v>5</v>
      </c>
      <c r="C1394" s="9">
        <v>20.7</v>
      </c>
      <c r="D1394" s="10">
        <v>0</v>
      </c>
      <c r="E1394">
        <f t="shared" si="21"/>
        <v>0</v>
      </c>
    </row>
    <row r="1395" spans="1:5" x14ac:dyDescent="0.35">
      <c r="A1395" s="11">
        <v>50034</v>
      </c>
      <c r="B1395" s="12" t="s">
        <v>19</v>
      </c>
      <c r="C1395" s="13">
        <v>19.399999999999999</v>
      </c>
      <c r="D1395" s="14">
        <v>19.3</v>
      </c>
      <c r="E1395">
        <f t="shared" si="21"/>
        <v>3.7441999999999998</v>
      </c>
    </row>
    <row r="1396" spans="1:5" x14ac:dyDescent="0.35">
      <c r="A1396" s="7">
        <v>50035</v>
      </c>
      <c r="B1396" s="8" t="s">
        <v>10</v>
      </c>
      <c r="C1396" s="9">
        <v>24.3</v>
      </c>
      <c r="D1396" s="10">
        <v>8.8000000000000007</v>
      </c>
      <c r="E1396">
        <f t="shared" si="21"/>
        <v>2.1384000000000003</v>
      </c>
    </row>
    <row r="1397" spans="1:5" x14ac:dyDescent="0.35">
      <c r="A1397" s="11">
        <v>50036</v>
      </c>
      <c r="B1397" s="12" t="s">
        <v>19</v>
      </c>
      <c r="C1397" s="13">
        <v>21.2</v>
      </c>
      <c r="D1397" s="14">
        <v>36</v>
      </c>
      <c r="E1397">
        <f t="shared" si="21"/>
        <v>7.6319999999999997</v>
      </c>
    </row>
    <row r="1398" spans="1:5" x14ac:dyDescent="0.35">
      <c r="A1398" s="7">
        <v>50037</v>
      </c>
      <c r="B1398" s="8" t="s">
        <v>5</v>
      </c>
      <c r="C1398" s="9">
        <v>28.4</v>
      </c>
      <c r="D1398" s="10">
        <v>0</v>
      </c>
      <c r="E1398">
        <f t="shared" si="21"/>
        <v>0</v>
      </c>
    </row>
    <row r="1399" spans="1:5" x14ac:dyDescent="0.35">
      <c r="A1399" s="11">
        <v>50038</v>
      </c>
      <c r="B1399" s="12" t="s">
        <v>27</v>
      </c>
      <c r="C1399" s="13">
        <v>17.100000000000001</v>
      </c>
      <c r="D1399" s="14">
        <v>5.4</v>
      </c>
      <c r="E1399">
        <f t="shared" si="21"/>
        <v>0.92340000000000022</v>
      </c>
    </row>
    <row r="1400" spans="1:5" x14ac:dyDescent="0.35">
      <c r="A1400" s="7">
        <v>50039</v>
      </c>
      <c r="B1400" s="8" t="s">
        <v>10</v>
      </c>
      <c r="C1400" s="9">
        <v>24.4</v>
      </c>
      <c r="D1400" s="10">
        <v>23.8</v>
      </c>
      <c r="E1400">
        <f t="shared" si="21"/>
        <v>5.8071999999999999</v>
      </c>
    </row>
    <row r="1401" spans="1:5" x14ac:dyDescent="0.35">
      <c r="A1401" s="11">
        <v>50040</v>
      </c>
      <c r="B1401" s="12" t="s">
        <v>18</v>
      </c>
      <c r="C1401" s="13">
        <v>18.5</v>
      </c>
      <c r="D1401" s="14">
        <v>6</v>
      </c>
      <c r="E1401">
        <f t="shared" si="21"/>
        <v>1.1100000000000001</v>
      </c>
    </row>
    <row r="1402" spans="1:5" x14ac:dyDescent="0.35">
      <c r="A1402" s="7">
        <v>50041</v>
      </c>
      <c r="B1402" s="8" t="s">
        <v>19</v>
      </c>
      <c r="C1402" s="9">
        <v>24.1</v>
      </c>
      <c r="D1402" s="10">
        <v>21.5</v>
      </c>
      <c r="E1402">
        <f t="shared" si="21"/>
        <v>5.1814999999999998</v>
      </c>
    </row>
    <row r="1403" spans="1:5" x14ac:dyDescent="0.35">
      <c r="A1403" s="11">
        <v>50042</v>
      </c>
      <c r="B1403" s="12" t="s">
        <v>22</v>
      </c>
      <c r="C1403" s="13">
        <v>17.899999999999999</v>
      </c>
      <c r="D1403" s="14">
        <v>5.4</v>
      </c>
      <c r="E1403">
        <f t="shared" si="21"/>
        <v>0.96660000000000001</v>
      </c>
    </row>
    <row r="1404" spans="1:5" x14ac:dyDescent="0.35">
      <c r="A1404" s="7">
        <v>50043</v>
      </c>
      <c r="B1404" s="8" t="s">
        <v>22</v>
      </c>
      <c r="C1404" s="9">
        <v>15.8</v>
      </c>
      <c r="D1404" s="10">
        <v>7.4</v>
      </c>
      <c r="E1404">
        <f t="shared" si="21"/>
        <v>1.1692000000000002</v>
      </c>
    </row>
    <row r="1405" spans="1:5" x14ac:dyDescent="0.35">
      <c r="A1405" s="11">
        <v>50044</v>
      </c>
      <c r="B1405" s="12" t="s">
        <v>30</v>
      </c>
      <c r="C1405" s="13">
        <v>19.600000000000001</v>
      </c>
      <c r="D1405" s="14">
        <v>0.3</v>
      </c>
      <c r="E1405">
        <f t="shared" si="21"/>
        <v>0</v>
      </c>
    </row>
    <row r="1406" spans="1:5" x14ac:dyDescent="0.35">
      <c r="A1406" s="7">
        <v>50045</v>
      </c>
      <c r="B1406" s="8" t="s">
        <v>19</v>
      </c>
      <c r="C1406" s="9">
        <v>17.7</v>
      </c>
      <c r="D1406" s="10">
        <v>0</v>
      </c>
      <c r="E1406">
        <f t="shared" si="21"/>
        <v>0</v>
      </c>
    </row>
    <row r="1407" spans="1:5" x14ac:dyDescent="0.35">
      <c r="A1407" s="11">
        <v>50046</v>
      </c>
      <c r="B1407" s="12" t="s">
        <v>27</v>
      </c>
      <c r="C1407" s="13">
        <v>19.899999999999999</v>
      </c>
      <c r="D1407" s="14">
        <v>4.7</v>
      </c>
      <c r="E1407">
        <f t="shared" si="21"/>
        <v>0.93530000000000002</v>
      </c>
    </row>
    <row r="1408" spans="1:5" x14ac:dyDescent="0.35">
      <c r="A1408" s="7">
        <v>50047</v>
      </c>
      <c r="B1408" s="8" t="s">
        <v>5</v>
      </c>
      <c r="C1408" s="9">
        <v>10.6</v>
      </c>
      <c r="D1408" s="10">
        <v>4.8</v>
      </c>
      <c r="E1408">
        <f t="shared" si="21"/>
        <v>0.50879999999999992</v>
      </c>
    </row>
    <row r="1409" spans="1:5" x14ac:dyDescent="0.35">
      <c r="A1409" s="11">
        <v>50048</v>
      </c>
      <c r="B1409" s="12" t="s">
        <v>19</v>
      </c>
      <c r="C1409" s="13">
        <v>25.6</v>
      </c>
      <c r="D1409" s="14">
        <v>17.399999999999999</v>
      </c>
      <c r="E1409">
        <f t="shared" si="21"/>
        <v>4.4543999999999997</v>
      </c>
    </row>
    <row r="1410" spans="1:5" x14ac:dyDescent="0.35">
      <c r="A1410" s="7">
        <v>50049</v>
      </c>
      <c r="B1410" s="8" t="s">
        <v>9</v>
      </c>
      <c r="C1410" s="9">
        <v>22.4</v>
      </c>
      <c r="D1410" s="10">
        <v>7.7</v>
      </c>
      <c r="E1410">
        <f t="shared" si="21"/>
        <v>1.7247999999999999</v>
      </c>
    </row>
    <row r="1411" spans="1:5" x14ac:dyDescent="0.35">
      <c r="A1411" s="11">
        <v>50050</v>
      </c>
      <c r="B1411" s="12" t="s">
        <v>8</v>
      </c>
      <c r="C1411" s="13">
        <v>14.5</v>
      </c>
      <c r="D1411" s="14">
        <v>3.8</v>
      </c>
      <c r="E1411">
        <f t="shared" ref="E1411:E1474" si="22">IF(D1411&gt;=1,C1411*D1411/100,0)</f>
        <v>0.55099999999999993</v>
      </c>
    </row>
    <row r="1412" spans="1:5" x14ac:dyDescent="0.35">
      <c r="A1412" s="7">
        <v>50051</v>
      </c>
      <c r="B1412" s="8" t="s">
        <v>9</v>
      </c>
      <c r="C1412" s="9">
        <v>15</v>
      </c>
      <c r="D1412" s="10">
        <v>4.2</v>
      </c>
      <c r="E1412">
        <f t="shared" si="22"/>
        <v>0.63</v>
      </c>
    </row>
    <row r="1413" spans="1:5" x14ac:dyDescent="0.35">
      <c r="A1413" s="11">
        <v>50052</v>
      </c>
      <c r="B1413" s="12" t="s">
        <v>13</v>
      </c>
      <c r="C1413" s="13">
        <v>24</v>
      </c>
      <c r="D1413" s="14">
        <v>11.5</v>
      </c>
      <c r="E1413">
        <f t="shared" si="22"/>
        <v>2.76</v>
      </c>
    </row>
    <row r="1414" spans="1:5" x14ac:dyDescent="0.35">
      <c r="A1414" s="7">
        <v>50053</v>
      </c>
      <c r="B1414" s="8" t="s">
        <v>23</v>
      </c>
      <c r="C1414" s="9">
        <v>20.7</v>
      </c>
      <c r="D1414" s="10">
        <v>2.9</v>
      </c>
      <c r="E1414">
        <f t="shared" si="22"/>
        <v>0.60029999999999994</v>
      </c>
    </row>
    <row r="1415" spans="1:5" x14ac:dyDescent="0.35">
      <c r="A1415" s="11">
        <v>50054</v>
      </c>
      <c r="B1415" s="12" t="s">
        <v>28</v>
      </c>
      <c r="C1415" s="13">
        <v>13.5</v>
      </c>
      <c r="D1415" s="14">
        <v>0.7</v>
      </c>
      <c r="E1415">
        <f t="shared" si="22"/>
        <v>0</v>
      </c>
    </row>
    <row r="1416" spans="1:5" x14ac:dyDescent="0.35">
      <c r="A1416" s="7">
        <v>50055</v>
      </c>
      <c r="B1416" s="8" t="s">
        <v>19</v>
      </c>
      <c r="C1416" s="9">
        <v>23.7</v>
      </c>
      <c r="D1416" s="10">
        <v>13.1</v>
      </c>
      <c r="E1416">
        <f t="shared" si="22"/>
        <v>3.1046999999999998</v>
      </c>
    </row>
    <row r="1417" spans="1:5" x14ac:dyDescent="0.35">
      <c r="A1417" s="11">
        <v>50056</v>
      </c>
      <c r="B1417" s="12" t="s">
        <v>10</v>
      </c>
      <c r="C1417" s="13">
        <v>12.1</v>
      </c>
      <c r="D1417" s="14">
        <v>36</v>
      </c>
      <c r="E1417">
        <f t="shared" si="22"/>
        <v>4.3559999999999999</v>
      </c>
    </row>
    <row r="1418" spans="1:5" x14ac:dyDescent="0.35">
      <c r="A1418" s="7">
        <v>50057</v>
      </c>
      <c r="B1418" s="8" t="s">
        <v>13</v>
      </c>
      <c r="C1418" s="9">
        <v>21.8</v>
      </c>
      <c r="D1418" s="10">
        <v>10.9</v>
      </c>
      <c r="E1418">
        <f t="shared" si="22"/>
        <v>2.3761999999999999</v>
      </c>
    </row>
    <row r="1419" spans="1:5" x14ac:dyDescent="0.35">
      <c r="A1419" s="11">
        <v>50058</v>
      </c>
      <c r="B1419" s="12" t="s">
        <v>22</v>
      </c>
      <c r="C1419" s="13">
        <v>17.399999999999999</v>
      </c>
      <c r="D1419" s="14">
        <v>0</v>
      </c>
      <c r="E1419">
        <f t="shared" si="22"/>
        <v>0</v>
      </c>
    </row>
    <row r="1420" spans="1:5" x14ac:dyDescent="0.35">
      <c r="A1420" s="7">
        <v>50059</v>
      </c>
      <c r="B1420" s="8" t="s">
        <v>6</v>
      </c>
      <c r="C1420" s="9">
        <v>15.6</v>
      </c>
      <c r="D1420" s="10">
        <v>0</v>
      </c>
      <c r="E1420">
        <f t="shared" si="22"/>
        <v>0</v>
      </c>
    </row>
    <row r="1421" spans="1:5" x14ac:dyDescent="0.35">
      <c r="A1421" s="11">
        <v>50060</v>
      </c>
      <c r="B1421" s="12" t="s">
        <v>13</v>
      </c>
      <c r="C1421" s="13">
        <v>13.7</v>
      </c>
      <c r="D1421" s="14">
        <v>0</v>
      </c>
      <c r="E1421">
        <f t="shared" si="22"/>
        <v>0</v>
      </c>
    </row>
    <row r="1422" spans="1:5" x14ac:dyDescent="0.35">
      <c r="A1422" s="7">
        <v>50061</v>
      </c>
      <c r="B1422" s="8" t="s">
        <v>10</v>
      </c>
      <c r="C1422" s="9">
        <v>24.7</v>
      </c>
      <c r="D1422" s="10">
        <v>16.2</v>
      </c>
      <c r="E1422">
        <f t="shared" si="22"/>
        <v>4.0014000000000003</v>
      </c>
    </row>
    <row r="1423" spans="1:5" x14ac:dyDescent="0.35">
      <c r="A1423" s="11">
        <v>50062</v>
      </c>
      <c r="B1423" s="12" t="s">
        <v>15</v>
      </c>
      <c r="C1423" s="13">
        <v>25.3</v>
      </c>
      <c r="D1423" s="14">
        <v>14.2</v>
      </c>
      <c r="E1423">
        <f t="shared" si="22"/>
        <v>3.5926</v>
      </c>
    </row>
    <row r="1424" spans="1:5" x14ac:dyDescent="0.35">
      <c r="A1424" s="7">
        <v>50063</v>
      </c>
      <c r="B1424" s="8" t="s">
        <v>15</v>
      </c>
      <c r="C1424" s="9">
        <v>18.399999999999999</v>
      </c>
      <c r="D1424" s="10">
        <v>0</v>
      </c>
      <c r="E1424">
        <f t="shared" si="22"/>
        <v>0</v>
      </c>
    </row>
    <row r="1425" spans="1:5" x14ac:dyDescent="0.35">
      <c r="A1425" s="11">
        <v>50064</v>
      </c>
      <c r="B1425" s="12" t="s">
        <v>14</v>
      </c>
      <c r="C1425" s="13">
        <v>10.199999999999999</v>
      </c>
      <c r="D1425" s="14">
        <v>0</v>
      </c>
      <c r="E1425">
        <f t="shared" si="22"/>
        <v>0</v>
      </c>
    </row>
    <row r="1426" spans="1:5" x14ac:dyDescent="0.35">
      <c r="A1426" s="7">
        <v>50065</v>
      </c>
      <c r="B1426" s="8" t="s">
        <v>33</v>
      </c>
      <c r="C1426" s="9">
        <v>26.9</v>
      </c>
      <c r="D1426" s="10">
        <v>0</v>
      </c>
      <c r="E1426">
        <f t="shared" si="22"/>
        <v>0</v>
      </c>
    </row>
    <row r="1427" spans="1:5" x14ac:dyDescent="0.35">
      <c r="A1427" s="11">
        <v>50066</v>
      </c>
      <c r="B1427" s="12" t="s">
        <v>8</v>
      </c>
      <c r="C1427" s="13">
        <v>28.2</v>
      </c>
      <c r="D1427" s="14">
        <v>0</v>
      </c>
      <c r="E1427">
        <f t="shared" si="22"/>
        <v>0</v>
      </c>
    </row>
    <row r="1428" spans="1:5" x14ac:dyDescent="0.35">
      <c r="A1428" s="7">
        <v>50067</v>
      </c>
      <c r="B1428" s="8" t="s">
        <v>7</v>
      </c>
      <c r="C1428" s="9">
        <v>15.9</v>
      </c>
      <c r="D1428" s="10">
        <v>0</v>
      </c>
      <c r="E1428">
        <f t="shared" si="22"/>
        <v>0</v>
      </c>
    </row>
    <row r="1429" spans="1:5" x14ac:dyDescent="0.35">
      <c r="A1429" s="11">
        <v>50068</v>
      </c>
      <c r="B1429" s="12" t="s">
        <v>10</v>
      </c>
      <c r="C1429" s="13">
        <v>19.7</v>
      </c>
      <c r="D1429" s="14">
        <v>0</v>
      </c>
      <c r="E1429">
        <f t="shared" si="22"/>
        <v>0</v>
      </c>
    </row>
    <row r="1430" spans="1:5" x14ac:dyDescent="0.35">
      <c r="A1430" s="7">
        <v>50069</v>
      </c>
      <c r="B1430" s="8" t="s">
        <v>7</v>
      </c>
      <c r="C1430" s="9">
        <v>16</v>
      </c>
      <c r="D1430" s="10">
        <v>0</v>
      </c>
      <c r="E1430">
        <f t="shared" si="22"/>
        <v>0</v>
      </c>
    </row>
    <row r="1431" spans="1:5" x14ac:dyDescent="0.35">
      <c r="A1431" s="11">
        <v>50070</v>
      </c>
      <c r="B1431" s="12" t="s">
        <v>6</v>
      </c>
      <c r="C1431" s="13">
        <v>20.8</v>
      </c>
      <c r="D1431" s="14">
        <v>0</v>
      </c>
      <c r="E1431">
        <f t="shared" si="22"/>
        <v>0</v>
      </c>
    </row>
    <row r="1432" spans="1:5" x14ac:dyDescent="0.35">
      <c r="A1432" s="7">
        <v>50071</v>
      </c>
      <c r="B1432" s="8" t="s">
        <v>23</v>
      </c>
      <c r="C1432" s="9">
        <v>12.5</v>
      </c>
      <c r="D1432" s="10">
        <v>0</v>
      </c>
      <c r="E1432">
        <f t="shared" si="22"/>
        <v>0</v>
      </c>
    </row>
    <row r="1433" spans="1:5" x14ac:dyDescent="0.35">
      <c r="A1433" s="11">
        <v>50072</v>
      </c>
      <c r="B1433" s="12" t="s">
        <v>15</v>
      </c>
      <c r="C1433" s="13">
        <v>12.7</v>
      </c>
      <c r="D1433" s="14">
        <v>2.4</v>
      </c>
      <c r="E1433">
        <f t="shared" si="22"/>
        <v>0.30479999999999996</v>
      </c>
    </row>
    <row r="1434" spans="1:5" x14ac:dyDescent="0.35">
      <c r="A1434" s="7">
        <v>50073</v>
      </c>
      <c r="B1434" s="8" t="s">
        <v>18</v>
      </c>
      <c r="C1434" s="9">
        <v>23.5</v>
      </c>
      <c r="D1434" s="10">
        <v>11.5</v>
      </c>
      <c r="E1434">
        <f t="shared" si="22"/>
        <v>2.7025000000000001</v>
      </c>
    </row>
    <row r="1435" spans="1:5" x14ac:dyDescent="0.35">
      <c r="A1435" s="11">
        <v>50074</v>
      </c>
      <c r="B1435" s="12" t="s">
        <v>14</v>
      </c>
      <c r="C1435" s="13">
        <v>17.8</v>
      </c>
      <c r="D1435" s="14">
        <v>1.8</v>
      </c>
      <c r="E1435">
        <f t="shared" si="22"/>
        <v>0.32040000000000002</v>
      </c>
    </row>
    <row r="1436" spans="1:5" x14ac:dyDescent="0.35">
      <c r="A1436" s="7">
        <v>50075</v>
      </c>
      <c r="B1436" s="8" t="s">
        <v>11</v>
      </c>
      <c r="C1436" s="9">
        <v>11</v>
      </c>
      <c r="D1436" s="10">
        <v>0</v>
      </c>
      <c r="E1436">
        <f t="shared" si="22"/>
        <v>0</v>
      </c>
    </row>
    <row r="1437" spans="1:5" x14ac:dyDescent="0.35">
      <c r="A1437" s="11">
        <v>50076</v>
      </c>
      <c r="B1437" s="12" t="s">
        <v>12</v>
      </c>
      <c r="C1437" s="13">
        <v>21.3</v>
      </c>
      <c r="D1437" s="14">
        <v>5.2</v>
      </c>
      <c r="E1437">
        <f t="shared" si="22"/>
        <v>1.1076000000000001</v>
      </c>
    </row>
    <row r="1438" spans="1:5" x14ac:dyDescent="0.35">
      <c r="A1438" s="7">
        <v>50077</v>
      </c>
      <c r="B1438" s="8" t="s">
        <v>7</v>
      </c>
      <c r="C1438" s="9">
        <v>19.600000000000001</v>
      </c>
      <c r="D1438" s="10">
        <v>8.1</v>
      </c>
      <c r="E1438">
        <f t="shared" si="22"/>
        <v>1.5875999999999999</v>
      </c>
    </row>
    <row r="1439" spans="1:5" x14ac:dyDescent="0.35">
      <c r="A1439" s="11">
        <v>50078</v>
      </c>
      <c r="B1439" s="12" t="s">
        <v>11</v>
      </c>
      <c r="C1439" s="13">
        <v>25.7</v>
      </c>
      <c r="D1439" s="14">
        <v>4.2</v>
      </c>
      <c r="E1439">
        <f t="shared" si="22"/>
        <v>1.0793999999999999</v>
      </c>
    </row>
    <row r="1440" spans="1:5" x14ac:dyDescent="0.35">
      <c r="A1440" s="7">
        <v>50079</v>
      </c>
      <c r="B1440" s="8" t="s">
        <v>10</v>
      </c>
      <c r="C1440" s="9">
        <v>20.9</v>
      </c>
      <c r="D1440" s="10">
        <v>28.6</v>
      </c>
      <c r="E1440">
        <f t="shared" si="22"/>
        <v>5.9774000000000003</v>
      </c>
    </row>
    <row r="1441" spans="1:5" x14ac:dyDescent="0.35">
      <c r="A1441" s="11">
        <v>50080</v>
      </c>
      <c r="B1441" s="12" t="s">
        <v>19</v>
      </c>
      <c r="C1441" s="13">
        <v>26.4</v>
      </c>
      <c r="D1441" s="14">
        <v>3.2</v>
      </c>
      <c r="E1441">
        <f t="shared" si="22"/>
        <v>0.8448</v>
      </c>
    </row>
    <row r="1442" spans="1:5" x14ac:dyDescent="0.35">
      <c r="A1442" s="7">
        <v>50081</v>
      </c>
      <c r="B1442" s="8" t="s">
        <v>19</v>
      </c>
      <c r="C1442" s="9">
        <v>26.5</v>
      </c>
      <c r="D1442" s="10">
        <v>13.1</v>
      </c>
      <c r="E1442">
        <f t="shared" si="22"/>
        <v>3.4714999999999998</v>
      </c>
    </row>
    <row r="1443" spans="1:5" x14ac:dyDescent="0.35">
      <c r="A1443" s="11">
        <v>50082</v>
      </c>
      <c r="B1443" s="12" t="s">
        <v>8</v>
      </c>
      <c r="C1443" s="13">
        <v>11.7</v>
      </c>
      <c r="D1443" s="14">
        <v>0</v>
      </c>
      <c r="E1443">
        <f t="shared" si="22"/>
        <v>0</v>
      </c>
    </row>
    <row r="1444" spans="1:5" x14ac:dyDescent="0.35">
      <c r="A1444" s="7">
        <v>50083</v>
      </c>
      <c r="B1444" s="8" t="s">
        <v>12</v>
      </c>
      <c r="C1444" s="9">
        <v>24.7</v>
      </c>
      <c r="D1444" s="10">
        <v>0.3</v>
      </c>
      <c r="E1444">
        <f t="shared" si="22"/>
        <v>0</v>
      </c>
    </row>
    <row r="1445" spans="1:5" x14ac:dyDescent="0.35">
      <c r="A1445" s="11">
        <v>50084</v>
      </c>
      <c r="B1445" s="12" t="s">
        <v>9</v>
      </c>
      <c r="C1445" s="13">
        <v>24.4</v>
      </c>
      <c r="D1445" s="14">
        <v>9.6</v>
      </c>
      <c r="E1445">
        <f t="shared" si="22"/>
        <v>2.3423999999999996</v>
      </c>
    </row>
    <row r="1446" spans="1:5" x14ac:dyDescent="0.35">
      <c r="A1446" s="7">
        <v>50085</v>
      </c>
      <c r="B1446" s="8" t="s">
        <v>19</v>
      </c>
      <c r="C1446" s="9">
        <v>19</v>
      </c>
      <c r="D1446" s="10">
        <v>28.8</v>
      </c>
      <c r="E1446">
        <f t="shared" si="22"/>
        <v>5.4720000000000004</v>
      </c>
    </row>
    <row r="1447" spans="1:5" x14ac:dyDescent="0.35">
      <c r="A1447" s="11">
        <v>50086</v>
      </c>
      <c r="B1447" s="12" t="s">
        <v>10</v>
      </c>
      <c r="C1447" s="13">
        <v>13.7</v>
      </c>
      <c r="D1447" s="14">
        <v>19.3</v>
      </c>
      <c r="E1447">
        <f t="shared" si="22"/>
        <v>2.6440999999999999</v>
      </c>
    </row>
    <row r="1448" spans="1:5" x14ac:dyDescent="0.35">
      <c r="A1448" s="7">
        <v>50087</v>
      </c>
      <c r="B1448" s="8" t="s">
        <v>10</v>
      </c>
      <c r="C1448" s="9">
        <v>28.9</v>
      </c>
      <c r="D1448" s="10">
        <v>20.399999999999999</v>
      </c>
      <c r="E1448">
        <f t="shared" si="22"/>
        <v>5.8955999999999991</v>
      </c>
    </row>
    <row r="1449" spans="1:5" x14ac:dyDescent="0.35">
      <c r="A1449" s="11">
        <v>50088</v>
      </c>
      <c r="B1449" s="12" t="s">
        <v>20</v>
      </c>
      <c r="C1449" s="13">
        <v>25.2</v>
      </c>
      <c r="D1449" s="14">
        <v>0</v>
      </c>
      <c r="E1449">
        <f t="shared" si="22"/>
        <v>0</v>
      </c>
    </row>
    <row r="1450" spans="1:5" x14ac:dyDescent="0.35">
      <c r="A1450" s="7">
        <v>50089</v>
      </c>
      <c r="B1450" s="8" t="s">
        <v>11</v>
      </c>
      <c r="C1450" s="9">
        <v>15.4</v>
      </c>
      <c r="D1450" s="10">
        <v>9</v>
      </c>
      <c r="E1450">
        <f t="shared" si="22"/>
        <v>1.3859999999999999</v>
      </c>
    </row>
    <row r="1451" spans="1:5" x14ac:dyDescent="0.35">
      <c r="A1451" s="11">
        <v>50090</v>
      </c>
      <c r="B1451" s="12" t="s">
        <v>16</v>
      </c>
      <c r="C1451" s="13">
        <v>24.1</v>
      </c>
      <c r="D1451" s="14">
        <v>0.3</v>
      </c>
      <c r="E1451">
        <f t="shared" si="22"/>
        <v>0</v>
      </c>
    </row>
    <row r="1452" spans="1:5" x14ac:dyDescent="0.35">
      <c r="A1452" s="7">
        <v>50091</v>
      </c>
      <c r="B1452" s="8" t="s">
        <v>22</v>
      </c>
      <c r="C1452" s="9">
        <v>27.7</v>
      </c>
      <c r="D1452" s="10">
        <v>0</v>
      </c>
      <c r="E1452">
        <f t="shared" si="22"/>
        <v>0</v>
      </c>
    </row>
    <row r="1453" spans="1:5" x14ac:dyDescent="0.35">
      <c r="A1453" s="11">
        <v>50092</v>
      </c>
      <c r="B1453" s="12" t="s">
        <v>11</v>
      </c>
      <c r="C1453" s="13">
        <v>19.600000000000001</v>
      </c>
      <c r="D1453" s="14">
        <v>21.1</v>
      </c>
      <c r="E1453">
        <f t="shared" si="22"/>
        <v>4.1356000000000002</v>
      </c>
    </row>
    <row r="1454" spans="1:5" x14ac:dyDescent="0.35">
      <c r="A1454" s="7">
        <v>50093</v>
      </c>
      <c r="B1454" s="8" t="s">
        <v>23</v>
      </c>
      <c r="C1454" s="9">
        <v>29</v>
      </c>
      <c r="D1454" s="10">
        <v>3.2</v>
      </c>
      <c r="E1454">
        <f t="shared" si="22"/>
        <v>0.92800000000000016</v>
      </c>
    </row>
    <row r="1455" spans="1:5" x14ac:dyDescent="0.35">
      <c r="A1455" s="11">
        <v>50094</v>
      </c>
      <c r="B1455" s="12" t="s">
        <v>31</v>
      </c>
      <c r="C1455" s="13">
        <v>10.3</v>
      </c>
      <c r="D1455" s="14">
        <v>0.7</v>
      </c>
      <c r="E1455">
        <f t="shared" si="22"/>
        <v>0</v>
      </c>
    </row>
    <row r="1456" spans="1:5" x14ac:dyDescent="0.35">
      <c r="A1456" s="7">
        <v>50095</v>
      </c>
      <c r="B1456" s="8" t="s">
        <v>10</v>
      </c>
      <c r="C1456" s="9">
        <v>11</v>
      </c>
      <c r="D1456" s="10">
        <v>40.200000000000003</v>
      </c>
      <c r="E1456">
        <f t="shared" si="22"/>
        <v>4.4220000000000006</v>
      </c>
    </row>
    <row r="1457" spans="1:5" x14ac:dyDescent="0.35">
      <c r="A1457" s="11">
        <v>50096</v>
      </c>
      <c r="B1457" s="12" t="s">
        <v>11</v>
      </c>
      <c r="C1457" s="13">
        <v>28.6</v>
      </c>
      <c r="D1457" s="14">
        <v>0.6</v>
      </c>
      <c r="E1457">
        <f t="shared" si="22"/>
        <v>0</v>
      </c>
    </row>
    <row r="1458" spans="1:5" x14ac:dyDescent="0.35">
      <c r="A1458" s="7">
        <v>50097</v>
      </c>
      <c r="B1458" s="8" t="s">
        <v>17</v>
      </c>
      <c r="C1458" s="9">
        <v>22.5</v>
      </c>
      <c r="D1458" s="10">
        <v>1</v>
      </c>
      <c r="E1458">
        <f t="shared" si="22"/>
        <v>0.22500000000000001</v>
      </c>
    </row>
    <row r="1459" spans="1:5" x14ac:dyDescent="0.35">
      <c r="A1459" s="11">
        <v>50098</v>
      </c>
      <c r="B1459" s="12" t="s">
        <v>12</v>
      </c>
      <c r="C1459" s="13">
        <v>19.600000000000001</v>
      </c>
      <c r="D1459" s="14">
        <v>0</v>
      </c>
      <c r="E1459">
        <f t="shared" si="22"/>
        <v>0</v>
      </c>
    </row>
    <row r="1460" spans="1:5" x14ac:dyDescent="0.35">
      <c r="A1460" s="7">
        <v>50099</v>
      </c>
      <c r="B1460" s="8" t="s">
        <v>28</v>
      </c>
      <c r="C1460" s="9">
        <v>19.899999999999999</v>
      </c>
      <c r="D1460" s="10">
        <v>0</v>
      </c>
      <c r="E1460">
        <f t="shared" si="22"/>
        <v>0</v>
      </c>
    </row>
    <row r="1461" spans="1:5" x14ac:dyDescent="0.35">
      <c r="A1461" s="11">
        <v>50100</v>
      </c>
      <c r="B1461" s="12" t="s">
        <v>6</v>
      </c>
      <c r="C1461" s="13">
        <v>21.7</v>
      </c>
      <c r="D1461" s="14">
        <v>9.4</v>
      </c>
      <c r="E1461">
        <f t="shared" si="22"/>
        <v>2.0398000000000001</v>
      </c>
    </row>
    <row r="1462" spans="1:5" x14ac:dyDescent="0.35">
      <c r="A1462" s="7">
        <v>50101</v>
      </c>
      <c r="B1462" s="8" t="s">
        <v>12</v>
      </c>
      <c r="C1462" s="9">
        <v>15.3</v>
      </c>
      <c r="D1462" s="10">
        <v>0</v>
      </c>
      <c r="E1462">
        <f t="shared" si="22"/>
        <v>0</v>
      </c>
    </row>
    <row r="1463" spans="1:5" x14ac:dyDescent="0.35">
      <c r="A1463" s="11">
        <v>50102</v>
      </c>
      <c r="B1463" s="12" t="s">
        <v>15</v>
      </c>
      <c r="C1463" s="13">
        <v>20.9</v>
      </c>
      <c r="D1463" s="14">
        <v>12.4</v>
      </c>
      <c r="E1463">
        <f t="shared" si="22"/>
        <v>2.5915999999999997</v>
      </c>
    </row>
    <row r="1464" spans="1:5" x14ac:dyDescent="0.35">
      <c r="A1464" s="7">
        <v>50103</v>
      </c>
      <c r="B1464" s="8" t="s">
        <v>5</v>
      </c>
      <c r="C1464" s="9">
        <v>17</v>
      </c>
      <c r="D1464" s="10">
        <v>0</v>
      </c>
      <c r="E1464">
        <f t="shared" si="22"/>
        <v>0</v>
      </c>
    </row>
    <row r="1465" spans="1:5" x14ac:dyDescent="0.35">
      <c r="A1465" s="11">
        <v>50104</v>
      </c>
      <c r="B1465" s="12" t="s">
        <v>6</v>
      </c>
      <c r="C1465" s="13">
        <v>25.8</v>
      </c>
      <c r="D1465" s="14">
        <v>1.4</v>
      </c>
      <c r="E1465">
        <f t="shared" si="22"/>
        <v>0.36119999999999997</v>
      </c>
    </row>
    <row r="1466" spans="1:5" x14ac:dyDescent="0.35">
      <c r="A1466" s="7">
        <v>50105</v>
      </c>
      <c r="B1466" s="8" t="s">
        <v>27</v>
      </c>
      <c r="C1466" s="9">
        <v>19.100000000000001</v>
      </c>
      <c r="D1466" s="10">
        <v>2.5</v>
      </c>
      <c r="E1466">
        <f t="shared" si="22"/>
        <v>0.47749999999999998</v>
      </c>
    </row>
    <row r="1467" spans="1:5" x14ac:dyDescent="0.35">
      <c r="A1467" s="11">
        <v>50106</v>
      </c>
      <c r="B1467" s="12" t="s">
        <v>13</v>
      </c>
      <c r="C1467" s="13">
        <v>24.6</v>
      </c>
      <c r="D1467" s="14">
        <v>12.5</v>
      </c>
      <c r="E1467">
        <f t="shared" si="22"/>
        <v>3.0750000000000002</v>
      </c>
    </row>
    <row r="1468" spans="1:5" x14ac:dyDescent="0.35">
      <c r="A1468" s="7">
        <v>50107</v>
      </c>
      <c r="B1468" s="8" t="s">
        <v>15</v>
      </c>
      <c r="C1468" s="9">
        <v>22.6</v>
      </c>
      <c r="D1468" s="10">
        <v>15.4</v>
      </c>
      <c r="E1468">
        <f t="shared" si="22"/>
        <v>3.4804000000000004</v>
      </c>
    </row>
    <row r="1469" spans="1:5" x14ac:dyDescent="0.35">
      <c r="A1469" s="11">
        <v>50108</v>
      </c>
      <c r="B1469" s="12" t="s">
        <v>9</v>
      </c>
      <c r="C1469" s="13">
        <v>18.3</v>
      </c>
      <c r="D1469" s="14">
        <v>4.7</v>
      </c>
      <c r="E1469">
        <f t="shared" si="22"/>
        <v>0.86010000000000009</v>
      </c>
    </row>
    <row r="1470" spans="1:5" x14ac:dyDescent="0.35">
      <c r="A1470" s="7">
        <v>50109</v>
      </c>
      <c r="B1470" s="8" t="s">
        <v>7</v>
      </c>
      <c r="C1470" s="9">
        <v>25.5</v>
      </c>
      <c r="D1470" s="10">
        <v>0</v>
      </c>
      <c r="E1470">
        <f t="shared" si="22"/>
        <v>0</v>
      </c>
    </row>
    <row r="1471" spans="1:5" x14ac:dyDescent="0.35">
      <c r="A1471" s="11">
        <v>50110</v>
      </c>
      <c r="B1471" s="12" t="s">
        <v>18</v>
      </c>
      <c r="C1471" s="13">
        <v>26.6</v>
      </c>
      <c r="D1471" s="14">
        <v>0</v>
      </c>
      <c r="E1471">
        <f t="shared" si="22"/>
        <v>0</v>
      </c>
    </row>
    <row r="1472" spans="1:5" x14ac:dyDescent="0.35">
      <c r="A1472" s="7">
        <v>50111</v>
      </c>
      <c r="B1472" s="8" t="s">
        <v>7</v>
      </c>
      <c r="C1472" s="9">
        <v>19.8</v>
      </c>
      <c r="D1472" s="10">
        <v>14.9</v>
      </c>
      <c r="E1472">
        <f t="shared" si="22"/>
        <v>2.9502000000000006</v>
      </c>
    </row>
    <row r="1473" spans="1:5" x14ac:dyDescent="0.35">
      <c r="A1473" s="11">
        <v>50112</v>
      </c>
      <c r="B1473" s="12" t="s">
        <v>26</v>
      </c>
      <c r="C1473" s="13">
        <v>23.7</v>
      </c>
      <c r="D1473" s="14">
        <v>0.9</v>
      </c>
      <c r="E1473">
        <f t="shared" si="22"/>
        <v>0</v>
      </c>
    </row>
    <row r="1474" spans="1:5" x14ac:dyDescent="0.35">
      <c r="A1474" s="7">
        <v>50113</v>
      </c>
      <c r="B1474" s="8" t="s">
        <v>24</v>
      </c>
      <c r="C1474" s="9">
        <v>23.5</v>
      </c>
      <c r="D1474" s="10">
        <v>1</v>
      </c>
      <c r="E1474">
        <f t="shared" si="22"/>
        <v>0.23499999999999999</v>
      </c>
    </row>
    <row r="1475" spans="1:5" x14ac:dyDescent="0.35">
      <c r="A1475" s="11">
        <v>50114</v>
      </c>
      <c r="B1475" s="12" t="s">
        <v>5</v>
      </c>
      <c r="C1475" s="13">
        <v>18.8</v>
      </c>
      <c r="D1475" s="14">
        <v>7.8</v>
      </c>
      <c r="E1475">
        <f t="shared" ref="E1475:E1538" si="23">IF(D1475&gt;=1,C1475*D1475/100,0)</f>
        <v>1.4664000000000001</v>
      </c>
    </row>
    <row r="1476" spans="1:5" x14ac:dyDescent="0.35">
      <c r="A1476" s="7">
        <v>50115</v>
      </c>
      <c r="B1476" s="8" t="s">
        <v>6</v>
      </c>
      <c r="C1476" s="9">
        <v>18.7</v>
      </c>
      <c r="D1476" s="10">
        <v>10</v>
      </c>
      <c r="E1476">
        <f t="shared" si="23"/>
        <v>1.87</v>
      </c>
    </row>
    <row r="1477" spans="1:5" x14ac:dyDescent="0.35">
      <c r="A1477" s="11">
        <v>50116</v>
      </c>
      <c r="B1477" s="12" t="s">
        <v>19</v>
      </c>
      <c r="C1477" s="13">
        <v>28.3</v>
      </c>
      <c r="D1477" s="14">
        <v>21.8</v>
      </c>
      <c r="E1477">
        <f t="shared" si="23"/>
        <v>6.1694000000000004</v>
      </c>
    </row>
    <row r="1478" spans="1:5" x14ac:dyDescent="0.35">
      <c r="A1478" s="7">
        <v>50117</v>
      </c>
      <c r="B1478" s="8" t="s">
        <v>22</v>
      </c>
      <c r="C1478" s="9">
        <v>10.6</v>
      </c>
      <c r="D1478" s="10">
        <v>6.4</v>
      </c>
      <c r="E1478">
        <f t="shared" si="23"/>
        <v>0.6784</v>
      </c>
    </row>
    <row r="1479" spans="1:5" x14ac:dyDescent="0.35">
      <c r="A1479" s="11">
        <v>50118</v>
      </c>
      <c r="B1479" s="12" t="s">
        <v>10</v>
      </c>
      <c r="C1479" s="13">
        <v>26.2</v>
      </c>
      <c r="D1479" s="14">
        <v>19.2</v>
      </c>
      <c r="E1479">
        <f t="shared" si="23"/>
        <v>5.0303999999999993</v>
      </c>
    </row>
    <row r="1480" spans="1:5" x14ac:dyDescent="0.35">
      <c r="A1480" s="7">
        <v>50119</v>
      </c>
      <c r="B1480" s="8" t="s">
        <v>13</v>
      </c>
      <c r="C1480" s="9">
        <v>25.3</v>
      </c>
      <c r="D1480" s="10">
        <v>8.6999999999999993</v>
      </c>
      <c r="E1480">
        <f t="shared" si="23"/>
        <v>2.2010999999999998</v>
      </c>
    </row>
    <row r="1481" spans="1:5" x14ac:dyDescent="0.35">
      <c r="A1481" s="11">
        <v>50120</v>
      </c>
      <c r="B1481" s="12" t="s">
        <v>22</v>
      </c>
      <c r="C1481" s="13">
        <v>21.6</v>
      </c>
      <c r="D1481" s="14">
        <v>1</v>
      </c>
      <c r="E1481">
        <f t="shared" si="23"/>
        <v>0.21600000000000003</v>
      </c>
    </row>
    <row r="1482" spans="1:5" x14ac:dyDescent="0.35">
      <c r="A1482" s="7">
        <v>50121</v>
      </c>
      <c r="B1482" s="8" t="s">
        <v>19</v>
      </c>
      <c r="C1482" s="9">
        <v>24.9</v>
      </c>
      <c r="D1482" s="10">
        <v>23.5</v>
      </c>
      <c r="E1482">
        <f t="shared" si="23"/>
        <v>5.8514999999999997</v>
      </c>
    </row>
    <row r="1483" spans="1:5" x14ac:dyDescent="0.35">
      <c r="A1483" s="11">
        <v>50122</v>
      </c>
      <c r="B1483" s="12" t="s">
        <v>15</v>
      </c>
      <c r="C1483" s="13">
        <v>27.7</v>
      </c>
      <c r="D1483" s="14">
        <v>11.5</v>
      </c>
      <c r="E1483">
        <f t="shared" si="23"/>
        <v>3.1855000000000002</v>
      </c>
    </row>
    <row r="1484" spans="1:5" x14ac:dyDescent="0.35">
      <c r="A1484" s="7">
        <v>50123</v>
      </c>
      <c r="B1484" s="8" t="s">
        <v>19</v>
      </c>
      <c r="C1484" s="9">
        <v>12.3</v>
      </c>
      <c r="D1484" s="10">
        <v>0</v>
      </c>
      <c r="E1484">
        <f t="shared" si="23"/>
        <v>0</v>
      </c>
    </row>
    <row r="1485" spans="1:5" x14ac:dyDescent="0.35">
      <c r="A1485" s="11">
        <v>50124</v>
      </c>
      <c r="B1485" s="12" t="s">
        <v>20</v>
      </c>
      <c r="C1485" s="13">
        <v>10.199999999999999</v>
      </c>
      <c r="D1485" s="14">
        <v>0.8</v>
      </c>
      <c r="E1485">
        <f t="shared" si="23"/>
        <v>0</v>
      </c>
    </row>
    <row r="1486" spans="1:5" x14ac:dyDescent="0.35">
      <c r="A1486" s="7">
        <v>50125</v>
      </c>
      <c r="B1486" s="8" t="s">
        <v>10</v>
      </c>
      <c r="C1486" s="9">
        <v>23.1</v>
      </c>
      <c r="D1486" s="10">
        <v>0</v>
      </c>
      <c r="E1486">
        <f t="shared" si="23"/>
        <v>0</v>
      </c>
    </row>
    <row r="1487" spans="1:5" x14ac:dyDescent="0.35">
      <c r="A1487" s="11">
        <v>50126</v>
      </c>
      <c r="B1487" s="12" t="s">
        <v>18</v>
      </c>
      <c r="C1487" s="13">
        <v>11.3</v>
      </c>
      <c r="D1487" s="14">
        <v>0</v>
      </c>
      <c r="E1487">
        <f t="shared" si="23"/>
        <v>0</v>
      </c>
    </row>
    <row r="1488" spans="1:5" x14ac:dyDescent="0.35">
      <c r="A1488" s="7">
        <v>50127</v>
      </c>
      <c r="B1488" s="8" t="s">
        <v>19</v>
      </c>
      <c r="C1488" s="9">
        <v>29.5</v>
      </c>
      <c r="D1488" s="10">
        <v>10.4</v>
      </c>
      <c r="E1488">
        <f t="shared" si="23"/>
        <v>3.0680000000000001</v>
      </c>
    </row>
    <row r="1489" spans="1:5" x14ac:dyDescent="0.35">
      <c r="A1489" s="11">
        <v>50128</v>
      </c>
      <c r="B1489" s="12" t="s">
        <v>15</v>
      </c>
      <c r="C1489" s="13">
        <v>19.7</v>
      </c>
      <c r="D1489" s="14">
        <v>0</v>
      </c>
      <c r="E1489">
        <f t="shared" si="23"/>
        <v>0</v>
      </c>
    </row>
    <row r="1490" spans="1:5" x14ac:dyDescent="0.35">
      <c r="A1490" s="7">
        <v>50129</v>
      </c>
      <c r="B1490" s="8" t="s">
        <v>5</v>
      </c>
      <c r="C1490" s="9">
        <v>27.9</v>
      </c>
      <c r="D1490" s="10">
        <v>3.4</v>
      </c>
      <c r="E1490">
        <f t="shared" si="23"/>
        <v>0.9486</v>
      </c>
    </row>
    <row r="1491" spans="1:5" x14ac:dyDescent="0.35">
      <c r="A1491" s="11">
        <v>50130</v>
      </c>
      <c r="B1491" s="12" t="s">
        <v>10</v>
      </c>
      <c r="C1491" s="13">
        <v>17.399999999999999</v>
      </c>
      <c r="D1491" s="14">
        <v>34.200000000000003</v>
      </c>
      <c r="E1491">
        <f t="shared" si="23"/>
        <v>5.9508000000000001</v>
      </c>
    </row>
    <row r="1492" spans="1:5" x14ac:dyDescent="0.35">
      <c r="A1492" s="7">
        <v>50131</v>
      </c>
      <c r="B1492" s="8" t="s">
        <v>17</v>
      </c>
      <c r="C1492" s="9">
        <v>23</v>
      </c>
      <c r="D1492" s="10">
        <v>0</v>
      </c>
      <c r="E1492">
        <f t="shared" si="23"/>
        <v>0</v>
      </c>
    </row>
    <row r="1493" spans="1:5" x14ac:dyDescent="0.35">
      <c r="A1493" s="11">
        <v>50132</v>
      </c>
      <c r="B1493" s="12" t="s">
        <v>21</v>
      </c>
      <c r="C1493" s="13">
        <v>27.6</v>
      </c>
      <c r="D1493" s="14">
        <v>0</v>
      </c>
      <c r="E1493">
        <f t="shared" si="23"/>
        <v>0</v>
      </c>
    </row>
    <row r="1494" spans="1:5" x14ac:dyDescent="0.35">
      <c r="A1494" s="7">
        <v>50133</v>
      </c>
      <c r="B1494" s="8" t="s">
        <v>22</v>
      </c>
      <c r="C1494" s="9">
        <v>11.6</v>
      </c>
      <c r="D1494" s="10">
        <v>0</v>
      </c>
      <c r="E1494">
        <f t="shared" si="23"/>
        <v>0</v>
      </c>
    </row>
    <row r="1495" spans="1:5" x14ac:dyDescent="0.35">
      <c r="A1495" s="11">
        <v>50134</v>
      </c>
      <c r="B1495" s="12" t="s">
        <v>20</v>
      </c>
      <c r="C1495" s="13">
        <v>24.2</v>
      </c>
      <c r="D1495" s="14">
        <v>5</v>
      </c>
      <c r="E1495">
        <f t="shared" si="23"/>
        <v>1.21</v>
      </c>
    </row>
    <row r="1496" spans="1:5" x14ac:dyDescent="0.35">
      <c r="A1496" s="7">
        <v>50135</v>
      </c>
      <c r="B1496" s="8" t="s">
        <v>6</v>
      </c>
      <c r="C1496" s="9">
        <v>13.2</v>
      </c>
      <c r="D1496" s="10">
        <v>2.2999999999999998</v>
      </c>
      <c r="E1496">
        <f t="shared" si="23"/>
        <v>0.30359999999999998</v>
      </c>
    </row>
    <row r="1497" spans="1:5" x14ac:dyDescent="0.35">
      <c r="A1497" s="11">
        <v>50136</v>
      </c>
      <c r="B1497" s="12" t="s">
        <v>7</v>
      </c>
      <c r="C1497" s="13">
        <v>27</v>
      </c>
      <c r="D1497" s="14">
        <v>0.7</v>
      </c>
      <c r="E1497">
        <f t="shared" si="23"/>
        <v>0</v>
      </c>
    </row>
    <row r="1498" spans="1:5" x14ac:dyDescent="0.35">
      <c r="A1498" s="7">
        <v>50137</v>
      </c>
      <c r="B1498" s="8" t="s">
        <v>6</v>
      </c>
      <c r="C1498" s="9">
        <v>23.9</v>
      </c>
      <c r="D1498" s="10">
        <v>6.2</v>
      </c>
      <c r="E1498">
        <f t="shared" si="23"/>
        <v>1.4818</v>
      </c>
    </row>
    <row r="1499" spans="1:5" x14ac:dyDescent="0.35">
      <c r="A1499" s="11">
        <v>50138</v>
      </c>
      <c r="B1499" s="12" t="s">
        <v>19</v>
      </c>
      <c r="C1499" s="13">
        <v>16.8</v>
      </c>
      <c r="D1499" s="14">
        <v>17.600000000000001</v>
      </c>
      <c r="E1499">
        <f t="shared" si="23"/>
        <v>2.9568000000000008</v>
      </c>
    </row>
    <row r="1500" spans="1:5" x14ac:dyDescent="0.35">
      <c r="A1500" s="7">
        <v>50139</v>
      </c>
      <c r="B1500" s="8" t="s">
        <v>19</v>
      </c>
      <c r="C1500" s="9">
        <v>28.5</v>
      </c>
      <c r="D1500" s="10">
        <v>15.2</v>
      </c>
      <c r="E1500">
        <f t="shared" si="23"/>
        <v>4.3319999999999999</v>
      </c>
    </row>
    <row r="1501" spans="1:5" x14ac:dyDescent="0.35">
      <c r="A1501" s="11">
        <v>50140</v>
      </c>
      <c r="B1501" s="12" t="s">
        <v>33</v>
      </c>
      <c r="C1501" s="13">
        <v>25.2</v>
      </c>
      <c r="D1501" s="14">
        <v>1.9</v>
      </c>
      <c r="E1501">
        <f t="shared" si="23"/>
        <v>0.47879999999999995</v>
      </c>
    </row>
    <row r="1502" spans="1:5" x14ac:dyDescent="0.35">
      <c r="A1502" s="7">
        <v>50141</v>
      </c>
      <c r="B1502" s="8" t="s">
        <v>10</v>
      </c>
      <c r="C1502" s="9">
        <v>24.9</v>
      </c>
      <c r="D1502" s="10">
        <v>6.8</v>
      </c>
      <c r="E1502">
        <f t="shared" si="23"/>
        <v>1.6932</v>
      </c>
    </row>
    <row r="1503" spans="1:5" x14ac:dyDescent="0.35">
      <c r="A1503" s="11">
        <v>50142</v>
      </c>
      <c r="B1503" s="12" t="s">
        <v>12</v>
      </c>
      <c r="C1503" s="13">
        <v>14.7</v>
      </c>
      <c r="D1503" s="14">
        <v>5.7</v>
      </c>
      <c r="E1503">
        <f t="shared" si="23"/>
        <v>0.83789999999999987</v>
      </c>
    </row>
    <row r="1504" spans="1:5" x14ac:dyDescent="0.35">
      <c r="A1504" s="7">
        <v>50143</v>
      </c>
      <c r="B1504" s="8" t="s">
        <v>10</v>
      </c>
      <c r="C1504" s="9">
        <v>12.2</v>
      </c>
      <c r="D1504" s="10">
        <v>14.1</v>
      </c>
      <c r="E1504">
        <f t="shared" si="23"/>
        <v>1.7201999999999997</v>
      </c>
    </row>
    <row r="1505" spans="1:5" x14ac:dyDescent="0.35">
      <c r="A1505" s="11">
        <v>50144</v>
      </c>
      <c r="B1505" s="12" t="s">
        <v>9</v>
      </c>
      <c r="C1505" s="13">
        <v>24.2</v>
      </c>
      <c r="D1505" s="14">
        <v>8</v>
      </c>
      <c r="E1505">
        <f t="shared" si="23"/>
        <v>1.9359999999999999</v>
      </c>
    </row>
    <row r="1506" spans="1:5" x14ac:dyDescent="0.35">
      <c r="A1506" s="7">
        <v>50145</v>
      </c>
      <c r="B1506" s="8" t="s">
        <v>22</v>
      </c>
      <c r="C1506" s="9">
        <v>28.7</v>
      </c>
      <c r="D1506" s="10">
        <v>0</v>
      </c>
      <c r="E1506">
        <f t="shared" si="23"/>
        <v>0</v>
      </c>
    </row>
    <row r="1507" spans="1:5" x14ac:dyDescent="0.35">
      <c r="A1507" s="11">
        <v>50146</v>
      </c>
      <c r="B1507" s="12" t="s">
        <v>10</v>
      </c>
      <c r="C1507" s="13">
        <v>28.5</v>
      </c>
      <c r="D1507" s="14">
        <v>0</v>
      </c>
      <c r="E1507">
        <f t="shared" si="23"/>
        <v>0</v>
      </c>
    </row>
    <row r="1508" spans="1:5" x14ac:dyDescent="0.35">
      <c r="A1508" s="7">
        <v>50147</v>
      </c>
      <c r="B1508" s="8" t="s">
        <v>7</v>
      </c>
      <c r="C1508" s="9">
        <v>29.3</v>
      </c>
      <c r="D1508" s="10">
        <v>23.3</v>
      </c>
      <c r="E1508">
        <f t="shared" si="23"/>
        <v>6.8269000000000002</v>
      </c>
    </row>
    <row r="1509" spans="1:5" x14ac:dyDescent="0.35">
      <c r="A1509" s="11">
        <v>50148</v>
      </c>
      <c r="B1509" s="12" t="s">
        <v>10</v>
      </c>
      <c r="C1509" s="13">
        <v>13.3</v>
      </c>
      <c r="D1509" s="14">
        <v>4.9000000000000004</v>
      </c>
      <c r="E1509">
        <f t="shared" si="23"/>
        <v>0.65170000000000006</v>
      </c>
    </row>
    <row r="1510" spans="1:5" x14ac:dyDescent="0.35">
      <c r="A1510" s="7">
        <v>50149</v>
      </c>
      <c r="B1510" s="8" t="s">
        <v>10</v>
      </c>
      <c r="C1510" s="9">
        <v>22.6</v>
      </c>
      <c r="D1510" s="10">
        <v>0.7</v>
      </c>
      <c r="E1510">
        <f t="shared" si="23"/>
        <v>0</v>
      </c>
    </row>
    <row r="1511" spans="1:5" x14ac:dyDescent="0.35">
      <c r="A1511" s="11">
        <v>50150</v>
      </c>
      <c r="B1511" s="12" t="s">
        <v>20</v>
      </c>
      <c r="C1511" s="13">
        <v>19.3</v>
      </c>
      <c r="D1511" s="14">
        <v>3</v>
      </c>
      <c r="E1511">
        <f t="shared" si="23"/>
        <v>0.57900000000000007</v>
      </c>
    </row>
    <row r="1512" spans="1:5" x14ac:dyDescent="0.35">
      <c r="A1512" s="7">
        <v>50151</v>
      </c>
      <c r="B1512" s="8" t="s">
        <v>8</v>
      </c>
      <c r="C1512" s="9">
        <v>17.899999999999999</v>
      </c>
      <c r="D1512" s="10">
        <v>5.0999999999999996</v>
      </c>
      <c r="E1512">
        <f t="shared" si="23"/>
        <v>0.91289999999999993</v>
      </c>
    </row>
    <row r="1513" spans="1:5" x14ac:dyDescent="0.35">
      <c r="A1513" s="11">
        <v>50152</v>
      </c>
      <c r="B1513" s="12" t="s">
        <v>20</v>
      </c>
      <c r="C1513" s="13">
        <v>16.7</v>
      </c>
      <c r="D1513" s="14">
        <v>0.3</v>
      </c>
      <c r="E1513">
        <f t="shared" si="23"/>
        <v>0</v>
      </c>
    </row>
    <row r="1514" spans="1:5" x14ac:dyDescent="0.35">
      <c r="A1514" s="7">
        <v>50153</v>
      </c>
      <c r="B1514" s="8" t="s">
        <v>20</v>
      </c>
      <c r="C1514" s="9">
        <v>22</v>
      </c>
      <c r="D1514" s="10">
        <v>0</v>
      </c>
      <c r="E1514">
        <f t="shared" si="23"/>
        <v>0</v>
      </c>
    </row>
    <row r="1515" spans="1:5" x14ac:dyDescent="0.35">
      <c r="A1515" s="11">
        <v>50154</v>
      </c>
      <c r="B1515" s="12" t="s">
        <v>9</v>
      </c>
      <c r="C1515" s="13">
        <v>21.2</v>
      </c>
      <c r="D1515" s="14">
        <v>5.9</v>
      </c>
      <c r="E1515">
        <f t="shared" si="23"/>
        <v>1.2507999999999999</v>
      </c>
    </row>
    <row r="1516" spans="1:5" x14ac:dyDescent="0.35">
      <c r="A1516" s="7">
        <v>50155</v>
      </c>
      <c r="B1516" s="8" t="s">
        <v>11</v>
      </c>
      <c r="C1516" s="9">
        <v>20.6</v>
      </c>
      <c r="D1516" s="10">
        <v>4.5999999999999996</v>
      </c>
      <c r="E1516">
        <f t="shared" si="23"/>
        <v>0.9476</v>
      </c>
    </row>
    <row r="1517" spans="1:5" x14ac:dyDescent="0.35">
      <c r="A1517" s="11">
        <v>50156</v>
      </c>
      <c r="B1517" s="12" t="s">
        <v>19</v>
      </c>
      <c r="C1517" s="13">
        <v>29.4</v>
      </c>
      <c r="D1517" s="14">
        <v>9.1999999999999993</v>
      </c>
      <c r="E1517">
        <f t="shared" si="23"/>
        <v>2.7047999999999996</v>
      </c>
    </row>
    <row r="1518" spans="1:5" x14ac:dyDescent="0.35">
      <c r="A1518" s="7">
        <v>50157</v>
      </c>
      <c r="B1518" s="8" t="s">
        <v>7</v>
      </c>
      <c r="C1518" s="9">
        <v>21.3</v>
      </c>
      <c r="D1518" s="10">
        <v>0</v>
      </c>
      <c r="E1518">
        <f t="shared" si="23"/>
        <v>0</v>
      </c>
    </row>
    <row r="1519" spans="1:5" x14ac:dyDescent="0.35">
      <c r="A1519" s="11">
        <v>50158</v>
      </c>
      <c r="B1519" s="12" t="s">
        <v>9</v>
      </c>
      <c r="C1519" s="13">
        <v>20.100000000000001</v>
      </c>
      <c r="D1519" s="14">
        <v>2.2000000000000002</v>
      </c>
      <c r="E1519">
        <f t="shared" si="23"/>
        <v>0.44220000000000004</v>
      </c>
    </row>
    <row r="1520" spans="1:5" x14ac:dyDescent="0.35">
      <c r="A1520" s="7">
        <v>50159</v>
      </c>
      <c r="B1520" s="8" t="s">
        <v>10</v>
      </c>
      <c r="C1520" s="9">
        <v>12.7</v>
      </c>
      <c r="D1520" s="10">
        <v>5.6</v>
      </c>
      <c r="E1520">
        <f t="shared" si="23"/>
        <v>0.71119999999999994</v>
      </c>
    </row>
    <row r="1521" spans="1:5" x14ac:dyDescent="0.35">
      <c r="A1521" s="11">
        <v>50160</v>
      </c>
      <c r="B1521" s="12" t="s">
        <v>11</v>
      </c>
      <c r="C1521" s="13">
        <v>28.9</v>
      </c>
      <c r="D1521" s="14">
        <v>0</v>
      </c>
      <c r="E1521">
        <f t="shared" si="23"/>
        <v>0</v>
      </c>
    </row>
    <row r="1522" spans="1:5" x14ac:dyDescent="0.35">
      <c r="A1522" s="7">
        <v>50161</v>
      </c>
      <c r="B1522" s="8" t="s">
        <v>19</v>
      </c>
      <c r="C1522" s="9">
        <v>24.4</v>
      </c>
      <c r="D1522" s="10">
        <v>28.7</v>
      </c>
      <c r="E1522">
        <f t="shared" si="23"/>
        <v>7.0027999999999997</v>
      </c>
    </row>
    <row r="1523" spans="1:5" x14ac:dyDescent="0.35">
      <c r="A1523" s="11">
        <v>50162</v>
      </c>
      <c r="B1523" s="12" t="s">
        <v>10</v>
      </c>
      <c r="C1523" s="13">
        <v>10.8</v>
      </c>
      <c r="D1523" s="14">
        <v>0</v>
      </c>
      <c r="E1523">
        <f t="shared" si="23"/>
        <v>0</v>
      </c>
    </row>
    <row r="1524" spans="1:5" x14ac:dyDescent="0.35">
      <c r="A1524" s="7">
        <v>50163</v>
      </c>
      <c r="B1524" s="8" t="s">
        <v>10</v>
      </c>
      <c r="C1524" s="9">
        <v>18.399999999999999</v>
      </c>
      <c r="D1524" s="10">
        <v>0</v>
      </c>
      <c r="E1524">
        <f t="shared" si="23"/>
        <v>0</v>
      </c>
    </row>
    <row r="1525" spans="1:5" x14ac:dyDescent="0.35">
      <c r="A1525" s="11">
        <v>50164</v>
      </c>
      <c r="B1525" s="12" t="s">
        <v>19</v>
      </c>
      <c r="C1525" s="13">
        <v>23.3</v>
      </c>
      <c r="D1525" s="14">
        <v>10.7</v>
      </c>
      <c r="E1525">
        <f t="shared" si="23"/>
        <v>2.4931000000000001</v>
      </c>
    </row>
    <row r="1526" spans="1:5" x14ac:dyDescent="0.35">
      <c r="A1526" s="7">
        <v>50165</v>
      </c>
      <c r="B1526" s="8" t="s">
        <v>15</v>
      </c>
      <c r="C1526" s="9">
        <v>27.9</v>
      </c>
      <c r="D1526" s="10">
        <v>14.8</v>
      </c>
      <c r="E1526">
        <f t="shared" si="23"/>
        <v>4.1292</v>
      </c>
    </row>
    <row r="1527" spans="1:5" x14ac:dyDescent="0.35">
      <c r="A1527" s="11">
        <v>50166</v>
      </c>
      <c r="B1527" s="12" t="s">
        <v>12</v>
      </c>
      <c r="C1527" s="13">
        <v>24.7</v>
      </c>
      <c r="D1527" s="14">
        <v>9</v>
      </c>
      <c r="E1527">
        <f t="shared" si="23"/>
        <v>2.2229999999999999</v>
      </c>
    </row>
    <row r="1528" spans="1:5" x14ac:dyDescent="0.35">
      <c r="A1528" s="7">
        <v>50167</v>
      </c>
      <c r="B1528" s="8" t="s">
        <v>19</v>
      </c>
      <c r="C1528" s="9">
        <v>14.3</v>
      </c>
      <c r="D1528" s="10">
        <v>22</v>
      </c>
      <c r="E1528">
        <f t="shared" si="23"/>
        <v>3.1460000000000004</v>
      </c>
    </row>
    <row r="1529" spans="1:5" x14ac:dyDescent="0.35">
      <c r="A1529" s="11">
        <v>50168</v>
      </c>
      <c r="B1529" s="12" t="s">
        <v>33</v>
      </c>
      <c r="C1529" s="13">
        <v>26.2</v>
      </c>
      <c r="D1529" s="14">
        <v>2</v>
      </c>
      <c r="E1529">
        <f t="shared" si="23"/>
        <v>0.52400000000000002</v>
      </c>
    </row>
    <row r="1530" spans="1:5" x14ac:dyDescent="0.35">
      <c r="A1530" s="7">
        <v>50169</v>
      </c>
      <c r="B1530" s="8" t="s">
        <v>16</v>
      </c>
      <c r="C1530" s="9">
        <v>21.5</v>
      </c>
      <c r="D1530" s="10">
        <v>0.4</v>
      </c>
      <c r="E1530">
        <f t="shared" si="23"/>
        <v>0</v>
      </c>
    </row>
    <row r="1531" spans="1:5" x14ac:dyDescent="0.35">
      <c r="A1531" s="11">
        <v>50170</v>
      </c>
      <c r="B1531" s="12" t="s">
        <v>10</v>
      </c>
      <c r="C1531" s="13">
        <v>12.8</v>
      </c>
      <c r="D1531" s="14">
        <v>0</v>
      </c>
      <c r="E1531">
        <f t="shared" si="23"/>
        <v>0</v>
      </c>
    </row>
    <row r="1532" spans="1:5" x14ac:dyDescent="0.35">
      <c r="A1532" s="7">
        <v>50171</v>
      </c>
      <c r="B1532" s="8" t="s">
        <v>9</v>
      </c>
      <c r="C1532" s="9">
        <v>24.6</v>
      </c>
      <c r="D1532" s="10">
        <v>3</v>
      </c>
      <c r="E1532">
        <f t="shared" si="23"/>
        <v>0.7380000000000001</v>
      </c>
    </row>
    <row r="1533" spans="1:5" x14ac:dyDescent="0.35">
      <c r="A1533" s="11">
        <v>50172</v>
      </c>
      <c r="B1533" s="12" t="s">
        <v>27</v>
      </c>
      <c r="C1533" s="13">
        <v>22.6</v>
      </c>
      <c r="D1533" s="14">
        <v>1.6</v>
      </c>
      <c r="E1533">
        <f t="shared" si="23"/>
        <v>0.36160000000000003</v>
      </c>
    </row>
    <row r="1534" spans="1:5" x14ac:dyDescent="0.35">
      <c r="A1534" s="7">
        <v>50173</v>
      </c>
      <c r="B1534" s="8" t="s">
        <v>13</v>
      </c>
      <c r="C1534" s="9">
        <v>27.3</v>
      </c>
      <c r="D1534" s="10">
        <v>9.3000000000000007</v>
      </c>
      <c r="E1534">
        <f t="shared" si="23"/>
        <v>2.5388999999999999</v>
      </c>
    </row>
    <row r="1535" spans="1:5" x14ac:dyDescent="0.35">
      <c r="A1535" s="11">
        <v>50174</v>
      </c>
      <c r="B1535" s="12" t="s">
        <v>19</v>
      </c>
      <c r="C1535" s="13">
        <v>10.8</v>
      </c>
      <c r="D1535" s="14">
        <v>22.2</v>
      </c>
      <c r="E1535">
        <f t="shared" si="23"/>
        <v>2.3976000000000002</v>
      </c>
    </row>
    <row r="1536" spans="1:5" x14ac:dyDescent="0.35">
      <c r="A1536" s="7">
        <v>50175</v>
      </c>
      <c r="B1536" s="8" t="s">
        <v>17</v>
      </c>
      <c r="C1536" s="9">
        <v>12</v>
      </c>
      <c r="D1536" s="10">
        <v>5.3</v>
      </c>
      <c r="E1536">
        <f t="shared" si="23"/>
        <v>0.6359999999999999</v>
      </c>
    </row>
    <row r="1537" spans="1:5" x14ac:dyDescent="0.35">
      <c r="A1537" s="11">
        <v>50176</v>
      </c>
      <c r="B1537" s="12" t="s">
        <v>7</v>
      </c>
      <c r="C1537" s="13">
        <v>28.1</v>
      </c>
      <c r="D1537" s="14">
        <v>0</v>
      </c>
      <c r="E1537">
        <f t="shared" si="23"/>
        <v>0</v>
      </c>
    </row>
    <row r="1538" spans="1:5" x14ac:dyDescent="0.35">
      <c r="A1538" s="7">
        <v>50177</v>
      </c>
      <c r="B1538" s="8" t="s">
        <v>11</v>
      </c>
      <c r="C1538" s="9">
        <v>16.100000000000001</v>
      </c>
      <c r="D1538" s="10">
        <v>9</v>
      </c>
      <c r="E1538">
        <f t="shared" si="23"/>
        <v>1.4490000000000001</v>
      </c>
    </row>
    <row r="1539" spans="1:5" x14ac:dyDescent="0.35">
      <c r="A1539" s="11">
        <v>50178</v>
      </c>
      <c r="B1539" s="12" t="s">
        <v>18</v>
      </c>
      <c r="C1539" s="13">
        <v>29</v>
      </c>
      <c r="D1539" s="14">
        <v>1.6</v>
      </c>
      <c r="E1539">
        <f t="shared" ref="E1539:E1602" si="24">IF(D1539&gt;=1,C1539*D1539/100,0)</f>
        <v>0.46400000000000008</v>
      </c>
    </row>
    <row r="1540" spans="1:5" x14ac:dyDescent="0.35">
      <c r="A1540" s="7">
        <v>50179</v>
      </c>
      <c r="B1540" s="8" t="s">
        <v>11</v>
      </c>
      <c r="C1540" s="9">
        <v>23.6</v>
      </c>
      <c r="D1540" s="10">
        <v>16</v>
      </c>
      <c r="E1540">
        <f t="shared" si="24"/>
        <v>3.7760000000000002</v>
      </c>
    </row>
    <row r="1541" spans="1:5" x14ac:dyDescent="0.35">
      <c r="A1541" s="11">
        <v>50180</v>
      </c>
      <c r="B1541" s="12" t="s">
        <v>19</v>
      </c>
      <c r="C1541" s="13">
        <v>11.6</v>
      </c>
      <c r="D1541" s="14">
        <v>32</v>
      </c>
      <c r="E1541">
        <f t="shared" si="24"/>
        <v>3.7119999999999997</v>
      </c>
    </row>
    <row r="1542" spans="1:5" x14ac:dyDescent="0.35">
      <c r="A1542" s="7">
        <v>50181</v>
      </c>
      <c r="B1542" s="8" t="s">
        <v>15</v>
      </c>
      <c r="C1542" s="9">
        <v>15.9</v>
      </c>
      <c r="D1542" s="10">
        <v>5.5</v>
      </c>
      <c r="E1542">
        <f t="shared" si="24"/>
        <v>0.87450000000000006</v>
      </c>
    </row>
    <row r="1543" spans="1:5" x14ac:dyDescent="0.35">
      <c r="A1543" s="11">
        <v>50182</v>
      </c>
      <c r="B1543" s="12" t="s">
        <v>26</v>
      </c>
      <c r="C1543" s="13">
        <v>28.3</v>
      </c>
      <c r="D1543" s="14">
        <v>6</v>
      </c>
      <c r="E1543">
        <f t="shared" si="24"/>
        <v>1.6980000000000002</v>
      </c>
    </row>
    <row r="1544" spans="1:5" x14ac:dyDescent="0.35">
      <c r="A1544" s="7">
        <v>50183</v>
      </c>
      <c r="B1544" s="8" t="s">
        <v>12</v>
      </c>
      <c r="C1544" s="9">
        <v>16.600000000000001</v>
      </c>
      <c r="D1544" s="10">
        <v>11.3</v>
      </c>
      <c r="E1544">
        <f t="shared" si="24"/>
        <v>1.8758000000000004</v>
      </c>
    </row>
    <row r="1545" spans="1:5" x14ac:dyDescent="0.35">
      <c r="A1545" s="11">
        <v>50184</v>
      </c>
      <c r="B1545" s="12" t="s">
        <v>22</v>
      </c>
      <c r="C1545" s="13">
        <v>25.2</v>
      </c>
      <c r="D1545" s="14">
        <v>6.4</v>
      </c>
      <c r="E1545">
        <f t="shared" si="24"/>
        <v>1.6128</v>
      </c>
    </row>
    <row r="1546" spans="1:5" x14ac:dyDescent="0.35">
      <c r="A1546" s="7">
        <v>50185</v>
      </c>
      <c r="B1546" s="8" t="s">
        <v>10</v>
      </c>
      <c r="C1546" s="9">
        <v>29.5</v>
      </c>
      <c r="D1546" s="10">
        <v>26.1</v>
      </c>
      <c r="E1546">
        <f t="shared" si="24"/>
        <v>7.6995000000000005</v>
      </c>
    </row>
    <row r="1547" spans="1:5" x14ac:dyDescent="0.35">
      <c r="A1547" s="11">
        <v>50186</v>
      </c>
      <c r="B1547" s="12" t="s">
        <v>18</v>
      </c>
      <c r="C1547" s="13">
        <v>13.3</v>
      </c>
      <c r="D1547" s="14">
        <v>7.3</v>
      </c>
      <c r="E1547">
        <f t="shared" si="24"/>
        <v>0.97089999999999999</v>
      </c>
    </row>
    <row r="1548" spans="1:5" x14ac:dyDescent="0.35">
      <c r="A1548" s="7">
        <v>50187</v>
      </c>
      <c r="B1548" s="8" t="s">
        <v>17</v>
      </c>
      <c r="C1548" s="9">
        <v>19.5</v>
      </c>
      <c r="D1548" s="10">
        <v>3.4</v>
      </c>
      <c r="E1548">
        <f t="shared" si="24"/>
        <v>0.66299999999999992</v>
      </c>
    </row>
    <row r="1549" spans="1:5" x14ac:dyDescent="0.35">
      <c r="A1549" s="11">
        <v>50188</v>
      </c>
      <c r="B1549" s="12" t="s">
        <v>25</v>
      </c>
      <c r="C1549" s="13">
        <v>11.9</v>
      </c>
      <c r="D1549" s="14">
        <v>1.7</v>
      </c>
      <c r="E1549">
        <f t="shared" si="24"/>
        <v>0.20230000000000001</v>
      </c>
    </row>
    <row r="1550" spans="1:5" x14ac:dyDescent="0.35">
      <c r="A1550" s="7">
        <v>50189</v>
      </c>
      <c r="B1550" s="8" t="s">
        <v>14</v>
      </c>
      <c r="C1550" s="9">
        <v>29.5</v>
      </c>
      <c r="D1550" s="10">
        <v>5.0999999999999996</v>
      </c>
      <c r="E1550">
        <f t="shared" si="24"/>
        <v>1.5044999999999999</v>
      </c>
    </row>
    <row r="1551" spans="1:5" x14ac:dyDescent="0.35">
      <c r="A1551" s="11">
        <v>50190</v>
      </c>
      <c r="B1551" s="12" t="s">
        <v>19</v>
      </c>
      <c r="C1551" s="13">
        <v>25.1</v>
      </c>
      <c r="D1551" s="14">
        <v>0</v>
      </c>
      <c r="E1551">
        <f t="shared" si="24"/>
        <v>0</v>
      </c>
    </row>
    <row r="1552" spans="1:5" x14ac:dyDescent="0.35">
      <c r="A1552" s="7">
        <v>50191</v>
      </c>
      <c r="B1552" s="8" t="s">
        <v>22</v>
      </c>
      <c r="C1552" s="9">
        <v>15.1</v>
      </c>
      <c r="D1552" s="10">
        <v>0</v>
      </c>
      <c r="E1552">
        <f t="shared" si="24"/>
        <v>0</v>
      </c>
    </row>
    <row r="1553" spans="1:5" x14ac:dyDescent="0.35">
      <c r="A1553" s="11">
        <v>50192</v>
      </c>
      <c r="B1553" s="12" t="s">
        <v>33</v>
      </c>
      <c r="C1553" s="13">
        <v>19.7</v>
      </c>
      <c r="D1553" s="14">
        <v>1.7</v>
      </c>
      <c r="E1553">
        <f t="shared" si="24"/>
        <v>0.33489999999999998</v>
      </c>
    </row>
    <row r="1554" spans="1:5" x14ac:dyDescent="0.35">
      <c r="A1554" s="7">
        <v>50193</v>
      </c>
      <c r="B1554" s="8" t="s">
        <v>19</v>
      </c>
      <c r="C1554" s="9">
        <v>25.6</v>
      </c>
      <c r="D1554" s="10">
        <v>0</v>
      </c>
      <c r="E1554">
        <f t="shared" si="24"/>
        <v>0</v>
      </c>
    </row>
    <row r="1555" spans="1:5" x14ac:dyDescent="0.35">
      <c r="A1555" s="11">
        <v>50194</v>
      </c>
      <c r="B1555" s="12" t="s">
        <v>11</v>
      </c>
      <c r="C1555" s="13">
        <v>25</v>
      </c>
      <c r="D1555" s="14">
        <v>18.8</v>
      </c>
      <c r="E1555">
        <f t="shared" si="24"/>
        <v>4.7</v>
      </c>
    </row>
    <row r="1556" spans="1:5" x14ac:dyDescent="0.35">
      <c r="A1556" s="7">
        <v>50195</v>
      </c>
      <c r="B1556" s="8" t="s">
        <v>23</v>
      </c>
      <c r="C1556" s="9">
        <v>11.5</v>
      </c>
      <c r="D1556" s="10">
        <v>0</v>
      </c>
      <c r="E1556">
        <f t="shared" si="24"/>
        <v>0</v>
      </c>
    </row>
    <row r="1557" spans="1:5" x14ac:dyDescent="0.35">
      <c r="A1557" s="11">
        <v>50196</v>
      </c>
      <c r="B1557" s="12" t="s">
        <v>10</v>
      </c>
      <c r="C1557" s="13">
        <v>23.8</v>
      </c>
      <c r="D1557" s="14">
        <v>7.3</v>
      </c>
      <c r="E1557">
        <f t="shared" si="24"/>
        <v>1.7374000000000001</v>
      </c>
    </row>
    <row r="1558" spans="1:5" x14ac:dyDescent="0.35">
      <c r="A1558" s="7">
        <v>50197</v>
      </c>
      <c r="B1558" s="8" t="s">
        <v>19</v>
      </c>
      <c r="C1558" s="9">
        <v>25.3</v>
      </c>
      <c r="D1558" s="10">
        <v>14.7</v>
      </c>
      <c r="E1558">
        <f t="shared" si="24"/>
        <v>3.7190999999999996</v>
      </c>
    </row>
    <row r="1559" spans="1:5" x14ac:dyDescent="0.35">
      <c r="A1559" s="11">
        <v>50198</v>
      </c>
      <c r="B1559" s="12" t="s">
        <v>10</v>
      </c>
      <c r="C1559" s="13">
        <v>22.6</v>
      </c>
      <c r="D1559" s="14">
        <v>42.2</v>
      </c>
      <c r="E1559">
        <f t="shared" si="24"/>
        <v>9.5372000000000021</v>
      </c>
    </row>
    <row r="1560" spans="1:5" x14ac:dyDescent="0.35">
      <c r="A1560" s="7">
        <v>50199</v>
      </c>
      <c r="B1560" s="8" t="s">
        <v>14</v>
      </c>
      <c r="C1560" s="9">
        <v>18.100000000000001</v>
      </c>
      <c r="D1560" s="10">
        <v>3.3</v>
      </c>
      <c r="E1560">
        <f t="shared" si="24"/>
        <v>0.59730000000000005</v>
      </c>
    </row>
    <row r="1561" spans="1:5" x14ac:dyDescent="0.35">
      <c r="A1561" s="11">
        <v>50200</v>
      </c>
      <c r="B1561" s="12" t="s">
        <v>19</v>
      </c>
      <c r="C1561" s="13">
        <v>17.8</v>
      </c>
      <c r="D1561" s="14">
        <v>0</v>
      </c>
      <c r="E1561">
        <f t="shared" si="24"/>
        <v>0</v>
      </c>
    </row>
    <row r="1562" spans="1:5" x14ac:dyDescent="0.35">
      <c r="A1562" s="7">
        <v>50201</v>
      </c>
      <c r="B1562" s="8" t="s">
        <v>10</v>
      </c>
      <c r="C1562" s="9">
        <v>25.1</v>
      </c>
      <c r="D1562" s="10">
        <v>25.5</v>
      </c>
      <c r="E1562">
        <f t="shared" si="24"/>
        <v>6.400500000000001</v>
      </c>
    </row>
    <row r="1563" spans="1:5" x14ac:dyDescent="0.35">
      <c r="A1563" s="11">
        <v>50202</v>
      </c>
      <c r="B1563" s="12" t="s">
        <v>18</v>
      </c>
      <c r="C1563" s="13">
        <v>12</v>
      </c>
      <c r="D1563" s="14">
        <v>0</v>
      </c>
      <c r="E1563">
        <f t="shared" si="24"/>
        <v>0</v>
      </c>
    </row>
    <row r="1564" spans="1:5" x14ac:dyDescent="0.35">
      <c r="A1564" s="7">
        <v>50203</v>
      </c>
      <c r="B1564" s="8" t="s">
        <v>10</v>
      </c>
      <c r="C1564" s="9">
        <v>23.2</v>
      </c>
      <c r="D1564" s="10">
        <v>0</v>
      </c>
      <c r="E1564">
        <f t="shared" si="24"/>
        <v>0</v>
      </c>
    </row>
    <row r="1565" spans="1:5" x14ac:dyDescent="0.35">
      <c r="A1565" s="11">
        <v>50204</v>
      </c>
      <c r="B1565" s="12" t="s">
        <v>6</v>
      </c>
      <c r="C1565" s="13">
        <v>16</v>
      </c>
      <c r="D1565" s="14">
        <v>7.9</v>
      </c>
      <c r="E1565">
        <f t="shared" si="24"/>
        <v>1.264</v>
      </c>
    </row>
    <row r="1566" spans="1:5" x14ac:dyDescent="0.35">
      <c r="A1566" s="7">
        <v>50205</v>
      </c>
      <c r="B1566" s="8" t="s">
        <v>15</v>
      </c>
      <c r="C1566" s="9">
        <v>26.5</v>
      </c>
      <c r="D1566" s="10">
        <v>20.2</v>
      </c>
      <c r="E1566">
        <f t="shared" si="24"/>
        <v>5.3529999999999998</v>
      </c>
    </row>
    <row r="1567" spans="1:5" x14ac:dyDescent="0.35">
      <c r="A1567" s="11">
        <v>50206</v>
      </c>
      <c r="B1567" s="12" t="s">
        <v>29</v>
      </c>
      <c r="C1567" s="13">
        <v>28.9</v>
      </c>
      <c r="D1567" s="14">
        <v>0.3</v>
      </c>
      <c r="E1567">
        <f t="shared" si="24"/>
        <v>0</v>
      </c>
    </row>
    <row r="1568" spans="1:5" x14ac:dyDescent="0.35">
      <c r="A1568" s="7">
        <v>50207</v>
      </c>
      <c r="B1568" s="8" t="s">
        <v>10</v>
      </c>
      <c r="C1568" s="9">
        <v>26.6</v>
      </c>
      <c r="D1568" s="10">
        <v>0</v>
      </c>
      <c r="E1568">
        <f t="shared" si="24"/>
        <v>0</v>
      </c>
    </row>
    <row r="1569" spans="1:5" x14ac:dyDescent="0.35">
      <c r="A1569" s="11">
        <v>50208</v>
      </c>
      <c r="B1569" s="12" t="s">
        <v>7</v>
      </c>
      <c r="C1569" s="13">
        <v>13.1</v>
      </c>
      <c r="D1569" s="14">
        <v>19.899999999999999</v>
      </c>
      <c r="E1569">
        <f t="shared" si="24"/>
        <v>2.6069</v>
      </c>
    </row>
    <row r="1570" spans="1:5" x14ac:dyDescent="0.35">
      <c r="A1570" s="7">
        <v>50209</v>
      </c>
      <c r="B1570" s="8" t="s">
        <v>10</v>
      </c>
      <c r="C1570" s="9">
        <v>21.5</v>
      </c>
      <c r="D1570" s="10">
        <v>33.4</v>
      </c>
      <c r="E1570">
        <f t="shared" si="24"/>
        <v>7.181</v>
      </c>
    </row>
    <row r="1571" spans="1:5" x14ac:dyDescent="0.35">
      <c r="A1571" s="11">
        <v>50210</v>
      </c>
      <c r="B1571" s="12" t="s">
        <v>31</v>
      </c>
      <c r="C1571" s="13">
        <v>25.7</v>
      </c>
      <c r="D1571" s="14">
        <v>0</v>
      </c>
      <c r="E1571">
        <f t="shared" si="24"/>
        <v>0</v>
      </c>
    </row>
    <row r="1572" spans="1:5" x14ac:dyDescent="0.35">
      <c r="A1572" s="7">
        <v>50211</v>
      </c>
      <c r="B1572" s="8" t="s">
        <v>19</v>
      </c>
      <c r="C1572" s="9">
        <v>11.8</v>
      </c>
      <c r="D1572" s="10">
        <v>23</v>
      </c>
      <c r="E1572">
        <f t="shared" si="24"/>
        <v>2.7140000000000004</v>
      </c>
    </row>
    <row r="1573" spans="1:5" x14ac:dyDescent="0.35">
      <c r="A1573" s="11">
        <v>50212</v>
      </c>
      <c r="B1573" s="12" t="s">
        <v>25</v>
      </c>
      <c r="C1573" s="13">
        <v>12.6</v>
      </c>
      <c r="D1573" s="14">
        <v>0.7</v>
      </c>
      <c r="E1573">
        <f t="shared" si="24"/>
        <v>0</v>
      </c>
    </row>
    <row r="1574" spans="1:5" x14ac:dyDescent="0.35">
      <c r="A1574" s="7">
        <v>50213</v>
      </c>
      <c r="B1574" s="8" t="s">
        <v>27</v>
      </c>
      <c r="C1574" s="9">
        <v>26.2</v>
      </c>
      <c r="D1574" s="10">
        <v>0.3</v>
      </c>
      <c r="E1574">
        <f t="shared" si="24"/>
        <v>0</v>
      </c>
    </row>
    <row r="1575" spans="1:5" x14ac:dyDescent="0.35">
      <c r="A1575" s="11">
        <v>50214</v>
      </c>
      <c r="B1575" s="12" t="s">
        <v>8</v>
      </c>
      <c r="C1575" s="13">
        <v>29.1</v>
      </c>
      <c r="D1575" s="14">
        <v>5</v>
      </c>
      <c r="E1575">
        <f t="shared" si="24"/>
        <v>1.4550000000000001</v>
      </c>
    </row>
    <row r="1576" spans="1:5" x14ac:dyDescent="0.35">
      <c r="A1576" s="7">
        <v>50215</v>
      </c>
      <c r="B1576" s="8" t="s">
        <v>22</v>
      </c>
      <c r="C1576" s="9">
        <v>18.899999999999999</v>
      </c>
      <c r="D1576" s="10">
        <v>7.5</v>
      </c>
      <c r="E1576">
        <f t="shared" si="24"/>
        <v>1.4175</v>
      </c>
    </row>
    <row r="1577" spans="1:5" x14ac:dyDescent="0.35">
      <c r="A1577" s="11">
        <v>50216</v>
      </c>
      <c r="B1577" s="12" t="s">
        <v>11</v>
      </c>
      <c r="C1577" s="13">
        <v>10.5</v>
      </c>
      <c r="D1577" s="14">
        <v>7.3</v>
      </c>
      <c r="E1577">
        <f t="shared" si="24"/>
        <v>0.76649999999999996</v>
      </c>
    </row>
    <row r="1578" spans="1:5" x14ac:dyDescent="0.35">
      <c r="A1578" s="7">
        <v>50217</v>
      </c>
      <c r="B1578" s="8" t="s">
        <v>23</v>
      </c>
      <c r="C1578" s="9">
        <v>15.1</v>
      </c>
      <c r="D1578" s="10">
        <v>6</v>
      </c>
      <c r="E1578">
        <f t="shared" si="24"/>
        <v>0.90599999999999992</v>
      </c>
    </row>
    <row r="1579" spans="1:5" x14ac:dyDescent="0.35">
      <c r="A1579" s="11">
        <v>50218</v>
      </c>
      <c r="B1579" s="12" t="s">
        <v>7</v>
      </c>
      <c r="C1579" s="13">
        <v>27.8</v>
      </c>
      <c r="D1579" s="14">
        <v>8.3000000000000007</v>
      </c>
      <c r="E1579">
        <f t="shared" si="24"/>
        <v>2.3074000000000003</v>
      </c>
    </row>
    <row r="1580" spans="1:5" x14ac:dyDescent="0.35">
      <c r="A1580" s="7">
        <v>50219</v>
      </c>
      <c r="B1580" s="8" t="s">
        <v>16</v>
      </c>
      <c r="C1580" s="9">
        <v>11.7</v>
      </c>
      <c r="D1580" s="10">
        <v>0.4</v>
      </c>
      <c r="E1580">
        <f t="shared" si="24"/>
        <v>0</v>
      </c>
    </row>
    <row r="1581" spans="1:5" x14ac:dyDescent="0.35">
      <c r="A1581" s="11">
        <v>50220</v>
      </c>
      <c r="B1581" s="12" t="s">
        <v>10</v>
      </c>
      <c r="C1581" s="13">
        <v>10.5</v>
      </c>
      <c r="D1581" s="14">
        <v>36.9</v>
      </c>
      <c r="E1581">
        <f t="shared" si="24"/>
        <v>3.8744999999999998</v>
      </c>
    </row>
    <row r="1582" spans="1:5" x14ac:dyDescent="0.35">
      <c r="A1582" s="7">
        <v>50221</v>
      </c>
      <c r="B1582" s="8" t="s">
        <v>5</v>
      </c>
      <c r="C1582" s="9">
        <v>21</v>
      </c>
      <c r="D1582" s="10">
        <v>7.1</v>
      </c>
      <c r="E1582">
        <f t="shared" si="24"/>
        <v>1.4909999999999999</v>
      </c>
    </row>
    <row r="1583" spans="1:5" x14ac:dyDescent="0.35">
      <c r="A1583" s="11">
        <v>50222</v>
      </c>
      <c r="B1583" s="12" t="s">
        <v>24</v>
      </c>
      <c r="C1583" s="13">
        <v>17.399999999999999</v>
      </c>
      <c r="D1583" s="14">
        <v>3.7</v>
      </c>
      <c r="E1583">
        <f t="shared" si="24"/>
        <v>0.64379999999999993</v>
      </c>
    </row>
    <row r="1584" spans="1:5" x14ac:dyDescent="0.35">
      <c r="A1584" s="7">
        <v>50223</v>
      </c>
      <c r="B1584" s="8" t="s">
        <v>18</v>
      </c>
      <c r="C1584" s="9">
        <v>21.9</v>
      </c>
      <c r="D1584" s="10">
        <v>7.6</v>
      </c>
      <c r="E1584">
        <f t="shared" si="24"/>
        <v>1.6643999999999997</v>
      </c>
    </row>
    <row r="1585" spans="1:5" x14ac:dyDescent="0.35">
      <c r="A1585" s="11">
        <v>50224</v>
      </c>
      <c r="B1585" s="12" t="s">
        <v>18</v>
      </c>
      <c r="C1585" s="13">
        <v>26</v>
      </c>
      <c r="D1585" s="14">
        <v>4.5999999999999996</v>
      </c>
      <c r="E1585">
        <f t="shared" si="24"/>
        <v>1.196</v>
      </c>
    </row>
    <row r="1586" spans="1:5" x14ac:dyDescent="0.35">
      <c r="A1586" s="7">
        <v>50225</v>
      </c>
      <c r="B1586" s="8" t="s">
        <v>19</v>
      </c>
      <c r="C1586" s="9">
        <v>12.2</v>
      </c>
      <c r="D1586" s="10">
        <v>19.3</v>
      </c>
      <c r="E1586">
        <f t="shared" si="24"/>
        <v>2.3546</v>
      </c>
    </row>
    <row r="1587" spans="1:5" x14ac:dyDescent="0.35">
      <c r="A1587" s="11">
        <v>50226</v>
      </c>
      <c r="B1587" s="12" t="s">
        <v>8</v>
      </c>
      <c r="C1587" s="13">
        <v>22.4</v>
      </c>
      <c r="D1587" s="14">
        <v>0.3</v>
      </c>
      <c r="E1587">
        <f t="shared" si="24"/>
        <v>0</v>
      </c>
    </row>
    <row r="1588" spans="1:5" x14ac:dyDescent="0.35">
      <c r="A1588" s="7">
        <v>50227</v>
      </c>
      <c r="B1588" s="8" t="s">
        <v>22</v>
      </c>
      <c r="C1588" s="9">
        <v>18.600000000000001</v>
      </c>
      <c r="D1588" s="10">
        <v>7.2</v>
      </c>
      <c r="E1588">
        <f t="shared" si="24"/>
        <v>1.3392000000000002</v>
      </c>
    </row>
    <row r="1589" spans="1:5" x14ac:dyDescent="0.35">
      <c r="A1589" s="11">
        <v>50228</v>
      </c>
      <c r="B1589" s="12" t="s">
        <v>10</v>
      </c>
      <c r="C1589" s="13">
        <v>17.100000000000001</v>
      </c>
      <c r="D1589" s="14">
        <v>0</v>
      </c>
      <c r="E1589">
        <f t="shared" si="24"/>
        <v>0</v>
      </c>
    </row>
    <row r="1590" spans="1:5" x14ac:dyDescent="0.35">
      <c r="A1590" s="7">
        <v>50229</v>
      </c>
      <c r="B1590" s="8" t="s">
        <v>19</v>
      </c>
      <c r="C1590" s="9">
        <v>25.1</v>
      </c>
      <c r="D1590" s="10">
        <v>24.3</v>
      </c>
      <c r="E1590">
        <f t="shared" si="24"/>
        <v>6.0993000000000004</v>
      </c>
    </row>
    <row r="1591" spans="1:5" x14ac:dyDescent="0.35">
      <c r="A1591" s="11">
        <v>50230</v>
      </c>
      <c r="B1591" s="12" t="s">
        <v>11</v>
      </c>
      <c r="C1591" s="13">
        <v>10.4</v>
      </c>
      <c r="D1591" s="14">
        <v>22.2</v>
      </c>
      <c r="E1591">
        <f t="shared" si="24"/>
        <v>2.3087999999999997</v>
      </c>
    </row>
    <row r="1592" spans="1:5" x14ac:dyDescent="0.35">
      <c r="A1592" s="7">
        <v>50231</v>
      </c>
      <c r="B1592" s="8" t="s">
        <v>18</v>
      </c>
      <c r="C1592" s="9">
        <v>28.9</v>
      </c>
      <c r="D1592" s="10">
        <v>0</v>
      </c>
      <c r="E1592">
        <f t="shared" si="24"/>
        <v>0</v>
      </c>
    </row>
    <row r="1593" spans="1:5" x14ac:dyDescent="0.35">
      <c r="A1593" s="11">
        <v>50232</v>
      </c>
      <c r="B1593" s="12" t="s">
        <v>31</v>
      </c>
      <c r="C1593" s="13">
        <v>24.1</v>
      </c>
      <c r="D1593" s="14">
        <v>0</v>
      </c>
      <c r="E1593">
        <f t="shared" si="24"/>
        <v>0</v>
      </c>
    </row>
    <row r="1594" spans="1:5" x14ac:dyDescent="0.35">
      <c r="A1594" s="7">
        <v>50233</v>
      </c>
      <c r="B1594" s="8" t="s">
        <v>19</v>
      </c>
      <c r="C1594" s="9">
        <v>23.2</v>
      </c>
      <c r="D1594" s="10">
        <v>22.1</v>
      </c>
      <c r="E1594">
        <f t="shared" si="24"/>
        <v>5.1272000000000002</v>
      </c>
    </row>
    <row r="1595" spans="1:5" x14ac:dyDescent="0.35">
      <c r="A1595" s="11">
        <v>50234</v>
      </c>
      <c r="B1595" s="12" t="s">
        <v>13</v>
      </c>
      <c r="C1595" s="13">
        <v>24.1</v>
      </c>
      <c r="D1595" s="14">
        <v>9.3000000000000007</v>
      </c>
      <c r="E1595">
        <f t="shared" si="24"/>
        <v>2.2413000000000003</v>
      </c>
    </row>
    <row r="1596" spans="1:5" x14ac:dyDescent="0.35">
      <c r="A1596" s="7">
        <v>50235</v>
      </c>
      <c r="B1596" s="8" t="s">
        <v>10</v>
      </c>
      <c r="C1596" s="9">
        <v>14.6</v>
      </c>
      <c r="D1596" s="10">
        <v>0</v>
      </c>
      <c r="E1596">
        <f t="shared" si="24"/>
        <v>0</v>
      </c>
    </row>
    <row r="1597" spans="1:5" x14ac:dyDescent="0.35">
      <c r="A1597" s="11">
        <v>50236</v>
      </c>
      <c r="B1597" s="12" t="s">
        <v>20</v>
      </c>
      <c r="C1597" s="13">
        <v>17.7</v>
      </c>
      <c r="D1597" s="14">
        <v>0</v>
      </c>
      <c r="E1597">
        <f t="shared" si="24"/>
        <v>0</v>
      </c>
    </row>
    <row r="1598" spans="1:5" x14ac:dyDescent="0.35">
      <c r="A1598" s="7">
        <v>50237</v>
      </c>
      <c r="B1598" s="8" t="s">
        <v>6</v>
      </c>
      <c r="C1598" s="9">
        <v>20.100000000000001</v>
      </c>
      <c r="D1598" s="10">
        <v>11.5</v>
      </c>
      <c r="E1598">
        <f t="shared" si="24"/>
        <v>2.3115000000000001</v>
      </c>
    </row>
    <row r="1599" spans="1:5" x14ac:dyDescent="0.35">
      <c r="A1599" s="11">
        <v>50238</v>
      </c>
      <c r="B1599" s="12" t="s">
        <v>8</v>
      </c>
      <c r="C1599" s="13">
        <v>27.5</v>
      </c>
      <c r="D1599" s="14">
        <v>0</v>
      </c>
      <c r="E1599">
        <f t="shared" si="24"/>
        <v>0</v>
      </c>
    </row>
    <row r="1600" spans="1:5" x14ac:dyDescent="0.35">
      <c r="A1600" s="7">
        <v>50239</v>
      </c>
      <c r="B1600" s="8" t="s">
        <v>7</v>
      </c>
      <c r="C1600" s="9">
        <v>10.9</v>
      </c>
      <c r="D1600" s="10">
        <v>9</v>
      </c>
      <c r="E1600">
        <f t="shared" si="24"/>
        <v>0.98100000000000009</v>
      </c>
    </row>
    <row r="1601" spans="1:5" x14ac:dyDescent="0.35">
      <c r="A1601" s="11">
        <v>50240</v>
      </c>
      <c r="B1601" s="12" t="s">
        <v>24</v>
      </c>
      <c r="C1601" s="13">
        <v>27.6</v>
      </c>
      <c r="D1601" s="14">
        <v>3.2</v>
      </c>
      <c r="E1601">
        <f t="shared" si="24"/>
        <v>0.8832000000000001</v>
      </c>
    </row>
    <row r="1602" spans="1:5" x14ac:dyDescent="0.35">
      <c r="A1602" s="7">
        <v>50241</v>
      </c>
      <c r="B1602" s="8" t="s">
        <v>19</v>
      </c>
      <c r="C1602" s="9">
        <v>24.5</v>
      </c>
      <c r="D1602" s="10">
        <v>15.3</v>
      </c>
      <c r="E1602">
        <f t="shared" si="24"/>
        <v>3.7485000000000004</v>
      </c>
    </row>
    <row r="1603" spans="1:5" x14ac:dyDescent="0.35">
      <c r="A1603" s="11">
        <v>50242</v>
      </c>
      <c r="B1603" s="12" t="s">
        <v>17</v>
      </c>
      <c r="C1603" s="13">
        <v>10.8</v>
      </c>
      <c r="D1603" s="14">
        <v>0</v>
      </c>
      <c r="E1603">
        <f t="shared" ref="E1603:E1666" si="25">IF(D1603&gt;=1,C1603*D1603/100,0)</f>
        <v>0</v>
      </c>
    </row>
    <row r="1604" spans="1:5" x14ac:dyDescent="0.35">
      <c r="A1604" s="7">
        <v>50243</v>
      </c>
      <c r="B1604" s="8" t="s">
        <v>19</v>
      </c>
      <c r="C1604" s="9">
        <v>28.7</v>
      </c>
      <c r="D1604" s="10">
        <v>27.2</v>
      </c>
      <c r="E1604">
        <f t="shared" si="25"/>
        <v>7.8064</v>
      </c>
    </row>
    <row r="1605" spans="1:5" x14ac:dyDescent="0.35">
      <c r="A1605" s="11">
        <v>50244</v>
      </c>
      <c r="B1605" s="12" t="s">
        <v>9</v>
      </c>
      <c r="C1605" s="13">
        <v>21.5</v>
      </c>
      <c r="D1605" s="14">
        <v>0.6</v>
      </c>
      <c r="E1605">
        <f t="shared" si="25"/>
        <v>0</v>
      </c>
    </row>
    <row r="1606" spans="1:5" x14ac:dyDescent="0.35">
      <c r="A1606" s="7">
        <v>50245</v>
      </c>
      <c r="B1606" s="8" t="s">
        <v>24</v>
      </c>
      <c r="C1606" s="9">
        <v>20.100000000000001</v>
      </c>
      <c r="D1606" s="10">
        <v>0.8</v>
      </c>
      <c r="E1606">
        <f t="shared" si="25"/>
        <v>0</v>
      </c>
    </row>
    <row r="1607" spans="1:5" x14ac:dyDescent="0.35">
      <c r="A1607" s="11">
        <v>50246</v>
      </c>
      <c r="B1607" s="12" t="s">
        <v>19</v>
      </c>
      <c r="C1607" s="13">
        <v>21.3</v>
      </c>
      <c r="D1607" s="14">
        <v>14.6</v>
      </c>
      <c r="E1607">
        <f t="shared" si="25"/>
        <v>3.1098000000000003</v>
      </c>
    </row>
    <row r="1608" spans="1:5" x14ac:dyDescent="0.35">
      <c r="A1608" s="7">
        <v>50247</v>
      </c>
      <c r="B1608" s="8" t="s">
        <v>27</v>
      </c>
      <c r="C1608" s="9">
        <v>20.2</v>
      </c>
      <c r="D1608" s="10">
        <v>6.9</v>
      </c>
      <c r="E1608">
        <f t="shared" si="25"/>
        <v>1.3937999999999999</v>
      </c>
    </row>
    <row r="1609" spans="1:5" x14ac:dyDescent="0.35">
      <c r="A1609" s="11">
        <v>50248</v>
      </c>
      <c r="B1609" s="12" t="s">
        <v>13</v>
      </c>
      <c r="C1609" s="13">
        <v>16.8</v>
      </c>
      <c r="D1609" s="14">
        <v>7.6</v>
      </c>
      <c r="E1609">
        <f t="shared" si="25"/>
        <v>1.2767999999999999</v>
      </c>
    </row>
    <row r="1610" spans="1:5" x14ac:dyDescent="0.35">
      <c r="A1610" s="7">
        <v>50249</v>
      </c>
      <c r="B1610" s="8" t="s">
        <v>6</v>
      </c>
      <c r="C1610" s="9">
        <v>26.5</v>
      </c>
      <c r="D1610" s="10">
        <v>2.5</v>
      </c>
      <c r="E1610">
        <f t="shared" si="25"/>
        <v>0.66249999999999998</v>
      </c>
    </row>
    <row r="1611" spans="1:5" x14ac:dyDescent="0.35">
      <c r="A1611" s="11">
        <v>50250</v>
      </c>
      <c r="B1611" s="12" t="s">
        <v>7</v>
      </c>
      <c r="C1611" s="13">
        <v>18.899999999999999</v>
      </c>
      <c r="D1611" s="14">
        <v>0</v>
      </c>
      <c r="E1611">
        <f t="shared" si="25"/>
        <v>0</v>
      </c>
    </row>
    <row r="1612" spans="1:5" x14ac:dyDescent="0.35">
      <c r="A1612" s="7">
        <v>50251</v>
      </c>
      <c r="B1612" s="8" t="s">
        <v>20</v>
      </c>
      <c r="C1612" s="9">
        <v>22.9</v>
      </c>
      <c r="D1612" s="10">
        <v>1.2</v>
      </c>
      <c r="E1612">
        <f t="shared" si="25"/>
        <v>0.27479999999999999</v>
      </c>
    </row>
    <row r="1613" spans="1:5" x14ac:dyDescent="0.35">
      <c r="A1613" s="11">
        <v>50252</v>
      </c>
      <c r="B1613" s="12" t="s">
        <v>19</v>
      </c>
      <c r="C1613" s="13">
        <v>11.3</v>
      </c>
      <c r="D1613" s="14">
        <v>32.700000000000003</v>
      </c>
      <c r="E1613">
        <f t="shared" si="25"/>
        <v>3.6951000000000005</v>
      </c>
    </row>
    <row r="1614" spans="1:5" x14ac:dyDescent="0.35">
      <c r="A1614" s="7">
        <v>50253</v>
      </c>
      <c r="B1614" s="8" t="s">
        <v>13</v>
      </c>
      <c r="C1614" s="9">
        <v>13</v>
      </c>
      <c r="D1614" s="10">
        <v>1.7</v>
      </c>
      <c r="E1614">
        <f t="shared" si="25"/>
        <v>0.22099999999999997</v>
      </c>
    </row>
    <row r="1615" spans="1:5" x14ac:dyDescent="0.35">
      <c r="A1615" s="11">
        <v>50254</v>
      </c>
      <c r="B1615" s="12" t="s">
        <v>8</v>
      </c>
      <c r="C1615" s="13">
        <v>18.3</v>
      </c>
      <c r="D1615" s="14">
        <v>2.5</v>
      </c>
      <c r="E1615">
        <f t="shared" si="25"/>
        <v>0.45750000000000002</v>
      </c>
    </row>
    <row r="1616" spans="1:5" x14ac:dyDescent="0.35">
      <c r="A1616" s="7">
        <v>50255</v>
      </c>
      <c r="B1616" s="8" t="s">
        <v>7</v>
      </c>
      <c r="C1616" s="9">
        <v>10.199999999999999</v>
      </c>
      <c r="D1616" s="10">
        <v>14.3</v>
      </c>
      <c r="E1616">
        <f t="shared" si="25"/>
        <v>1.4585999999999999</v>
      </c>
    </row>
    <row r="1617" spans="1:5" x14ac:dyDescent="0.35">
      <c r="A1617" s="11">
        <v>50256</v>
      </c>
      <c r="B1617" s="12" t="s">
        <v>11</v>
      </c>
      <c r="C1617" s="13">
        <v>14.5</v>
      </c>
      <c r="D1617" s="14">
        <v>10.5</v>
      </c>
      <c r="E1617">
        <f t="shared" si="25"/>
        <v>1.5225</v>
      </c>
    </row>
    <row r="1618" spans="1:5" x14ac:dyDescent="0.35">
      <c r="A1618" s="7">
        <v>50257</v>
      </c>
      <c r="B1618" s="8" t="s">
        <v>14</v>
      </c>
      <c r="C1618" s="9">
        <v>12.3</v>
      </c>
      <c r="D1618" s="10">
        <v>7.4</v>
      </c>
      <c r="E1618">
        <f t="shared" si="25"/>
        <v>0.91020000000000012</v>
      </c>
    </row>
    <row r="1619" spans="1:5" x14ac:dyDescent="0.35">
      <c r="A1619" s="11">
        <v>50258</v>
      </c>
      <c r="B1619" s="12" t="s">
        <v>13</v>
      </c>
      <c r="C1619" s="13">
        <v>17</v>
      </c>
      <c r="D1619" s="14">
        <v>16.899999999999999</v>
      </c>
      <c r="E1619">
        <f t="shared" si="25"/>
        <v>2.8729999999999993</v>
      </c>
    </row>
    <row r="1620" spans="1:5" x14ac:dyDescent="0.35">
      <c r="A1620" s="7">
        <v>50259</v>
      </c>
      <c r="B1620" s="8" t="s">
        <v>5</v>
      </c>
      <c r="C1620" s="9">
        <v>17.5</v>
      </c>
      <c r="D1620" s="10">
        <v>0</v>
      </c>
      <c r="E1620">
        <f t="shared" si="25"/>
        <v>0</v>
      </c>
    </row>
    <row r="1621" spans="1:5" x14ac:dyDescent="0.35">
      <c r="A1621" s="11">
        <v>50260</v>
      </c>
      <c r="B1621" s="12" t="s">
        <v>4</v>
      </c>
      <c r="C1621" s="13">
        <v>28.4</v>
      </c>
      <c r="D1621" s="14">
        <v>0</v>
      </c>
      <c r="E1621">
        <f t="shared" si="25"/>
        <v>0</v>
      </c>
    </row>
    <row r="1622" spans="1:5" x14ac:dyDescent="0.35">
      <c r="A1622" s="7">
        <v>50261</v>
      </c>
      <c r="B1622" s="8" t="s">
        <v>19</v>
      </c>
      <c r="C1622" s="9">
        <v>13.1</v>
      </c>
      <c r="D1622" s="10">
        <v>36.6</v>
      </c>
      <c r="E1622">
        <f t="shared" si="25"/>
        <v>4.7946</v>
      </c>
    </row>
    <row r="1623" spans="1:5" x14ac:dyDescent="0.35">
      <c r="A1623" s="11">
        <v>50262</v>
      </c>
      <c r="B1623" s="12" t="s">
        <v>7</v>
      </c>
      <c r="C1623" s="13">
        <v>16.600000000000001</v>
      </c>
      <c r="D1623" s="14">
        <v>6.6</v>
      </c>
      <c r="E1623">
        <f t="shared" si="25"/>
        <v>1.0956000000000001</v>
      </c>
    </row>
    <row r="1624" spans="1:5" x14ac:dyDescent="0.35">
      <c r="A1624" s="7">
        <v>50263</v>
      </c>
      <c r="B1624" s="8" t="s">
        <v>19</v>
      </c>
      <c r="C1624" s="9">
        <v>20.2</v>
      </c>
      <c r="D1624" s="10">
        <v>0</v>
      </c>
      <c r="E1624">
        <f t="shared" si="25"/>
        <v>0</v>
      </c>
    </row>
    <row r="1625" spans="1:5" x14ac:dyDescent="0.35">
      <c r="A1625" s="11">
        <v>50264</v>
      </c>
      <c r="B1625" s="12" t="s">
        <v>7</v>
      </c>
      <c r="C1625" s="13">
        <v>26.4</v>
      </c>
      <c r="D1625" s="14">
        <v>11.9</v>
      </c>
      <c r="E1625">
        <f t="shared" si="25"/>
        <v>3.1415999999999995</v>
      </c>
    </row>
    <row r="1626" spans="1:5" x14ac:dyDescent="0.35">
      <c r="A1626" s="7">
        <v>50265</v>
      </c>
      <c r="B1626" s="8" t="s">
        <v>10</v>
      </c>
      <c r="C1626" s="9">
        <v>11.8</v>
      </c>
      <c r="D1626" s="10">
        <v>0</v>
      </c>
      <c r="E1626">
        <f t="shared" si="25"/>
        <v>0</v>
      </c>
    </row>
    <row r="1627" spans="1:5" x14ac:dyDescent="0.35">
      <c r="A1627" s="11">
        <v>50266</v>
      </c>
      <c r="B1627" s="12" t="s">
        <v>17</v>
      </c>
      <c r="C1627" s="13">
        <v>19.5</v>
      </c>
      <c r="D1627" s="14">
        <v>6.4</v>
      </c>
      <c r="E1627">
        <f t="shared" si="25"/>
        <v>1.2480000000000002</v>
      </c>
    </row>
    <row r="1628" spans="1:5" x14ac:dyDescent="0.35">
      <c r="A1628" s="7">
        <v>50267</v>
      </c>
      <c r="B1628" s="8" t="s">
        <v>19</v>
      </c>
      <c r="C1628" s="9">
        <v>12</v>
      </c>
      <c r="D1628" s="10">
        <v>13.3</v>
      </c>
      <c r="E1628">
        <f t="shared" si="25"/>
        <v>1.5960000000000003</v>
      </c>
    </row>
    <row r="1629" spans="1:5" x14ac:dyDescent="0.35">
      <c r="A1629" s="11">
        <v>50268</v>
      </c>
      <c r="B1629" s="12" t="s">
        <v>22</v>
      </c>
      <c r="C1629" s="13">
        <v>16.3</v>
      </c>
      <c r="D1629" s="14">
        <v>7.5</v>
      </c>
      <c r="E1629">
        <f t="shared" si="25"/>
        <v>1.2224999999999999</v>
      </c>
    </row>
    <row r="1630" spans="1:5" x14ac:dyDescent="0.35">
      <c r="A1630" s="7">
        <v>50269</v>
      </c>
      <c r="B1630" s="8" t="s">
        <v>17</v>
      </c>
      <c r="C1630" s="9">
        <v>22.8</v>
      </c>
      <c r="D1630" s="10">
        <v>2.7</v>
      </c>
      <c r="E1630">
        <f t="shared" si="25"/>
        <v>0.61560000000000015</v>
      </c>
    </row>
    <row r="1631" spans="1:5" x14ac:dyDescent="0.35">
      <c r="A1631" s="11">
        <v>50270</v>
      </c>
      <c r="B1631" s="12" t="s">
        <v>10</v>
      </c>
      <c r="C1631" s="13">
        <v>16.2</v>
      </c>
      <c r="D1631" s="14">
        <v>43.3</v>
      </c>
      <c r="E1631">
        <f t="shared" si="25"/>
        <v>7.0145999999999988</v>
      </c>
    </row>
    <row r="1632" spans="1:5" x14ac:dyDescent="0.35">
      <c r="A1632" s="7">
        <v>50271</v>
      </c>
      <c r="B1632" s="8" t="s">
        <v>24</v>
      </c>
      <c r="C1632" s="9">
        <v>11.5</v>
      </c>
      <c r="D1632" s="10">
        <v>3.1</v>
      </c>
      <c r="E1632">
        <f t="shared" si="25"/>
        <v>0.35649999999999998</v>
      </c>
    </row>
    <row r="1633" spans="1:5" x14ac:dyDescent="0.35">
      <c r="A1633" s="11">
        <v>50272</v>
      </c>
      <c r="B1633" s="12" t="s">
        <v>13</v>
      </c>
      <c r="C1633" s="13">
        <v>13.5</v>
      </c>
      <c r="D1633" s="14">
        <v>0</v>
      </c>
      <c r="E1633">
        <f t="shared" si="25"/>
        <v>0</v>
      </c>
    </row>
    <row r="1634" spans="1:5" x14ac:dyDescent="0.35">
      <c r="A1634" s="7">
        <v>50273</v>
      </c>
      <c r="B1634" s="8" t="s">
        <v>17</v>
      </c>
      <c r="C1634" s="9">
        <v>16.2</v>
      </c>
      <c r="D1634" s="10">
        <v>6.4</v>
      </c>
      <c r="E1634">
        <f t="shared" si="25"/>
        <v>1.0368000000000002</v>
      </c>
    </row>
    <row r="1635" spans="1:5" x14ac:dyDescent="0.35">
      <c r="A1635" s="11">
        <v>50274</v>
      </c>
      <c r="B1635" s="12" t="s">
        <v>10</v>
      </c>
      <c r="C1635" s="13">
        <v>18.5</v>
      </c>
      <c r="D1635" s="14">
        <v>24.9</v>
      </c>
      <c r="E1635">
        <f t="shared" si="25"/>
        <v>4.6064999999999996</v>
      </c>
    </row>
    <row r="1636" spans="1:5" x14ac:dyDescent="0.35">
      <c r="A1636" s="7">
        <v>50275</v>
      </c>
      <c r="B1636" s="8" t="s">
        <v>19</v>
      </c>
      <c r="C1636" s="9">
        <v>10.9</v>
      </c>
      <c r="D1636" s="10">
        <v>0</v>
      </c>
      <c r="E1636">
        <f t="shared" si="25"/>
        <v>0</v>
      </c>
    </row>
    <row r="1637" spans="1:5" x14ac:dyDescent="0.35">
      <c r="A1637" s="11">
        <v>50276</v>
      </c>
      <c r="B1637" s="12" t="s">
        <v>17</v>
      </c>
      <c r="C1637" s="13">
        <v>23.9</v>
      </c>
      <c r="D1637" s="14">
        <v>4.5</v>
      </c>
      <c r="E1637">
        <f t="shared" si="25"/>
        <v>1.0754999999999999</v>
      </c>
    </row>
    <row r="1638" spans="1:5" x14ac:dyDescent="0.35">
      <c r="A1638" s="7">
        <v>50277</v>
      </c>
      <c r="B1638" s="8" t="s">
        <v>11</v>
      </c>
      <c r="C1638" s="9">
        <v>20.2</v>
      </c>
      <c r="D1638" s="10">
        <v>0</v>
      </c>
      <c r="E1638">
        <f t="shared" si="25"/>
        <v>0</v>
      </c>
    </row>
    <row r="1639" spans="1:5" x14ac:dyDescent="0.35">
      <c r="A1639" s="11">
        <v>50278</v>
      </c>
      <c r="B1639" s="12" t="s">
        <v>7</v>
      </c>
      <c r="C1639" s="13">
        <v>23.3</v>
      </c>
      <c r="D1639" s="14">
        <v>0</v>
      </c>
      <c r="E1639">
        <f t="shared" si="25"/>
        <v>0</v>
      </c>
    </row>
    <row r="1640" spans="1:5" x14ac:dyDescent="0.35">
      <c r="A1640" s="7">
        <v>50279</v>
      </c>
      <c r="B1640" s="8" t="s">
        <v>13</v>
      </c>
      <c r="C1640" s="9">
        <v>26.3</v>
      </c>
      <c r="D1640" s="10">
        <v>2.2000000000000002</v>
      </c>
      <c r="E1640">
        <f t="shared" si="25"/>
        <v>0.57860000000000011</v>
      </c>
    </row>
    <row r="1641" spans="1:5" x14ac:dyDescent="0.35">
      <c r="A1641" s="11">
        <v>50280</v>
      </c>
      <c r="B1641" s="12" t="s">
        <v>13</v>
      </c>
      <c r="C1641" s="13">
        <v>20.3</v>
      </c>
      <c r="D1641" s="14">
        <v>16.600000000000001</v>
      </c>
      <c r="E1641">
        <f t="shared" si="25"/>
        <v>3.3698000000000001</v>
      </c>
    </row>
    <row r="1642" spans="1:5" x14ac:dyDescent="0.35">
      <c r="A1642" s="7">
        <v>50281</v>
      </c>
      <c r="B1642" s="8" t="s">
        <v>10</v>
      </c>
      <c r="C1642" s="9">
        <v>11.1</v>
      </c>
      <c r="D1642" s="10">
        <v>38</v>
      </c>
      <c r="E1642">
        <f t="shared" si="25"/>
        <v>4.218</v>
      </c>
    </row>
    <row r="1643" spans="1:5" x14ac:dyDescent="0.35">
      <c r="A1643" s="11">
        <v>50282</v>
      </c>
      <c r="B1643" s="12" t="s">
        <v>5</v>
      </c>
      <c r="C1643" s="13">
        <v>10.7</v>
      </c>
      <c r="D1643" s="14">
        <v>1.2</v>
      </c>
      <c r="E1643">
        <f t="shared" si="25"/>
        <v>0.12839999999999999</v>
      </c>
    </row>
    <row r="1644" spans="1:5" x14ac:dyDescent="0.35">
      <c r="A1644" s="7">
        <v>50283</v>
      </c>
      <c r="B1644" s="8" t="s">
        <v>21</v>
      </c>
      <c r="C1644" s="9">
        <v>21.8</v>
      </c>
      <c r="D1644" s="10">
        <v>0</v>
      </c>
      <c r="E1644">
        <f t="shared" si="25"/>
        <v>0</v>
      </c>
    </row>
    <row r="1645" spans="1:5" x14ac:dyDescent="0.35">
      <c r="A1645" s="11">
        <v>50284</v>
      </c>
      <c r="B1645" s="12" t="s">
        <v>7</v>
      </c>
      <c r="C1645" s="13">
        <v>29.7</v>
      </c>
      <c r="D1645" s="14">
        <v>2.5</v>
      </c>
      <c r="E1645">
        <f t="shared" si="25"/>
        <v>0.74250000000000005</v>
      </c>
    </row>
    <row r="1646" spans="1:5" x14ac:dyDescent="0.35">
      <c r="A1646" s="7">
        <v>50285</v>
      </c>
      <c r="B1646" s="8" t="s">
        <v>10</v>
      </c>
      <c r="C1646" s="9">
        <v>21.7</v>
      </c>
      <c r="D1646" s="10">
        <v>16.100000000000001</v>
      </c>
      <c r="E1646">
        <f t="shared" si="25"/>
        <v>3.4937</v>
      </c>
    </row>
    <row r="1647" spans="1:5" x14ac:dyDescent="0.35">
      <c r="A1647" s="11">
        <v>50286</v>
      </c>
      <c r="B1647" s="12" t="s">
        <v>10</v>
      </c>
      <c r="C1647" s="13">
        <v>26</v>
      </c>
      <c r="D1647" s="14">
        <v>47.6</v>
      </c>
      <c r="E1647">
        <f t="shared" si="25"/>
        <v>12.376000000000001</v>
      </c>
    </row>
    <row r="1648" spans="1:5" x14ac:dyDescent="0.35">
      <c r="A1648" s="7">
        <v>50287</v>
      </c>
      <c r="B1648" s="8" t="s">
        <v>7</v>
      </c>
      <c r="C1648" s="9">
        <v>18</v>
      </c>
      <c r="D1648" s="10">
        <v>5.3</v>
      </c>
      <c r="E1648">
        <f t="shared" si="25"/>
        <v>0.95399999999999996</v>
      </c>
    </row>
    <row r="1649" spans="1:5" x14ac:dyDescent="0.35">
      <c r="A1649" s="11">
        <v>50288</v>
      </c>
      <c r="B1649" s="12" t="s">
        <v>24</v>
      </c>
      <c r="C1649" s="13">
        <v>15.8</v>
      </c>
      <c r="D1649" s="14">
        <v>3.6</v>
      </c>
      <c r="E1649">
        <f t="shared" si="25"/>
        <v>0.56879999999999997</v>
      </c>
    </row>
    <row r="1650" spans="1:5" x14ac:dyDescent="0.35">
      <c r="A1650" s="7">
        <v>50289</v>
      </c>
      <c r="B1650" s="8" t="s">
        <v>26</v>
      </c>
      <c r="C1650" s="9">
        <v>14.1</v>
      </c>
      <c r="D1650" s="10">
        <v>6.8</v>
      </c>
      <c r="E1650">
        <f t="shared" si="25"/>
        <v>0.95879999999999999</v>
      </c>
    </row>
    <row r="1651" spans="1:5" x14ac:dyDescent="0.35">
      <c r="A1651" s="11">
        <v>50290</v>
      </c>
      <c r="B1651" s="12" t="s">
        <v>24</v>
      </c>
      <c r="C1651" s="13">
        <v>22.3</v>
      </c>
      <c r="D1651" s="14">
        <v>1.8</v>
      </c>
      <c r="E1651">
        <f t="shared" si="25"/>
        <v>0.40139999999999998</v>
      </c>
    </row>
    <row r="1652" spans="1:5" x14ac:dyDescent="0.35">
      <c r="A1652" s="7">
        <v>50291</v>
      </c>
      <c r="B1652" s="8" t="s">
        <v>19</v>
      </c>
      <c r="C1652" s="9">
        <v>22.2</v>
      </c>
      <c r="D1652" s="10">
        <v>0</v>
      </c>
      <c r="E1652">
        <f t="shared" si="25"/>
        <v>0</v>
      </c>
    </row>
    <row r="1653" spans="1:5" x14ac:dyDescent="0.35">
      <c r="A1653" s="11">
        <v>50292</v>
      </c>
      <c r="B1653" s="12" t="s">
        <v>6</v>
      </c>
      <c r="C1653" s="13">
        <v>23.8</v>
      </c>
      <c r="D1653" s="14">
        <v>0</v>
      </c>
      <c r="E1653">
        <f t="shared" si="25"/>
        <v>0</v>
      </c>
    </row>
    <row r="1654" spans="1:5" x14ac:dyDescent="0.35">
      <c r="A1654" s="7">
        <v>50293</v>
      </c>
      <c r="B1654" s="8" t="s">
        <v>14</v>
      </c>
      <c r="C1654" s="9">
        <v>10</v>
      </c>
      <c r="D1654" s="10">
        <v>8.1</v>
      </c>
      <c r="E1654">
        <f t="shared" si="25"/>
        <v>0.81</v>
      </c>
    </row>
    <row r="1655" spans="1:5" x14ac:dyDescent="0.35">
      <c r="A1655" s="11">
        <v>50294</v>
      </c>
      <c r="B1655" s="12" t="s">
        <v>24</v>
      </c>
      <c r="C1655" s="13">
        <v>23.8</v>
      </c>
      <c r="D1655" s="14">
        <v>0</v>
      </c>
      <c r="E1655">
        <f t="shared" si="25"/>
        <v>0</v>
      </c>
    </row>
    <row r="1656" spans="1:5" x14ac:dyDescent="0.35">
      <c r="A1656" s="7">
        <v>50295</v>
      </c>
      <c r="B1656" s="8" t="s">
        <v>23</v>
      </c>
      <c r="C1656" s="9">
        <v>13.4</v>
      </c>
      <c r="D1656" s="10">
        <v>2.6</v>
      </c>
      <c r="E1656">
        <f t="shared" si="25"/>
        <v>0.34840000000000004</v>
      </c>
    </row>
    <row r="1657" spans="1:5" x14ac:dyDescent="0.35">
      <c r="A1657" s="11">
        <v>50296</v>
      </c>
      <c r="B1657" s="12" t="s">
        <v>24</v>
      </c>
      <c r="C1657" s="13">
        <v>17</v>
      </c>
      <c r="D1657" s="14">
        <v>1.5</v>
      </c>
      <c r="E1657">
        <f t="shared" si="25"/>
        <v>0.255</v>
      </c>
    </row>
    <row r="1658" spans="1:5" x14ac:dyDescent="0.35">
      <c r="A1658" s="7">
        <v>50297</v>
      </c>
      <c r="B1658" s="8" t="s">
        <v>6</v>
      </c>
      <c r="C1658" s="9">
        <v>25.5</v>
      </c>
      <c r="D1658" s="10">
        <v>0</v>
      </c>
      <c r="E1658">
        <f t="shared" si="25"/>
        <v>0</v>
      </c>
    </row>
    <row r="1659" spans="1:5" x14ac:dyDescent="0.35">
      <c r="A1659" s="11">
        <v>50298</v>
      </c>
      <c r="B1659" s="12" t="s">
        <v>14</v>
      </c>
      <c r="C1659" s="13">
        <v>19.7</v>
      </c>
      <c r="D1659" s="14">
        <v>0</v>
      </c>
      <c r="E1659">
        <f t="shared" si="25"/>
        <v>0</v>
      </c>
    </row>
    <row r="1660" spans="1:5" x14ac:dyDescent="0.35">
      <c r="A1660" s="7">
        <v>50299</v>
      </c>
      <c r="B1660" s="8" t="s">
        <v>10</v>
      </c>
      <c r="C1660" s="9">
        <v>22.8</v>
      </c>
      <c r="D1660" s="10">
        <v>10.7</v>
      </c>
      <c r="E1660">
        <f t="shared" si="25"/>
        <v>2.4396</v>
      </c>
    </row>
    <row r="1661" spans="1:5" x14ac:dyDescent="0.35">
      <c r="A1661" s="11">
        <v>50300</v>
      </c>
      <c r="B1661" s="12" t="s">
        <v>16</v>
      </c>
      <c r="C1661" s="13">
        <v>25.5</v>
      </c>
      <c r="D1661" s="14">
        <v>0</v>
      </c>
      <c r="E1661">
        <f t="shared" si="25"/>
        <v>0</v>
      </c>
    </row>
    <row r="1662" spans="1:5" x14ac:dyDescent="0.35">
      <c r="A1662" s="7">
        <v>50301</v>
      </c>
      <c r="B1662" s="8" t="s">
        <v>10</v>
      </c>
      <c r="C1662" s="9">
        <v>16.8</v>
      </c>
      <c r="D1662" s="10">
        <v>2.2000000000000002</v>
      </c>
      <c r="E1662">
        <f t="shared" si="25"/>
        <v>0.3696000000000001</v>
      </c>
    </row>
    <row r="1663" spans="1:5" x14ac:dyDescent="0.35">
      <c r="A1663" s="11">
        <v>50302</v>
      </c>
      <c r="B1663" s="12" t="s">
        <v>23</v>
      </c>
      <c r="C1663" s="13">
        <v>25.3</v>
      </c>
      <c r="D1663" s="14">
        <v>2.5</v>
      </c>
      <c r="E1663">
        <f t="shared" si="25"/>
        <v>0.63249999999999995</v>
      </c>
    </row>
    <row r="1664" spans="1:5" x14ac:dyDescent="0.35">
      <c r="A1664" s="7">
        <v>50303</v>
      </c>
      <c r="B1664" s="8" t="s">
        <v>25</v>
      </c>
      <c r="C1664" s="9">
        <v>26.3</v>
      </c>
      <c r="D1664" s="10">
        <v>0.4</v>
      </c>
      <c r="E1664">
        <f t="shared" si="25"/>
        <v>0</v>
      </c>
    </row>
    <row r="1665" spans="1:5" x14ac:dyDescent="0.35">
      <c r="A1665" s="11">
        <v>50304</v>
      </c>
      <c r="B1665" s="12" t="s">
        <v>13</v>
      </c>
      <c r="C1665" s="13">
        <v>21.9</v>
      </c>
      <c r="D1665" s="14">
        <v>7</v>
      </c>
      <c r="E1665">
        <f t="shared" si="25"/>
        <v>1.5329999999999999</v>
      </c>
    </row>
    <row r="1666" spans="1:5" x14ac:dyDescent="0.35">
      <c r="A1666" s="7">
        <v>50305</v>
      </c>
      <c r="B1666" s="8" t="s">
        <v>13</v>
      </c>
      <c r="C1666" s="9">
        <v>11.2</v>
      </c>
      <c r="D1666" s="10">
        <v>0</v>
      </c>
      <c r="E1666">
        <f t="shared" si="25"/>
        <v>0</v>
      </c>
    </row>
    <row r="1667" spans="1:5" x14ac:dyDescent="0.35">
      <c r="A1667" s="11">
        <v>50306</v>
      </c>
      <c r="B1667" s="12" t="s">
        <v>15</v>
      </c>
      <c r="C1667" s="13">
        <v>10.6</v>
      </c>
      <c r="D1667" s="14">
        <v>5.2</v>
      </c>
      <c r="E1667">
        <f t="shared" ref="E1667:E1730" si="26">IF(D1667&gt;=1,C1667*D1667/100,0)</f>
        <v>0.55120000000000002</v>
      </c>
    </row>
    <row r="1668" spans="1:5" x14ac:dyDescent="0.35">
      <c r="A1668" s="7">
        <v>50307</v>
      </c>
      <c r="B1668" s="8" t="s">
        <v>12</v>
      </c>
      <c r="C1668" s="9">
        <v>17.7</v>
      </c>
      <c r="D1668" s="10">
        <v>1</v>
      </c>
      <c r="E1668">
        <f t="shared" si="26"/>
        <v>0.17699999999999999</v>
      </c>
    </row>
    <row r="1669" spans="1:5" x14ac:dyDescent="0.35">
      <c r="A1669" s="11">
        <v>50308</v>
      </c>
      <c r="B1669" s="12" t="s">
        <v>7</v>
      </c>
      <c r="C1669" s="13">
        <v>19.899999999999999</v>
      </c>
      <c r="D1669" s="14">
        <v>0</v>
      </c>
      <c r="E1669">
        <f t="shared" si="26"/>
        <v>0</v>
      </c>
    </row>
    <row r="1670" spans="1:5" x14ac:dyDescent="0.35">
      <c r="A1670" s="7">
        <v>50309</v>
      </c>
      <c r="B1670" s="8" t="s">
        <v>10</v>
      </c>
      <c r="C1670" s="9">
        <v>25.1</v>
      </c>
      <c r="D1670" s="10">
        <v>42.1</v>
      </c>
      <c r="E1670">
        <f t="shared" si="26"/>
        <v>10.5671</v>
      </c>
    </row>
    <row r="1671" spans="1:5" x14ac:dyDescent="0.35">
      <c r="A1671" s="11">
        <v>50310</v>
      </c>
      <c r="B1671" s="12" t="s">
        <v>9</v>
      </c>
      <c r="C1671" s="13">
        <v>18.5</v>
      </c>
      <c r="D1671" s="14">
        <v>0.3</v>
      </c>
      <c r="E1671">
        <f t="shared" si="26"/>
        <v>0</v>
      </c>
    </row>
    <row r="1672" spans="1:5" x14ac:dyDescent="0.35">
      <c r="A1672" s="7">
        <v>50311</v>
      </c>
      <c r="B1672" s="8" t="s">
        <v>10</v>
      </c>
      <c r="C1672" s="9">
        <v>25.5</v>
      </c>
      <c r="D1672" s="10">
        <v>25.3</v>
      </c>
      <c r="E1672">
        <f t="shared" si="26"/>
        <v>6.4514999999999993</v>
      </c>
    </row>
    <row r="1673" spans="1:5" x14ac:dyDescent="0.35">
      <c r="A1673" s="11">
        <v>50312</v>
      </c>
      <c r="B1673" s="12" t="s">
        <v>10</v>
      </c>
      <c r="C1673" s="13">
        <v>12.8</v>
      </c>
      <c r="D1673" s="14">
        <v>0</v>
      </c>
      <c r="E1673">
        <f t="shared" si="26"/>
        <v>0</v>
      </c>
    </row>
    <row r="1674" spans="1:5" x14ac:dyDescent="0.35">
      <c r="A1674" s="7">
        <v>50313</v>
      </c>
      <c r="B1674" s="8" t="s">
        <v>19</v>
      </c>
      <c r="C1674" s="9">
        <v>23.6</v>
      </c>
      <c r="D1674" s="10">
        <v>34.299999999999997</v>
      </c>
      <c r="E1674">
        <f t="shared" si="26"/>
        <v>8.0947999999999993</v>
      </c>
    </row>
    <row r="1675" spans="1:5" x14ac:dyDescent="0.35">
      <c r="A1675" s="11">
        <v>50314</v>
      </c>
      <c r="B1675" s="12" t="s">
        <v>15</v>
      </c>
      <c r="C1675" s="13">
        <v>13.1</v>
      </c>
      <c r="D1675" s="14">
        <v>2</v>
      </c>
      <c r="E1675">
        <f t="shared" si="26"/>
        <v>0.26200000000000001</v>
      </c>
    </row>
    <row r="1676" spans="1:5" x14ac:dyDescent="0.35">
      <c r="A1676" s="7">
        <v>50315</v>
      </c>
      <c r="B1676" s="8" t="s">
        <v>23</v>
      </c>
      <c r="C1676" s="9">
        <v>23</v>
      </c>
      <c r="D1676" s="10">
        <v>0</v>
      </c>
      <c r="E1676">
        <f t="shared" si="26"/>
        <v>0</v>
      </c>
    </row>
    <row r="1677" spans="1:5" x14ac:dyDescent="0.35">
      <c r="A1677" s="11">
        <v>50316</v>
      </c>
      <c r="B1677" s="12" t="s">
        <v>13</v>
      </c>
      <c r="C1677" s="13">
        <v>13</v>
      </c>
      <c r="D1677" s="14">
        <v>15.8</v>
      </c>
      <c r="E1677">
        <f t="shared" si="26"/>
        <v>2.0540000000000003</v>
      </c>
    </row>
    <row r="1678" spans="1:5" x14ac:dyDescent="0.35">
      <c r="A1678" s="7">
        <v>50317</v>
      </c>
      <c r="B1678" s="8" t="s">
        <v>9</v>
      </c>
      <c r="C1678" s="9">
        <v>19.5</v>
      </c>
      <c r="D1678" s="10">
        <v>8</v>
      </c>
      <c r="E1678">
        <f t="shared" si="26"/>
        <v>1.56</v>
      </c>
    </row>
    <row r="1679" spans="1:5" x14ac:dyDescent="0.35">
      <c r="A1679" s="11">
        <v>50318</v>
      </c>
      <c r="B1679" s="12" t="s">
        <v>7</v>
      </c>
      <c r="C1679" s="13">
        <v>19.2</v>
      </c>
      <c r="D1679" s="14">
        <v>0</v>
      </c>
      <c r="E1679">
        <f t="shared" si="26"/>
        <v>0</v>
      </c>
    </row>
    <row r="1680" spans="1:5" x14ac:dyDescent="0.35">
      <c r="A1680" s="7">
        <v>50319</v>
      </c>
      <c r="B1680" s="8" t="s">
        <v>5</v>
      </c>
      <c r="C1680" s="9">
        <v>28.3</v>
      </c>
      <c r="D1680" s="10">
        <v>1.1000000000000001</v>
      </c>
      <c r="E1680">
        <f t="shared" si="26"/>
        <v>0.31130000000000002</v>
      </c>
    </row>
    <row r="1681" spans="1:5" x14ac:dyDescent="0.35">
      <c r="A1681" s="11">
        <v>50320</v>
      </c>
      <c r="B1681" s="12" t="s">
        <v>10</v>
      </c>
      <c r="C1681" s="13">
        <v>18.100000000000001</v>
      </c>
      <c r="D1681" s="14">
        <v>0</v>
      </c>
      <c r="E1681">
        <f t="shared" si="26"/>
        <v>0</v>
      </c>
    </row>
    <row r="1682" spans="1:5" x14ac:dyDescent="0.35">
      <c r="A1682" s="7">
        <v>50321</v>
      </c>
      <c r="B1682" s="8" t="s">
        <v>19</v>
      </c>
      <c r="C1682" s="9">
        <v>17.5</v>
      </c>
      <c r="D1682" s="10">
        <v>13.3</v>
      </c>
      <c r="E1682">
        <f t="shared" si="26"/>
        <v>2.3275000000000001</v>
      </c>
    </row>
    <row r="1683" spans="1:5" x14ac:dyDescent="0.35">
      <c r="A1683" s="11">
        <v>50322</v>
      </c>
      <c r="B1683" s="12" t="s">
        <v>6</v>
      </c>
      <c r="C1683" s="13">
        <v>26.7</v>
      </c>
      <c r="D1683" s="14">
        <v>12.9</v>
      </c>
      <c r="E1683">
        <f t="shared" si="26"/>
        <v>3.4443000000000001</v>
      </c>
    </row>
    <row r="1684" spans="1:5" x14ac:dyDescent="0.35">
      <c r="A1684" s="7">
        <v>50323</v>
      </c>
      <c r="B1684" s="8" t="s">
        <v>19</v>
      </c>
      <c r="C1684" s="9">
        <v>26.6</v>
      </c>
      <c r="D1684" s="10">
        <v>0</v>
      </c>
      <c r="E1684">
        <f t="shared" si="26"/>
        <v>0</v>
      </c>
    </row>
    <row r="1685" spans="1:5" x14ac:dyDescent="0.35">
      <c r="A1685" s="11">
        <v>50324</v>
      </c>
      <c r="B1685" s="12" t="s">
        <v>22</v>
      </c>
      <c r="C1685" s="13">
        <v>12.2</v>
      </c>
      <c r="D1685" s="14">
        <v>1.8</v>
      </c>
      <c r="E1685">
        <f t="shared" si="26"/>
        <v>0.21960000000000002</v>
      </c>
    </row>
    <row r="1686" spans="1:5" x14ac:dyDescent="0.35">
      <c r="A1686" s="7">
        <v>50325</v>
      </c>
      <c r="B1686" s="8" t="s">
        <v>7</v>
      </c>
      <c r="C1686" s="9">
        <v>27.4</v>
      </c>
      <c r="D1686" s="10">
        <v>4.8</v>
      </c>
      <c r="E1686">
        <f t="shared" si="26"/>
        <v>1.3151999999999999</v>
      </c>
    </row>
    <row r="1687" spans="1:5" x14ac:dyDescent="0.35">
      <c r="A1687" s="11">
        <v>50326</v>
      </c>
      <c r="B1687" s="12" t="s">
        <v>13</v>
      </c>
      <c r="C1687" s="13">
        <v>24.9</v>
      </c>
      <c r="D1687" s="14">
        <v>1.6</v>
      </c>
      <c r="E1687">
        <f t="shared" si="26"/>
        <v>0.39840000000000003</v>
      </c>
    </row>
    <row r="1688" spans="1:5" x14ac:dyDescent="0.35">
      <c r="A1688" s="7">
        <v>50327</v>
      </c>
      <c r="B1688" s="8" t="s">
        <v>27</v>
      </c>
      <c r="C1688" s="9">
        <v>21.4</v>
      </c>
      <c r="D1688" s="10">
        <v>5.5</v>
      </c>
      <c r="E1688">
        <f t="shared" si="26"/>
        <v>1.1769999999999998</v>
      </c>
    </row>
    <row r="1689" spans="1:5" x14ac:dyDescent="0.35">
      <c r="A1689" s="11">
        <v>50328</v>
      </c>
      <c r="B1689" s="12" t="s">
        <v>29</v>
      </c>
      <c r="C1689" s="13">
        <v>14.1</v>
      </c>
      <c r="D1689" s="14">
        <v>0</v>
      </c>
      <c r="E1689">
        <f t="shared" si="26"/>
        <v>0</v>
      </c>
    </row>
    <row r="1690" spans="1:5" x14ac:dyDescent="0.35">
      <c r="A1690" s="7">
        <v>50329</v>
      </c>
      <c r="B1690" s="8" t="s">
        <v>25</v>
      </c>
      <c r="C1690" s="9">
        <v>15.4</v>
      </c>
      <c r="D1690" s="10">
        <v>2.1</v>
      </c>
      <c r="E1690">
        <f t="shared" si="26"/>
        <v>0.32340000000000002</v>
      </c>
    </row>
    <row r="1691" spans="1:5" x14ac:dyDescent="0.35">
      <c r="A1691" s="11">
        <v>50330</v>
      </c>
      <c r="B1691" s="12" t="s">
        <v>13</v>
      </c>
      <c r="C1691" s="13">
        <v>27.7</v>
      </c>
      <c r="D1691" s="14">
        <v>0</v>
      </c>
      <c r="E1691">
        <f t="shared" si="26"/>
        <v>0</v>
      </c>
    </row>
    <row r="1692" spans="1:5" x14ac:dyDescent="0.35">
      <c r="A1692" s="7">
        <v>50331</v>
      </c>
      <c r="B1692" s="8" t="s">
        <v>10</v>
      </c>
      <c r="C1692" s="9">
        <v>15.5</v>
      </c>
      <c r="D1692" s="10">
        <v>43.4</v>
      </c>
      <c r="E1692">
        <f t="shared" si="26"/>
        <v>6.7269999999999994</v>
      </c>
    </row>
    <row r="1693" spans="1:5" x14ac:dyDescent="0.35">
      <c r="A1693" s="11">
        <v>50332</v>
      </c>
      <c r="B1693" s="12" t="s">
        <v>7</v>
      </c>
      <c r="C1693" s="13">
        <v>26.8</v>
      </c>
      <c r="D1693" s="14">
        <v>0</v>
      </c>
      <c r="E1693">
        <f t="shared" si="26"/>
        <v>0</v>
      </c>
    </row>
    <row r="1694" spans="1:5" x14ac:dyDescent="0.35">
      <c r="A1694" s="7">
        <v>50333</v>
      </c>
      <c r="B1694" s="8" t="s">
        <v>13</v>
      </c>
      <c r="C1694" s="9">
        <v>23.1</v>
      </c>
      <c r="D1694" s="10">
        <v>9.1</v>
      </c>
      <c r="E1694">
        <f t="shared" si="26"/>
        <v>2.1021000000000001</v>
      </c>
    </row>
    <row r="1695" spans="1:5" x14ac:dyDescent="0.35">
      <c r="A1695" s="11">
        <v>50334</v>
      </c>
      <c r="B1695" s="12" t="s">
        <v>6</v>
      </c>
      <c r="C1695" s="13">
        <v>22.8</v>
      </c>
      <c r="D1695" s="14">
        <v>12.9</v>
      </c>
      <c r="E1695">
        <f t="shared" si="26"/>
        <v>2.9412000000000003</v>
      </c>
    </row>
    <row r="1696" spans="1:5" x14ac:dyDescent="0.35">
      <c r="A1696" s="7">
        <v>50335</v>
      </c>
      <c r="B1696" s="8" t="s">
        <v>10</v>
      </c>
      <c r="C1696" s="9">
        <v>17.2</v>
      </c>
      <c r="D1696" s="10">
        <v>0</v>
      </c>
      <c r="E1696">
        <f t="shared" si="26"/>
        <v>0</v>
      </c>
    </row>
    <row r="1697" spans="1:5" x14ac:dyDescent="0.35">
      <c r="A1697" s="11">
        <v>50336</v>
      </c>
      <c r="B1697" s="12" t="s">
        <v>10</v>
      </c>
      <c r="C1697" s="13">
        <v>29.3</v>
      </c>
      <c r="D1697" s="14">
        <v>6.1</v>
      </c>
      <c r="E1697">
        <f t="shared" si="26"/>
        <v>1.7872999999999999</v>
      </c>
    </row>
    <row r="1698" spans="1:5" x14ac:dyDescent="0.35">
      <c r="A1698" s="7">
        <v>50337</v>
      </c>
      <c r="B1698" s="8" t="s">
        <v>13</v>
      </c>
      <c r="C1698" s="9">
        <v>19.5</v>
      </c>
      <c r="D1698" s="10">
        <v>14.2</v>
      </c>
      <c r="E1698">
        <f t="shared" si="26"/>
        <v>2.7689999999999997</v>
      </c>
    </row>
    <row r="1699" spans="1:5" x14ac:dyDescent="0.35">
      <c r="A1699" s="11">
        <v>50338</v>
      </c>
      <c r="B1699" s="12" t="s">
        <v>19</v>
      </c>
      <c r="C1699" s="13">
        <v>28.1</v>
      </c>
      <c r="D1699" s="14">
        <v>9.4</v>
      </c>
      <c r="E1699">
        <f t="shared" si="26"/>
        <v>2.6414000000000004</v>
      </c>
    </row>
    <row r="1700" spans="1:5" x14ac:dyDescent="0.35">
      <c r="A1700" s="7">
        <v>50339</v>
      </c>
      <c r="B1700" s="8" t="s">
        <v>11</v>
      </c>
      <c r="C1700" s="9">
        <v>21.1</v>
      </c>
      <c r="D1700" s="10">
        <v>12</v>
      </c>
      <c r="E1700">
        <f t="shared" si="26"/>
        <v>2.532</v>
      </c>
    </row>
    <row r="1701" spans="1:5" x14ac:dyDescent="0.35">
      <c r="A1701" s="11">
        <v>50340</v>
      </c>
      <c r="B1701" s="12" t="s">
        <v>7</v>
      </c>
      <c r="C1701" s="13">
        <v>23.8</v>
      </c>
      <c r="D1701" s="14">
        <v>13.3</v>
      </c>
      <c r="E1701">
        <f t="shared" si="26"/>
        <v>3.1654</v>
      </c>
    </row>
    <row r="1702" spans="1:5" x14ac:dyDescent="0.35">
      <c r="A1702" s="7">
        <v>50341</v>
      </c>
      <c r="B1702" s="8" t="s">
        <v>24</v>
      </c>
      <c r="C1702" s="9">
        <v>19.399999999999999</v>
      </c>
      <c r="D1702" s="10">
        <v>2.2000000000000002</v>
      </c>
      <c r="E1702">
        <f t="shared" si="26"/>
        <v>0.42680000000000001</v>
      </c>
    </row>
    <row r="1703" spans="1:5" x14ac:dyDescent="0.35">
      <c r="A1703" s="11">
        <v>50342</v>
      </c>
      <c r="B1703" s="12" t="s">
        <v>7</v>
      </c>
      <c r="C1703" s="13">
        <v>25.8</v>
      </c>
      <c r="D1703" s="14">
        <v>17.100000000000001</v>
      </c>
      <c r="E1703">
        <f t="shared" si="26"/>
        <v>4.4118000000000004</v>
      </c>
    </row>
    <row r="1704" spans="1:5" x14ac:dyDescent="0.35">
      <c r="A1704" s="7">
        <v>50343</v>
      </c>
      <c r="B1704" s="8" t="s">
        <v>7</v>
      </c>
      <c r="C1704" s="9">
        <v>30</v>
      </c>
      <c r="D1704" s="10">
        <v>6.3</v>
      </c>
      <c r="E1704">
        <f t="shared" si="26"/>
        <v>1.89</v>
      </c>
    </row>
    <row r="1705" spans="1:5" x14ac:dyDescent="0.35">
      <c r="A1705" s="11">
        <v>50344</v>
      </c>
      <c r="B1705" s="12" t="s">
        <v>10</v>
      </c>
      <c r="C1705" s="13">
        <v>11</v>
      </c>
      <c r="D1705" s="14">
        <v>0</v>
      </c>
      <c r="E1705">
        <f t="shared" si="26"/>
        <v>0</v>
      </c>
    </row>
    <row r="1706" spans="1:5" x14ac:dyDescent="0.35">
      <c r="A1706" s="7">
        <v>50345</v>
      </c>
      <c r="B1706" s="8" t="s">
        <v>19</v>
      </c>
      <c r="C1706" s="9">
        <v>27.2</v>
      </c>
      <c r="D1706" s="10">
        <v>0</v>
      </c>
      <c r="E1706">
        <f t="shared" si="26"/>
        <v>0</v>
      </c>
    </row>
    <row r="1707" spans="1:5" x14ac:dyDescent="0.35">
      <c r="A1707" s="11">
        <v>50346</v>
      </c>
      <c r="B1707" s="12" t="s">
        <v>7</v>
      </c>
      <c r="C1707" s="13">
        <v>18.3</v>
      </c>
      <c r="D1707" s="14">
        <v>8.4</v>
      </c>
      <c r="E1707">
        <f t="shared" si="26"/>
        <v>1.5371999999999999</v>
      </c>
    </row>
    <row r="1708" spans="1:5" x14ac:dyDescent="0.35">
      <c r="A1708" s="7">
        <v>50347</v>
      </c>
      <c r="B1708" s="8" t="s">
        <v>25</v>
      </c>
      <c r="C1708" s="9">
        <v>14</v>
      </c>
      <c r="D1708" s="10">
        <v>2.5</v>
      </c>
      <c r="E1708">
        <f t="shared" si="26"/>
        <v>0.35</v>
      </c>
    </row>
    <row r="1709" spans="1:5" x14ac:dyDescent="0.35">
      <c r="A1709" s="11">
        <v>50348</v>
      </c>
      <c r="B1709" s="12" t="s">
        <v>7</v>
      </c>
      <c r="C1709" s="13">
        <v>26.2</v>
      </c>
      <c r="D1709" s="14">
        <v>6.9</v>
      </c>
      <c r="E1709">
        <f t="shared" si="26"/>
        <v>1.8078000000000001</v>
      </c>
    </row>
    <row r="1710" spans="1:5" x14ac:dyDescent="0.35">
      <c r="A1710" s="7">
        <v>50349</v>
      </c>
      <c r="B1710" s="8" t="s">
        <v>15</v>
      </c>
      <c r="C1710" s="9">
        <v>25.5</v>
      </c>
      <c r="D1710" s="10">
        <v>8.4</v>
      </c>
      <c r="E1710">
        <f t="shared" si="26"/>
        <v>2.1420000000000003</v>
      </c>
    </row>
    <row r="1711" spans="1:5" x14ac:dyDescent="0.35">
      <c r="A1711" s="11">
        <v>50350</v>
      </c>
      <c r="B1711" s="12" t="s">
        <v>18</v>
      </c>
      <c r="C1711" s="13">
        <v>23.1</v>
      </c>
      <c r="D1711" s="14">
        <v>11.4</v>
      </c>
      <c r="E1711">
        <f t="shared" si="26"/>
        <v>2.6334000000000004</v>
      </c>
    </row>
    <row r="1712" spans="1:5" x14ac:dyDescent="0.35">
      <c r="A1712" s="7">
        <v>50351</v>
      </c>
      <c r="B1712" s="8" t="s">
        <v>12</v>
      </c>
      <c r="C1712" s="9">
        <v>21.3</v>
      </c>
      <c r="D1712" s="10">
        <v>2.8</v>
      </c>
      <c r="E1712">
        <f t="shared" si="26"/>
        <v>0.59640000000000004</v>
      </c>
    </row>
    <row r="1713" spans="1:5" x14ac:dyDescent="0.35">
      <c r="A1713" s="11">
        <v>50352</v>
      </c>
      <c r="B1713" s="12" t="s">
        <v>12</v>
      </c>
      <c r="C1713" s="13">
        <v>16.3</v>
      </c>
      <c r="D1713" s="14">
        <v>7.6</v>
      </c>
      <c r="E1713">
        <f t="shared" si="26"/>
        <v>1.2387999999999999</v>
      </c>
    </row>
    <row r="1714" spans="1:5" x14ac:dyDescent="0.35">
      <c r="A1714" s="7">
        <v>50353</v>
      </c>
      <c r="B1714" s="8" t="s">
        <v>14</v>
      </c>
      <c r="C1714" s="9">
        <v>23.7</v>
      </c>
      <c r="D1714" s="10">
        <v>7.6</v>
      </c>
      <c r="E1714">
        <f t="shared" si="26"/>
        <v>1.8011999999999997</v>
      </c>
    </row>
    <row r="1715" spans="1:5" x14ac:dyDescent="0.35">
      <c r="A1715" s="11">
        <v>50354</v>
      </c>
      <c r="B1715" s="12" t="s">
        <v>18</v>
      </c>
      <c r="C1715" s="13">
        <v>24.8</v>
      </c>
      <c r="D1715" s="14">
        <v>0</v>
      </c>
      <c r="E1715">
        <f t="shared" si="26"/>
        <v>0</v>
      </c>
    </row>
    <row r="1716" spans="1:5" x14ac:dyDescent="0.35">
      <c r="A1716" s="7">
        <v>50355</v>
      </c>
      <c r="B1716" s="8" t="s">
        <v>33</v>
      </c>
      <c r="C1716" s="9">
        <v>21.7</v>
      </c>
      <c r="D1716" s="10">
        <v>1</v>
      </c>
      <c r="E1716">
        <f t="shared" si="26"/>
        <v>0.217</v>
      </c>
    </row>
    <row r="1717" spans="1:5" x14ac:dyDescent="0.35">
      <c r="A1717" s="11">
        <v>50356</v>
      </c>
      <c r="B1717" s="12" t="s">
        <v>10</v>
      </c>
      <c r="C1717" s="13">
        <v>16.7</v>
      </c>
      <c r="D1717" s="14">
        <v>21</v>
      </c>
      <c r="E1717">
        <f t="shared" si="26"/>
        <v>3.5069999999999997</v>
      </c>
    </row>
    <row r="1718" spans="1:5" x14ac:dyDescent="0.35">
      <c r="A1718" s="7">
        <v>50357</v>
      </c>
      <c r="B1718" s="8" t="s">
        <v>23</v>
      </c>
      <c r="C1718" s="9">
        <v>22.3</v>
      </c>
      <c r="D1718" s="10">
        <v>0.1</v>
      </c>
      <c r="E1718">
        <f t="shared" si="26"/>
        <v>0</v>
      </c>
    </row>
    <row r="1719" spans="1:5" x14ac:dyDescent="0.35">
      <c r="A1719" s="11">
        <v>50358</v>
      </c>
      <c r="B1719" s="12" t="s">
        <v>26</v>
      </c>
      <c r="C1719" s="13">
        <v>13.6</v>
      </c>
      <c r="D1719" s="14">
        <v>0</v>
      </c>
      <c r="E1719">
        <f t="shared" si="26"/>
        <v>0</v>
      </c>
    </row>
    <row r="1720" spans="1:5" x14ac:dyDescent="0.35">
      <c r="A1720" s="7">
        <v>50359</v>
      </c>
      <c r="B1720" s="8" t="s">
        <v>25</v>
      </c>
      <c r="C1720" s="9">
        <v>11.8</v>
      </c>
      <c r="D1720" s="10">
        <v>2.1</v>
      </c>
      <c r="E1720">
        <f t="shared" si="26"/>
        <v>0.24780000000000002</v>
      </c>
    </row>
    <row r="1721" spans="1:5" x14ac:dyDescent="0.35">
      <c r="A1721" s="11">
        <v>50360</v>
      </c>
      <c r="B1721" s="12" t="s">
        <v>11</v>
      </c>
      <c r="C1721" s="13">
        <v>11.1</v>
      </c>
      <c r="D1721" s="14">
        <v>0</v>
      </c>
      <c r="E1721">
        <f t="shared" si="26"/>
        <v>0</v>
      </c>
    </row>
    <row r="1722" spans="1:5" x14ac:dyDescent="0.35">
      <c r="A1722" s="7">
        <v>50361</v>
      </c>
      <c r="B1722" s="8" t="s">
        <v>13</v>
      </c>
      <c r="C1722" s="9">
        <v>11.2</v>
      </c>
      <c r="D1722" s="10">
        <v>15</v>
      </c>
      <c r="E1722">
        <f t="shared" si="26"/>
        <v>1.68</v>
      </c>
    </row>
    <row r="1723" spans="1:5" x14ac:dyDescent="0.35">
      <c r="A1723" s="11">
        <v>50362</v>
      </c>
      <c r="B1723" s="12" t="s">
        <v>23</v>
      </c>
      <c r="C1723" s="13">
        <v>19.100000000000001</v>
      </c>
      <c r="D1723" s="14">
        <v>0</v>
      </c>
      <c r="E1723">
        <f t="shared" si="26"/>
        <v>0</v>
      </c>
    </row>
    <row r="1724" spans="1:5" x14ac:dyDescent="0.35">
      <c r="A1724" s="7">
        <v>50363</v>
      </c>
      <c r="B1724" s="8" t="s">
        <v>10</v>
      </c>
      <c r="C1724" s="9">
        <v>11.1</v>
      </c>
      <c r="D1724" s="10">
        <v>46.3</v>
      </c>
      <c r="E1724">
        <f t="shared" si="26"/>
        <v>5.1392999999999995</v>
      </c>
    </row>
    <row r="1725" spans="1:5" x14ac:dyDescent="0.35">
      <c r="A1725" s="11">
        <v>50364</v>
      </c>
      <c r="B1725" s="12" t="s">
        <v>18</v>
      </c>
      <c r="C1725" s="13">
        <v>15.1</v>
      </c>
      <c r="D1725" s="14">
        <v>6.2</v>
      </c>
      <c r="E1725">
        <f t="shared" si="26"/>
        <v>0.93620000000000003</v>
      </c>
    </row>
    <row r="1726" spans="1:5" x14ac:dyDescent="0.35">
      <c r="A1726" s="7">
        <v>50365</v>
      </c>
      <c r="B1726" s="8" t="s">
        <v>15</v>
      </c>
      <c r="C1726" s="9">
        <v>21.7</v>
      </c>
      <c r="D1726" s="10">
        <v>0</v>
      </c>
      <c r="E1726">
        <f t="shared" si="26"/>
        <v>0</v>
      </c>
    </row>
    <row r="1727" spans="1:5" x14ac:dyDescent="0.35">
      <c r="A1727" s="11">
        <v>50366</v>
      </c>
      <c r="B1727" s="12" t="s">
        <v>23</v>
      </c>
      <c r="C1727" s="13">
        <v>19.7</v>
      </c>
      <c r="D1727" s="14">
        <v>0.2</v>
      </c>
      <c r="E1727">
        <f t="shared" si="26"/>
        <v>0</v>
      </c>
    </row>
    <row r="1728" spans="1:5" x14ac:dyDescent="0.35">
      <c r="A1728" s="7">
        <v>50367</v>
      </c>
      <c r="B1728" s="8" t="s">
        <v>7</v>
      </c>
      <c r="C1728" s="9">
        <v>17.5</v>
      </c>
      <c r="D1728" s="10">
        <v>2.2000000000000002</v>
      </c>
      <c r="E1728">
        <f t="shared" si="26"/>
        <v>0.38500000000000001</v>
      </c>
    </row>
    <row r="1729" spans="1:5" x14ac:dyDescent="0.35">
      <c r="A1729" s="11">
        <v>50368</v>
      </c>
      <c r="B1729" s="12" t="s">
        <v>6</v>
      </c>
      <c r="C1729" s="13">
        <v>18.8</v>
      </c>
      <c r="D1729" s="14">
        <v>11.3</v>
      </c>
      <c r="E1729">
        <f t="shared" si="26"/>
        <v>2.1244000000000001</v>
      </c>
    </row>
    <row r="1730" spans="1:5" x14ac:dyDescent="0.35">
      <c r="A1730" s="7">
        <v>50369</v>
      </c>
      <c r="B1730" s="8" t="s">
        <v>30</v>
      </c>
      <c r="C1730" s="9">
        <v>19.600000000000001</v>
      </c>
      <c r="D1730" s="10">
        <v>0.3</v>
      </c>
      <c r="E1730">
        <f t="shared" si="26"/>
        <v>0</v>
      </c>
    </row>
    <row r="1731" spans="1:5" x14ac:dyDescent="0.35">
      <c r="A1731" s="11">
        <v>50370</v>
      </c>
      <c r="B1731" s="12" t="s">
        <v>11</v>
      </c>
      <c r="C1731" s="13">
        <v>24.4</v>
      </c>
      <c r="D1731" s="14">
        <v>22</v>
      </c>
      <c r="E1731">
        <f t="shared" ref="E1731:E1794" si="27">IF(D1731&gt;=1,C1731*D1731/100,0)</f>
        <v>5.3679999999999994</v>
      </c>
    </row>
    <row r="1732" spans="1:5" x14ac:dyDescent="0.35">
      <c r="A1732" s="7">
        <v>50371</v>
      </c>
      <c r="B1732" s="8" t="s">
        <v>23</v>
      </c>
      <c r="C1732" s="9">
        <v>10.5</v>
      </c>
      <c r="D1732" s="10">
        <v>0.1</v>
      </c>
      <c r="E1732">
        <f t="shared" si="27"/>
        <v>0</v>
      </c>
    </row>
    <row r="1733" spans="1:5" x14ac:dyDescent="0.35">
      <c r="A1733" s="11">
        <v>50372</v>
      </c>
      <c r="B1733" s="12" t="s">
        <v>9</v>
      </c>
      <c r="C1733" s="13">
        <v>23.5</v>
      </c>
      <c r="D1733" s="14">
        <v>0</v>
      </c>
      <c r="E1733">
        <f t="shared" si="27"/>
        <v>0</v>
      </c>
    </row>
    <row r="1734" spans="1:5" x14ac:dyDescent="0.35">
      <c r="A1734" s="7">
        <v>50373</v>
      </c>
      <c r="B1734" s="8" t="s">
        <v>27</v>
      </c>
      <c r="C1734" s="9">
        <v>19.2</v>
      </c>
      <c r="D1734" s="10">
        <v>0</v>
      </c>
      <c r="E1734">
        <f t="shared" si="27"/>
        <v>0</v>
      </c>
    </row>
    <row r="1735" spans="1:5" x14ac:dyDescent="0.35">
      <c r="A1735" s="11">
        <v>50374</v>
      </c>
      <c r="B1735" s="12" t="s">
        <v>6</v>
      </c>
      <c r="C1735" s="13">
        <v>11</v>
      </c>
      <c r="D1735" s="14">
        <v>0</v>
      </c>
      <c r="E1735">
        <f t="shared" si="27"/>
        <v>0</v>
      </c>
    </row>
    <row r="1736" spans="1:5" x14ac:dyDescent="0.35">
      <c r="A1736" s="7">
        <v>50375</v>
      </c>
      <c r="B1736" s="8" t="s">
        <v>11</v>
      </c>
      <c r="C1736" s="9">
        <v>10.4</v>
      </c>
      <c r="D1736" s="10">
        <v>0</v>
      </c>
      <c r="E1736">
        <f t="shared" si="27"/>
        <v>0</v>
      </c>
    </row>
    <row r="1737" spans="1:5" x14ac:dyDescent="0.35">
      <c r="A1737" s="11">
        <v>50376</v>
      </c>
      <c r="B1737" s="12" t="s">
        <v>7</v>
      </c>
      <c r="C1737" s="13">
        <v>11.9</v>
      </c>
      <c r="D1737" s="14">
        <v>9</v>
      </c>
      <c r="E1737">
        <f t="shared" si="27"/>
        <v>1.0710000000000002</v>
      </c>
    </row>
    <row r="1738" spans="1:5" x14ac:dyDescent="0.35">
      <c r="A1738" s="7">
        <v>50377</v>
      </c>
      <c r="B1738" s="8" t="s">
        <v>14</v>
      </c>
      <c r="C1738" s="9">
        <v>23.1</v>
      </c>
      <c r="D1738" s="10">
        <v>2</v>
      </c>
      <c r="E1738">
        <f t="shared" si="27"/>
        <v>0.46200000000000002</v>
      </c>
    </row>
    <row r="1739" spans="1:5" x14ac:dyDescent="0.35">
      <c r="A1739" s="11">
        <v>50378</v>
      </c>
      <c r="B1739" s="12" t="s">
        <v>19</v>
      </c>
      <c r="C1739" s="13">
        <v>18.600000000000001</v>
      </c>
      <c r="D1739" s="14">
        <v>17.2</v>
      </c>
      <c r="E1739">
        <f t="shared" si="27"/>
        <v>3.1992000000000003</v>
      </c>
    </row>
    <row r="1740" spans="1:5" x14ac:dyDescent="0.35">
      <c r="A1740" s="7">
        <v>50379</v>
      </c>
      <c r="B1740" s="8" t="s">
        <v>6</v>
      </c>
      <c r="C1740" s="9">
        <v>21.8</v>
      </c>
      <c r="D1740" s="10">
        <v>12.3</v>
      </c>
      <c r="E1740">
        <f t="shared" si="27"/>
        <v>2.6814000000000004</v>
      </c>
    </row>
    <row r="1741" spans="1:5" x14ac:dyDescent="0.35">
      <c r="A1741" s="11">
        <v>50380</v>
      </c>
      <c r="B1741" s="12" t="s">
        <v>14</v>
      </c>
      <c r="C1741" s="13">
        <v>27.7</v>
      </c>
      <c r="D1741" s="14">
        <v>7.4</v>
      </c>
      <c r="E1741">
        <f t="shared" si="27"/>
        <v>2.0498000000000003</v>
      </c>
    </row>
    <row r="1742" spans="1:5" x14ac:dyDescent="0.35">
      <c r="A1742" s="7">
        <v>50381</v>
      </c>
      <c r="B1742" s="8" t="s">
        <v>19</v>
      </c>
      <c r="C1742" s="9">
        <v>23.2</v>
      </c>
      <c r="D1742" s="10">
        <v>24</v>
      </c>
      <c r="E1742">
        <f t="shared" si="27"/>
        <v>5.5679999999999996</v>
      </c>
    </row>
    <row r="1743" spans="1:5" x14ac:dyDescent="0.35">
      <c r="A1743" s="11">
        <v>50382</v>
      </c>
      <c r="B1743" s="12" t="s">
        <v>19</v>
      </c>
      <c r="C1743" s="13">
        <v>25.8</v>
      </c>
      <c r="D1743" s="14">
        <v>16.100000000000001</v>
      </c>
      <c r="E1743">
        <f t="shared" si="27"/>
        <v>4.1538000000000004</v>
      </c>
    </row>
    <row r="1744" spans="1:5" x14ac:dyDescent="0.35">
      <c r="A1744" s="7">
        <v>50383</v>
      </c>
      <c r="B1744" s="8" t="s">
        <v>5</v>
      </c>
      <c r="C1744" s="9">
        <v>19.8</v>
      </c>
      <c r="D1744" s="10">
        <v>6.6</v>
      </c>
      <c r="E1744">
        <f t="shared" si="27"/>
        <v>1.3068</v>
      </c>
    </row>
    <row r="1745" spans="1:5" x14ac:dyDescent="0.35">
      <c r="A1745" s="11">
        <v>50384</v>
      </c>
      <c r="B1745" s="12" t="s">
        <v>18</v>
      </c>
      <c r="C1745" s="13">
        <v>11.2</v>
      </c>
      <c r="D1745" s="14">
        <v>7.5</v>
      </c>
      <c r="E1745">
        <f t="shared" si="27"/>
        <v>0.84</v>
      </c>
    </row>
    <row r="1746" spans="1:5" x14ac:dyDescent="0.35">
      <c r="A1746" s="7">
        <v>50385</v>
      </c>
      <c r="B1746" s="8" t="s">
        <v>10</v>
      </c>
      <c r="C1746" s="9">
        <v>15.7</v>
      </c>
      <c r="D1746" s="10">
        <v>0</v>
      </c>
      <c r="E1746">
        <f t="shared" si="27"/>
        <v>0</v>
      </c>
    </row>
    <row r="1747" spans="1:5" x14ac:dyDescent="0.35">
      <c r="A1747" s="11">
        <v>50386</v>
      </c>
      <c r="B1747" s="12" t="s">
        <v>30</v>
      </c>
      <c r="C1747" s="13">
        <v>23.6</v>
      </c>
      <c r="D1747" s="14">
        <v>0.6</v>
      </c>
      <c r="E1747">
        <f t="shared" si="27"/>
        <v>0</v>
      </c>
    </row>
    <row r="1748" spans="1:5" x14ac:dyDescent="0.35">
      <c r="A1748" s="7">
        <v>50387</v>
      </c>
      <c r="B1748" s="8" t="s">
        <v>8</v>
      </c>
      <c r="C1748" s="9">
        <v>27.5</v>
      </c>
      <c r="D1748" s="10">
        <v>5.3</v>
      </c>
      <c r="E1748">
        <f t="shared" si="27"/>
        <v>1.4575</v>
      </c>
    </row>
    <row r="1749" spans="1:5" x14ac:dyDescent="0.35">
      <c r="A1749" s="11">
        <v>50388</v>
      </c>
      <c r="B1749" s="12" t="s">
        <v>5</v>
      </c>
      <c r="C1749" s="13">
        <v>17.3</v>
      </c>
      <c r="D1749" s="14">
        <v>0</v>
      </c>
      <c r="E1749">
        <f t="shared" si="27"/>
        <v>0</v>
      </c>
    </row>
    <row r="1750" spans="1:5" x14ac:dyDescent="0.35">
      <c r="A1750" s="7">
        <v>50389</v>
      </c>
      <c r="B1750" s="8" t="s">
        <v>19</v>
      </c>
      <c r="C1750" s="9">
        <v>11.2</v>
      </c>
      <c r="D1750" s="10">
        <v>32.700000000000003</v>
      </c>
      <c r="E1750">
        <f t="shared" si="27"/>
        <v>3.6623999999999999</v>
      </c>
    </row>
    <row r="1751" spans="1:5" x14ac:dyDescent="0.35">
      <c r="A1751" s="11">
        <v>50390</v>
      </c>
      <c r="B1751" s="12" t="s">
        <v>11</v>
      </c>
      <c r="C1751" s="13">
        <v>17.8</v>
      </c>
      <c r="D1751" s="14">
        <v>0</v>
      </c>
      <c r="E1751">
        <f t="shared" si="27"/>
        <v>0</v>
      </c>
    </row>
    <row r="1752" spans="1:5" x14ac:dyDescent="0.35">
      <c r="A1752" s="7">
        <v>50391</v>
      </c>
      <c r="B1752" s="8" t="s">
        <v>10</v>
      </c>
      <c r="C1752" s="9">
        <v>16.899999999999999</v>
      </c>
      <c r="D1752" s="10">
        <v>41.8</v>
      </c>
      <c r="E1752">
        <f t="shared" si="27"/>
        <v>7.0641999999999987</v>
      </c>
    </row>
    <row r="1753" spans="1:5" x14ac:dyDescent="0.35">
      <c r="A1753" s="11">
        <v>50392</v>
      </c>
      <c r="B1753" s="12" t="s">
        <v>11</v>
      </c>
      <c r="C1753" s="13">
        <v>18.3</v>
      </c>
      <c r="D1753" s="14">
        <v>0</v>
      </c>
      <c r="E1753">
        <f t="shared" si="27"/>
        <v>0</v>
      </c>
    </row>
    <row r="1754" spans="1:5" x14ac:dyDescent="0.35">
      <c r="A1754" s="7">
        <v>50393</v>
      </c>
      <c r="B1754" s="8" t="s">
        <v>17</v>
      </c>
      <c r="C1754" s="9">
        <v>12.2</v>
      </c>
      <c r="D1754" s="10">
        <v>0</v>
      </c>
      <c r="E1754">
        <f t="shared" si="27"/>
        <v>0</v>
      </c>
    </row>
    <row r="1755" spans="1:5" x14ac:dyDescent="0.35">
      <c r="A1755" s="11">
        <v>50394</v>
      </c>
      <c r="B1755" s="12" t="s">
        <v>13</v>
      </c>
      <c r="C1755" s="13">
        <v>21.2</v>
      </c>
      <c r="D1755" s="14">
        <v>0</v>
      </c>
      <c r="E1755">
        <f t="shared" si="27"/>
        <v>0</v>
      </c>
    </row>
    <row r="1756" spans="1:5" x14ac:dyDescent="0.35">
      <c r="A1756" s="7">
        <v>50395</v>
      </c>
      <c r="B1756" s="8" t="s">
        <v>10</v>
      </c>
      <c r="C1756" s="9">
        <v>19.600000000000001</v>
      </c>
      <c r="D1756" s="10">
        <v>48.2</v>
      </c>
      <c r="E1756">
        <f t="shared" si="27"/>
        <v>9.4472000000000023</v>
      </c>
    </row>
    <row r="1757" spans="1:5" x14ac:dyDescent="0.35">
      <c r="A1757" s="11">
        <v>50396</v>
      </c>
      <c r="B1757" s="12" t="s">
        <v>9</v>
      </c>
      <c r="C1757" s="13">
        <v>15.6</v>
      </c>
      <c r="D1757" s="14">
        <v>0.6</v>
      </c>
      <c r="E1757">
        <f t="shared" si="27"/>
        <v>0</v>
      </c>
    </row>
    <row r="1758" spans="1:5" x14ac:dyDescent="0.35">
      <c r="A1758" s="7">
        <v>50397</v>
      </c>
      <c r="B1758" s="8" t="s">
        <v>26</v>
      </c>
      <c r="C1758" s="9">
        <v>12.5</v>
      </c>
      <c r="D1758" s="10">
        <v>5.9</v>
      </c>
      <c r="E1758">
        <f t="shared" si="27"/>
        <v>0.73750000000000004</v>
      </c>
    </row>
    <row r="1759" spans="1:5" x14ac:dyDescent="0.35">
      <c r="A1759" s="11">
        <v>50398</v>
      </c>
      <c r="B1759" s="12" t="s">
        <v>12</v>
      </c>
      <c r="C1759" s="13">
        <v>29.3</v>
      </c>
      <c r="D1759" s="14">
        <v>0</v>
      </c>
      <c r="E1759">
        <f t="shared" si="27"/>
        <v>0</v>
      </c>
    </row>
    <row r="1760" spans="1:5" x14ac:dyDescent="0.35">
      <c r="A1760" s="7">
        <v>50399</v>
      </c>
      <c r="B1760" s="8" t="s">
        <v>18</v>
      </c>
      <c r="C1760" s="9">
        <v>24.6</v>
      </c>
      <c r="D1760" s="10">
        <v>0</v>
      </c>
      <c r="E1760">
        <f t="shared" si="27"/>
        <v>0</v>
      </c>
    </row>
    <row r="1761" spans="1:5" x14ac:dyDescent="0.35">
      <c r="A1761" s="11">
        <v>50400</v>
      </c>
      <c r="B1761" s="12" t="s">
        <v>9</v>
      </c>
      <c r="C1761" s="13">
        <v>21.2</v>
      </c>
      <c r="D1761" s="14">
        <v>3.1</v>
      </c>
      <c r="E1761">
        <f t="shared" si="27"/>
        <v>0.65720000000000001</v>
      </c>
    </row>
    <row r="1762" spans="1:5" x14ac:dyDescent="0.35">
      <c r="A1762" s="7">
        <v>50401</v>
      </c>
      <c r="B1762" s="8" t="s">
        <v>10</v>
      </c>
      <c r="C1762" s="9">
        <v>12.7</v>
      </c>
      <c r="D1762" s="10">
        <v>38.1</v>
      </c>
      <c r="E1762">
        <f t="shared" si="27"/>
        <v>4.8387000000000002</v>
      </c>
    </row>
    <row r="1763" spans="1:5" x14ac:dyDescent="0.35">
      <c r="A1763" s="11">
        <v>50402</v>
      </c>
      <c r="B1763" s="12" t="s">
        <v>23</v>
      </c>
      <c r="C1763" s="13">
        <v>20.6</v>
      </c>
      <c r="D1763" s="14">
        <v>5.2</v>
      </c>
      <c r="E1763">
        <f t="shared" si="27"/>
        <v>1.0712000000000002</v>
      </c>
    </row>
    <row r="1764" spans="1:5" x14ac:dyDescent="0.35">
      <c r="A1764" s="7">
        <v>50403</v>
      </c>
      <c r="B1764" s="8" t="s">
        <v>12</v>
      </c>
      <c r="C1764" s="9">
        <v>28.3</v>
      </c>
      <c r="D1764" s="10">
        <v>0</v>
      </c>
      <c r="E1764">
        <f t="shared" si="27"/>
        <v>0</v>
      </c>
    </row>
    <row r="1765" spans="1:5" x14ac:dyDescent="0.35">
      <c r="A1765" s="11">
        <v>50404</v>
      </c>
      <c r="B1765" s="12" t="s">
        <v>19</v>
      </c>
      <c r="C1765" s="13">
        <v>15.1</v>
      </c>
      <c r="D1765" s="14">
        <v>22.6</v>
      </c>
      <c r="E1765">
        <f t="shared" si="27"/>
        <v>3.4125999999999999</v>
      </c>
    </row>
    <row r="1766" spans="1:5" x14ac:dyDescent="0.35">
      <c r="A1766" s="7">
        <v>50405</v>
      </c>
      <c r="B1766" s="8" t="s">
        <v>15</v>
      </c>
      <c r="C1766" s="9">
        <v>24.8</v>
      </c>
      <c r="D1766" s="10">
        <v>10.5</v>
      </c>
      <c r="E1766">
        <f t="shared" si="27"/>
        <v>2.6040000000000005</v>
      </c>
    </row>
    <row r="1767" spans="1:5" x14ac:dyDescent="0.35">
      <c r="A1767" s="11">
        <v>50406</v>
      </c>
      <c r="B1767" s="12" t="s">
        <v>21</v>
      </c>
      <c r="C1767" s="13">
        <v>16.899999999999999</v>
      </c>
      <c r="D1767" s="14">
        <v>1.2</v>
      </c>
      <c r="E1767">
        <f t="shared" si="27"/>
        <v>0.20279999999999998</v>
      </c>
    </row>
    <row r="1768" spans="1:5" x14ac:dyDescent="0.35">
      <c r="A1768" s="7">
        <v>50407</v>
      </c>
      <c r="B1768" s="8" t="s">
        <v>21</v>
      </c>
      <c r="C1768" s="9">
        <v>23.4</v>
      </c>
      <c r="D1768" s="10">
        <v>0</v>
      </c>
      <c r="E1768">
        <f t="shared" si="27"/>
        <v>0</v>
      </c>
    </row>
    <row r="1769" spans="1:5" x14ac:dyDescent="0.35">
      <c r="A1769" s="11">
        <v>50408</v>
      </c>
      <c r="B1769" s="12" t="s">
        <v>7</v>
      </c>
      <c r="C1769" s="13">
        <v>10.5</v>
      </c>
      <c r="D1769" s="14">
        <v>22.2</v>
      </c>
      <c r="E1769">
        <f t="shared" si="27"/>
        <v>2.331</v>
      </c>
    </row>
    <row r="1770" spans="1:5" x14ac:dyDescent="0.35">
      <c r="A1770" s="7">
        <v>50409</v>
      </c>
      <c r="B1770" s="8" t="s">
        <v>10</v>
      </c>
      <c r="C1770" s="9">
        <v>16.2</v>
      </c>
      <c r="D1770" s="10">
        <v>0</v>
      </c>
      <c r="E1770">
        <f t="shared" si="27"/>
        <v>0</v>
      </c>
    </row>
    <row r="1771" spans="1:5" x14ac:dyDescent="0.35">
      <c r="A1771" s="11">
        <v>50410</v>
      </c>
      <c r="B1771" s="12" t="s">
        <v>16</v>
      </c>
      <c r="C1771" s="13">
        <v>29.7</v>
      </c>
      <c r="D1771" s="14">
        <v>0.3</v>
      </c>
      <c r="E1771">
        <f t="shared" si="27"/>
        <v>0</v>
      </c>
    </row>
    <row r="1772" spans="1:5" x14ac:dyDescent="0.35">
      <c r="A1772" s="7">
        <v>50411</v>
      </c>
      <c r="B1772" s="8" t="s">
        <v>10</v>
      </c>
      <c r="C1772" s="9">
        <v>12.8</v>
      </c>
      <c r="D1772" s="10">
        <v>0</v>
      </c>
      <c r="E1772">
        <f t="shared" si="27"/>
        <v>0</v>
      </c>
    </row>
    <row r="1773" spans="1:5" x14ac:dyDescent="0.35">
      <c r="A1773" s="11">
        <v>50412</v>
      </c>
      <c r="B1773" s="12" t="s">
        <v>8</v>
      </c>
      <c r="C1773" s="13">
        <v>19.100000000000001</v>
      </c>
      <c r="D1773" s="14">
        <v>1.7</v>
      </c>
      <c r="E1773">
        <f t="shared" si="27"/>
        <v>0.32469999999999999</v>
      </c>
    </row>
    <row r="1774" spans="1:5" x14ac:dyDescent="0.35">
      <c r="A1774" s="7">
        <v>50413</v>
      </c>
      <c r="B1774" s="8" t="s">
        <v>11</v>
      </c>
      <c r="C1774" s="9">
        <v>27.7</v>
      </c>
      <c r="D1774" s="10">
        <v>0</v>
      </c>
      <c r="E1774">
        <f t="shared" si="27"/>
        <v>0</v>
      </c>
    </row>
    <row r="1775" spans="1:5" x14ac:dyDescent="0.35">
      <c r="A1775" s="11">
        <v>50414</v>
      </c>
      <c r="B1775" s="12" t="s">
        <v>14</v>
      </c>
      <c r="C1775" s="13">
        <v>22</v>
      </c>
      <c r="D1775" s="14">
        <v>5.9</v>
      </c>
      <c r="E1775">
        <f t="shared" si="27"/>
        <v>1.298</v>
      </c>
    </row>
    <row r="1776" spans="1:5" x14ac:dyDescent="0.35">
      <c r="A1776" s="7">
        <v>50415</v>
      </c>
      <c r="B1776" s="8" t="s">
        <v>6</v>
      </c>
      <c r="C1776" s="9">
        <v>19.600000000000001</v>
      </c>
      <c r="D1776" s="10">
        <v>2.7</v>
      </c>
      <c r="E1776">
        <f t="shared" si="27"/>
        <v>0.52920000000000011</v>
      </c>
    </row>
    <row r="1777" spans="1:5" x14ac:dyDescent="0.35">
      <c r="A1777" s="11">
        <v>50416</v>
      </c>
      <c r="B1777" s="12" t="s">
        <v>8</v>
      </c>
      <c r="C1777" s="13">
        <v>16</v>
      </c>
      <c r="D1777" s="14">
        <v>0.3</v>
      </c>
      <c r="E1777">
        <f t="shared" si="27"/>
        <v>0</v>
      </c>
    </row>
    <row r="1778" spans="1:5" x14ac:dyDescent="0.35">
      <c r="A1778" s="7">
        <v>50417</v>
      </c>
      <c r="B1778" s="8" t="s">
        <v>5</v>
      </c>
      <c r="C1778" s="9">
        <v>14</v>
      </c>
      <c r="D1778" s="10">
        <v>1.3</v>
      </c>
      <c r="E1778">
        <f t="shared" si="27"/>
        <v>0.182</v>
      </c>
    </row>
    <row r="1779" spans="1:5" x14ac:dyDescent="0.35">
      <c r="A1779" s="11">
        <v>50418</v>
      </c>
      <c r="B1779" s="12" t="s">
        <v>15</v>
      </c>
      <c r="C1779" s="13">
        <v>29.5</v>
      </c>
      <c r="D1779" s="14">
        <v>3.3</v>
      </c>
      <c r="E1779">
        <f t="shared" si="27"/>
        <v>0.97349999999999992</v>
      </c>
    </row>
    <row r="1780" spans="1:5" x14ac:dyDescent="0.35">
      <c r="A1780" s="7">
        <v>50419</v>
      </c>
      <c r="B1780" s="8" t="s">
        <v>7</v>
      </c>
      <c r="C1780" s="9">
        <v>12.2</v>
      </c>
      <c r="D1780" s="10">
        <v>0</v>
      </c>
      <c r="E1780">
        <f t="shared" si="27"/>
        <v>0</v>
      </c>
    </row>
    <row r="1781" spans="1:5" x14ac:dyDescent="0.35">
      <c r="A1781" s="11">
        <v>50420</v>
      </c>
      <c r="B1781" s="12" t="s">
        <v>11</v>
      </c>
      <c r="C1781" s="13">
        <v>15</v>
      </c>
      <c r="D1781" s="14">
        <v>7.4</v>
      </c>
      <c r="E1781">
        <f t="shared" si="27"/>
        <v>1.1100000000000001</v>
      </c>
    </row>
    <row r="1782" spans="1:5" x14ac:dyDescent="0.35">
      <c r="A1782" s="7">
        <v>50421</v>
      </c>
      <c r="B1782" s="8" t="s">
        <v>20</v>
      </c>
      <c r="C1782" s="9">
        <v>10.4</v>
      </c>
      <c r="D1782" s="10">
        <v>2</v>
      </c>
      <c r="E1782">
        <f t="shared" si="27"/>
        <v>0.20800000000000002</v>
      </c>
    </row>
    <row r="1783" spans="1:5" x14ac:dyDescent="0.35">
      <c r="A1783" s="11">
        <v>50422</v>
      </c>
      <c r="B1783" s="12" t="s">
        <v>19</v>
      </c>
      <c r="C1783" s="13">
        <v>18.600000000000001</v>
      </c>
      <c r="D1783" s="14">
        <v>4.5999999999999996</v>
      </c>
      <c r="E1783">
        <f t="shared" si="27"/>
        <v>0.85560000000000003</v>
      </c>
    </row>
    <row r="1784" spans="1:5" x14ac:dyDescent="0.35">
      <c r="A1784" s="7">
        <v>50423</v>
      </c>
      <c r="B1784" s="8" t="s">
        <v>18</v>
      </c>
      <c r="C1784" s="9">
        <v>23.7</v>
      </c>
      <c r="D1784" s="10">
        <v>7.2</v>
      </c>
      <c r="E1784">
        <f t="shared" si="27"/>
        <v>1.7063999999999999</v>
      </c>
    </row>
    <row r="1785" spans="1:5" x14ac:dyDescent="0.35">
      <c r="A1785" s="11">
        <v>50424</v>
      </c>
      <c r="B1785" s="12" t="s">
        <v>5</v>
      </c>
      <c r="C1785" s="13">
        <v>27.2</v>
      </c>
      <c r="D1785" s="14">
        <v>0</v>
      </c>
      <c r="E1785">
        <f t="shared" si="27"/>
        <v>0</v>
      </c>
    </row>
    <row r="1786" spans="1:5" x14ac:dyDescent="0.35">
      <c r="A1786" s="7">
        <v>50425</v>
      </c>
      <c r="B1786" s="8" t="s">
        <v>15</v>
      </c>
      <c r="C1786" s="9">
        <v>11.3</v>
      </c>
      <c r="D1786" s="10">
        <v>18.8</v>
      </c>
      <c r="E1786">
        <f t="shared" si="27"/>
        <v>2.1244000000000001</v>
      </c>
    </row>
    <row r="1787" spans="1:5" x14ac:dyDescent="0.35">
      <c r="A1787" s="11">
        <v>50426</v>
      </c>
      <c r="B1787" s="12" t="s">
        <v>7</v>
      </c>
      <c r="C1787" s="13">
        <v>22.1</v>
      </c>
      <c r="D1787" s="14">
        <v>0</v>
      </c>
      <c r="E1787">
        <f t="shared" si="27"/>
        <v>0</v>
      </c>
    </row>
    <row r="1788" spans="1:5" x14ac:dyDescent="0.35">
      <c r="A1788" s="7">
        <v>50427</v>
      </c>
      <c r="B1788" s="8" t="s">
        <v>12</v>
      </c>
      <c r="C1788" s="9">
        <v>11</v>
      </c>
      <c r="D1788" s="10">
        <v>0</v>
      </c>
      <c r="E1788">
        <f t="shared" si="27"/>
        <v>0</v>
      </c>
    </row>
    <row r="1789" spans="1:5" x14ac:dyDescent="0.35">
      <c r="A1789" s="11">
        <v>50428</v>
      </c>
      <c r="B1789" s="12" t="s">
        <v>19</v>
      </c>
      <c r="C1789" s="13">
        <v>14.7</v>
      </c>
      <c r="D1789" s="14">
        <v>0</v>
      </c>
      <c r="E1789">
        <f t="shared" si="27"/>
        <v>0</v>
      </c>
    </row>
    <row r="1790" spans="1:5" x14ac:dyDescent="0.35">
      <c r="A1790" s="7">
        <v>50429</v>
      </c>
      <c r="B1790" s="8" t="s">
        <v>19</v>
      </c>
      <c r="C1790" s="9">
        <v>10.4</v>
      </c>
      <c r="D1790" s="10">
        <v>14.4</v>
      </c>
      <c r="E1790">
        <f t="shared" si="27"/>
        <v>1.4976000000000003</v>
      </c>
    </row>
    <row r="1791" spans="1:5" x14ac:dyDescent="0.35">
      <c r="A1791" s="11">
        <v>50430</v>
      </c>
      <c r="B1791" s="12" t="s">
        <v>24</v>
      </c>
      <c r="C1791" s="13">
        <v>29.6</v>
      </c>
      <c r="D1791" s="14">
        <v>2.8</v>
      </c>
      <c r="E1791">
        <f t="shared" si="27"/>
        <v>0.82879999999999998</v>
      </c>
    </row>
    <row r="1792" spans="1:5" x14ac:dyDescent="0.35">
      <c r="A1792" s="7">
        <v>50431</v>
      </c>
      <c r="B1792" s="8" t="s">
        <v>18</v>
      </c>
      <c r="C1792" s="9">
        <v>11.3</v>
      </c>
      <c r="D1792" s="10">
        <v>7.2</v>
      </c>
      <c r="E1792">
        <f t="shared" si="27"/>
        <v>0.8136000000000001</v>
      </c>
    </row>
    <row r="1793" spans="1:5" x14ac:dyDescent="0.35">
      <c r="A1793" s="11">
        <v>50432</v>
      </c>
      <c r="B1793" s="12" t="s">
        <v>20</v>
      </c>
      <c r="C1793" s="13">
        <v>22.4</v>
      </c>
      <c r="D1793" s="14">
        <v>0</v>
      </c>
      <c r="E1793">
        <f t="shared" si="27"/>
        <v>0</v>
      </c>
    </row>
    <row r="1794" spans="1:5" x14ac:dyDescent="0.35">
      <c r="A1794" s="7">
        <v>50433</v>
      </c>
      <c r="B1794" s="8" t="s">
        <v>19</v>
      </c>
      <c r="C1794" s="9">
        <v>19.600000000000001</v>
      </c>
      <c r="D1794" s="10">
        <v>28.7</v>
      </c>
      <c r="E1794">
        <f t="shared" si="27"/>
        <v>5.6251999999999995</v>
      </c>
    </row>
    <row r="1795" spans="1:5" x14ac:dyDescent="0.35">
      <c r="A1795" s="11">
        <v>50434</v>
      </c>
      <c r="B1795" s="12" t="s">
        <v>6</v>
      </c>
      <c r="C1795" s="13">
        <v>28.5</v>
      </c>
      <c r="D1795" s="14">
        <v>12.9</v>
      </c>
      <c r="E1795">
        <f t="shared" ref="E1795:E1858" si="28">IF(D1795&gt;=1,C1795*D1795/100,0)</f>
        <v>3.6765000000000003</v>
      </c>
    </row>
    <row r="1796" spans="1:5" x14ac:dyDescent="0.35">
      <c r="A1796" s="7">
        <v>50435</v>
      </c>
      <c r="B1796" s="8" t="s">
        <v>24</v>
      </c>
      <c r="C1796" s="9">
        <v>10.9</v>
      </c>
      <c r="D1796" s="10">
        <v>0</v>
      </c>
      <c r="E1796">
        <f t="shared" si="28"/>
        <v>0</v>
      </c>
    </row>
    <row r="1797" spans="1:5" x14ac:dyDescent="0.35">
      <c r="A1797" s="11">
        <v>50436</v>
      </c>
      <c r="B1797" s="12" t="s">
        <v>13</v>
      </c>
      <c r="C1797" s="13">
        <v>13.4</v>
      </c>
      <c r="D1797" s="14">
        <v>15.7</v>
      </c>
      <c r="E1797">
        <f t="shared" si="28"/>
        <v>2.1038000000000001</v>
      </c>
    </row>
    <row r="1798" spans="1:5" x14ac:dyDescent="0.35">
      <c r="A1798" s="7">
        <v>50437</v>
      </c>
      <c r="B1798" s="8" t="s">
        <v>19</v>
      </c>
      <c r="C1798" s="9">
        <v>27.3</v>
      </c>
      <c r="D1798" s="10">
        <v>0</v>
      </c>
      <c r="E1798">
        <f t="shared" si="28"/>
        <v>0</v>
      </c>
    </row>
    <row r="1799" spans="1:5" x14ac:dyDescent="0.35">
      <c r="A1799" s="11">
        <v>50438</v>
      </c>
      <c r="B1799" s="12" t="s">
        <v>9</v>
      </c>
      <c r="C1799" s="13">
        <v>23.6</v>
      </c>
      <c r="D1799" s="14">
        <v>0</v>
      </c>
      <c r="E1799">
        <f t="shared" si="28"/>
        <v>0</v>
      </c>
    </row>
    <row r="1800" spans="1:5" x14ac:dyDescent="0.35">
      <c r="A1800" s="7">
        <v>50439</v>
      </c>
      <c r="B1800" s="8" t="s">
        <v>7</v>
      </c>
      <c r="C1800" s="9">
        <v>26.5</v>
      </c>
      <c r="D1800" s="10">
        <v>20.3</v>
      </c>
      <c r="E1800">
        <f t="shared" si="28"/>
        <v>5.3795000000000002</v>
      </c>
    </row>
    <row r="1801" spans="1:5" x14ac:dyDescent="0.35">
      <c r="A1801" s="11">
        <v>50440</v>
      </c>
      <c r="B1801" s="12" t="s">
        <v>9</v>
      </c>
      <c r="C1801" s="13">
        <v>23.6</v>
      </c>
      <c r="D1801" s="14">
        <v>6.5</v>
      </c>
      <c r="E1801">
        <f t="shared" si="28"/>
        <v>1.534</v>
      </c>
    </row>
    <row r="1802" spans="1:5" x14ac:dyDescent="0.35">
      <c r="A1802" s="7">
        <v>50441</v>
      </c>
      <c r="B1802" s="8" t="s">
        <v>11</v>
      </c>
      <c r="C1802" s="9">
        <v>22.4</v>
      </c>
      <c r="D1802" s="10">
        <v>13.3</v>
      </c>
      <c r="E1802">
        <f t="shared" si="28"/>
        <v>2.9792000000000001</v>
      </c>
    </row>
    <row r="1803" spans="1:5" x14ac:dyDescent="0.35">
      <c r="A1803" s="11">
        <v>50442</v>
      </c>
      <c r="B1803" s="12" t="s">
        <v>18</v>
      </c>
      <c r="C1803" s="13">
        <v>22</v>
      </c>
      <c r="D1803" s="14">
        <v>15.5</v>
      </c>
      <c r="E1803">
        <f t="shared" si="28"/>
        <v>3.41</v>
      </c>
    </row>
    <row r="1804" spans="1:5" x14ac:dyDescent="0.35">
      <c r="A1804" s="7">
        <v>50443</v>
      </c>
      <c r="B1804" s="8" t="s">
        <v>27</v>
      </c>
      <c r="C1804" s="9">
        <v>10.8</v>
      </c>
      <c r="D1804" s="10">
        <v>0.4</v>
      </c>
      <c r="E1804">
        <f t="shared" si="28"/>
        <v>0</v>
      </c>
    </row>
    <row r="1805" spans="1:5" x14ac:dyDescent="0.35">
      <c r="A1805" s="11">
        <v>50444</v>
      </c>
      <c r="B1805" s="12" t="s">
        <v>15</v>
      </c>
      <c r="C1805" s="13">
        <v>21.6</v>
      </c>
      <c r="D1805" s="14">
        <v>0</v>
      </c>
      <c r="E1805">
        <f t="shared" si="28"/>
        <v>0</v>
      </c>
    </row>
    <row r="1806" spans="1:5" x14ac:dyDescent="0.35">
      <c r="A1806" s="7">
        <v>50445</v>
      </c>
      <c r="B1806" s="8" t="s">
        <v>8</v>
      </c>
      <c r="C1806" s="9">
        <v>10.1</v>
      </c>
      <c r="D1806" s="10">
        <v>0</v>
      </c>
      <c r="E1806">
        <f t="shared" si="28"/>
        <v>0</v>
      </c>
    </row>
    <row r="1807" spans="1:5" x14ac:dyDescent="0.35">
      <c r="A1807" s="11">
        <v>50446</v>
      </c>
      <c r="B1807" s="12" t="s">
        <v>11</v>
      </c>
      <c r="C1807" s="13">
        <v>29</v>
      </c>
      <c r="D1807" s="14">
        <v>12.6</v>
      </c>
      <c r="E1807">
        <f t="shared" si="28"/>
        <v>3.6539999999999999</v>
      </c>
    </row>
    <row r="1808" spans="1:5" x14ac:dyDescent="0.35">
      <c r="A1808" s="7">
        <v>50447</v>
      </c>
      <c r="B1808" s="8" t="s">
        <v>8</v>
      </c>
      <c r="C1808" s="9">
        <v>16.399999999999999</v>
      </c>
      <c r="D1808" s="10">
        <v>3.7</v>
      </c>
      <c r="E1808">
        <f t="shared" si="28"/>
        <v>0.60680000000000001</v>
      </c>
    </row>
    <row r="1809" spans="1:5" x14ac:dyDescent="0.35">
      <c r="A1809" s="11">
        <v>50448</v>
      </c>
      <c r="B1809" s="12" t="s">
        <v>19</v>
      </c>
      <c r="C1809" s="13">
        <v>13.5</v>
      </c>
      <c r="D1809" s="14">
        <v>38.5</v>
      </c>
      <c r="E1809">
        <f t="shared" si="28"/>
        <v>5.1974999999999998</v>
      </c>
    </row>
    <row r="1810" spans="1:5" x14ac:dyDescent="0.35">
      <c r="A1810" s="7">
        <v>50449</v>
      </c>
      <c r="B1810" s="8" t="s">
        <v>14</v>
      </c>
      <c r="C1810" s="9">
        <v>18.100000000000001</v>
      </c>
      <c r="D1810" s="10">
        <v>3</v>
      </c>
      <c r="E1810">
        <f t="shared" si="28"/>
        <v>0.54300000000000004</v>
      </c>
    </row>
    <row r="1811" spans="1:5" x14ac:dyDescent="0.35">
      <c r="A1811" s="11">
        <v>50450</v>
      </c>
      <c r="B1811" s="12" t="s">
        <v>7</v>
      </c>
      <c r="C1811" s="13">
        <v>20.399999999999999</v>
      </c>
      <c r="D1811" s="14">
        <v>11.7</v>
      </c>
      <c r="E1811">
        <f t="shared" si="28"/>
        <v>2.3867999999999996</v>
      </c>
    </row>
    <row r="1812" spans="1:5" x14ac:dyDescent="0.35">
      <c r="A1812" s="7">
        <v>50451</v>
      </c>
      <c r="B1812" s="8" t="s">
        <v>15</v>
      </c>
      <c r="C1812" s="9">
        <v>29.6</v>
      </c>
      <c r="D1812" s="10">
        <v>0.9</v>
      </c>
      <c r="E1812">
        <f t="shared" si="28"/>
        <v>0</v>
      </c>
    </row>
    <row r="1813" spans="1:5" x14ac:dyDescent="0.35">
      <c r="A1813" s="11">
        <v>50452</v>
      </c>
      <c r="B1813" s="12" t="s">
        <v>32</v>
      </c>
      <c r="C1813" s="13">
        <v>11.4</v>
      </c>
      <c r="D1813" s="14">
        <v>0.6</v>
      </c>
      <c r="E1813">
        <f t="shared" si="28"/>
        <v>0</v>
      </c>
    </row>
    <row r="1814" spans="1:5" x14ac:dyDescent="0.35">
      <c r="A1814" s="7">
        <v>50453</v>
      </c>
      <c r="B1814" s="8" t="s">
        <v>11</v>
      </c>
      <c r="C1814" s="9">
        <v>28.8</v>
      </c>
      <c r="D1814" s="10">
        <v>14.1</v>
      </c>
      <c r="E1814">
        <f t="shared" si="28"/>
        <v>4.0607999999999995</v>
      </c>
    </row>
    <row r="1815" spans="1:5" x14ac:dyDescent="0.35">
      <c r="A1815" s="11">
        <v>50454</v>
      </c>
      <c r="B1815" s="12" t="s">
        <v>10</v>
      </c>
      <c r="C1815" s="13">
        <v>11.8</v>
      </c>
      <c r="D1815" s="14">
        <v>42.4</v>
      </c>
      <c r="E1815">
        <f t="shared" si="28"/>
        <v>5.0031999999999996</v>
      </c>
    </row>
    <row r="1816" spans="1:5" x14ac:dyDescent="0.35">
      <c r="A1816" s="7">
        <v>50455</v>
      </c>
      <c r="B1816" s="8" t="s">
        <v>7</v>
      </c>
      <c r="C1816" s="9">
        <v>11.5</v>
      </c>
      <c r="D1816" s="10">
        <v>10.1</v>
      </c>
      <c r="E1816">
        <f t="shared" si="28"/>
        <v>1.1615</v>
      </c>
    </row>
    <row r="1817" spans="1:5" x14ac:dyDescent="0.35">
      <c r="A1817" s="11">
        <v>50456</v>
      </c>
      <c r="B1817" s="12" t="s">
        <v>13</v>
      </c>
      <c r="C1817" s="13">
        <v>13.6</v>
      </c>
      <c r="D1817" s="14">
        <v>8.4</v>
      </c>
      <c r="E1817">
        <f t="shared" si="28"/>
        <v>1.1423999999999999</v>
      </c>
    </row>
    <row r="1818" spans="1:5" x14ac:dyDescent="0.35">
      <c r="A1818" s="7">
        <v>50457</v>
      </c>
      <c r="B1818" s="8" t="s">
        <v>31</v>
      </c>
      <c r="C1818" s="9">
        <v>14.1</v>
      </c>
      <c r="D1818" s="10">
        <v>0.7</v>
      </c>
      <c r="E1818">
        <f t="shared" si="28"/>
        <v>0</v>
      </c>
    </row>
    <row r="1819" spans="1:5" x14ac:dyDescent="0.35">
      <c r="A1819" s="11">
        <v>50458</v>
      </c>
      <c r="B1819" s="12" t="s">
        <v>19</v>
      </c>
      <c r="C1819" s="13">
        <v>19.399999999999999</v>
      </c>
      <c r="D1819" s="14">
        <v>32.700000000000003</v>
      </c>
      <c r="E1819">
        <f t="shared" si="28"/>
        <v>6.3437999999999999</v>
      </c>
    </row>
    <row r="1820" spans="1:5" x14ac:dyDescent="0.35">
      <c r="A1820" s="7">
        <v>50459</v>
      </c>
      <c r="B1820" s="8" t="s">
        <v>33</v>
      </c>
      <c r="C1820" s="9">
        <v>28.5</v>
      </c>
      <c r="D1820" s="10">
        <v>0</v>
      </c>
      <c r="E1820">
        <f t="shared" si="28"/>
        <v>0</v>
      </c>
    </row>
    <row r="1821" spans="1:5" x14ac:dyDescent="0.35">
      <c r="A1821" s="11">
        <v>50460</v>
      </c>
      <c r="B1821" s="12" t="s">
        <v>19</v>
      </c>
      <c r="C1821" s="13">
        <v>23.7</v>
      </c>
      <c r="D1821" s="14">
        <v>12.2</v>
      </c>
      <c r="E1821">
        <f t="shared" si="28"/>
        <v>2.8914</v>
      </c>
    </row>
    <row r="1822" spans="1:5" x14ac:dyDescent="0.35">
      <c r="A1822" s="7">
        <v>50461</v>
      </c>
      <c r="B1822" s="8" t="s">
        <v>20</v>
      </c>
      <c r="C1822" s="9">
        <v>21.7</v>
      </c>
      <c r="D1822" s="10">
        <v>0</v>
      </c>
      <c r="E1822">
        <f t="shared" si="28"/>
        <v>0</v>
      </c>
    </row>
    <row r="1823" spans="1:5" x14ac:dyDescent="0.35">
      <c r="A1823" s="11">
        <v>50462</v>
      </c>
      <c r="B1823" s="12" t="s">
        <v>6</v>
      </c>
      <c r="C1823" s="13">
        <v>13.3</v>
      </c>
      <c r="D1823" s="14">
        <v>0</v>
      </c>
      <c r="E1823">
        <f t="shared" si="28"/>
        <v>0</v>
      </c>
    </row>
    <row r="1824" spans="1:5" x14ac:dyDescent="0.35">
      <c r="A1824" s="7">
        <v>50463</v>
      </c>
      <c r="B1824" s="8" t="s">
        <v>9</v>
      </c>
      <c r="C1824" s="9">
        <v>14.4</v>
      </c>
      <c r="D1824" s="10">
        <v>0</v>
      </c>
      <c r="E1824">
        <f t="shared" si="28"/>
        <v>0</v>
      </c>
    </row>
    <row r="1825" spans="1:5" x14ac:dyDescent="0.35">
      <c r="A1825" s="11">
        <v>50464</v>
      </c>
      <c r="B1825" s="12" t="s">
        <v>11</v>
      </c>
      <c r="C1825" s="13">
        <v>28.5</v>
      </c>
      <c r="D1825" s="14">
        <v>21.5</v>
      </c>
      <c r="E1825">
        <f t="shared" si="28"/>
        <v>6.1275000000000004</v>
      </c>
    </row>
    <row r="1826" spans="1:5" x14ac:dyDescent="0.35">
      <c r="A1826" s="7">
        <v>50465</v>
      </c>
      <c r="B1826" s="8" t="s">
        <v>19</v>
      </c>
      <c r="C1826" s="9">
        <v>20.5</v>
      </c>
      <c r="D1826" s="10">
        <v>0</v>
      </c>
      <c r="E1826">
        <f t="shared" si="28"/>
        <v>0</v>
      </c>
    </row>
    <row r="1827" spans="1:5" x14ac:dyDescent="0.35">
      <c r="A1827" s="11">
        <v>50466</v>
      </c>
      <c r="B1827" s="12" t="s">
        <v>10</v>
      </c>
      <c r="C1827" s="13">
        <v>11.4</v>
      </c>
      <c r="D1827" s="14">
        <v>39</v>
      </c>
      <c r="E1827">
        <f t="shared" si="28"/>
        <v>4.4460000000000006</v>
      </c>
    </row>
    <row r="1828" spans="1:5" x14ac:dyDescent="0.35">
      <c r="A1828" s="7">
        <v>50467</v>
      </c>
      <c r="B1828" s="8" t="s">
        <v>9</v>
      </c>
      <c r="C1828" s="9">
        <v>12.5</v>
      </c>
      <c r="D1828" s="10">
        <v>0</v>
      </c>
      <c r="E1828">
        <f t="shared" si="28"/>
        <v>0</v>
      </c>
    </row>
    <row r="1829" spans="1:5" x14ac:dyDescent="0.35">
      <c r="A1829" s="11">
        <v>50468</v>
      </c>
      <c r="B1829" s="12" t="s">
        <v>15</v>
      </c>
      <c r="C1829" s="13">
        <v>16.600000000000001</v>
      </c>
      <c r="D1829" s="14">
        <v>4.5999999999999996</v>
      </c>
      <c r="E1829">
        <f t="shared" si="28"/>
        <v>0.76359999999999995</v>
      </c>
    </row>
    <row r="1830" spans="1:5" x14ac:dyDescent="0.35">
      <c r="A1830" s="7">
        <v>50469</v>
      </c>
      <c r="B1830" s="8" t="s">
        <v>15</v>
      </c>
      <c r="C1830" s="9">
        <v>10.6</v>
      </c>
      <c r="D1830" s="10">
        <v>11.3</v>
      </c>
      <c r="E1830">
        <f t="shared" si="28"/>
        <v>1.1978</v>
      </c>
    </row>
    <row r="1831" spans="1:5" x14ac:dyDescent="0.35">
      <c r="A1831" s="11">
        <v>50470</v>
      </c>
      <c r="B1831" s="12" t="s">
        <v>7</v>
      </c>
      <c r="C1831" s="13">
        <v>27.9</v>
      </c>
      <c r="D1831" s="14">
        <v>16.100000000000001</v>
      </c>
      <c r="E1831">
        <f t="shared" si="28"/>
        <v>4.4919000000000002</v>
      </c>
    </row>
    <row r="1832" spans="1:5" x14ac:dyDescent="0.35">
      <c r="A1832" s="7">
        <v>50471</v>
      </c>
      <c r="B1832" s="8" t="s">
        <v>10</v>
      </c>
      <c r="C1832" s="9">
        <v>11.1</v>
      </c>
      <c r="D1832" s="10">
        <v>28.2</v>
      </c>
      <c r="E1832">
        <f t="shared" si="28"/>
        <v>3.1301999999999999</v>
      </c>
    </row>
    <row r="1833" spans="1:5" x14ac:dyDescent="0.35">
      <c r="A1833" s="11">
        <v>50472</v>
      </c>
      <c r="B1833" s="12" t="s">
        <v>7</v>
      </c>
      <c r="C1833" s="13">
        <v>21.5</v>
      </c>
      <c r="D1833" s="14">
        <v>12.8</v>
      </c>
      <c r="E1833">
        <f t="shared" si="28"/>
        <v>2.7519999999999998</v>
      </c>
    </row>
    <row r="1834" spans="1:5" x14ac:dyDescent="0.35">
      <c r="A1834" s="7">
        <v>50473</v>
      </c>
      <c r="B1834" s="8" t="s">
        <v>6</v>
      </c>
      <c r="C1834" s="9">
        <v>28.4</v>
      </c>
      <c r="D1834" s="10">
        <v>4.5999999999999996</v>
      </c>
      <c r="E1834">
        <f t="shared" si="28"/>
        <v>1.3063999999999998</v>
      </c>
    </row>
    <row r="1835" spans="1:5" x14ac:dyDescent="0.35">
      <c r="A1835" s="11">
        <v>50474</v>
      </c>
      <c r="B1835" s="12" t="s">
        <v>22</v>
      </c>
      <c r="C1835" s="13">
        <v>18.100000000000001</v>
      </c>
      <c r="D1835" s="14">
        <v>5.9</v>
      </c>
      <c r="E1835">
        <f t="shared" si="28"/>
        <v>1.0679000000000003</v>
      </c>
    </row>
    <row r="1836" spans="1:5" x14ac:dyDescent="0.35">
      <c r="A1836" s="7">
        <v>50475</v>
      </c>
      <c r="B1836" s="8" t="s">
        <v>20</v>
      </c>
      <c r="C1836" s="9">
        <v>25.3</v>
      </c>
      <c r="D1836" s="10">
        <v>0</v>
      </c>
      <c r="E1836">
        <f t="shared" si="28"/>
        <v>0</v>
      </c>
    </row>
    <row r="1837" spans="1:5" x14ac:dyDescent="0.35">
      <c r="A1837" s="11">
        <v>50476</v>
      </c>
      <c r="B1837" s="12" t="s">
        <v>9</v>
      </c>
      <c r="C1837" s="13">
        <v>15.6</v>
      </c>
      <c r="D1837" s="14">
        <v>10.6</v>
      </c>
      <c r="E1837">
        <f t="shared" si="28"/>
        <v>1.6536</v>
      </c>
    </row>
    <row r="1838" spans="1:5" x14ac:dyDescent="0.35">
      <c r="A1838" s="7">
        <v>50477</v>
      </c>
      <c r="B1838" s="8" t="s">
        <v>19</v>
      </c>
      <c r="C1838" s="9">
        <v>19.899999999999999</v>
      </c>
      <c r="D1838" s="10">
        <v>0</v>
      </c>
      <c r="E1838">
        <f t="shared" si="28"/>
        <v>0</v>
      </c>
    </row>
    <row r="1839" spans="1:5" x14ac:dyDescent="0.35">
      <c r="A1839" s="11">
        <v>50478</v>
      </c>
      <c r="B1839" s="12" t="s">
        <v>7</v>
      </c>
      <c r="C1839" s="13">
        <v>24.7</v>
      </c>
      <c r="D1839" s="14">
        <v>14.7</v>
      </c>
      <c r="E1839">
        <f t="shared" si="28"/>
        <v>3.6308999999999996</v>
      </c>
    </row>
    <row r="1840" spans="1:5" x14ac:dyDescent="0.35">
      <c r="A1840" s="7">
        <v>50479</v>
      </c>
      <c r="B1840" s="8" t="s">
        <v>23</v>
      </c>
      <c r="C1840" s="9">
        <v>21.9</v>
      </c>
      <c r="D1840" s="10">
        <v>5.6</v>
      </c>
      <c r="E1840">
        <f t="shared" si="28"/>
        <v>1.2263999999999999</v>
      </c>
    </row>
    <row r="1841" spans="1:5" x14ac:dyDescent="0.35">
      <c r="A1841" s="11">
        <v>50480</v>
      </c>
      <c r="B1841" s="12" t="s">
        <v>14</v>
      </c>
      <c r="C1841" s="13">
        <v>18</v>
      </c>
      <c r="D1841" s="14">
        <v>6.2</v>
      </c>
      <c r="E1841">
        <f t="shared" si="28"/>
        <v>1.1160000000000001</v>
      </c>
    </row>
    <row r="1842" spans="1:5" x14ac:dyDescent="0.35">
      <c r="A1842" s="7">
        <v>50481</v>
      </c>
      <c r="B1842" s="8" t="s">
        <v>29</v>
      </c>
      <c r="C1842" s="9">
        <v>24.5</v>
      </c>
      <c r="D1842" s="10">
        <v>0.6</v>
      </c>
      <c r="E1842">
        <f t="shared" si="28"/>
        <v>0</v>
      </c>
    </row>
    <row r="1843" spans="1:5" x14ac:dyDescent="0.35">
      <c r="A1843" s="11">
        <v>50482</v>
      </c>
      <c r="B1843" s="12" t="s">
        <v>8</v>
      </c>
      <c r="C1843" s="13">
        <v>10.9</v>
      </c>
      <c r="D1843" s="14">
        <v>0</v>
      </c>
      <c r="E1843">
        <f t="shared" si="28"/>
        <v>0</v>
      </c>
    </row>
    <row r="1844" spans="1:5" x14ac:dyDescent="0.35">
      <c r="A1844" s="7">
        <v>50483</v>
      </c>
      <c r="B1844" s="8" t="s">
        <v>26</v>
      </c>
      <c r="C1844" s="9">
        <v>11.3</v>
      </c>
      <c r="D1844" s="10">
        <v>2.7</v>
      </c>
      <c r="E1844">
        <f t="shared" si="28"/>
        <v>0.30510000000000004</v>
      </c>
    </row>
    <row r="1845" spans="1:5" x14ac:dyDescent="0.35">
      <c r="A1845" s="11">
        <v>50484</v>
      </c>
      <c r="B1845" s="12" t="s">
        <v>10</v>
      </c>
      <c r="C1845" s="13">
        <v>13.2</v>
      </c>
      <c r="D1845" s="14">
        <v>30</v>
      </c>
      <c r="E1845">
        <f t="shared" si="28"/>
        <v>3.96</v>
      </c>
    </row>
    <row r="1846" spans="1:5" x14ac:dyDescent="0.35">
      <c r="A1846" s="7">
        <v>50485</v>
      </c>
      <c r="B1846" s="8" t="s">
        <v>8</v>
      </c>
      <c r="C1846" s="9">
        <v>18.7</v>
      </c>
      <c r="D1846" s="10">
        <v>4.7</v>
      </c>
      <c r="E1846">
        <f t="shared" si="28"/>
        <v>0.87890000000000001</v>
      </c>
    </row>
    <row r="1847" spans="1:5" x14ac:dyDescent="0.35">
      <c r="A1847" s="11">
        <v>50486</v>
      </c>
      <c r="B1847" s="12" t="s">
        <v>8</v>
      </c>
      <c r="C1847" s="13">
        <v>12.1</v>
      </c>
      <c r="D1847" s="14">
        <v>1.5</v>
      </c>
      <c r="E1847">
        <f t="shared" si="28"/>
        <v>0.18149999999999999</v>
      </c>
    </row>
    <row r="1848" spans="1:5" x14ac:dyDescent="0.35">
      <c r="A1848" s="7">
        <v>50487</v>
      </c>
      <c r="B1848" s="8" t="s">
        <v>15</v>
      </c>
      <c r="C1848" s="9">
        <v>11.9</v>
      </c>
      <c r="D1848" s="10">
        <v>1.3</v>
      </c>
      <c r="E1848">
        <f t="shared" si="28"/>
        <v>0.1547</v>
      </c>
    </row>
    <row r="1849" spans="1:5" x14ac:dyDescent="0.35">
      <c r="A1849" s="11">
        <v>50488</v>
      </c>
      <c r="B1849" s="12" t="s">
        <v>26</v>
      </c>
      <c r="C1849" s="13">
        <v>17.7</v>
      </c>
      <c r="D1849" s="14">
        <v>2.6</v>
      </c>
      <c r="E1849">
        <f t="shared" si="28"/>
        <v>0.46020000000000005</v>
      </c>
    </row>
    <row r="1850" spans="1:5" x14ac:dyDescent="0.35">
      <c r="A1850" s="7">
        <v>50489</v>
      </c>
      <c r="B1850" s="8" t="s">
        <v>21</v>
      </c>
      <c r="C1850" s="9">
        <v>25.9</v>
      </c>
      <c r="D1850" s="10">
        <v>0.8</v>
      </c>
      <c r="E1850">
        <f t="shared" si="28"/>
        <v>0</v>
      </c>
    </row>
    <row r="1851" spans="1:5" x14ac:dyDescent="0.35">
      <c r="A1851" s="11">
        <v>50490</v>
      </c>
      <c r="B1851" s="12" t="s">
        <v>6</v>
      </c>
      <c r="C1851" s="13">
        <v>27.7</v>
      </c>
      <c r="D1851" s="14">
        <v>0</v>
      </c>
      <c r="E1851">
        <f t="shared" si="28"/>
        <v>0</v>
      </c>
    </row>
    <row r="1852" spans="1:5" x14ac:dyDescent="0.35">
      <c r="A1852" s="7">
        <v>50491</v>
      </c>
      <c r="B1852" s="8" t="s">
        <v>13</v>
      </c>
      <c r="C1852" s="9">
        <v>13.3</v>
      </c>
      <c r="D1852" s="10">
        <v>13.3</v>
      </c>
      <c r="E1852">
        <f t="shared" si="28"/>
        <v>1.7689000000000001</v>
      </c>
    </row>
    <row r="1853" spans="1:5" x14ac:dyDescent="0.35">
      <c r="A1853" s="11">
        <v>50492</v>
      </c>
      <c r="B1853" s="12" t="s">
        <v>19</v>
      </c>
      <c r="C1853" s="13">
        <v>11.7</v>
      </c>
      <c r="D1853" s="14">
        <v>4.9000000000000004</v>
      </c>
      <c r="E1853">
        <f t="shared" si="28"/>
        <v>0.57330000000000003</v>
      </c>
    </row>
    <row r="1854" spans="1:5" x14ac:dyDescent="0.35">
      <c r="A1854" s="7">
        <v>50493</v>
      </c>
      <c r="B1854" s="8" t="s">
        <v>26</v>
      </c>
      <c r="C1854" s="9">
        <v>26.5</v>
      </c>
      <c r="D1854" s="10">
        <v>4.5</v>
      </c>
      <c r="E1854">
        <f t="shared" si="28"/>
        <v>1.1924999999999999</v>
      </c>
    </row>
    <row r="1855" spans="1:5" x14ac:dyDescent="0.35">
      <c r="A1855" s="11">
        <v>50494</v>
      </c>
      <c r="B1855" s="12" t="s">
        <v>27</v>
      </c>
      <c r="C1855" s="13">
        <v>18.7</v>
      </c>
      <c r="D1855" s="14">
        <v>2.2999999999999998</v>
      </c>
      <c r="E1855">
        <f t="shared" si="28"/>
        <v>0.43009999999999998</v>
      </c>
    </row>
    <row r="1856" spans="1:5" x14ac:dyDescent="0.35">
      <c r="A1856" s="7">
        <v>50495</v>
      </c>
      <c r="B1856" s="8" t="s">
        <v>22</v>
      </c>
      <c r="C1856" s="9">
        <v>11.7</v>
      </c>
      <c r="D1856" s="10">
        <v>6</v>
      </c>
      <c r="E1856">
        <f t="shared" si="28"/>
        <v>0.70199999999999985</v>
      </c>
    </row>
    <row r="1857" spans="1:5" x14ac:dyDescent="0.35">
      <c r="A1857" s="11">
        <v>50496</v>
      </c>
      <c r="B1857" s="12" t="s">
        <v>19</v>
      </c>
      <c r="C1857" s="13">
        <v>27.5</v>
      </c>
      <c r="D1857" s="14">
        <v>22.6</v>
      </c>
      <c r="E1857">
        <f t="shared" si="28"/>
        <v>6.2149999999999999</v>
      </c>
    </row>
    <row r="1858" spans="1:5" x14ac:dyDescent="0.35">
      <c r="A1858" s="7">
        <v>50497</v>
      </c>
      <c r="B1858" s="8" t="s">
        <v>27</v>
      </c>
      <c r="C1858" s="9">
        <v>27.4</v>
      </c>
      <c r="D1858" s="10">
        <v>0</v>
      </c>
      <c r="E1858">
        <f t="shared" si="28"/>
        <v>0</v>
      </c>
    </row>
    <row r="1859" spans="1:5" x14ac:dyDescent="0.35">
      <c r="A1859" s="11">
        <v>50498</v>
      </c>
      <c r="B1859" s="12" t="s">
        <v>11</v>
      </c>
      <c r="C1859" s="13">
        <v>14.8</v>
      </c>
      <c r="D1859" s="14">
        <v>0</v>
      </c>
      <c r="E1859">
        <f t="shared" ref="E1859:E1922" si="29">IF(D1859&gt;=1,C1859*D1859/100,0)</f>
        <v>0</v>
      </c>
    </row>
    <row r="1860" spans="1:5" x14ac:dyDescent="0.35">
      <c r="A1860" s="7">
        <v>50499</v>
      </c>
      <c r="B1860" s="8" t="s">
        <v>17</v>
      </c>
      <c r="C1860" s="9">
        <v>26.2</v>
      </c>
      <c r="D1860" s="10">
        <v>0</v>
      </c>
      <c r="E1860">
        <f t="shared" si="29"/>
        <v>0</v>
      </c>
    </row>
    <row r="1861" spans="1:5" x14ac:dyDescent="0.35">
      <c r="A1861" s="11">
        <v>50500</v>
      </c>
      <c r="B1861" s="12" t="s">
        <v>15</v>
      </c>
      <c r="C1861" s="13">
        <v>12.9</v>
      </c>
      <c r="D1861" s="14">
        <v>17.899999999999999</v>
      </c>
      <c r="E1861">
        <f t="shared" si="29"/>
        <v>2.3090999999999999</v>
      </c>
    </row>
    <row r="1862" spans="1:5" x14ac:dyDescent="0.35">
      <c r="A1862" s="7">
        <v>50501</v>
      </c>
      <c r="B1862" s="8" t="s">
        <v>25</v>
      </c>
      <c r="C1862" s="9">
        <v>12.5</v>
      </c>
      <c r="D1862" s="10">
        <v>0</v>
      </c>
      <c r="E1862">
        <f t="shared" si="29"/>
        <v>0</v>
      </c>
    </row>
    <row r="1863" spans="1:5" x14ac:dyDescent="0.35">
      <c r="A1863" s="11">
        <v>50502</v>
      </c>
      <c r="B1863" s="12" t="s">
        <v>24</v>
      </c>
      <c r="C1863" s="13">
        <v>12.3</v>
      </c>
      <c r="D1863" s="14">
        <v>0</v>
      </c>
      <c r="E1863">
        <f t="shared" si="29"/>
        <v>0</v>
      </c>
    </row>
    <row r="1864" spans="1:5" x14ac:dyDescent="0.35">
      <c r="A1864" s="7">
        <v>50503</v>
      </c>
      <c r="B1864" s="8" t="s">
        <v>5</v>
      </c>
      <c r="C1864" s="9">
        <v>19.399999999999999</v>
      </c>
      <c r="D1864" s="10">
        <v>0</v>
      </c>
      <c r="E1864">
        <f t="shared" si="29"/>
        <v>0</v>
      </c>
    </row>
    <row r="1865" spans="1:5" x14ac:dyDescent="0.35">
      <c r="A1865" s="11">
        <v>50504</v>
      </c>
      <c r="B1865" s="12" t="s">
        <v>15</v>
      </c>
      <c r="C1865" s="13">
        <v>20.9</v>
      </c>
      <c r="D1865" s="14">
        <v>0</v>
      </c>
      <c r="E1865">
        <f t="shared" si="29"/>
        <v>0</v>
      </c>
    </row>
    <row r="1866" spans="1:5" x14ac:dyDescent="0.35">
      <c r="A1866" s="7">
        <v>50505</v>
      </c>
      <c r="B1866" s="8" t="s">
        <v>9</v>
      </c>
      <c r="C1866" s="9">
        <v>10.4</v>
      </c>
      <c r="D1866" s="10">
        <v>0</v>
      </c>
      <c r="E1866">
        <f t="shared" si="29"/>
        <v>0</v>
      </c>
    </row>
    <row r="1867" spans="1:5" x14ac:dyDescent="0.35">
      <c r="A1867" s="11">
        <v>50506</v>
      </c>
      <c r="B1867" s="12" t="s">
        <v>11</v>
      </c>
      <c r="C1867" s="13">
        <v>22.2</v>
      </c>
      <c r="D1867" s="14">
        <v>2.5</v>
      </c>
      <c r="E1867">
        <f t="shared" si="29"/>
        <v>0.55500000000000005</v>
      </c>
    </row>
    <row r="1868" spans="1:5" x14ac:dyDescent="0.35">
      <c r="A1868" s="7">
        <v>50507</v>
      </c>
      <c r="B1868" s="8" t="s">
        <v>10</v>
      </c>
      <c r="C1868" s="9">
        <v>16.8</v>
      </c>
      <c r="D1868" s="10">
        <v>0</v>
      </c>
      <c r="E1868">
        <f t="shared" si="29"/>
        <v>0</v>
      </c>
    </row>
    <row r="1869" spans="1:5" x14ac:dyDescent="0.35">
      <c r="A1869" s="11">
        <v>50508</v>
      </c>
      <c r="B1869" s="12" t="s">
        <v>19</v>
      </c>
      <c r="C1869" s="13">
        <v>21.7</v>
      </c>
      <c r="D1869" s="14">
        <v>33.299999999999997</v>
      </c>
      <c r="E1869">
        <f t="shared" si="29"/>
        <v>7.2260999999999989</v>
      </c>
    </row>
    <row r="1870" spans="1:5" x14ac:dyDescent="0.35">
      <c r="A1870" s="7">
        <v>50509</v>
      </c>
      <c r="B1870" s="8" t="s">
        <v>11</v>
      </c>
      <c r="C1870" s="9">
        <v>10.199999999999999</v>
      </c>
      <c r="D1870" s="10">
        <v>16.600000000000001</v>
      </c>
      <c r="E1870">
        <f t="shared" si="29"/>
        <v>1.6932</v>
      </c>
    </row>
    <row r="1871" spans="1:5" x14ac:dyDescent="0.35">
      <c r="A1871" s="11">
        <v>50510</v>
      </c>
      <c r="B1871" s="12" t="s">
        <v>10</v>
      </c>
      <c r="C1871" s="13">
        <v>16.5</v>
      </c>
      <c r="D1871" s="14">
        <v>0</v>
      </c>
      <c r="E1871">
        <f t="shared" si="29"/>
        <v>0</v>
      </c>
    </row>
    <row r="1872" spans="1:5" x14ac:dyDescent="0.35">
      <c r="A1872" s="7">
        <v>50511</v>
      </c>
      <c r="B1872" s="8" t="s">
        <v>16</v>
      </c>
      <c r="C1872" s="9">
        <v>29.1</v>
      </c>
      <c r="D1872" s="10">
        <v>0.5</v>
      </c>
      <c r="E1872">
        <f t="shared" si="29"/>
        <v>0</v>
      </c>
    </row>
    <row r="1873" spans="1:5" x14ac:dyDescent="0.35">
      <c r="A1873" s="11">
        <v>50512</v>
      </c>
      <c r="B1873" s="12" t="s">
        <v>11</v>
      </c>
      <c r="C1873" s="13">
        <v>17.8</v>
      </c>
      <c r="D1873" s="14">
        <v>0</v>
      </c>
      <c r="E1873">
        <f t="shared" si="29"/>
        <v>0</v>
      </c>
    </row>
    <row r="1874" spans="1:5" x14ac:dyDescent="0.35">
      <c r="A1874" s="7">
        <v>50513</v>
      </c>
      <c r="B1874" s="8" t="s">
        <v>10</v>
      </c>
      <c r="C1874" s="9">
        <v>10</v>
      </c>
      <c r="D1874" s="10">
        <v>0</v>
      </c>
      <c r="E1874">
        <f t="shared" si="29"/>
        <v>0</v>
      </c>
    </row>
    <row r="1875" spans="1:5" x14ac:dyDescent="0.35">
      <c r="A1875" s="11">
        <v>50514</v>
      </c>
      <c r="B1875" s="12" t="s">
        <v>9</v>
      </c>
      <c r="C1875" s="13">
        <v>15.5</v>
      </c>
      <c r="D1875" s="14">
        <v>8.6</v>
      </c>
      <c r="E1875">
        <f t="shared" si="29"/>
        <v>1.3329999999999997</v>
      </c>
    </row>
    <row r="1876" spans="1:5" x14ac:dyDescent="0.35">
      <c r="A1876" s="7">
        <v>50515</v>
      </c>
      <c r="B1876" s="8" t="s">
        <v>10</v>
      </c>
      <c r="C1876" s="9">
        <v>15.3</v>
      </c>
      <c r="D1876" s="10">
        <v>21.4</v>
      </c>
      <c r="E1876">
        <f t="shared" si="29"/>
        <v>3.2742</v>
      </c>
    </row>
    <row r="1877" spans="1:5" x14ac:dyDescent="0.35">
      <c r="A1877" s="11">
        <v>50516</v>
      </c>
      <c r="B1877" s="12" t="s">
        <v>12</v>
      </c>
      <c r="C1877" s="13">
        <v>23.7</v>
      </c>
      <c r="D1877" s="14">
        <v>0</v>
      </c>
      <c r="E1877">
        <f t="shared" si="29"/>
        <v>0</v>
      </c>
    </row>
    <row r="1878" spans="1:5" x14ac:dyDescent="0.35">
      <c r="A1878" s="7">
        <v>50517</v>
      </c>
      <c r="B1878" s="8" t="s">
        <v>11</v>
      </c>
      <c r="C1878" s="9">
        <v>26.1</v>
      </c>
      <c r="D1878" s="10">
        <v>12.5</v>
      </c>
      <c r="E1878">
        <f t="shared" si="29"/>
        <v>3.2625000000000002</v>
      </c>
    </row>
    <row r="1879" spans="1:5" x14ac:dyDescent="0.35">
      <c r="A1879" s="11">
        <v>50518</v>
      </c>
      <c r="B1879" s="12" t="s">
        <v>11</v>
      </c>
      <c r="C1879" s="13">
        <v>13.4</v>
      </c>
      <c r="D1879" s="14">
        <v>0</v>
      </c>
      <c r="E1879">
        <f t="shared" si="29"/>
        <v>0</v>
      </c>
    </row>
    <row r="1880" spans="1:5" x14ac:dyDescent="0.35">
      <c r="A1880" s="7">
        <v>50519</v>
      </c>
      <c r="B1880" s="8" t="s">
        <v>5</v>
      </c>
      <c r="C1880" s="9">
        <v>17.8</v>
      </c>
      <c r="D1880" s="10">
        <v>3.7</v>
      </c>
      <c r="E1880">
        <f t="shared" si="29"/>
        <v>0.65859999999999996</v>
      </c>
    </row>
    <row r="1881" spans="1:5" x14ac:dyDescent="0.35">
      <c r="A1881" s="11">
        <v>50520</v>
      </c>
      <c r="B1881" s="12" t="s">
        <v>24</v>
      </c>
      <c r="C1881" s="13">
        <v>13</v>
      </c>
      <c r="D1881" s="14">
        <v>2.7</v>
      </c>
      <c r="E1881">
        <f t="shared" si="29"/>
        <v>0.35100000000000003</v>
      </c>
    </row>
    <row r="1882" spans="1:5" x14ac:dyDescent="0.35">
      <c r="A1882" s="7">
        <v>50521</v>
      </c>
      <c r="B1882" s="8" t="s">
        <v>7</v>
      </c>
      <c r="C1882" s="9">
        <v>28.2</v>
      </c>
      <c r="D1882" s="10">
        <v>0</v>
      </c>
      <c r="E1882">
        <f t="shared" si="29"/>
        <v>0</v>
      </c>
    </row>
    <row r="1883" spans="1:5" x14ac:dyDescent="0.35">
      <c r="A1883" s="11">
        <v>50522</v>
      </c>
      <c r="B1883" s="12" t="s">
        <v>10</v>
      </c>
      <c r="C1883" s="13">
        <v>23</v>
      </c>
      <c r="D1883" s="14">
        <v>0</v>
      </c>
      <c r="E1883">
        <f t="shared" si="29"/>
        <v>0</v>
      </c>
    </row>
    <row r="1884" spans="1:5" x14ac:dyDescent="0.35">
      <c r="A1884" s="7">
        <v>50523</v>
      </c>
      <c r="B1884" s="8" t="s">
        <v>7</v>
      </c>
      <c r="C1884" s="9">
        <v>21.5</v>
      </c>
      <c r="D1884" s="10">
        <v>0</v>
      </c>
      <c r="E1884">
        <f t="shared" si="29"/>
        <v>0</v>
      </c>
    </row>
    <row r="1885" spans="1:5" x14ac:dyDescent="0.35">
      <c r="A1885" s="11">
        <v>50524</v>
      </c>
      <c r="B1885" s="12" t="s">
        <v>18</v>
      </c>
      <c r="C1885" s="13">
        <v>22.3</v>
      </c>
      <c r="D1885" s="14">
        <v>0</v>
      </c>
      <c r="E1885">
        <f t="shared" si="29"/>
        <v>0</v>
      </c>
    </row>
    <row r="1886" spans="1:5" x14ac:dyDescent="0.35">
      <c r="A1886" s="7">
        <v>50525</v>
      </c>
      <c r="B1886" s="8" t="s">
        <v>10</v>
      </c>
      <c r="C1886" s="9">
        <v>28.2</v>
      </c>
      <c r="D1886" s="10">
        <v>0</v>
      </c>
      <c r="E1886">
        <f t="shared" si="29"/>
        <v>0</v>
      </c>
    </row>
    <row r="1887" spans="1:5" x14ac:dyDescent="0.35">
      <c r="A1887" s="11">
        <v>50526</v>
      </c>
      <c r="B1887" s="12" t="s">
        <v>24</v>
      </c>
      <c r="C1887" s="13">
        <v>11.9</v>
      </c>
      <c r="D1887" s="14">
        <v>3.4</v>
      </c>
      <c r="E1887">
        <f t="shared" si="29"/>
        <v>0.40460000000000002</v>
      </c>
    </row>
    <row r="1888" spans="1:5" x14ac:dyDescent="0.35">
      <c r="A1888" s="7">
        <v>50527</v>
      </c>
      <c r="B1888" s="8" t="s">
        <v>18</v>
      </c>
      <c r="C1888" s="9">
        <v>20.9</v>
      </c>
      <c r="D1888" s="10">
        <v>7.5</v>
      </c>
      <c r="E1888">
        <f t="shared" si="29"/>
        <v>1.5674999999999999</v>
      </c>
    </row>
    <row r="1889" spans="1:5" x14ac:dyDescent="0.35">
      <c r="A1889" s="11">
        <v>50528</v>
      </c>
      <c r="B1889" s="12" t="s">
        <v>32</v>
      </c>
      <c r="C1889" s="13">
        <v>18.399999999999999</v>
      </c>
      <c r="D1889" s="14">
        <v>0.2</v>
      </c>
      <c r="E1889">
        <f t="shared" si="29"/>
        <v>0</v>
      </c>
    </row>
    <row r="1890" spans="1:5" x14ac:dyDescent="0.35">
      <c r="A1890" s="7">
        <v>50529</v>
      </c>
      <c r="B1890" s="8" t="s">
        <v>10</v>
      </c>
      <c r="C1890" s="9">
        <v>27.8</v>
      </c>
      <c r="D1890" s="10">
        <v>35.9</v>
      </c>
      <c r="E1890">
        <f t="shared" si="29"/>
        <v>9.9802</v>
      </c>
    </row>
    <row r="1891" spans="1:5" x14ac:dyDescent="0.35">
      <c r="A1891" s="11">
        <v>50530</v>
      </c>
      <c r="B1891" s="12" t="s">
        <v>19</v>
      </c>
      <c r="C1891" s="13">
        <v>20.7</v>
      </c>
      <c r="D1891" s="14">
        <v>14.7</v>
      </c>
      <c r="E1891">
        <f t="shared" si="29"/>
        <v>3.0428999999999995</v>
      </c>
    </row>
    <row r="1892" spans="1:5" x14ac:dyDescent="0.35">
      <c r="A1892" s="7">
        <v>50531</v>
      </c>
      <c r="B1892" s="8" t="s">
        <v>5</v>
      </c>
      <c r="C1892" s="9">
        <v>13</v>
      </c>
      <c r="D1892" s="10">
        <v>0</v>
      </c>
      <c r="E1892">
        <f t="shared" si="29"/>
        <v>0</v>
      </c>
    </row>
    <row r="1893" spans="1:5" x14ac:dyDescent="0.35">
      <c r="A1893" s="11">
        <v>50532</v>
      </c>
      <c r="B1893" s="12" t="s">
        <v>19</v>
      </c>
      <c r="C1893" s="13">
        <v>29.4</v>
      </c>
      <c r="D1893" s="14">
        <v>0</v>
      </c>
      <c r="E1893">
        <f t="shared" si="29"/>
        <v>0</v>
      </c>
    </row>
    <row r="1894" spans="1:5" x14ac:dyDescent="0.35">
      <c r="A1894" s="7">
        <v>50533</v>
      </c>
      <c r="B1894" s="8" t="s">
        <v>6</v>
      </c>
      <c r="C1894" s="9">
        <v>19.8</v>
      </c>
      <c r="D1894" s="10">
        <v>13.9</v>
      </c>
      <c r="E1894">
        <f t="shared" si="29"/>
        <v>2.7522000000000002</v>
      </c>
    </row>
    <row r="1895" spans="1:5" x14ac:dyDescent="0.35">
      <c r="A1895" s="11">
        <v>50534</v>
      </c>
      <c r="B1895" s="12" t="s">
        <v>11</v>
      </c>
      <c r="C1895" s="13">
        <v>10.9</v>
      </c>
      <c r="D1895" s="14">
        <v>17</v>
      </c>
      <c r="E1895">
        <f t="shared" si="29"/>
        <v>1.8530000000000002</v>
      </c>
    </row>
    <row r="1896" spans="1:5" x14ac:dyDescent="0.35">
      <c r="A1896" s="7">
        <v>50535</v>
      </c>
      <c r="B1896" s="8" t="s">
        <v>10</v>
      </c>
      <c r="C1896" s="9">
        <v>27.3</v>
      </c>
      <c r="D1896" s="10">
        <v>15.8</v>
      </c>
      <c r="E1896">
        <f t="shared" si="29"/>
        <v>4.3134000000000006</v>
      </c>
    </row>
    <row r="1897" spans="1:5" x14ac:dyDescent="0.35">
      <c r="A1897" s="11">
        <v>50536</v>
      </c>
      <c r="B1897" s="12" t="s">
        <v>19</v>
      </c>
      <c r="C1897" s="13">
        <v>16.399999999999999</v>
      </c>
      <c r="D1897" s="14">
        <v>0</v>
      </c>
      <c r="E1897">
        <f t="shared" si="29"/>
        <v>0</v>
      </c>
    </row>
    <row r="1898" spans="1:5" x14ac:dyDescent="0.35">
      <c r="A1898" s="7">
        <v>50537</v>
      </c>
      <c r="B1898" s="8" t="s">
        <v>15</v>
      </c>
      <c r="C1898" s="9">
        <v>28</v>
      </c>
      <c r="D1898" s="10">
        <v>9.6999999999999993</v>
      </c>
      <c r="E1898">
        <f t="shared" si="29"/>
        <v>2.7159999999999997</v>
      </c>
    </row>
    <row r="1899" spans="1:5" x14ac:dyDescent="0.35">
      <c r="A1899" s="11">
        <v>50538</v>
      </c>
      <c r="B1899" s="12" t="s">
        <v>7</v>
      </c>
      <c r="C1899" s="13">
        <v>17.399999999999999</v>
      </c>
      <c r="D1899" s="14">
        <v>6.6</v>
      </c>
      <c r="E1899">
        <f t="shared" si="29"/>
        <v>1.1483999999999999</v>
      </c>
    </row>
    <row r="1900" spans="1:5" x14ac:dyDescent="0.35">
      <c r="A1900" s="7">
        <v>50539</v>
      </c>
      <c r="B1900" s="8" t="s">
        <v>8</v>
      </c>
      <c r="C1900" s="9">
        <v>25.7</v>
      </c>
      <c r="D1900" s="10">
        <v>0.7</v>
      </c>
      <c r="E1900">
        <f t="shared" si="29"/>
        <v>0</v>
      </c>
    </row>
    <row r="1901" spans="1:5" x14ac:dyDescent="0.35">
      <c r="A1901" s="11">
        <v>50540</v>
      </c>
      <c r="B1901" s="12" t="s">
        <v>19</v>
      </c>
      <c r="C1901" s="13">
        <v>20.100000000000001</v>
      </c>
      <c r="D1901" s="14">
        <v>11</v>
      </c>
      <c r="E1901">
        <f t="shared" si="29"/>
        <v>2.2110000000000003</v>
      </c>
    </row>
    <row r="1902" spans="1:5" x14ac:dyDescent="0.35">
      <c r="A1902" s="7">
        <v>50541</v>
      </c>
      <c r="B1902" s="8" t="s">
        <v>19</v>
      </c>
      <c r="C1902" s="9">
        <v>17.899999999999999</v>
      </c>
      <c r="D1902" s="10">
        <v>0</v>
      </c>
      <c r="E1902">
        <f t="shared" si="29"/>
        <v>0</v>
      </c>
    </row>
    <row r="1903" spans="1:5" x14ac:dyDescent="0.35">
      <c r="A1903" s="11">
        <v>50542</v>
      </c>
      <c r="B1903" s="12" t="s">
        <v>11</v>
      </c>
      <c r="C1903" s="13">
        <v>10.7</v>
      </c>
      <c r="D1903" s="14">
        <v>6.4</v>
      </c>
      <c r="E1903">
        <f t="shared" si="29"/>
        <v>0.68480000000000008</v>
      </c>
    </row>
    <row r="1904" spans="1:5" x14ac:dyDescent="0.35">
      <c r="A1904" s="7">
        <v>50543</v>
      </c>
      <c r="B1904" s="8" t="s">
        <v>9</v>
      </c>
      <c r="C1904" s="9">
        <v>20.399999999999999</v>
      </c>
      <c r="D1904" s="10">
        <v>0</v>
      </c>
      <c r="E1904">
        <f t="shared" si="29"/>
        <v>0</v>
      </c>
    </row>
    <row r="1905" spans="1:5" x14ac:dyDescent="0.35">
      <c r="A1905" s="11">
        <v>50544</v>
      </c>
      <c r="B1905" s="12" t="s">
        <v>12</v>
      </c>
      <c r="C1905" s="13">
        <v>25.4</v>
      </c>
      <c r="D1905" s="14">
        <v>1</v>
      </c>
      <c r="E1905">
        <f t="shared" si="29"/>
        <v>0.254</v>
      </c>
    </row>
    <row r="1906" spans="1:5" x14ac:dyDescent="0.35">
      <c r="A1906" s="7">
        <v>50545</v>
      </c>
      <c r="B1906" s="8" t="s">
        <v>8</v>
      </c>
      <c r="C1906" s="9">
        <v>10.9</v>
      </c>
      <c r="D1906" s="10">
        <v>0.2</v>
      </c>
      <c r="E1906">
        <f t="shared" si="29"/>
        <v>0</v>
      </c>
    </row>
    <row r="1907" spans="1:5" x14ac:dyDescent="0.35">
      <c r="A1907" s="11">
        <v>50546</v>
      </c>
      <c r="B1907" s="12" t="s">
        <v>27</v>
      </c>
      <c r="C1907" s="13">
        <v>18.5</v>
      </c>
      <c r="D1907" s="14">
        <v>0.5</v>
      </c>
      <c r="E1907">
        <f t="shared" si="29"/>
        <v>0</v>
      </c>
    </row>
    <row r="1908" spans="1:5" x14ac:dyDescent="0.35">
      <c r="A1908" s="7">
        <v>50547</v>
      </c>
      <c r="B1908" s="8" t="s">
        <v>10</v>
      </c>
      <c r="C1908" s="9">
        <v>14.8</v>
      </c>
      <c r="D1908" s="10">
        <v>50.3</v>
      </c>
      <c r="E1908">
        <f t="shared" si="29"/>
        <v>7.444399999999999</v>
      </c>
    </row>
    <row r="1909" spans="1:5" x14ac:dyDescent="0.35">
      <c r="A1909" s="11">
        <v>50548</v>
      </c>
      <c r="B1909" s="12" t="s">
        <v>18</v>
      </c>
      <c r="C1909" s="13">
        <v>28.5</v>
      </c>
      <c r="D1909" s="14">
        <v>0.7</v>
      </c>
      <c r="E1909">
        <f t="shared" si="29"/>
        <v>0</v>
      </c>
    </row>
    <row r="1910" spans="1:5" x14ac:dyDescent="0.35">
      <c r="A1910" s="7">
        <v>50549</v>
      </c>
      <c r="B1910" s="8" t="s">
        <v>31</v>
      </c>
      <c r="C1910" s="9">
        <v>19.399999999999999</v>
      </c>
      <c r="D1910" s="10">
        <v>0</v>
      </c>
      <c r="E1910">
        <f t="shared" si="29"/>
        <v>0</v>
      </c>
    </row>
    <row r="1911" spans="1:5" x14ac:dyDescent="0.35">
      <c r="A1911" s="11">
        <v>50550</v>
      </c>
      <c r="B1911" s="12" t="s">
        <v>23</v>
      </c>
      <c r="C1911" s="13">
        <v>20.7</v>
      </c>
      <c r="D1911" s="14">
        <v>4.7</v>
      </c>
      <c r="E1911">
        <f t="shared" si="29"/>
        <v>0.9729000000000001</v>
      </c>
    </row>
    <row r="1912" spans="1:5" x14ac:dyDescent="0.35">
      <c r="A1912" s="7">
        <v>50551</v>
      </c>
      <c r="B1912" s="8" t="s">
        <v>26</v>
      </c>
      <c r="C1912" s="9">
        <v>25.7</v>
      </c>
      <c r="D1912" s="10">
        <v>0</v>
      </c>
      <c r="E1912">
        <f t="shared" si="29"/>
        <v>0</v>
      </c>
    </row>
    <row r="1913" spans="1:5" x14ac:dyDescent="0.35">
      <c r="A1913" s="11">
        <v>50552</v>
      </c>
      <c r="B1913" s="12" t="s">
        <v>19</v>
      </c>
      <c r="C1913" s="13">
        <v>21.4</v>
      </c>
      <c r="D1913" s="14">
        <v>0</v>
      </c>
      <c r="E1913">
        <f t="shared" si="29"/>
        <v>0</v>
      </c>
    </row>
    <row r="1914" spans="1:5" x14ac:dyDescent="0.35">
      <c r="A1914" s="7">
        <v>50553</v>
      </c>
      <c r="B1914" s="8" t="s">
        <v>10</v>
      </c>
      <c r="C1914" s="9">
        <v>19.2</v>
      </c>
      <c r="D1914" s="10">
        <v>0</v>
      </c>
      <c r="E1914">
        <f t="shared" si="29"/>
        <v>0</v>
      </c>
    </row>
    <row r="1915" spans="1:5" x14ac:dyDescent="0.35">
      <c r="A1915" s="11">
        <v>50554</v>
      </c>
      <c r="B1915" s="12" t="s">
        <v>18</v>
      </c>
      <c r="C1915" s="13">
        <v>19.399999999999999</v>
      </c>
      <c r="D1915" s="14">
        <v>14.2</v>
      </c>
      <c r="E1915">
        <f t="shared" si="29"/>
        <v>2.7547999999999995</v>
      </c>
    </row>
    <row r="1916" spans="1:5" x14ac:dyDescent="0.35">
      <c r="A1916" s="7">
        <v>50555</v>
      </c>
      <c r="B1916" s="8" t="s">
        <v>19</v>
      </c>
      <c r="C1916" s="9">
        <v>24.2</v>
      </c>
      <c r="D1916" s="10">
        <v>1.9</v>
      </c>
      <c r="E1916">
        <f t="shared" si="29"/>
        <v>0.45979999999999999</v>
      </c>
    </row>
    <row r="1917" spans="1:5" x14ac:dyDescent="0.35">
      <c r="A1917" s="11">
        <v>50556</v>
      </c>
      <c r="B1917" s="12" t="s">
        <v>7</v>
      </c>
      <c r="C1917" s="13">
        <v>27.7</v>
      </c>
      <c r="D1917" s="14">
        <v>19.5</v>
      </c>
      <c r="E1917">
        <f t="shared" si="29"/>
        <v>5.4014999999999995</v>
      </c>
    </row>
    <row r="1918" spans="1:5" x14ac:dyDescent="0.35">
      <c r="A1918" s="7">
        <v>50557</v>
      </c>
      <c r="B1918" s="8" t="s">
        <v>5</v>
      </c>
      <c r="C1918" s="9">
        <v>16.899999999999999</v>
      </c>
      <c r="D1918" s="10">
        <v>4.0999999999999996</v>
      </c>
      <c r="E1918">
        <f t="shared" si="29"/>
        <v>0.69289999999999996</v>
      </c>
    </row>
    <row r="1919" spans="1:5" x14ac:dyDescent="0.35">
      <c r="A1919" s="11">
        <v>50558</v>
      </c>
      <c r="B1919" s="12" t="s">
        <v>19</v>
      </c>
      <c r="C1919" s="13">
        <v>11.8</v>
      </c>
      <c r="D1919" s="14">
        <v>0</v>
      </c>
      <c r="E1919">
        <f t="shared" si="29"/>
        <v>0</v>
      </c>
    </row>
    <row r="1920" spans="1:5" x14ac:dyDescent="0.35">
      <c r="A1920" s="7">
        <v>50559</v>
      </c>
      <c r="B1920" s="8" t="s">
        <v>12</v>
      </c>
      <c r="C1920" s="9">
        <v>15.7</v>
      </c>
      <c r="D1920" s="10">
        <v>9.4</v>
      </c>
      <c r="E1920">
        <f t="shared" si="29"/>
        <v>1.4758000000000002</v>
      </c>
    </row>
    <row r="1921" spans="1:5" x14ac:dyDescent="0.35">
      <c r="A1921" s="11">
        <v>50560</v>
      </c>
      <c r="B1921" s="12" t="s">
        <v>6</v>
      </c>
      <c r="C1921" s="13">
        <v>14.2</v>
      </c>
      <c r="D1921" s="14">
        <v>0</v>
      </c>
      <c r="E1921">
        <f t="shared" si="29"/>
        <v>0</v>
      </c>
    </row>
    <row r="1922" spans="1:5" x14ac:dyDescent="0.35">
      <c r="A1922" s="7">
        <v>50561</v>
      </c>
      <c r="B1922" s="8" t="s">
        <v>15</v>
      </c>
      <c r="C1922" s="9">
        <v>18.100000000000001</v>
      </c>
      <c r="D1922" s="10">
        <v>13.1</v>
      </c>
      <c r="E1922">
        <f t="shared" si="29"/>
        <v>2.3711000000000002</v>
      </c>
    </row>
    <row r="1923" spans="1:5" x14ac:dyDescent="0.35">
      <c r="A1923" s="11">
        <v>50562</v>
      </c>
      <c r="B1923" s="12" t="s">
        <v>19</v>
      </c>
      <c r="C1923" s="13">
        <v>21.9</v>
      </c>
      <c r="D1923" s="14">
        <v>27.5</v>
      </c>
      <c r="E1923">
        <f t="shared" ref="E1923:E1986" si="30">IF(D1923&gt;=1,C1923*D1923/100,0)</f>
        <v>6.0225</v>
      </c>
    </row>
    <row r="1924" spans="1:5" x14ac:dyDescent="0.35">
      <c r="A1924" s="7">
        <v>50563</v>
      </c>
      <c r="B1924" s="8" t="s">
        <v>10</v>
      </c>
      <c r="C1924" s="9">
        <v>28</v>
      </c>
      <c r="D1924" s="10">
        <v>2.1</v>
      </c>
      <c r="E1924">
        <f t="shared" si="30"/>
        <v>0.58800000000000008</v>
      </c>
    </row>
    <row r="1925" spans="1:5" x14ac:dyDescent="0.35">
      <c r="A1925" s="11">
        <v>50564</v>
      </c>
      <c r="B1925" s="12" t="s">
        <v>13</v>
      </c>
      <c r="C1925" s="13">
        <v>14.2</v>
      </c>
      <c r="D1925" s="14">
        <v>7</v>
      </c>
      <c r="E1925">
        <f t="shared" si="30"/>
        <v>0.99399999999999988</v>
      </c>
    </row>
    <row r="1926" spans="1:5" x14ac:dyDescent="0.35">
      <c r="A1926" s="7">
        <v>50565</v>
      </c>
      <c r="B1926" s="8" t="s">
        <v>13</v>
      </c>
      <c r="C1926" s="9">
        <v>11.1</v>
      </c>
      <c r="D1926" s="10">
        <v>0</v>
      </c>
      <c r="E1926">
        <f t="shared" si="30"/>
        <v>0</v>
      </c>
    </row>
    <row r="1927" spans="1:5" x14ac:dyDescent="0.35">
      <c r="A1927" s="11">
        <v>50566</v>
      </c>
      <c r="B1927" s="12" t="s">
        <v>14</v>
      </c>
      <c r="C1927" s="13">
        <v>11.8</v>
      </c>
      <c r="D1927" s="14">
        <v>6</v>
      </c>
      <c r="E1927">
        <f t="shared" si="30"/>
        <v>0.70800000000000007</v>
      </c>
    </row>
    <row r="1928" spans="1:5" x14ac:dyDescent="0.35">
      <c r="A1928" s="7">
        <v>50567</v>
      </c>
      <c r="B1928" s="8" t="s">
        <v>33</v>
      </c>
      <c r="C1928" s="9">
        <v>26.8</v>
      </c>
      <c r="D1928" s="10">
        <v>0.9</v>
      </c>
      <c r="E1928">
        <f t="shared" si="30"/>
        <v>0</v>
      </c>
    </row>
    <row r="1929" spans="1:5" x14ac:dyDescent="0.35">
      <c r="A1929" s="11">
        <v>50568</v>
      </c>
      <c r="B1929" s="12" t="s">
        <v>10</v>
      </c>
      <c r="C1929" s="13">
        <v>27.3</v>
      </c>
      <c r="D1929" s="14">
        <v>44.5</v>
      </c>
      <c r="E1929">
        <f t="shared" si="30"/>
        <v>12.148500000000002</v>
      </c>
    </row>
    <row r="1930" spans="1:5" x14ac:dyDescent="0.35">
      <c r="A1930" s="7">
        <v>50569</v>
      </c>
      <c r="B1930" s="8" t="s">
        <v>8</v>
      </c>
      <c r="C1930" s="9">
        <v>14.3</v>
      </c>
      <c r="D1930" s="10">
        <v>3.7</v>
      </c>
      <c r="E1930">
        <f t="shared" si="30"/>
        <v>0.52910000000000001</v>
      </c>
    </row>
    <row r="1931" spans="1:5" x14ac:dyDescent="0.35">
      <c r="A1931" s="11">
        <v>50570</v>
      </c>
      <c r="B1931" s="12" t="s">
        <v>5</v>
      </c>
      <c r="C1931" s="13">
        <v>19.399999999999999</v>
      </c>
      <c r="D1931" s="14">
        <v>0</v>
      </c>
      <c r="E1931">
        <f t="shared" si="30"/>
        <v>0</v>
      </c>
    </row>
    <row r="1932" spans="1:5" x14ac:dyDescent="0.35">
      <c r="A1932" s="7">
        <v>50571</v>
      </c>
      <c r="B1932" s="8" t="s">
        <v>19</v>
      </c>
      <c r="C1932" s="9">
        <v>26.5</v>
      </c>
      <c r="D1932" s="10">
        <v>0</v>
      </c>
      <c r="E1932">
        <f t="shared" si="30"/>
        <v>0</v>
      </c>
    </row>
    <row r="1933" spans="1:5" x14ac:dyDescent="0.35">
      <c r="A1933" s="11">
        <v>50572</v>
      </c>
      <c r="B1933" s="12" t="s">
        <v>19</v>
      </c>
      <c r="C1933" s="13">
        <v>28.3</v>
      </c>
      <c r="D1933" s="14">
        <v>14.4</v>
      </c>
      <c r="E1933">
        <f t="shared" si="30"/>
        <v>4.0752000000000006</v>
      </c>
    </row>
    <row r="1934" spans="1:5" x14ac:dyDescent="0.35">
      <c r="A1934" s="7">
        <v>50573</v>
      </c>
      <c r="B1934" s="8" t="s">
        <v>27</v>
      </c>
      <c r="C1934" s="9">
        <v>19.8</v>
      </c>
      <c r="D1934" s="10">
        <v>0</v>
      </c>
      <c r="E1934">
        <f t="shared" si="30"/>
        <v>0</v>
      </c>
    </row>
    <row r="1935" spans="1:5" x14ac:dyDescent="0.35">
      <c r="A1935" s="11">
        <v>50574</v>
      </c>
      <c r="B1935" s="12" t="s">
        <v>10</v>
      </c>
      <c r="C1935" s="13">
        <v>16</v>
      </c>
      <c r="D1935" s="14">
        <v>28.7</v>
      </c>
      <c r="E1935">
        <f t="shared" si="30"/>
        <v>4.5919999999999996</v>
      </c>
    </row>
    <row r="1936" spans="1:5" x14ac:dyDescent="0.35">
      <c r="A1936" s="7">
        <v>50575</v>
      </c>
      <c r="B1936" s="8" t="s">
        <v>19</v>
      </c>
      <c r="C1936" s="9">
        <v>14.5</v>
      </c>
      <c r="D1936" s="10">
        <v>12</v>
      </c>
      <c r="E1936">
        <f t="shared" si="30"/>
        <v>1.74</v>
      </c>
    </row>
    <row r="1937" spans="1:5" x14ac:dyDescent="0.35">
      <c r="A1937" s="11">
        <v>50576</v>
      </c>
      <c r="B1937" s="12" t="s">
        <v>15</v>
      </c>
      <c r="C1937" s="13">
        <v>14.3</v>
      </c>
      <c r="D1937" s="14">
        <v>13</v>
      </c>
      <c r="E1937">
        <f t="shared" si="30"/>
        <v>1.859</v>
      </c>
    </row>
    <row r="1938" spans="1:5" x14ac:dyDescent="0.35">
      <c r="A1938" s="7">
        <v>50577</v>
      </c>
      <c r="B1938" s="8" t="s">
        <v>18</v>
      </c>
      <c r="C1938" s="9">
        <v>12.7</v>
      </c>
      <c r="D1938" s="10">
        <v>10.7</v>
      </c>
      <c r="E1938">
        <f t="shared" si="30"/>
        <v>1.3588999999999998</v>
      </c>
    </row>
    <row r="1939" spans="1:5" x14ac:dyDescent="0.35">
      <c r="A1939" s="11">
        <v>50578</v>
      </c>
      <c r="B1939" s="12" t="s">
        <v>22</v>
      </c>
      <c r="C1939" s="13">
        <v>12.6</v>
      </c>
      <c r="D1939" s="14">
        <v>0</v>
      </c>
      <c r="E1939">
        <f t="shared" si="30"/>
        <v>0</v>
      </c>
    </row>
    <row r="1940" spans="1:5" x14ac:dyDescent="0.35">
      <c r="A1940" s="7">
        <v>50579</v>
      </c>
      <c r="B1940" s="8" t="s">
        <v>26</v>
      </c>
      <c r="C1940" s="9">
        <v>19.899999999999999</v>
      </c>
      <c r="D1940" s="10">
        <v>6.6</v>
      </c>
      <c r="E1940">
        <f t="shared" si="30"/>
        <v>1.3133999999999997</v>
      </c>
    </row>
    <row r="1941" spans="1:5" x14ac:dyDescent="0.35">
      <c r="A1941" s="11">
        <v>50580</v>
      </c>
      <c r="B1941" s="12" t="s">
        <v>7</v>
      </c>
      <c r="C1941" s="13">
        <v>27.4</v>
      </c>
      <c r="D1941" s="14">
        <v>6.6</v>
      </c>
      <c r="E1941">
        <f t="shared" si="30"/>
        <v>1.8083999999999998</v>
      </c>
    </row>
    <row r="1942" spans="1:5" x14ac:dyDescent="0.35">
      <c r="A1942" s="7">
        <v>50581</v>
      </c>
      <c r="B1942" s="8" t="s">
        <v>19</v>
      </c>
      <c r="C1942" s="9">
        <v>27.4</v>
      </c>
      <c r="D1942" s="10">
        <v>0</v>
      </c>
      <c r="E1942">
        <f t="shared" si="30"/>
        <v>0</v>
      </c>
    </row>
    <row r="1943" spans="1:5" x14ac:dyDescent="0.35">
      <c r="A1943" s="11">
        <v>50582</v>
      </c>
      <c r="B1943" s="12" t="s">
        <v>28</v>
      </c>
      <c r="C1943" s="13">
        <v>11.2</v>
      </c>
      <c r="D1943" s="14">
        <v>0.3</v>
      </c>
      <c r="E1943">
        <f t="shared" si="30"/>
        <v>0</v>
      </c>
    </row>
    <row r="1944" spans="1:5" x14ac:dyDescent="0.35">
      <c r="A1944" s="7">
        <v>50583</v>
      </c>
      <c r="B1944" s="8" t="s">
        <v>11</v>
      </c>
      <c r="C1944" s="9">
        <v>19.899999999999999</v>
      </c>
      <c r="D1944" s="10">
        <v>19.399999999999999</v>
      </c>
      <c r="E1944">
        <f t="shared" si="30"/>
        <v>3.8605999999999994</v>
      </c>
    </row>
    <row r="1945" spans="1:5" x14ac:dyDescent="0.35">
      <c r="A1945" s="11">
        <v>50584</v>
      </c>
      <c r="B1945" s="12" t="s">
        <v>4</v>
      </c>
      <c r="C1945" s="13">
        <v>13</v>
      </c>
      <c r="D1945" s="14">
        <v>0.4</v>
      </c>
      <c r="E1945">
        <f t="shared" si="30"/>
        <v>0</v>
      </c>
    </row>
    <row r="1946" spans="1:5" x14ac:dyDescent="0.35">
      <c r="A1946" s="7">
        <v>50585</v>
      </c>
      <c r="B1946" s="8" t="s">
        <v>18</v>
      </c>
      <c r="C1946" s="9">
        <v>25.4</v>
      </c>
      <c r="D1946" s="10">
        <v>12.4</v>
      </c>
      <c r="E1946">
        <f t="shared" si="30"/>
        <v>3.1496</v>
      </c>
    </row>
    <row r="1947" spans="1:5" x14ac:dyDescent="0.35">
      <c r="A1947" s="11">
        <v>50586</v>
      </c>
      <c r="B1947" s="12" t="s">
        <v>9</v>
      </c>
      <c r="C1947" s="13">
        <v>23.5</v>
      </c>
      <c r="D1947" s="14">
        <v>0.7</v>
      </c>
      <c r="E1947">
        <f t="shared" si="30"/>
        <v>0</v>
      </c>
    </row>
    <row r="1948" spans="1:5" x14ac:dyDescent="0.35">
      <c r="A1948" s="7">
        <v>50587</v>
      </c>
      <c r="B1948" s="8" t="s">
        <v>22</v>
      </c>
      <c r="C1948" s="9">
        <v>16</v>
      </c>
      <c r="D1948" s="10">
        <v>0.1</v>
      </c>
      <c r="E1948">
        <f t="shared" si="30"/>
        <v>0</v>
      </c>
    </row>
    <row r="1949" spans="1:5" x14ac:dyDescent="0.35">
      <c r="A1949" s="11">
        <v>50588</v>
      </c>
      <c r="B1949" s="12" t="s">
        <v>6</v>
      </c>
      <c r="C1949" s="13">
        <v>25</v>
      </c>
      <c r="D1949" s="14">
        <v>11.7</v>
      </c>
      <c r="E1949">
        <f t="shared" si="30"/>
        <v>2.9249999999999998</v>
      </c>
    </row>
    <row r="1950" spans="1:5" x14ac:dyDescent="0.35">
      <c r="A1950" s="7">
        <v>50589</v>
      </c>
      <c r="B1950" s="8" t="s">
        <v>31</v>
      </c>
      <c r="C1950" s="9">
        <v>22.2</v>
      </c>
      <c r="D1950" s="10">
        <v>0.9</v>
      </c>
      <c r="E1950">
        <f t="shared" si="30"/>
        <v>0</v>
      </c>
    </row>
    <row r="1951" spans="1:5" x14ac:dyDescent="0.35">
      <c r="A1951" s="11">
        <v>50590</v>
      </c>
      <c r="B1951" s="12" t="s">
        <v>24</v>
      </c>
      <c r="C1951" s="13">
        <v>29.6</v>
      </c>
      <c r="D1951" s="14">
        <v>0</v>
      </c>
      <c r="E1951">
        <f t="shared" si="30"/>
        <v>0</v>
      </c>
    </row>
    <row r="1952" spans="1:5" x14ac:dyDescent="0.35">
      <c r="A1952" s="7">
        <v>50591</v>
      </c>
      <c r="B1952" s="8" t="s">
        <v>10</v>
      </c>
      <c r="C1952" s="9">
        <v>10.1</v>
      </c>
      <c r="D1952" s="10">
        <v>0</v>
      </c>
      <c r="E1952">
        <f t="shared" si="30"/>
        <v>0</v>
      </c>
    </row>
    <row r="1953" spans="1:5" x14ac:dyDescent="0.35">
      <c r="A1953" s="11">
        <v>50592</v>
      </c>
      <c r="B1953" s="12" t="s">
        <v>9</v>
      </c>
      <c r="C1953" s="13">
        <v>26.3</v>
      </c>
      <c r="D1953" s="14">
        <v>6.7</v>
      </c>
      <c r="E1953">
        <f t="shared" si="30"/>
        <v>1.7621</v>
      </c>
    </row>
    <row r="1954" spans="1:5" x14ac:dyDescent="0.35">
      <c r="A1954" s="7">
        <v>50593</v>
      </c>
      <c r="B1954" s="8" t="s">
        <v>10</v>
      </c>
      <c r="C1954" s="9">
        <v>27.3</v>
      </c>
      <c r="D1954" s="10">
        <v>15.3</v>
      </c>
      <c r="E1954">
        <f t="shared" si="30"/>
        <v>4.1769000000000007</v>
      </c>
    </row>
    <row r="1955" spans="1:5" x14ac:dyDescent="0.35">
      <c r="A1955" s="11">
        <v>50594</v>
      </c>
      <c r="B1955" s="12" t="s">
        <v>11</v>
      </c>
      <c r="C1955" s="13">
        <v>27.8</v>
      </c>
      <c r="D1955" s="14">
        <v>0</v>
      </c>
      <c r="E1955">
        <f t="shared" si="30"/>
        <v>0</v>
      </c>
    </row>
    <row r="1956" spans="1:5" x14ac:dyDescent="0.35">
      <c r="A1956" s="7">
        <v>50595</v>
      </c>
      <c r="B1956" s="8" t="s">
        <v>6</v>
      </c>
      <c r="C1956" s="9">
        <v>16.7</v>
      </c>
      <c r="D1956" s="10">
        <v>4.9000000000000004</v>
      </c>
      <c r="E1956">
        <f t="shared" si="30"/>
        <v>0.81830000000000003</v>
      </c>
    </row>
    <row r="1957" spans="1:5" x14ac:dyDescent="0.35">
      <c r="A1957" s="11">
        <v>50596</v>
      </c>
      <c r="B1957" s="12" t="s">
        <v>15</v>
      </c>
      <c r="C1957" s="13">
        <v>15</v>
      </c>
      <c r="D1957" s="14">
        <v>9.4</v>
      </c>
      <c r="E1957">
        <f t="shared" si="30"/>
        <v>1.41</v>
      </c>
    </row>
    <row r="1958" spans="1:5" x14ac:dyDescent="0.35">
      <c r="A1958" s="7">
        <v>50597</v>
      </c>
      <c r="B1958" s="8" t="s">
        <v>10</v>
      </c>
      <c r="C1958" s="9">
        <v>10.4</v>
      </c>
      <c r="D1958" s="10">
        <v>28.5</v>
      </c>
      <c r="E1958">
        <f t="shared" si="30"/>
        <v>2.9640000000000004</v>
      </c>
    </row>
    <row r="1959" spans="1:5" x14ac:dyDescent="0.35">
      <c r="A1959" s="11">
        <v>50598</v>
      </c>
      <c r="B1959" s="12" t="s">
        <v>15</v>
      </c>
      <c r="C1959" s="13">
        <v>18.100000000000001</v>
      </c>
      <c r="D1959" s="14">
        <v>9.6</v>
      </c>
      <c r="E1959">
        <f t="shared" si="30"/>
        <v>1.7376000000000003</v>
      </c>
    </row>
    <row r="1960" spans="1:5" x14ac:dyDescent="0.35">
      <c r="A1960" s="7">
        <v>50599</v>
      </c>
      <c r="B1960" s="8" t="s">
        <v>33</v>
      </c>
      <c r="C1960" s="9">
        <v>26.7</v>
      </c>
      <c r="D1960" s="10">
        <v>1.5</v>
      </c>
      <c r="E1960">
        <f t="shared" si="30"/>
        <v>0.40049999999999997</v>
      </c>
    </row>
    <row r="1961" spans="1:5" x14ac:dyDescent="0.35">
      <c r="A1961" s="11">
        <v>50600</v>
      </c>
      <c r="B1961" s="12" t="s">
        <v>13</v>
      </c>
      <c r="C1961" s="13">
        <v>22.9</v>
      </c>
      <c r="D1961" s="14">
        <v>8.9</v>
      </c>
      <c r="E1961">
        <f t="shared" si="30"/>
        <v>2.0381</v>
      </c>
    </row>
    <row r="1962" spans="1:5" x14ac:dyDescent="0.35">
      <c r="A1962" s="7">
        <v>50601</v>
      </c>
      <c r="B1962" s="8" t="s">
        <v>15</v>
      </c>
      <c r="C1962" s="9">
        <v>29.3</v>
      </c>
      <c r="D1962" s="10">
        <v>0</v>
      </c>
      <c r="E1962">
        <f t="shared" si="30"/>
        <v>0</v>
      </c>
    </row>
    <row r="1963" spans="1:5" x14ac:dyDescent="0.35">
      <c r="A1963" s="11">
        <v>50602</v>
      </c>
      <c r="B1963" s="12" t="s">
        <v>7</v>
      </c>
      <c r="C1963" s="13">
        <v>26.4</v>
      </c>
      <c r="D1963" s="14">
        <v>3.2</v>
      </c>
      <c r="E1963">
        <f t="shared" si="30"/>
        <v>0.8448</v>
      </c>
    </row>
    <row r="1964" spans="1:5" x14ac:dyDescent="0.35">
      <c r="A1964" s="7">
        <v>50603</v>
      </c>
      <c r="B1964" s="8" t="s">
        <v>18</v>
      </c>
      <c r="C1964" s="9">
        <v>20</v>
      </c>
      <c r="D1964" s="10">
        <v>7.3</v>
      </c>
      <c r="E1964">
        <f t="shared" si="30"/>
        <v>1.46</v>
      </c>
    </row>
    <row r="1965" spans="1:5" x14ac:dyDescent="0.35">
      <c r="A1965" s="11">
        <v>50604</v>
      </c>
      <c r="B1965" s="12" t="s">
        <v>11</v>
      </c>
      <c r="C1965" s="13">
        <v>17.100000000000001</v>
      </c>
      <c r="D1965" s="14">
        <v>0</v>
      </c>
      <c r="E1965">
        <f t="shared" si="30"/>
        <v>0</v>
      </c>
    </row>
    <row r="1966" spans="1:5" x14ac:dyDescent="0.35">
      <c r="A1966" s="7">
        <v>50605</v>
      </c>
      <c r="B1966" s="8" t="s">
        <v>5</v>
      </c>
      <c r="C1966" s="9">
        <v>18.8</v>
      </c>
      <c r="D1966" s="10">
        <v>0</v>
      </c>
      <c r="E1966">
        <f t="shared" si="30"/>
        <v>0</v>
      </c>
    </row>
    <row r="1967" spans="1:5" x14ac:dyDescent="0.35">
      <c r="A1967" s="11">
        <v>50606</v>
      </c>
      <c r="B1967" s="12" t="s">
        <v>13</v>
      </c>
      <c r="C1967" s="13">
        <v>12.6</v>
      </c>
      <c r="D1967" s="14">
        <v>4.4000000000000004</v>
      </c>
      <c r="E1967">
        <f t="shared" si="30"/>
        <v>0.5544</v>
      </c>
    </row>
    <row r="1968" spans="1:5" x14ac:dyDescent="0.35">
      <c r="A1968" s="7">
        <v>50607</v>
      </c>
      <c r="B1968" s="8" t="s">
        <v>22</v>
      </c>
      <c r="C1968" s="9">
        <v>24</v>
      </c>
      <c r="D1968" s="10">
        <v>0</v>
      </c>
      <c r="E1968">
        <f t="shared" si="30"/>
        <v>0</v>
      </c>
    </row>
    <row r="1969" spans="1:5" x14ac:dyDescent="0.35">
      <c r="A1969" s="11">
        <v>50608</v>
      </c>
      <c r="B1969" s="12" t="s">
        <v>19</v>
      </c>
      <c r="C1969" s="13">
        <v>13.4</v>
      </c>
      <c r="D1969" s="14">
        <v>35.6</v>
      </c>
      <c r="E1969">
        <f t="shared" si="30"/>
        <v>4.7704000000000004</v>
      </c>
    </row>
    <row r="1970" spans="1:5" x14ac:dyDescent="0.35">
      <c r="A1970" s="7">
        <v>50609</v>
      </c>
      <c r="B1970" s="8" t="s">
        <v>10</v>
      </c>
      <c r="C1970" s="9">
        <v>25.7</v>
      </c>
      <c r="D1970" s="10">
        <v>21.1</v>
      </c>
      <c r="E1970">
        <f t="shared" si="30"/>
        <v>5.4226999999999999</v>
      </c>
    </row>
    <row r="1971" spans="1:5" x14ac:dyDescent="0.35">
      <c r="A1971" s="11">
        <v>50610</v>
      </c>
      <c r="B1971" s="12" t="s">
        <v>21</v>
      </c>
      <c r="C1971" s="13">
        <v>24.9</v>
      </c>
      <c r="D1971" s="14">
        <v>2</v>
      </c>
      <c r="E1971">
        <f t="shared" si="30"/>
        <v>0.498</v>
      </c>
    </row>
    <row r="1972" spans="1:5" x14ac:dyDescent="0.35">
      <c r="A1972" s="7">
        <v>50611</v>
      </c>
      <c r="B1972" s="8" t="s">
        <v>11</v>
      </c>
      <c r="C1972" s="9">
        <v>12.5</v>
      </c>
      <c r="D1972" s="10">
        <v>0</v>
      </c>
      <c r="E1972">
        <f t="shared" si="30"/>
        <v>0</v>
      </c>
    </row>
    <row r="1973" spans="1:5" x14ac:dyDescent="0.35">
      <c r="A1973" s="11">
        <v>50612</v>
      </c>
      <c r="B1973" s="12" t="s">
        <v>10</v>
      </c>
      <c r="C1973" s="13">
        <v>21.8</v>
      </c>
      <c r="D1973" s="14">
        <v>0</v>
      </c>
      <c r="E1973">
        <f t="shared" si="30"/>
        <v>0</v>
      </c>
    </row>
    <row r="1974" spans="1:5" x14ac:dyDescent="0.35">
      <c r="A1974" s="7">
        <v>50613</v>
      </c>
      <c r="B1974" s="8" t="s">
        <v>5</v>
      </c>
      <c r="C1974" s="9">
        <v>15.8</v>
      </c>
      <c r="D1974" s="10">
        <v>6.7</v>
      </c>
      <c r="E1974">
        <f t="shared" si="30"/>
        <v>1.0586000000000002</v>
      </c>
    </row>
    <row r="1975" spans="1:5" x14ac:dyDescent="0.35">
      <c r="A1975" s="11">
        <v>50614</v>
      </c>
      <c r="B1975" s="12" t="s">
        <v>12</v>
      </c>
      <c r="C1975" s="13">
        <v>13.9</v>
      </c>
      <c r="D1975" s="14">
        <v>0</v>
      </c>
      <c r="E1975">
        <f t="shared" si="30"/>
        <v>0</v>
      </c>
    </row>
    <row r="1976" spans="1:5" x14ac:dyDescent="0.35">
      <c r="A1976" s="7">
        <v>50615</v>
      </c>
      <c r="B1976" s="8" t="s">
        <v>20</v>
      </c>
      <c r="C1976" s="9">
        <v>12.2</v>
      </c>
      <c r="D1976" s="10">
        <v>4.4000000000000004</v>
      </c>
      <c r="E1976">
        <f t="shared" si="30"/>
        <v>0.53679999999999994</v>
      </c>
    </row>
    <row r="1977" spans="1:5" x14ac:dyDescent="0.35">
      <c r="A1977" s="11">
        <v>50616</v>
      </c>
      <c r="B1977" s="12" t="s">
        <v>11</v>
      </c>
      <c r="C1977" s="13">
        <v>12.2</v>
      </c>
      <c r="D1977" s="14">
        <v>0</v>
      </c>
      <c r="E1977">
        <f t="shared" si="30"/>
        <v>0</v>
      </c>
    </row>
    <row r="1978" spans="1:5" x14ac:dyDescent="0.35">
      <c r="A1978" s="7">
        <v>50617</v>
      </c>
      <c r="B1978" s="8" t="s">
        <v>19</v>
      </c>
      <c r="C1978" s="9">
        <v>13.7</v>
      </c>
      <c r="D1978" s="10">
        <v>28</v>
      </c>
      <c r="E1978">
        <f t="shared" si="30"/>
        <v>3.8359999999999999</v>
      </c>
    </row>
    <row r="1979" spans="1:5" x14ac:dyDescent="0.35">
      <c r="A1979" s="11">
        <v>50618</v>
      </c>
      <c r="B1979" s="12" t="s">
        <v>17</v>
      </c>
      <c r="C1979" s="13">
        <v>27.9</v>
      </c>
      <c r="D1979" s="14">
        <v>0</v>
      </c>
      <c r="E1979">
        <f t="shared" si="30"/>
        <v>0</v>
      </c>
    </row>
    <row r="1980" spans="1:5" x14ac:dyDescent="0.35">
      <c r="A1980" s="7">
        <v>50619</v>
      </c>
      <c r="B1980" s="8" t="s">
        <v>13</v>
      </c>
      <c r="C1980" s="9">
        <v>25.6</v>
      </c>
      <c r="D1980" s="10">
        <v>1.7</v>
      </c>
      <c r="E1980">
        <f t="shared" si="30"/>
        <v>0.43520000000000003</v>
      </c>
    </row>
    <row r="1981" spans="1:5" x14ac:dyDescent="0.35">
      <c r="A1981" s="11">
        <v>50620</v>
      </c>
      <c r="B1981" s="12" t="s">
        <v>14</v>
      </c>
      <c r="C1981" s="13">
        <v>11.7</v>
      </c>
      <c r="D1981" s="14">
        <v>4.5999999999999996</v>
      </c>
      <c r="E1981">
        <f t="shared" si="30"/>
        <v>0.5381999999999999</v>
      </c>
    </row>
    <row r="1982" spans="1:5" x14ac:dyDescent="0.35">
      <c r="A1982" s="7">
        <v>50621</v>
      </c>
      <c r="B1982" s="8" t="s">
        <v>8</v>
      </c>
      <c r="C1982" s="9">
        <v>27.3</v>
      </c>
      <c r="D1982" s="10">
        <v>0</v>
      </c>
      <c r="E1982">
        <f t="shared" si="30"/>
        <v>0</v>
      </c>
    </row>
    <row r="1983" spans="1:5" x14ac:dyDescent="0.35">
      <c r="A1983" s="11">
        <v>50622</v>
      </c>
      <c r="B1983" s="12" t="s">
        <v>11</v>
      </c>
      <c r="C1983" s="13">
        <v>25.6</v>
      </c>
      <c r="D1983" s="14">
        <v>18.2</v>
      </c>
      <c r="E1983">
        <f t="shared" si="30"/>
        <v>4.6592000000000002</v>
      </c>
    </row>
    <row r="1984" spans="1:5" x14ac:dyDescent="0.35">
      <c r="A1984" s="7">
        <v>50623</v>
      </c>
      <c r="B1984" s="8" t="s">
        <v>28</v>
      </c>
      <c r="C1984" s="9">
        <v>23.6</v>
      </c>
      <c r="D1984" s="10">
        <v>0.1</v>
      </c>
      <c r="E1984">
        <f t="shared" si="30"/>
        <v>0</v>
      </c>
    </row>
    <row r="1985" spans="1:5" x14ac:dyDescent="0.35">
      <c r="A1985" s="11">
        <v>50624</v>
      </c>
      <c r="B1985" s="12" t="s">
        <v>10</v>
      </c>
      <c r="C1985" s="13">
        <v>14.6</v>
      </c>
      <c r="D1985" s="14">
        <v>0</v>
      </c>
      <c r="E1985">
        <f t="shared" si="30"/>
        <v>0</v>
      </c>
    </row>
    <row r="1986" spans="1:5" x14ac:dyDescent="0.35">
      <c r="A1986" s="7">
        <v>50625</v>
      </c>
      <c r="B1986" s="8" t="s">
        <v>9</v>
      </c>
      <c r="C1986" s="9">
        <v>17.399999999999999</v>
      </c>
      <c r="D1986" s="10">
        <v>7.8</v>
      </c>
      <c r="E1986">
        <f t="shared" si="30"/>
        <v>1.3572</v>
      </c>
    </row>
    <row r="1987" spans="1:5" x14ac:dyDescent="0.35">
      <c r="A1987" s="11">
        <v>50626</v>
      </c>
      <c r="B1987" s="12" t="s">
        <v>10</v>
      </c>
      <c r="C1987" s="13">
        <v>27.4</v>
      </c>
      <c r="D1987" s="14">
        <v>0</v>
      </c>
      <c r="E1987">
        <f t="shared" ref="E1987:E2050" si="31">IF(D1987&gt;=1,C1987*D1987/100,0)</f>
        <v>0</v>
      </c>
    </row>
    <row r="1988" spans="1:5" x14ac:dyDescent="0.35">
      <c r="A1988" s="7">
        <v>50627</v>
      </c>
      <c r="B1988" s="8" t="s">
        <v>19</v>
      </c>
      <c r="C1988" s="9">
        <v>15.2</v>
      </c>
      <c r="D1988" s="10">
        <v>5.9</v>
      </c>
      <c r="E1988">
        <f t="shared" si="31"/>
        <v>0.89680000000000004</v>
      </c>
    </row>
    <row r="1989" spans="1:5" x14ac:dyDescent="0.35">
      <c r="A1989" s="11">
        <v>50628</v>
      </c>
      <c r="B1989" s="12" t="s">
        <v>29</v>
      </c>
      <c r="C1989" s="13">
        <v>11.6</v>
      </c>
      <c r="D1989" s="14">
        <v>0</v>
      </c>
      <c r="E1989">
        <f t="shared" si="31"/>
        <v>0</v>
      </c>
    </row>
    <row r="1990" spans="1:5" x14ac:dyDescent="0.35">
      <c r="A1990" s="7">
        <v>50629</v>
      </c>
      <c r="B1990" s="8" t="s">
        <v>26</v>
      </c>
      <c r="C1990" s="9">
        <v>10.8</v>
      </c>
      <c r="D1990" s="10">
        <v>1.6</v>
      </c>
      <c r="E1990">
        <f t="shared" si="31"/>
        <v>0.17280000000000001</v>
      </c>
    </row>
    <row r="1991" spans="1:5" x14ac:dyDescent="0.35">
      <c r="A1991" s="11">
        <v>50630</v>
      </c>
      <c r="B1991" s="12" t="s">
        <v>22</v>
      </c>
      <c r="C1991" s="13">
        <v>12</v>
      </c>
      <c r="D1991" s="14">
        <v>3.9</v>
      </c>
      <c r="E1991">
        <f t="shared" si="31"/>
        <v>0.46799999999999997</v>
      </c>
    </row>
    <row r="1992" spans="1:5" x14ac:dyDescent="0.35">
      <c r="A1992" s="7">
        <v>50631</v>
      </c>
      <c r="B1992" s="8" t="s">
        <v>26</v>
      </c>
      <c r="C1992" s="9">
        <v>14</v>
      </c>
      <c r="D1992" s="10">
        <v>5</v>
      </c>
      <c r="E1992">
        <f t="shared" si="31"/>
        <v>0.7</v>
      </c>
    </row>
    <row r="1993" spans="1:5" x14ac:dyDescent="0.35">
      <c r="A1993" s="11">
        <v>50632</v>
      </c>
      <c r="B1993" s="12" t="s">
        <v>19</v>
      </c>
      <c r="C1993" s="13">
        <v>26.4</v>
      </c>
      <c r="D1993" s="14">
        <v>0</v>
      </c>
      <c r="E1993">
        <f t="shared" si="31"/>
        <v>0</v>
      </c>
    </row>
    <row r="1994" spans="1:5" x14ac:dyDescent="0.35">
      <c r="A1994" s="7">
        <v>50633</v>
      </c>
      <c r="B1994" s="8" t="s">
        <v>15</v>
      </c>
      <c r="C1994" s="9">
        <v>23</v>
      </c>
      <c r="D1994" s="10">
        <v>20.100000000000001</v>
      </c>
      <c r="E1994">
        <f t="shared" si="31"/>
        <v>4.6230000000000002</v>
      </c>
    </row>
    <row r="1995" spans="1:5" x14ac:dyDescent="0.35">
      <c r="A1995" s="11">
        <v>50634</v>
      </c>
      <c r="B1995" s="12" t="s">
        <v>8</v>
      </c>
      <c r="C1995" s="13">
        <v>20.5</v>
      </c>
      <c r="D1995" s="14">
        <v>1.1000000000000001</v>
      </c>
      <c r="E1995">
        <f t="shared" si="31"/>
        <v>0.22550000000000001</v>
      </c>
    </row>
    <row r="1996" spans="1:5" x14ac:dyDescent="0.35">
      <c r="A1996" s="7">
        <v>50635</v>
      </c>
      <c r="B1996" s="8" t="s">
        <v>14</v>
      </c>
      <c r="C1996" s="9">
        <v>15.9</v>
      </c>
      <c r="D1996" s="10">
        <v>3.1</v>
      </c>
      <c r="E1996">
        <f t="shared" si="31"/>
        <v>0.4929</v>
      </c>
    </row>
    <row r="1997" spans="1:5" x14ac:dyDescent="0.35">
      <c r="A1997" s="11">
        <v>50636</v>
      </c>
      <c r="B1997" s="12" t="s">
        <v>10</v>
      </c>
      <c r="C1997" s="13">
        <v>20.8</v>
      </c>
      <c r="D1997" s="14">
        <v>6.9</v>
      </c>
      <c r="E1997">
        <f t="shared" si="31"/>
        <v>1.4352</v>
      </c>
    </row>
    <row r="1998" spans="1:5" x14ac:dyDescent="0.35">
      <c r="A1998" s="7">
        <v>50637</v>
      </c>
      <c r="B1998" s="8" t="s">
        <v>21</v>
      </c>
      <c r="C1998" s="9">
        <v>12.9</v>
      </c>
      <c r="D1998" s="10">
        <v>1.5</v>
      </c>
      <c r="E1998">
        <f t="shared" si="31"/>
        <v>0.19350000000000001</v>
      </c>
    </row>
    <row r="1999" spans="1:5" x14ac:dyDescent="0.35">
      <c r="A1999" s="11">
        <v>50638</v>
      </c>
      <c r="B1999" s="12" t="s">
        <v>19</v>
      </c>
      <c r="C1999" s="13">
        <v>11.6</v>
      </c>
      <c r="D1999" s="14">
        <v>15.8</v>
      </c>
      <c r="E1999">
        <f t="shared" si="31"/>
        <v>1.8328</v>
      </c>
    </row>
    <row r="2000" spans="1:5" x14ac:dyDescent="0.35">
      <c r="A2000" s="7">
        <v>50639</v>
      </c>
      <c r="B2000" s="8" t="s">
        <v>13</v>
      </c>
      <c r="C2000" s="9">
        <v>25.6</v>
      </c>
      <c r="D2000" s="10">
        <v>0</v>
      </c>
      <c r="E2000">
        <f t="shared" si="31"/>
        <v>0</v>
      </c>
    </row>
    <row r="2001" spans="1:5" x14ac:dyDescent="0.35">
      <c r="A2001" s="11">
        <v>50640</v>
      </c>
      <c r="B2001" s="12" t="s">
        <v>7</v>
      </c>
      <c r="C2001" s="13">
        <v>15.7</v>
      </c>
      <c r="D2001" s="14">
        <v>6.7</v>
      </c>
      <c r="E2001">
        <f t="shared" si="31"/>
        <v>1.0519000000000001</v>
      </c>
    </row>
    <row r="2002" spans="1:5" x14ac:dyDescent="0.35">
      <c r="A2002" s="7">
        <v>50641</v>
      </c>
      <c r="B2002" s="8" t="s">
        <v>14</v>
      </c>
      <c r="C2002" s="9">
        <v>25.5</v>
      </c>
      <c r="D2002" s="10">
        <v>0</v>
      </c>
      <c r="E2002">
        <f t="shared" si="31"/>
        <v>0</v>
      </c>
    </row>
    <row r="2003" spans="1:5" x14ac:dyDescent="0.35">
      <c r="A2003" s="11">
        <v>50642</v>
      </c>
      <c r="B2003" s="12" t="s">
        <v>22</v>
      </c>
      <c r="C2003" s="13">
        <v>19.5</v>
      </c>
      <c r="D2003" s="14">
        <v>3.4</v>
      </c>
      <c r="E2003">
        <f t="shared" si="31"/>
        <v>0.66299999999999992</v>
      </c>
    </row>
    <row r="2004" spans="1:5" x14ac:dyDescent="0.35">
      <c r="A2004" s="7">
        <v>50643</v>
      </c>
      <c r="B2004" s="8" t="s">
        <v>25</v>
      </c>
      <c r="C2004" s="9">
        <v>14.1</v>
      </c>
      <c r="D2004" s="10">
        <v>0</v>
      </c>
      <c r="E2004">
        <f t="shared" si="31"/>
        <v>0</v>
      </c>
    </row>
    <row r="2005" spans="1:5" x14ac:dyDescent="0.35">
      <c r="A2005" s="11">
        <v>50644</v>
      </c>
      <c r="B2005" s="12" t="s">
        <v>6</v>
      </c>
      <c r="C2005" s="13">
        <v>26.4</v>
      </c>
      <c r="D2005" s="14">
        <v>0</v>
      </c>
      <c r="E2005">
        <f t="shared" si="31"/>
        <v>0</v>
      </c>
    </row>
    <row r="2006" spans="1:5" x14ac:dyDescent="0.35">
      <c r="A2006" s="7">
        <v>50645</v>
      </c>
      <c r="B2006" s="8" t="s">
        <v>15</v>
      </c>
      <c r="C2006" s="9">
        <v>11.7</v>
      </c>
      <c r="D2006" s="10">
        <v>8.4</v>
      </c>
      <c r="E2006">
        <f t="shared" si="31"/>
        <v>0.98280000000000001</v>
      </c>
    </row>
    <row r="2007" spans="1:5" x14ac:dyDescent="0.35">
      <c r="A2007" s="11">
        <v>50646</v>
      </c>
      <c r="B2007" s="12" t="s">
        <v>25</v>
      </c>
      <c r="C2007" s="13">
        <v>28</v>
      </c>
      <c r="D2007" s="14">
        <v>0</v>
      </c>
      <c r="E2007">
        <f t="shared" si="31"/>
        <v>0</v>
      </c>
    </row>
    <row r="2008" spans="1:5" x14ac:dyDescent="0.35">
      <c r="A2008" s="7">
        <v>50647</v>
      </c>
      <c r="B2008" s="8" t="s">
        <v>17</v>
      </c>
      <c r="C2008" s="9">
        <v>13</v>
      </c>
      <c r="D2008" s="10">
        <v>0.1</v>
      </c>
      <c r="E2008">
        <f t="shared" si="31"/>
        <v>0</v>
      </c>
    </row>
    <row r="2009" spans="1:5" x14ac:dyDescent="0.35">
      <c r="A2009" s="11">
        <v>50648</v>
      </c>
      <c r="B2009" s="12" t="s">
        <v>11</v>
      </c>
      <c r="C2009" s="13">
        <v>10.8</v>
      </c>
      <c r="D2009" s="14">
        <v>11.3</v>
      </c>
      <c r="E2009">
        <f t="shared" si="31"/>
        <v>1.2204000000000002</v>
      </c>
    </row>
    <row r="2010" spans="1:5" x14ac:dyDescent="0.35">
      <c r="A2010" s="7">
        <v>50649</v>
      </c>
      <c r="B2010" s="8" t="s">
        <v>11</v>
      </c>
      <c r="C2010" s="9">
        <v>26.4</v>
      </c>
      <c r="D2010" s="10">
        <v>18.7</v>
      </c>
      <c r="E2010">
        <f t="shared" si="31"/>
        <v>4.9367999999999999</v>
      </c>
    </row>
    <row r="2011" spans="1:5" x14ac:dyDescent="0.35">
      <c r="A2011" s="11">
        <v>50650</v>
      </c>
      <c r="B2011" s="12" t="s">
        <v>19</v>
      </c>
      <c r="C2011" s="13">
        <v>26.7</v>
      </c>
      <c r="D2011" s="14">
        <v>3.9</v>
      </c>
      <c r="E2011">
        <f t="shared" si="31"/>
        <v>1.0412999999999999</v>
      </c>
    </row>
    <row r="2012" spans="1:5" x14ac:dyDescent="0.35">
      <c r="A2012" s="7">
        <v>50651</v>
      </c>
      <c r="B2012" s="8" t="s">
        <v>11</v>
      </c>
      <c r="C2012" s="9">
        <v>11.7</v>
      </c>
      <c r="D2012" s="10">
        <v>13</v>
      </c>
      <c r="E2012">
        <f t="shared" si="31"/>
        <v>1.5209999999999999</v>
      </c>
    </row>
    <row r="2013" spans="1:5" x14ac:dyDescent="0.35">
      <c r="A2013" s="11">
        <v>50652</v>
      </c>
      <c r="B2013" s="12" t="s">
        <v>30</v>
      </c>
      <c r="C2013" s="13">
        <v>12</v>
      </c>
      <c r="D2013" s="14">
        <v>0.4</v>
      </c>
      <c r="E2013">
        <f t="shared" si="31"/>
        <v>0</v>
      </c>
    </row>
    <row r="2014" spans="1:5" x14ac:dyDescent="0.35">
      <c r="A2014" s="7">
        <v>50653</v>
      </c>
      <c r="B2014" s="8" t="s">
        <v>21</v>
      </c>
      <c r="C2014" s="9">
        <v>24.2</v>
      </c>
      <c r="D2014" s="10">
        <v>0.7</v>
      </c>
      <c r="E2014">
        <f t="shared" si="31"/>
        <v>0</v>
      </c>
    </row>
    <row r="2015" spans="1:5" x14ac:dyDescent="0.35">
      <c r="A2015" s="11">
        <v>50654</v>
      </c>
      <c r="B2015" s="12" t="s">
        <v>26</v>
      </c>
      <c r="C2015" s="13">
        <v>27.3</v>
      </c>
      <c r="D2015" s="14">
        <v>3.7</v>
      </c>
      <c r="E2015">
        <f t="shared" si="31"/>
        <v>1.0101</v>
      </c>
    </row>
    <row r="2016" spans="1:5" x14ac:dyDescent="0.35">
      <c r="A2016" s="7">
        <v>50655</v>
      </c>
      <c r="B2016" s="8" t="s">
        <v>13</v>
      </c>
      <c r="C2016" s="9">
        <v>10.7</v>
      </c>
      <c r="D2016" s="10">
        <v>0</v>
      </c>
      <c r="E2016">
        <f t="shared" si="31"/>
        <v>0</v>
      </c>
    </row>
    <row r="2017" spans="1:5" x14ac:dyDescent="0.35">
      <c r="A2017" s="11">
        <v>50656</v>
      </c>
      <c r="B2017" s="12" t="s">
        <v>8</v>
      </c>
      <c r="C2017" s="13">
        <v>11.1</v>
      </c>
      <c r="D2017" s="14">
        <v>0</v>
      </c>
      <c r="E2017">
        <f t="shared" si="31"/>
        <v>0</v>
      </c>
    </row>
    <row r="2018" spans="1:5" x14ac:dyDescent="0.35">
      <c r="A2018" s="7">
        <v>50657</v>
      </c>
      <c r="B2018" s="8" t="s">
        <v>7</v>
      </c>
      <c r="C2018" s="9">
        <v>28.5</v>
      </c>
      <c r="D2018" s="10">
        <v>19.8</v>
      </c>
      <c r="E2018">
        <f t="shared" si="31"/>
        <v>5.6430000000000007</v>
      </c>
    </row>
    <row r="2019" spans="1:5" x14ac:dyDescent="0.35">
      <c r="A2019" s="11">
        <v>50658</v>
      </c>
      <c r="B2019" s="12" t="s">
        <v>19</v>
      </c>
      <c r="C2019" s="13">
        <v>10.1</v>
      </c>
      <c r="D2019" s="14">
        <v>0</v>
      </c>
      <c r="E2019">
        <f t="shared" si="31"/>
        <v>0</v>
      </c>
    </row>
    <row r="2020" spans="1:5" x14ac:dyDescent="0.35">
      <c r="A2020" s="7">
        <v>50659</v>
      </c>
      <c r="B2020" s="8" t="s">
        <v>9</v>
      </c>
      <c r="C2020" s="9">
        <v>20.8</v>
      </c>
      <c r="D2020" s="10">
        <v>11.2</v>
      </c>
      <c r="E2020">
        <f t="shared" si="31"/>
        <v>2.3295999999999997</v>
      </c>
    </row>
    <row r="2021" spans="1:5" x14ac:dyDescent="0.35">
      <c r="A2021" s="11">
        <v>50660</v>
      </c>
      <c r="B2021" s="12" t="s">
        <v>7</v>
      </c>
      <c r="C2021" s="13">
        <v>16.600000000000001</v>
      </c>
      <c r="D2021" s="14">
        <v>0</v>
      </c>
      <c r="E2021">
        <f t="shared" si="31"/>
        <v>0</v>
      </c>
    </row>
    <row r="2022" spans="1:5" x14ac:dyDescent="0.35">
      <c r="A2022" s="7">
        <v>50661</v>
      </c>
      <c r="B2022" s="8" t="s">
        <v>13</v>
      </c>
      <c r="C2022" s="9">
        <v>26.4</v>
      </c>
      <c r="D2022" s="10">
        <v>10</v>
      </c>
      <c r="E2022">
        <f t="shared" si="31"/>
        <v>2.64</v>
      </c>
    </row>
    <row r="2023" spans="1:5" x14ac:dyDescent="0.35">
      <c r="A2023" s="11">
        <v>50662</v>
      </c>
      <c r="B2023" s="12" t="s">
        <v>22</v>
      </c>
      <c r="C2023" s="13">
        <v>15.1</v>
      </c>
      <c r="D2023" s="14">
        <v>0</v>
      </c>
      <c r="E2023">
        <f t="shared" si="31"/>
        <v>0</v>
      </c>
    </row>
    <row r="2024" spans="1:5" x14ac:dyDescent="0.35">
      <c r="A2024" s="7">
        <v>50663</v>
      </c>
      <c r="B2024" s="8" t="s">
        <v>6</v>
      </c>
      <c r="C2024" s="9">
        <v>20.9</v>
      </c>
      <c r="D2024" s="10">
        <v>10.1</v>
      </c>
      <c r="E2024">
        <f t="shared" si="31"/>
        <v>2.1108999999999996</v>
      </c>
    </row>
    <row r="2025" spans="1:5" x14ac:dyDescent="0.35">
      <c r="A2025" s="11">
        <v>50664</v>
      </c>
      <c r="B2025" s="12" t="s">
        <v>13</v>
      </c>
      <c r="C2025" s="13">
        <v>27.3</v>
      </c>
      <c r="D2025" s="14">
        <v>5.3</v>
      </c>
      <c r="E2025">
        <f t="shared" si="31"/>
        <v>1.4469000000000001</v>
      </c>
    </row>
    <row r="2026" spans="1:5" x14ac:dyDescent="0.35">
      <c r="A2026" s="7">
        <v>50665</v>
      </c>
      <c r="B2026" s="8" t="s">
        <v>6</v>
      </c>
      <c r="C2026" s="9">
        <v>17.600000000000001</v>
      </c>
      <c r="D2026" s="10">
        <v>5.5</v>
      </c>
      <c r="E2026">
        <f t="shared" si="31"/>
        <v>0.96800000000000008</v>
      </c>
    </row>
    <row r="2027" spans="1:5" x14ac:dyDescent="0.35">
      <c r="A2027" s="11">
        <v>50666</v>
      </c>
      <c r="B2027" s="12" t="s">
        <v>19</v>
      </c>
      <c r="C2027" s="13">
        <v>27.8</v>
      </c>
      <c r="D2027" s="14">
        <v>0</v>
      </c>
      <c r="E2027">
        <f t="shared" si="31"/>
        <v>0</v>
      </c>
    </row>
    <row r="2028" spans="1:5" x14ac:dyDescent="0.35">
      <c r="A2028" s="7">
        <v>50667</v>
      </c>
      <c r="B2028" s="8" t="s">
        <v>10</v>
      </c>
      <c r="C2028" s="9">
        <v>25.8</v>
      </c>
      <c r="D2028" s="10">
        <v>12.1</v>
      </c>
      <c r="E2028">
        <f t="shared" si="31"/>
        <v>3.1217999999999999</v>
      </c>
    </row>
    <row r="2029" spans="1:5" x14ac:dyDescent="0.35">
      <c r="A2029" s="11">
        <v>50668</v>
      </c>
      <c r="B2029" s="12" t="s">
        <v>26</v>
      </c>
      <c r="C2029" s="13">
        <v>18.100000000000001</v>
      </c>
      <c r="D2029" s="14">
        <v>1.1000000000000001</v>
      </c>
      <c r="E2029">
        <f t="shared" si="31"/>
        <v>0.19910000000000003</v>
      </c>
    </row>
    <row r="2030" spans="1:5" x14ac:dyDescent="0.35">
      <c r="A2030" s="7">
        <v>50669</v>
      </c>
      <c r="B2030" s="8" t="s">
        <v>12</v>
      </c>
      <c r="C2030" s="9">
        <v>21.9</v>
      </c>
      <c r="D2030" s="10">
        <v>7.7</v>
      </c>
      <c r="E2030">
        <f t="shared" si="31"/>
        <v>1.6862999999999999</v>
      </c>
    </row>
    <row r="2031" spans="1:5" x14ac:dyDescent="0.35">
      <c r="A2031" s="11">
        <v>50670</v>
      </c>
      <c r="B2031" s="12" t="s">
        <v>27</v>
      </c>
      <c r="C2031" s="13">
        <v>23.2</v>
      </c>
      <c r="D2031" s="14">
        <v>5.0999999999999996</v>
      </c>
      <c r="E2031">
        <f t="shared" si="31"/>
        <v>1.1832</v>
      </c>
    </row>
    <row r="2032" spans="1:5" x14ac:dyDescent="0.35">
      <c r="A2032" s="7">
        <v>50671</v>
      </c>
      <c r="B2032" s="8" t="s">
        <v>31</v>
      </c>
      <c r="C2032" s="9">
        <v>26.6</v>
      </c>
      <c r="D2032" s="10">
        <v>0.3</v>
      </c>
      <c r="E2032">
        <f t="shared" si="31"/>
        <v>0</v>
      </c>
    </row>
    <row r="2033" spans="1:5" x14ac:dyDescent="0.35">
      <c r="A2033" s="11">
        <v>50672</v>
      </c>
      <c r="B2033" s="12" t="s">
        <v>11</v>
      </c>
      <c r="C2033" s="13">
        <v>23.2</v>
      </c>
      <c r="D2033" s="14">
        <v>0</v>
      </c>
      <c r="E2033">
        <f t="shared" si="31"/>
        <v>0</v>
      </c>
    </row>
    <row r="2034" spans="1:5" x14ac:dyDescent="0.35">
      <c r="A2034" s="7">
        <v>50673</v>
      </c>
      <c r="B2034" s="8" t="s">
        <v>10</v>
      </c>
      <c r="C2034" s="9">
        <v>11</v>
      </c>
      <c r="D2034" s="10">
        <v>40.9</v>
      </c>
      <c r="E2034">
        <f t="shared" si="31"/>
        <v>4.4989999999999997</v>
      </c>
    </row>
    <row r="2035" spans="1:5" x14ac:dyDescent="0.35">
      <c r="A2035" s="11">
        <v>50674</v>
      </c>
      <c r="B2035" s="12" t="s">
        <v>23</v>
      </c>
      <c r="C2035" s="13">
        <v>26.8</v>
      </c>
      <c r="D2035" s="14">
        <v>2.2999999999999998</v>
      </c>
      <c r="E2035">
        <f t="shared" si="31"/>
        <v>0.61639999999999995</v>
      </c>
    </row>
    <row r="2036" spans="1:5" x14ac:dyDescent="0.35">
      <c r="A2036" s="7">
        <v>50675</v>
      </c>
      <c r="B2036" s="8" t="s">
        <v>13</v>
      </c>
      <c r="C2036" s="9">
        <v>22.2</v>
      </c>
      <c r="D2036" s="10">
        <v>0</v>
      </c>
      <c r="E2036">
        <f t="shared" si="31"/>
        <v>0</v>
      </c>
    </row>
    <row r="2037" spans="1:5" x14ac:dyDescent="0.35">
      <c r="A2037" s="11">
        <v>50676</v>
      </c>
      <c r="B2037" s="12" t="s">
        <v>18</v>
      </c>
      <c r="C2037" s="13">
        <v>10.199999999999999</v>
      </c>
      <c r="D2037" s="14">
        <v>6.1</v>
      </c>
      <c r="E2037">
        <f t="shared" si="31"/>
        <v>0.62219999999999986</v>
      </c>
    </row>
    <row r="2038" spans="1:5" x14ac:dyDescent="0.35">
      <c r="A2038" s="7">
        <v>50677</v>
      </c>
      <c r="B2038" s="8" t="s">
        <v>33</v>
      </c>
      <c r="C2038" s="9">
        <v>18.399999999999999</v>
      </c>
      <c r="D2038" s="10">
        <v>1.5</v>
      </c>
      <c r="E2038">
        <f t="shared" si="31"/>
        <v>0.27599999999999997</v>
      </c>
    </row>
    <row r="2039" spans="1:5" x14ac:dyDescent="0.35">
      <c r="A2039" s="11">
        <v>50678</v>
      </c>
      <c r="B2039" s="12" t="s">
        <v>7</v>
      </c>
      <c r="C2039" s="13">
        <v>29.4</v>
      </c>
      <c r="D2039" s="14">
        <v>22.3</v>
      </c>
      <c r="E2039">
        <f t="shared" si="31"/>
        <v>6.5562000000000005</v>
      </c>
    </row>
    <row r="2040" spans="1:5" x14ac:dyDescent="0.35">
      <c r="A2040" s="7">
        <v>50679</v>
      </c>
      <c r="B2040" s="8" t="s">
        <v>23</v>
      </c>
      <c r="C2040" s="9">
        <v>23.4</v>
      </c>
      <c r="D2040" s="10">
        <v>0</v>
      </c>
      <c r="E2040">
        <f t="shared" si="31"/>
        <v>0</v>
      </c>
    </row>
    <row r="2041" spans="1:5" x14ac:dyDescent="0.35">
      <c r="A2041" s="11">
        <v>50680</v>
      </c>
      <c r="B2041" s="12" t="s">
        <v>5</v>
      </c>
      <c r="C2041" s="13">
        <v>13.6</v>
      </c>
      <c r="D2041" s="14">
        <v>6.1</v>
      </c>
      <c r="E2041">
        <f t="shared" si="31"/>
        <v>0.82959999999999989</v>
      </c>
    </row>
    <row r="2042" spans="1:5" x14ac:dyDescent="0.35">
      <c r="A2042" s="7">
        <v>50681</v>
      </c>
      <c r="B2042" s="8" t="s">
        <v>7</v>
      </c>
      <c r="C2042" s="9">
        <v>17.7</v>
      </c>
      <c r="D2042" s="10">
        <v>1.4</v>
      </c>
      <c r="E2042">
        <f t="shared" si="31"/>
        <v>0.24779999999999996</v>
      </c>
    </row>
    <row r="2043" spans="1:5" x14ac:dyDescent="0.35">
      <c r="A2043" s="11">
        <v>50682</v>
      </c>
      <c r="B2043" s="12" t="s">
        <v>23</v>
      </c>
      <c r="C2043" s="13">
        <v>17</v>
      </c>
      <c r="D2043" s="14">
        <v>5.9</v>
      </c>
      <c r="E2043">
        <f t="shared" si="31"/>
        <v>1.0030000000000001</v>
      </c>
    </row>
    <row r="2044" spans="1:5" x14ac:dyDescent="0.35">
      <c r="A2044" s="7">
        <v>50683</v>
      </c>
      <c r="B2044" s="8" t="s">
        <v>6</v>
      </c>
      <c r="C2044" s="9">
        <v>29.6</v>
      </c>
      <c r="D2044" s="10">
        <v>6.6</v>
      </c>
      <c r="E2044">
        <f t="shared" si="31"/>
        <v>1.9535999999999998</v>
      </c>
    </row>
    <row r="2045" spans="1:5" x14ac:dyDescent="0.35">
      <c r="A2045" s="11">
        <v>50684</v>
      </c>
      <c r="B2045" s="12" t="s">
        <v>10</v>
      </c>
      <c r="C2045" s="13">
        <v>23.4</v>
      </c>
      <c r="D2045" s="14">
        <v>0</v>
      </c>
      <c r="E2045">
        <f t="shared" si="31"/>
        <v>0</v>
      </c>
    </row>
    <row r="2046" spans="1:5" x14ac:dyDescent="0.35">
      <c r="A2046" s="7">
        <v>50685</v>
      </c>
      <c r="B2046" s="8" t="s">
        <v>7</v>
      </c>
      <c r="C2046" s="9">
        <v>21.3</v>
      </c>
      <c r="D2046" s="10">
        <v>22.4</v>
      </c>
      <c r="E2046">
        <f t="shared" si="31"/>
        <v>4.7712000000000003</v>
      </c>
    </row>
    <row r="2047" spans="1:5" x14ac:dyDescent="0.35">
      <c r="A2047" s="11">
        <v>50686</v>
      </c>
      <c r="B2047" s="12" t="s">
        <v>19</v>
      </c>
      <c r="C2047" s="13">
        <v>18.600000000000001</v>
      </c>
      <c r="D2047" s="14">
        <v>0</v>
      </c>
      <c r="E2047">
        <f t="shared" si="31"/>
        <v>0</v>
      </c>
    </row>
    <row r="2048" spans="1:5" x14ac:dyDescent="0.35">
      <c r="A2048" s="7">
        <v>50687</v>
      </c>
      <c r="B2048" s="8" t="s">
        <v>13</v>
      </c>
      <c r="C2048" s="9">
        <v>16.8</v>
      </c>
      <c r="D2048" s="10">
        <v>2.8</v>
      </c>
      <c r="E2048">
        <f t="shared" si="31"/>
        <v>0.47039999999999998</v>
      </c>
    </row>
    <row r="2049" spans="1:5" x14ac:dyDescent="0.35">
      <c r="A2049" s="11">
        <v>50688</v>
      </c>
      <c r="B2049" s="12" t="s">
        <v>20</v>
      </c>
      <c r="C2049" s="13">
        <v>13.2</v>
      </c>
      <c r="D2049" s="14">
        <v>4</v>
      </c>
      <c r="E2049">
        <f t="shared" si="31"/>
        <v>0.52800000000000002</v>
      </c>
    </row>
    <row r="2050" spans="1:5" x14ac:dyDescent="0.35">
      <c r="A2050" s="7">
        <v>50689</v>
      </c>
      <c r="B2050" s="8" t="s">
        <v>19</v>
      </c>
      <c r="C2050" s="9">
        <v>29.8</v>
      </c>
      <c r="D2050" s="10">
        <v>24.9</v>
      </c>
      <c r="E2050">
        <f t="shared" si="31"/>
        <v>7.4201999999999995</v>
      </c>
    </row>
    <row r="2051" spans="1:5" x14ac:dyDescent="0.35">
      <c r="A2051" s="11">
        <v>50690</v>
      </c>
      <c r="B2051" s="12" t="s">
        <v>10</v>
      </c>
      <c r="C2051" s="13">
        <v>10.6</v>
      </c>
      <c r="D2051" s="14">
        <v>31.8</v>
      </c>
      <c r="E2051">
        <f t="shared" ref="E2051:E2073" si="32">IF(D2051&gt;=1,C2051*D2051/100,0)</f>
        <v>3.3708</v>
      </c>
    </row>
    <row r="2052" spans="1:5" x14ac:dyDescent="0.35">
      <c r="A2052" s="7">
        <v>50691</v>
      </c>
      <c r="B2052" s="8" t="s">
        <v>15</v>
      </c>
      <c r="C2052" s="9">
        <v>11.9</v>
      </c>
      <c r="D2052" s="10">
        <v>12.3</v>
      </c>
      <c r="E2052">
        <f t="shared" si="32"/>
        <v>1.4637</v>
      </c>
    </row>
    <row r="2053" spans="1:5" x14ac:dyDescent="0.35">
      <c r="A2053" s="11">
        <v>50692</v>
      </c>
      <c r="B2053" s="12" t="s">
        <v>30</v>
      </c>
      <c r="C2053" s="13">
        <v>26.8</v>
      </c>
      <c r="D2053" s="14">
        <v>0.5</v>
      </c>
      <c r="E2053">
        <f t="shared" si="32"/>
        <v>0</v>
      </c>
    </row>
    <row r="2054" spans="1:5" x14ac:dyDescent="0.35">
      <c r="A2054" s="7">
        <v>50693</v>
      </c>
      <c r="B2054" s="8" t="s">
        <v>22</v>
      </c>
      <c r="C2054" s="9">
        <v>29</v>
      </c>
      <c r="D2054" s="10">
        <v>3.5</v>
      </c>
      <c r="E2054">
        <f t="shared" si="32"/>
        <v>1.0149999999999999</v>
      </c>
    </row>
    <row r="2055" spans="1:5" x14ac:dyDescent="0.35">
      <c r="A2055" s="11">
        <v>50694</v>
      </c>
      <c r="B2055" s="12" t="s">
        <v>20</v>
      </c>
      <c r="C2055" s="13">
        <v>22.9</v>
      </c>
      <c r="D2055" s="14">
        <v>2</v>
      </c>
      <c r="E2055">
        <f t="shared" si="32"/>
        <v>0.45799999999999996</v>
      </c>
    </row>
    <row r="2056" spans="1:5" x14ac:dyDescent="0.35">
      <c r="A2056" s="7">
        <v>50695</v>
      </c>
      <c r="B2056" s="8" t="s">
        <v>21</v>
      </c>
      <c r="C2056" s="9">
        <v>27.1</v>
      </c>
      <c r="D2056" s="10">
        <v>0</v>
      </c>
      <c r="E2056">
        <f t="shared" si="32"/>
        <v>0</v>
      </c>
    </row>
    <row r="2057" spans="1:5" x14ac:dyDescent="0.35">
      <c r="A2057" s="11">
        <v>50696</v>
      </c>
      <c r="B2057" s="12" t="s">
        <v>10</v>
      </c>
      <c r="C2057" s="13">
        <v>11.8</v>
      </c>
      <c r="D2057" s="14">
        <v>49</v>
      </c>
      <c r="E2057">
        <f t="shared" si="32"/>
        <v>5.782</v>
      </c>
    </row>
    <row r="2058" spans="1:5" x14ac:dyDescent="0.35">
      <c r="A2058" s="7">
        <v>50697</v>
      </c>
      <c r="B2058" s="8" t="s">
        <v>6</v>
      </c>
      <c r="C2058" s="9">
        <v>26.6</v>
      </c>
      <c r="D2058" s="10">
        <v>0</v>
      </c>
      <c r="E2058">
        <f t="shared" si="32"/>
        <v>0</v>
      </c>
    </row>
    <row r="2059" spans="1:5" x14ac:dyDescent="0.35">
      <c r="A2059" s="11">
        <v>50698</v>
      </c>
      <c r="B2059" s="12" t="s">
        <v>18</v>
      </c>
      <c r="C2059" s="13">
        <v>21.3</v>
      </c>
      <c r="D2059" s="14">
        <v>0</v>
      </c>
      <c r="E2059">
        <f t="shared" si="32"/>
        <v>0</v>
      </c>
    </row>
    <row r="2060" spans="1:5" x14ac:dyDescent="0.35">
      <c r="A2060" s="7">
        <v>50699</v>
      </c>
      <c r="B2060" s="8" t="s">
        <v>11</v>
      </c>
      <c r="C2060" s="9">
        <v>23.2</v>
      </c>
      <c r="D2060" s="10">
        <v>0</v>
      </c>
      <c r="E2060">
        <f t="shared" si="32"/>
        <v>0</v>
      </c>
    </row>
    <row r="2061" spans="1:5" x14ac:dyDescent="0.35">
      <c r="A2061" s="11">
        <v>50700</v>
      </c>
      <c r="B2061" s="12" t="s">
        <v>10</v>
      </c>
      <c r="C2061" s="13">
        <v>27.3</v>
      </c>
      <c r="D2061" s="14">
        <v>0</v>
      </c>
      <c r="E2061">
        <f t="shared" si="32"/>
        <v>0</v>
      </c>
    </row>
    <row r="2062" spans="1:5" x14ac:dyDescent="0.35">
      <c r="A2062" s="7">
        <v>50701</v>
      </c>
      <c r="B2062" s="8" t="s">
        <v>13</v>
      </c>
      <c r="C2062" s="9">
        <v>21.3</v>
      </c>
      <c r="D2062" s="10">
        <v>2.6</v>
      </c>
      <c r="E2062">
        <f t="shared" si="32"/>
        <v>0.55380000000000007</v>
      </c>
    </row>
    <row r="2063" spans="1:5" x14ac:dyDescent="0.35">
      <c r="A2063" s="11">
        <v>50702</v>
      </c>
      <c r="B2063" s="12" t="s">
        <v>19</v>
      </c>
      <c r="C2063" s="13">
        <v>22.9</v>
      </c>
      <c r="D2063" s="14">
        <v>5.3</v>
      </c>
      <c r="E2063">
        <f t="shared" si="32"/>
        <v>1.2137</v>
      </c>
    </row>
    <row r="2064" spans="1:5" x14ac:dyDescent="0.35">
      <c r="A2064" s="7">
        <v>50703</v>
      </c>
      <c r="B2064" s="8" t="s">
        <v>28</v>
      </c>
      <c r="C2064" s="9">
        <v>25</v>
      </c>
      <c r="D2064" s="10">
        <v>0</v>
      </c>
      <c r="E2064">
        <f t="shared" si="32"/>
        <v>0</v>
      </c>
    </row>
    <row r="2065" spans="1:5" x14ac:dyDescent="0.35">
      <c r="A2065" s="11">
        <v>50704</v>
      </c>
      <c r="B2065" s="12" t="s">
        <v>24</v>
      </c>
      <c r="C2065" s="13">
        <v>15.9</v>
      </c>
      <c r="D2065" s="14">
        <v>2.5</v>
      </c>
      <c r="E2065">
        <f t="shared" si="32"/>
        <v>0.39750000000000002</v>
      </c>
    </row>
    <row r="2066" spans="1:5" x14ac:dyDescent="0.35">
      <c r="A2066" s="7">
        <v>50705</v>
      </c>
      <c r="B2066" s="8" t="s">
        <v>22</v>
      </c>
      <c r="C2066" s="9">
        <v>19.2</v>
      </c>
      <c r="D2066" s="10">
        <v>1.3</v>
      </c>
      <c r="E2066">
        <f t="shared" si="32"/>
        <v>0.24960000000000002</v>
      </c>
    </row>
    <row r="2067" spans="1:5" x14ac:dyDescent="0.35">
      <c r="A2067" s="11">
        <v>50706</v>
      </c>
      <c r="B2067" s="12" t="s">
        <v>7</v>
      </c>
      <c r="C2067" s="13">
        <v>22.5</v>
      </c>
      <c r="D2067" s="14">
        <v>10.9</v>
      </c>
      <c r="E2067">
        <f t="shared" si="32"/>
        <v>2.4525000000000001</v>
      </c>
    </row>
    <row r="2068" spans="1:5" x14ac:dyDescent="0.35">
      <c r="A2068" s="7">
        <v>50707</v>
      </c>
      <c r="B2068" s="8" t="s">
        <v>13</v>
      </c>
      <c r="C2068" s="9">
        <v>28.7</v>
      </c>
      <c r="D2068" s="10">
        <v>13.3</v>
      </c>
      <c r="E2068">
        <f t="shared" si="32"/>
        <v>3.8171000000000004</v>
      </c>
    </row>
    <row r="2069" spans="1:5" x14ac:dyDescent="0.35">
      <c r="A2069" s="11">
        <v>50708</v>
      </c>
      <c r="B2069" s="12" t="s">
        <v>19</v>
      </c>
      <c r="C2069" s="13">
        <v>14.6</v>
      </c>
      <c r="D2069" s="14">
        <v>29.3</v>
      </c>
      <c r="E2069">
        <f t="shared" si="32"/>
        <v>4.2778</v>
      </c>
    </row>
    <row r="2070" spans="1:5" x14ac:dyDescent="0.35">
      <c r="A2070" s="7">
        <v>50709</v>
      </c>
      <c r="B2070" s="8" t="s">
        <v>18</v>
      </c>
      <c r="C2070" s="9">
        <v>12.1</v>
      </c>
      <c r="D2070" s="10">
        <v>6.5</v>
      </c>
      <c r="E2070">
        <f t="shared" si="32"/>
        <v>0.78649999999999987</v>
      </c>
    </row>
    <row r="2071" spans="1:5" x14ac:dyDescent="0.35">
      <c r="A2071" s="11">
        <v>50710</v>
      </c>
      <c r="B2071" s="12" t="s">
        <v>19</v>
      </c>
      <c r="C2071" s="13">
        <v>20</v>
      </c>
      <c r="D2071" s="14">
        <v>26.1</v>
      </c>
      <c r="E2071">
        <f t="shared" si="32"/>
        <v>5.22</v>
      </c>
    </row>
    <row r="2072" spans="1:5" x14ac:dyDescent="0.35">
      <c r="A2072" s="7">
        <v>50711</v>
      </c>
      <c r="B2072" s="8" t="s">
        <v>27</v>
      </c>
      <c r="C2072" s="9">
        <v>20.8</v>
      </c>
      <c r="D2072" s="10">
        <v>2.5</v>
      </c>
      <c r="E2072">
        <f t="shared" si="32"/>
        <v>0.52</v>
      </c>
    </row>
    <row r="2073" spans="1:5" x14ac:dyDescent="0.35">
      <c r="A2073" s="15">
        <v>50712</v>
      </c>
      <c r="B2073" s="16" t="s">
        <v>7</v>
      </c>
      <c r="C2073" s="2">
        <v>26.6</v>
      </c>
      <c r="D2073" s="3">
        <v>5.9</v>
      </c>
      <c r="E2073">
        <f t="shared" si="32"/>
        <v>1.5694000000000004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1E0A-C0DB-4224-98B6-71A35194229D}">
  <sheetPr filterMode="1"/>
  <dimension ref="A1:K2073"/>
  <sheetViews>
    <sheetView topLeftCell="D2" workbookViewId="0">
      <selection activeCell="J34" sqref="J34"/>
    </sheetView>
  </sheetViews>
  <sheetFormatPr defaultRowHeight="14.5" x14ac:dyDescent="0.35"/>
  <cols>
    <col min="1" max="1" width="9.90625" bestFit="1" customWidth="1"/>
    <col min="2" max="2" width="16.1796875" bestFit="1" customWidth="1"/>
    <col min="3" max="3" width="11.1796875" bestFit="1" customWidth="1"/>
    <col min="4" max="4" width="14.7265625" bestFit="1" customWidth="1"/>
    <col min="7" max="7" width="16.54296875" bestFit="1" customWidth="1"/>
    <col min="8" max="8" width="15.36328125" bestFit="1" customWidth="1"/>
    <col min="9" max="9" width="11.81640625" bestFit="1" customWidth="1"/>
  </cols>
  <sheetData>
    <row r="1" spans="1:11" x14ac:dyDescent="0.35">
      <c r="A1" s="4" t="s">
        <v>0</v>
      </c>
      <c r="B1" s="5" t="s">
        <v>1</v>
      </c>
      <c r="C1" s="5" t="s">
        <v>2</v>
      </c>
      <c r="D1" s="6" t="s">
        <v>3</v>
      </c>
      <c r="E1" s="17" t="s">
        <v>36</v>
      </c>
    </row>
    <row r="2" spans="1:11" x14ac:dyDescent="0.35">
      <c r="A2" s="7">
        <v>48641</v>
      </c>
      <c r="B2" s="8" t="s">
        <v>4</v>
      </c>
      <c r="C2" s="9">
        <v>27.8</v>
      </c>
      <c r="D2" s="10">
        <v>0.2</v>
      </c>
      <c r="E2" s="18">
        <v>1</v>
      </c>
    </row>
    <row r="3" spans="1:11" x14ac:dyDescent="0.35">
      <c r="A3" s="11">
        <v>48642</v>
      </c>
      <c r="B3" s="12" t="s">
        <v>5</v>
      </c>
      <c r="C3" s="13">
        <v>11.8</v>
      </c>
      <c r="D3" s="14">
        <v>1.7</v>
      </c>
      <c r="E3" s="18">
        <v>1</v>
      </c>
    </row>
    <row r="4" spans="1:11" x14ac:dyDescent="0.35">
      <c r="A4" s="7">
        <v>48643</v>
      </c>
      <c r="B4" s="8" t="s">
        <v>6</v>
      </c>
      <c r="C4" s="9">
        <v>21</v>
      </c>
      <c r="D4" s="10">
        <v>6</v>
      </c>
      <c r="E4" s="18">
        <v>1</v>
      </c>
      <c r="G4" s="19" t="s">
        <v>37</v>
      </c>
      <c r="H4" t="s">
        <v>39</v>
      </c>
      <c r="I4" t="s">
        <v>40</v>
      </c>
      <c r="J4" t="s">
        <v>42</v>
      </c>
      <c r="K4" t="s">
        <v>41</v>
      </c>
    </row>
    <row r="5" spans="1:11" hidden="1" x14ac:dyDescent="0.35">
      <c r="A5" s="11">
        <v>48644</v>
      </c>
      <c r="B5" s="12" t="s">
        <v>7</v>
      </c>
      <c r="C5" s="13">
        <v>26.3</v>
      </c>
      <c r="D5" s="14">
        <v>11.4</v>
      </c>
      <c r="E5" s="18">
        <v>1</v>
      </c>
      <c r="G5" s="20" t="s">
        <v>23</v>
      </c>
      <c r="H5" s="1">
        <v>899.7</v>
      </c>
      <c r="I5" s="1">
        <v>43</v>
      </c>
      <c r="J5" s="20" t="s">
        <v>23</v>
      </c>
      <c r="K5">
        <f>H5/I5</f>
        <v>20.923255813953489</v>
      </c>
    </row>
    <row r="6" spans="1:11" hidden="1" x14ac:dyDescent="0.35">
      <c r="A6" s="7">
        <v>48645</v>
      </c>
      <c r="B6" s="8" t="s">
        <v>8</v>
      </c>
      <c r="C6" s="9">
        <v>28.8</v>
      </c>
      <c r="D6" s="10">
        <v>0</v>
      </c>
      <c r="E6" s="18">
        <v>1</v>
      </c>
      <c r="G6" s="20" t="s">
        <v>11</v>
      </c>
      <c r="H6" s="1">
        <v>2711.8999999999992</v>
      </c>
      <c r="I6" s="1">
        <v>138</v>
      </c>
      <c r="J6" s="20" t="s">
        <v>11</v>
      </c>
      <c r="K6">
        <f t="shared" ref="K6:K35" si="0">H6/I6</f>
        <v>19.651449275362314</v>
      </c>
    </row>
    <row r="7" spans="1:11" hidden="1" x14ac:dyDescent="0.35">
      <c r="A7" s="11">
        <v>48646</v>
      </c>
      <c r="B7" s="12" t="s">
        <v>9</v>
      </c>
      <c r="C7" s="13">
        <v>29.2</v>
      </c>
      <c r="D7" s="14">
        <v>0</v>
      </c>
      <c r="E7" s="18">
        <v>1</v>
      </c>
      <c r="G7" s="20" t="s">
        <v>5</v>
      </c>
      <c r="H7" s="1">
        <v>1030.2999999999997</v>
      </c>
      <c r="I7" s="1">
        <v>56</v>
      </c>
      <c r="J7" s="20" t="s">
        <v>5</v>
      </c>
      <c r="K7">
        <f t="shared" si="0"/>
        <v>18.398214285714282</v>
      </c>
    </row>
    <row r="8" spans="1:11" hidden="1" x14ac:dyDescent="0.35">
      <c r="A8" s="7">
        <v>48647</v>
      </c>
      <c r="B8" s="8" t="s">
        <v>10</v>
      </c>
      <c r="C8" s="9">
        <v>25.6</v>
      </c>
      <c r="D8" s="10">
        <v>28.7</v>
      </c>
      <c r="E8" s="18">
        <v>1</v>
      </c>
      <c r="G8" s="20" t="s">
        <v>14</v>
      </c>
      <c r="H8" s="1">
        <v>1153.3000000000002</v>
      </c>
      <c r="I8" s="1">
        <v>59</v>
      </c>
      <c r="J8" s="20" t="s">
        <v>14</v>
      </c>
      <c r="K8">
        <f t="shared" si="0"/>
        <v>19.547457627118646</v>
      </c>
    </row>
    <row r="9" spans="1:11" hidden="1" x14ac:dyDescent="0.35">
      <c r="A9" s="11">
        <v>48648</v>
      </c>
      <c r="B9" s="12" t="s">
        <v>11</v>
      </c>
      <c r="C9" s="13">
        <v>10.1</v>
      </c>
      <c r="D9" s="14">
        <v>7.7</v>
      </c>
      <c r="E9" s="18">
        <v>1</v>
      </c>
      <c r="G9" s="20" t="s">
        <v>26</v>
      </c>
      <c r="H9" s="1">
        <v>1015.1</v>
      </c>
      <c r="I9" s="1">
        <v>53</v>
      </c>
      <c r="J9" s="20" t="s">
        <v>26</v>
      </c>
      <c r="K9">
        <f t="shared" si="0"/>
        <v>19.152830188679246</v>
      </c>
    </row>
    <row r="10" spans="1:11" hidden="1" x14ac:dyDescent="0.35">
      <c r="A10" s="7">
        <v>48649</v>
      </c>
      <c r="B10" s="8" t="s">
        <v>12</v>
      </c>
      <c r="C10" s="9">
        <v>14.6</v>
      </c>
      <c r="D10" s="10">
        <v>0</v>
      </c>
      <c r="E10" s="18">
        <v>1</v>
      </c>
      <c r="G10" s="20" t="s">
        <v>24</v>
      </c>
      <c r="H10" s="1">
        <v>572</v>
      </c>
      <c r="I10" s="1">
        <v>31</v>
      </c>
      <c r="J10" s="20" t="s">
        <v>24</v>
      </c>
      <c r="K10">
        <f t="shared" si="0"/>
        <v>18.451612903225808</v>
      </c>
    </row>
    <row r="11" spans="1:11" hidden="1" x14ac:dyDescent="0.35">
      <c r="A11" s="11">
        <v>48650</v>
      </c>
      <c r="B11" s="12" t="s">
        <v>13</v>
      </c>
      <c r="C11" s="13">
        <v>11.5</v>
      </c>
      <c r="D11" s="14">
        <v>1.9</v>
      </c>
      <c r="E11" s="18">
        <v>1</v>
      </c>
      <c r="G11" s="20" t="s">
        <v>27</v>
      </c>
      <c r="H11" s="1">
        <v>991.90000000000009</v>
      </c>
      <c r="I11" s="1">
        <v>50</v>
      </c>
      <c r="J11" s="20" t="s">
        <v>27</v>
      </c>
      <c r="K11">
        <f t="shared" si="0"/>
        <v>19.838000000000001</v>
      </c>
    </row>
    <row r="12" spans="1:11" hidden="1" x14ac:dyDescent="0.35">
      <c r="A12" s="7">
        <v>48651</v>
      </c>
      <c r="B12" s="8" t="s">
        <v>9</v>
      </c>
      <c r="C12" s="9">
        <v>15.2</v>
      </c>
      <c r="D12" s="10">
        <v>0</v>
      </c>
      <c r="E12" s="18">
        <v>1</v>
      </c>
      <c r="G12" s="20" t="s">
        <v>4</v>
      </c>
      <c r="H12" s="1">
        <v>244.8</v>
      </c>
      <c r="I12" s="1">
        <v>13</v>
      </c>
      <c r="J12" s="20" t="s">
        <v>4</v>
      </c>
      <c r="K12">
        <f t="shared" si="0"/>
        <v>18.830769230769231</v>
      </c>
    </row>
    <row r="13" spans="1:11" hidden="1" x14ac:dyDescent="0.35">
      <c r="A13" s="11">
        <v>48652</v>
      </c>
      <c r="B13" s="12" t="s">
        <v>10</v>
      </c>
      <c r="C13" s="13">
        <v>10.199999999999999</v>
      </c>
      <c r="D13" s="14">
        <v>13.3</v>
      </c>
      <c r="E13" s="18">
        <v>1</v>
      </c>
      <c r="G13" s="20" t="s">
        <v>7</v>
      </c>
      <c r="H13" s="1">
        <v>3298.8000000000011</v>
      </c>
      <c r="I13" s="1">
        <v>152</v>
      </c>
      <c r="J13" s="20" t="s">
        <v>7</v>
      </c>
      <c r="K13">
        <f t="shared" si="0"/>
        <v>21.702631578947376</v>
      </c>
    </row>
    <row r="14" spans="1:11" hidden="1" x14ac:dyDescent="0.35">
      <c r="A14" s="7">
        <v>48653</v>
      </c>
      <c r="B14" s="8" t="s">
        <v>14</v>
      </c>
      <c r="C14" s="9">
        <v>20.399999999999999</v>
      </c>
      <c r="D14" s="10">
        <v>4.5999999999999996</v>
      </c>
      <c r="E14" s="18">
        <v>1</v>
      </c>
      <c r="G14" s="20" t="s">
        <v>30</v>
      </c>
      <c r="H14" s="1">
        <v>295.8</v>
      </c>
      <c r="I14" s="1">
        <v>15</v>
      </c>
      <c r="J14" s="20" t="s">
        <v>30</v>
      </c>
      <c r="K14">
        <f t="shared" si="0"/>
        <v>19.720000000000002</v>
      </c>
    </row>
    <row r="15" spans="1:11" hidden="1" x14ac:dyDescent="0.35">
      <c r="A15" s="11">
        <v>48654</v>
      </c>
      <c r="B15" s="12" t="s">
        <v>14</v>
      </c>
      <c r="C15" s="13">
        <v>13.6</v>
      </c>
      <c r="D15" s="14">
        <v>8</v>
      </c>
      <c r="E15" s="18">
        <v>1</v>
      </c>
      <c r="G15" s="20" t="s">
        <v>20</v>
      </c>
      <c r="H15" s="1">
        <v>724.90000000000009</v>
      </c>
      <c r="I15" s="1">
        <v>39</v>
      </c>
      <c r="J15" s="20" t="s">
        <v>20</v>
      </c>
      <c r="K15">
        <f t="shared" si="0"/>
        <v>18.58717948717949</v>
      </c>
    </row>
    <row r="16" spans="1:11" hidden="1" x14ac:dyDescent="0.35">
      <c r="A16" s="7">
        <v>48655</v>
      </c>
      <c r="B16" s="8" t="s">
        <v>15</v>
      </c>
      <c r="C16" s="9">
        <v>11</v>
      </c>
      <c r="D16" s="10">
        <v>11.6</v>
      </c>
      <c r="E16" s="18">
        <v>1</v>
      </c>
      <c r="G16" s="20" t="s">
        <v>13</v>
      </c>
      <c r="H16" s="1">
        <v>2108.7000000000003</v>
      </c>
      <c r="I16" s="1">
        <v>108</v>
      </c>
      <c r="J16" s="20" t="s">
        <v>13</v>
      </c>
      <c r="K16">
        <f t="shared" si="0"/>
        <v>19.525000000000002</v>
      </c>
    </row>
    <row r="17" spans="1:11" hidden="1" x14ac:dyDescent="0.35">
      <c r="A17" s="11">
        <v>48656</v>
      </c>
      <c r="B17" s="12" t="s">
        <v>16</v>
      </c>
      <c r="C17" s="13">
        <v>14.1</v>
      </c>
      <c r="D17" s="14">
        <v>0</v>
      </c>
      <c r="E17" s="18">
        <v>1</v>
      </c>
      <c r="G17" s="20" t="s">
        <v>31</v>
      </c>
      <c r="H17" s="1">
        <v>286.7</v>
      </c>
      <c r="I17" s="1">
        <v>15</v>
      </c>
      <c r="J17" s="20" t="s">
        <v>31</v>
      </c>
      <c r="K17">
        <f t="shared" si="0"/>
        <v>19.113333333333333</v>
      </c>
    </row>
    <row r="18" spans="1:11" hidden="1" x14ac:dyDescent="0.35">
      <c r="A18" s="7">
        <v>48657</v>
      </c>
      <c r="B18" s="8" t="s">
        <v>10</v>
      </c>
      <c r="C18" s="9">
        <v>19.2</v>
      </c>
      <c r="D18" s="10">
        <v>0</v>
      </c>
      <c r="E18" s="18">
        <v>1</v>
      </c>
      <c r="G18" s="20" t="s">
        <v>10</v>
      </c>
      <c r="H18" s="1">
        <v>5847.4000000000015</v>
      </c>
      <c r="I18" s="1">
        <v>302</v>
      </c>
      <c r="J18" s="20" t="s">
        <v>10</v>
      </c>
      <c r="K18">
        <f t="shared" si="0"/>
        <v>19.362251655629144</v>
      </c>
    </row>
    <row r="19" spans="1:11" hidden="1" x14ac:dyDescent="0.35">
      <c r="A19" s="11">
        <v>48658</v>
      </c>
      <c r="B19" s="12" t="s">
        <v>10</v>
      </c>
      <c r="C19" s="13">
        <v>20.7</v>
      </c>
      <c r="D19" s="14">
        <v>0</v>
      </c>
      <c r="E19" s="18">
        <v>1</v>
      </c>
      <c r="G19" s="20" t="s">
        <v>8</v>
      </c>
      <c r="H19" s="1">
        <v>773.29999999999984</v>
      </c>
      <c r="I19" s="1">
        <v>40</v>
      </c>
      <c r="J19" s="20" t="s">
        <v>8</v>
      </c>
      <c r="K19">
        <f t="shared" si="0"/>
        <v>19.332499999999996</v>
      </c>
    </row>
    <row r="20" spans="1:11" hidden="1" x14ac:dyDescent="0.35">
      <c r="A20" s="7">
        <v>48659</v>
      </c>
      <c r="B20" s="8" t="s">
        <v>17</v>
      </c>
      <c r="C20" s="9">
        <v>29.5</v>
      </c>
      <c r="D20" s="10">
        <v>2.1</v>
      </c>
      <c r="E20" s="18">
        <v>1</v>
      </c>
      <c r="G20" s="20" t="s">
        <v>17</v>
      </c>
      <c r="H20" s="1">
        <v>1163.8000000000004</v>
      </c>
      <c r="I20" s="1">
        <v>54</v>
      </c>
      <c r="J20" s="20" t="s">
        <v>17</v>
      </c>
      <c r="K20">
        <f t="shared" si="0"/>
        <v>21.551851851851861</v>
      </c>
    </row>
    <row r="21" spans="1:11" hidden="1" x14ac:dyDescent="0.35">
      <c r="A21" s="11">
        <v>48660</v>
      </c>
      <c r="B21" s="12" t="s">
        <v>11</v>
      </c>
      <c r="C21" s="13">
        <v>24.4</v>
      </c>
      <c r="D21" s="14">
        <v>10.1</v>
      </c>
      <c r="E21" s="18">
        <v>1</v>
      </c>
      <c r="G21" s="20" t="s">
        <v>22</v>
      </c>
      <c r="H21" s="1">
        <v>1223</v>
      </c>
      <c r="I21" s="1">
        <v>64</v>
      </c>
      <c r="J21" s="20" t="s">
        <v>22</v>
      </c>
      <c r="K21">
        <f t="shared" si="0"/>
        <v>19.109375</v>
      </c>
    </row>
    <row r="22" spans="1:11" hidden="1" x14ac:dyDescent="0.35">
      <c r="A22" s="7">
        <v>48661</v>
      </c>
      <c r="B22" s="8" t="s">
        <v>18</v>
      </c>
      <c r="C22" s="9">
        <v>15.6</v>
      </c>
      <c r="D22" s="10">
        <v>6.6</v>
      </c>
      <c r="E22" s="18">
        <v>1</v>
      </c>
      <c r="G22" s="20" t="s">
        <v>29</v>
      </c>
      <c r="H22" s="1">
        <v>328</v>
      </c>
      <c r="I22" s="1">
        <v>14</v>
      </c>
      <c r="J22" s="20" t="s">
        <v>29</v>
      </c>
      <c r="K22">
        <f t="shared" si="0"/>
        <v>23.428571428571427</v>
      </c>
    </row>
    <row r="23" spans="1:11" hidden="1" x14ac:dyDescent="0.35">
      <c r="A23" s="11">
        <v>48662</v>
      </c>
      <c r="B23" s="12" t="s">
        <v>9</v>
      </c>
      <c r="C23" s="13">
        <v>22.7</v>
      </c>
      <c r="D23" s="14">
        <v>2.9</v>
      </c>
      <c r="E23" s="18">
        <v>1</v>
      </c>
      <c r="G23" s="20" t="s">
        <v>9</v>
      </c>
      <c r="H23" s="1">
        <v>1610.3000000000002</v>
      </c>
      <c r="I23" s="1">
        <v>80</v>
      </c>
      <c r="J23" s="20" t="s">
        <v>9</v>
      </c>
      <c r="K23">
        <f t="shared" si="0"/>
        <v>20.128750000000004</v>
      </c>
    </row>
    <row r="24" spans="1:11" hidden="1" x14ac:dyDescent="0.35">
      <c r="A24" s="7">
        <v>48663</v>
      </c>
      <c r="B24" s="8" t="s">
        <v>15</v>
      </c>
      <c r="C24" s="9">
        <v>15.1</v>
      </c>
      <c r="D24" s="10">
        <v>0</v>
      </c>
      <c r="E24" s="18">
        <v>1</v>
      </c>
      <c r="G24" s="20" t="s">
        <v>32</v>
      </c>
      <c r="H24" s="1">
        <v>313.19999999999993</v>
      </c>
      <c r="I24" s="1">
        <v>14</v>
      </c>
      <c r="J24" s="20" t="s">
        <v>32</v>
      </c>
      <c r="K24">
        <f t="shared" si="0"/>
        <v>22.371428571428567</v>
      </c>
    </row>
    <row r="25" spans="1:11" hidden="1" x14ac:dyDescent="0.35">
      <c r="A25" s="11">
        <v>48664</v>
      </c>
      <c r="B25" s="12" t="s">
        <v>19</v>
      </c>
      <c r="C25" s="13">
        <v>14.1</v>
      </c>
      <c r="D25" s="14">
        <v>0.8</v>
      </c>
      <c r="E25" s="18">
        <v>1</v>
      </c>
      <c r="G25" s="20" t="s">
        <v>21</v>
      </c>
      <c r="H25" s="1">
        <v>537.19999999999993</v>
      </c>
      <c r="I25" s="1">
        <v>25</v>
      </c>
      <c r="J25" s="20" t="s">
        <v>21</v>
      </c>
      <c r="K25">
        <f t="shared" si="0"/>
        <v>21.487999999999996</v>
      </c>
    </row>
    <row r="26" spans="1:11" hidden="1" x14ac:dyDescent="0.35">
      <c r="A26" s="7">
        <v>48665</v>
      </c>
      <c r="B26" s="8" t="s">
        <v>7</v>
      </c>
      <c r="C26" s="9">
        <v>24.9</v>
      </c>
      <c r="D26" s="10">
        <v>2.2000000000000002</v>
      </c>
      <c r="E26" s="18">
        <v>1</v>
      </c>
      <c r="G26" s="20" t="s">
        <v>18</v>
      </c>
      <c r="H26" s="1">
        <v>2064.6999999999998</v>
      </c>
      <c r="I26" s="1">
        <v>104</v>
      </c>
      <c r="J26" s="20" t="s">
        <v>18</v>
      </c>
      <c r="K26">
        <f t="shared" si="0"/>
        <v>19.852884615384614</v>
      </c>
    </row>
    <row r="27" spans="1:11" hidden="1" x14ac:dyDescent="0.35">
      <c r="A27" s="11">
        <v>48666</v>
      </c>
      <c r="B27" s="12" t="s">
        <v>20</v>
      </c>
      <c r="C27" s="13">
        <v>14.8</v>
      </c>
      <c r="D27" s="14">
        <v>0</v>
      </c>
      <c r="E27" s="18">
        <v>1</v>
      </c>
      <c r="G27" s="20" t="s">
        <v>6</v>
      </c>
      <c r="H27" s="1">
        <v>1843.799999999999</v>
      </c>
      <c r="I27" s="1">
        <v>91</v>
      </c>
      <c r="J27" s="20" t="s">
        <v>6</v>
      </c>
      <c r="K27">
        <f t="shared" si="0"/>
        <v>20.26153846153845</v>
      </c>
    </row>
    <row r="28" spans="1:11" hidden="1" x14ac:dyDescent="0.35">
      <c r="A28" s="7">
        <v>48667</v>
      </c>
      <c r="B28" s="8" t="s">
        <v>14</v>
      </c>
      <c r="C28" s="9">
        <v>18.8</v>
      </c>
      <c r="D28" s="10">
        <v>0</v>
      </c>
      <c r="E28" s="18">
        <v>1</v>
      </c>
      <c r="G28" s="20" t="s">
        <v>16</v>
      </c>
      <c r="H28" s="1">
        <v>291.60000000000002</v>
      </c>
      <c r="I28" s="1">
        <v>13</v>
      </c>
      <c r="J28" s="20" t="s">
        <v>16</v>
      </c>
      <c r="K28">
        <f t="shared" si="0"/>
        <v>22.430769230769233</v>
      </c>
    </row>
    <row r="29" spans="1:11" hidden="1" x14ac:dyDescent="0.35">
      <c r="A29" s="11">
        <v>48668</v>
      </c>
      <c r="B29" s="12" t="s">
        <v>15</v>
      </c>
      <c r="C29" s="13">
        <v>29.3</v>
      </c>
      <c r="D29" s="14">
        <v>8</v>
      </c>
      <c r="E29" s="18">
        <v>1</v>
      </c>
      <c r="G29" s="20" t="s">
        <v>33</v>
      </c>
      <c r="H29" s="1">
        <v>492.7999999999999</v>
      </c>
      <c r="I29" s="1">
        <v>23</v>
      </c>
      <c r="J29" s="20" t="s">
        <v>33</v>
      </c>
      <c r="K29">
        <f t="shared" si="0"/>
        <v>21.426086956521736</v>
      </c>
    </row>
    <row r="30" spans="1:11" hidden="1" x14ac:dyDescent="0.35">
      <c r="A30" s="7">
        <v>48669</v>
      </c>
      <c r="B30" s="8" t="s">
        <v>21</v>
      </c>
      <c r="C30" s="9">
        <v>29.4</v>
      </c>
      <c r="D30" s="10">
        <v>2.4</v>
      </c>
      <c r="E30" s="18">
        <v>1</v>
      </c>
      <c r="G30" s="20" t="s">
        <v>15</v>
      </c>
      <c r="H30" s="1">
        <v>2550.7000000000007</v>
      </c>
      <c r="I30" s="1">
        <v>127</v>
      </c>
      <c r="J30" s="20" t="s">
        <v>15</v>
      </c>
      <c r="K30">
        <f t="shared" si="0"/>
        <v>20.084251968503942</v>
      </c>
    </row>
    <row r="31" spans="1:11" hidden="1" x14ac:dyDescent="0.35">
      <c r="A31" s="11">
        <v>48670</v>
      </c>
      <c r="B31" s="12" t="s">
        <v>22</v>
      </c>
      <c r="C31" s="13">
        <v>16.8</v>
      </c>
      <c r="D31" s="14">
        <v>2.9</v>
      </c>
      <c r="E31" s="18">
        <v>1</v>
      </c>
      <c r="G31" s="20" t="s">
        <v>12</v>
      </c>
      <c r="H31" s="1">
        <v>1573.1</v>
      </c>
      <c r="I31" s="1">
        <v>76</v>
      </c>
      <c r="J31" s="20" t="s">
        <v>12</v>
      </c>
      <c r="K31">
        <f t="shared" si="0"/>
        <v>20.698684210526313</v>
      </c>
    </row>
    <row r="32" spans="1:11" hidden="1" x14ac:dyDescent="0.35">
      <c r="A32" s="7">
        <v>48671</v>
      </c>
      <c r="B32" s="8" t="s">
        <v>12</v>
      </c>
      <c r="C32" s="9">
        <v>21.4</v>
      </c>
      <c r="D32" s="10">
        <v>6.3</v>
      </c>
      <c r="E32" s="18">
        <v>1</v>
      </c>
      <c r="G32" s="20" t="s">
        <v>25</v>
      </c>
      <c r="H32" s="1">
        <v>521.70000000000005</v>
      </c>
      <c r="I32" s="1">
        <v>26</v>
      </c>
      <c r="J32" s="20" t="s">
        <v>25</v>
      </c>
      <c r="K32">
        <f t="shared" si="0"/>
        <v>20.065384615384616</v>
      </c>
    </row>
    <row r="33" spans="1:11" hidden="1" x14ac:dyDescent="0.35">
      <c r="A33" s="11">
        <v>48672</v>
      </c>
      <c r="B33" s="12" t="s">
        <v>7</v>
      </c>
      <c r="C33" s="13">
        <v>23.9</v>
      </c>
      <c r="D33" s="14">
        <v>0</v>
      </c>
      <c r="E33" s="18">
        <v>1</v>
      </c>
      <c r="G33" s="20" t="s">
        <v>19</v>
      </c>
      <c r="H33" s="1">
        <v>4779.9999999999964</v>
      </c>
      <c r="I33" s="1">
        <v>233</v>
      </c>
      <c r="J33" s="20" t="s">
        <v>19</v>
      </c>
      <c r="K33">
        <f t="shared" si="0"/>
        <v>20.515021459227452</v>
      </c>
    </row>
    <row r="34" spans="1:11" x14ac:dyDescent="0.35">
      <c r="A34" s="7">
        <v>48673</v>
      </c>
      <c r="B34" s="8" t="s">
        <v>12</v>
      </c>
      <c r="C34" s="9">
        <v>26.7</v>
      </c>
      <c r="D34" s="10">
        <v>0</v>
      </c>
      <c r="E34" s="18">
        <v>1</v>
      </c>
      <c r="G34" s="20" t="s">
        <v>28</v>
      </c>
      <c r="H34" s="1">
        <v>249.69999999999996</v>
      </c>
      <c r="I34" s="1">
        <v>14</v>
      </c>
      <c r="J34" s="20" t="s">
        <v>28</v>
      </c>
      <c r="K34">
        <f t="shared" si="0"/>
        <v>17.835714285714282</v>
      </c>
    </row>
    <row r="35" spans="1:11" hidden="1" x14ac:dyDescent="0.35">
      <c r="A35" s="11">
        <v>48674</v>
      </c>
      <c r="B35" s="12" t="s">
        <v>7</v>
      </c>
      <c r="C35" s="13">
        <v>12.4</v>
      </c>
      <c r="D35" s="14">
        <v>0</v>
      </c>
      <c r="E35" s="18">
        <v>1</v>
      </c>
      <c r="G35" s="20" t="s">
        <v>38</v>
      </c>
      <c r="H35" s="1">
        <v>41498.199999999983</v>
      </c>
      <c r="I35" s="1">
        <v>2072</v>
      </c>
      <c r="K35">
        <f t="shared" si="0"/>
        <v>20.028088803088796</v>
      </c>
    </row>
    <row r="36" spans="1:11" x14ac:dyDescent="0.35">
      <c r="A36" s="7">
        <v>48675</v>
      </c>
      <c r="B36" s="8" t="s">
        <v>12</v>
      </c>
      <c r="C36" s="9">
        <v>10.4</v>
      </c>
      <c r="D36" s="10">
        <v>10.7</v>
      </c>
      <c r="E36" s="18">
        <v>1</v>
      </c>
    </row>
    <row r="37" spans="1:11" x14ac:dyDescent="0.35">
      <c r="A37" s="11">
        <v>48676</v>
      </c>
      <c r="B37" s="12" t="s">
        <v>9</v>
      </c>
      <c r="C37" s="13">
        <v>17.899999999999999</v>
      </c>
      <c r="D37" s="14">
        <v>0</v>
      </c>
      <c r="E37" s="18">
        <v>1</v>
      </c>
    </row>
    <row r="38" spans="1:11" x14ac:dyDescent="0.35">
      <c r="A38" s="7">
        <v>48677</v>
      </c>
      <c r="B38" s="8" t="s">
        <v>20</v>
      </c>
      <c r="C38" s="9">
        <v>17.399999999999999</v>
      </c>
      <c r="D38" s="10">
        <v>1.6</v>
      </c>
      <c r="E38" s="18">
        <v>1</v>
      </c>
    </row>
    <row r="39" spans="1:11" x14ac:dyDescent="0.35">
      <c r="A39" s="11">
        <v>48678</v>
      </c>
      <c r="B39" s="12" t="s">
        <v>11</v>
      </c>
      <c r="C39" s="13">
        <v>29.4</v>
      </c>
      <c r="D39" s="14">
        <v>21.7</v>
      </c>
      <c r="E39" s="18">
        <v>1</v>
      </c>
    </row>
    <row r="40" spans="1:11" x14ac:dyDescent="0.35">
      <c r="A40" s="7">
        <v>48679</v>
      </c>
      <c r="B40" s="8" t="s">
        <v>19</v>
      </c>
      <c r="C40" s="9">
        <v>22.9</v>
      </c>
      <c r="D40" s="10">
        <v>26.9</v>
      </c>
      <c r="E40" s="18">
        <v>1</v>
      </c>
    </row>
    <row r="41" spans="1:11" x14ac:dyDescent="0.35">
      <c r="A41" s="11">
        <v>48680</v>
      </c>
      <c r="B41" s="12" t="s">
        <v>19</v>
      </c>
      <c r="C41" s="13">
        <v>18.899999999999999</v>
      </c>
      <c r="D41" s="14">
        <v>11.3</v>
      </c>
      <c r="E41" s="18">
        <v>1</v>
      </c>
    </row>
    <row r="42" spans="1:11" x14ac:dyDescent="0.35">
      <c r="A42" s="7">
        <v>48681</v>
      </c>
      <c r="B42" s="8" t="s">
        <v>5</v>
      </c>
      <c r="C42" s="9">
        <v>23.5</v>
      </c>
      <c r="D42" s="10">
        <v>0</v>
      </c>
      <c r="E42" s="18">
        <v>1</v>
      </c>
    </row>
    <row r="43" spans="1:11" x14ac:dyDescent="0.35">
      <c r="A43" s="11">
        <v>48682</v>
      </c>
      <c r="B43" s="12" t="s">
        <v>18</v>
      </c>
      <c r="C43" s="13">
        <v>13.4</v>
      </c>
      <c r="D43" s="14">
        <v>14.2</v>
      </c>
      <c r="E43" s="18">
        <v>1</v>
      </c>
    </row>
    <row r="44" spans="1:11" x14ac:dyDescent="0.35">
      <c r="A44" s="7">
        <v>48683</v>
      </c>
      <c r="B44" s="8" t="s">
        <v>20</v>
      </c>
      <c r="C44" s="9">
        <v>18.899999999999999</v>
      </c>
      <c r="D44" s="10">
        <v>1.5</v>
      </c>
      <c r="E44" s="18">
        <v>1</v>
      </c>
    </row>
    <row r="45" spans="1:11" x14ac:dyDescent="0.35">
      <c r="A45" s="11">
        <v>48684</v>
      </c>
      <c r="B45" s="12" t="s">
        <v>17</v>
      </c>
      <c r="C45" s="13">
        <v>13.5</v>
      </c>
      <c r="D45" s="14">
        <v>1.4</v>
      </c>
      <c r="E45" s="18">
        <v>1</v>
      </c>
    </row>
    <row r="46" spans="1:11" x14ac:dyDescent="0.35">
      <c r="A46" s="7">
        <v>48685</v>
      </c>
      <c r="B46" s="8" t="s">
        <v>5</v>
      </c>
      <c r="C46" s="9">
        <v>17.7</v>
      </c>
      <c r="D46" s="10">
        <v>5.9</v>
      </c>
      <c r="E46" s="18">
        <v>1</v>
      </c>
    </row>
    <row r="47" spans="1:11" x14ac:dyDescent="0.35">
      <c r="A47" s="11">
        <v>48686</v>
      </c>
      <c r="B47" s="12" t="s">
        <v>11</v>
      </c>
      <c r="C47" s="13">
        <v>24.7</v>
      </c>
      <c r="D47" s="14">
        <v>0</v>
      </c>
      <c r="E47" s="18">
        <v>1</v>
      </c>
    </row>
    <row r="48" spans="1:11" x14ac:dyDescent="0.35">
      <c r="A48" s="7">
        <v>48687</v>
      </c>
      <c r="B48" s="8" t="s">
        <v>18</v>
      </c>
      <c r="C48" s="9">
        <v>25.6</v>
      </c>
      <c r="D48" s="10">
        <v>1.9</v>
      </c>
      <c r="E48" s="18">
        <v>1</v>
      </c>
    </row>
    <row r="49" spans="1:5" x14ac:dyDescent="0.35">
      <c r="A49" s="11">
        <v>48688</v>
      </c>
      <c r="B49" s="12" t="s">
        <v>22</v>
      </c>
      <c r="C49" s="13">
        <v>18.399999999999999</v>
      </c>
      <c r="D49" s="14">
        <v>0</v>
      </c>
      <c r="E49" s="18">
        <v>1</v>
      </c>
    </row>
    <row r="50" spans="1:5" x14ac:dyDescent="0.35">
      <c r="A50" s="7">
        <v>48689</v>
      </c>
      <c r="B50" s="8" t="s">
        <v>23</v>
      </c>
      <c r="C50" s="9">
        <v>27</v>
      </c>
      <c r="D50" s="10">
        <v>0</v>
      </c>
      <c r="E50" s="18">
        <v>1</v>
      </c>
    </row>
    <row r="51" spans="1:5" x14ac:dyDescent="0.35">
      <c r="A51" s="11">
        <v>48690</v>
      </c>
      <c r="B51" s="12" t="s">
        <v>10</v>
      </c>
      <c r="C51" s="13">
        <v>16</v>
      </c>
      <c r="D51" s="14">
        <v>0</v>
      </c>
      <c r="E51" s="18">
        <v>1</v>
      </c>
    </row>
    <row r="52" spans="1:5" x14ac:dyDescent="0.35">
      <c r="A52" s="7">
        <v>48691</v>
      </c>
      <c r="B52" s="8" t="s">
        <v>7</v>
      </c>
      <c r="C52" s="9">
        <v>18.600000000000001</v>
      </c>
      <c r="D52" s="10">
        <v>7.4</v>
      </c>
      <c r="E52" s="18">
        <v>1</v>
      </c>
    </row>
    <row r="53" spans="1:5" x14ac:dyDescent="0.35">
      <c r="A53" s="11">
        <v>48692</v>
      </c>
      <c r="B53" s="12" t="s">
        <v>10</v>
      </c>
      <c r="C53" s="13">
        <v>12.7</v>
      </c>
      <c r="D53" s="14">
        <v>30.8</v>
      </c>
      <c r="E53" s="18">
        <v>1</v>
      </c>
    </row>
    <row r="54" spans="1:5" x14ac:dyDescent="0.35">
      <c r="A54" s="7">
        <v>48693</v>
      </c>
      <c r="B54" s="8" t="s">
        <v>19</v>
      </c>
      <c r="C54" s="9">
        <v>14.5</v>
      </c>
      <c r="D54" s="10">
        <v>0</v>
      </c>
      <c r="E54" s="18">
        <v>1</v>
      </c>
    </row>
    <row r="55" spans="1:5" x14ac:dyDescent="0.35">
      <c r="A55" s="11">
        <v>48694</v>
      </c>
      <c r="B55" s="12" t="s">
        <v>24</v>
      </c>
      <c r="C55" s="13">
        <v>12.2</v>
      </c>
      <c r="D55" s="14">
        <v>3.5</v>
      </c>
      <c r="E55" s="18">
        <v>1</v>
      </c>
    </row>
    <row r="56" spans="1:5" x14ac:dyDescent="0.35">
      <c r="A56" s="7">
        <v>48695</v>
      </c>
      <c r="B56" s="8" t="s">
        <v>25</v>
      </c>
      <c r="C56" s="9">
        <v>19.899999999999999</v>
      </c>
      <c r="D56" s="10">
        <v>0</v>
      </c>
      <c r="E56" s="18">
        <v>1</v>
      </c>
    </row>
    <row r="57" spans="1:5" x14ac:dyDescent="0.35">
      <c r="A57" s="11">
        <v>48696</v>
      </c>
      <c r="B57" s="12" t="s">
        <v>26</v>
      </c>
      <c r="C57" s="13">
        <v>28.1</v>
      </c>
      <c r="D57" s="14">
        <v>5.3</v>
      </c>
      <c r="E57" s="18">
        <v>1</v>
      </c>
    </row>
    <row r="58" spans="1:5" x14ac:dyDescent="0.35">
      <c r="A58" s="7">
        <v>48697</v>
      </c>
      <c r="B58" s="8" t="s">
        <v>10</v>
      </c>
      <c r="C58" s="9">
        <v>27.7</v>
      </c>
      <c r="D58" s="10">
        <v>45.3</v>
      </c>
      <c r="E58" s="18">
        <v>1</v>
      </c>
    </row>
    <row r="59" spans="1:5" x14ac:dyDescent="0.35">
      <c r="A59" s="11">
        <v>48698</v>
      </c>
      <c r="B59" s="12" t="s">
        <v>5</v>
      </c>
      <c r="C59" s="13">
        <v>14.6</v>
      </c>
      <c r="D59" s="14">
        <v>5.2</v>
      </c>
      <c r="E59" s="18">
        <v>1</v>
      </c>
    </row>
    <row r="60" spans="1:5" x14ac:dyDescent="0.35">
      <c r="A60" s="7">
        <v>48699</v>
      </c>
      <c r="B60" s="8" t="s">
        <v>18</v>
      </c>
      <c r="C60" s="9">
        <v>10.8</v>
      </c>
      <c r="D60" s="10">
        <v>0</v>
      </c>
      <c r="E60" s="18">
        <v>1</v>
      </c>
    </row>
    <row r="61" spans="1:5" x14ac:dyDescent="0.35">
      <c r="A61" s="11">
        <v>48700</v>
      </c>
      <c r="B61" s="12" t="s">
        <v>27</v>
      </c>
      <c r="C61" s="13">
        <v>12.4</v>
      </c>
      <c r="D61" s="14">
        <v>3.2</v>
      </c>
      <c r="E61" s="18">
        <v>1</v>
      </c>
    </row>
    <row r="62" spans="1:5" x14ac:dyDescent="0.35">
      <c r="A62" s="7">
        <v>48701</v>
      </c>
      <c r="B62" s="8" t="s">
        <v>10</v>
      </c>
      <c r="C62" s="9">
        <v>25.2</v>
      </c>
      <c r="D62" s="10">
        <v>0</v>
      </c>
      <c r="E62" s="18">
        <v>1</v>
      </c>
    </row>
    <row r="63" spans="1:5" x14ac:dyDescent="0.35">
      <c r="A63" s="11">
        <v>48702</v>
      </c>
      <c r="B63" s="12" t="s">
        <v>10</v>
      </c>
      <c r="C63" s="13">
        <v>28.9</v>
      </c>
      <c r="D63" s="14">
        <v>0</v>
      </c>
      <c r="E63" s="18">
        <v>1</v>
      </c>
    </row>
    <row r="64" spans="1:5" x14ac:dyDescent="0.35">
      <c r="A64" s="7">
        <v>48703</v>
      </c>
      <c r="B64" s="8" t="s">
        <v>19</v>
      </c>
      <c r="C64" s="9">
        <v>13.2</v>
      </c>
      <c r="D64" s="10">
        <v>23.3</v>
      </c>
      <c r="E64" s="18">
        <v>1</v>
      </c>
    </row>
    <row r="65" spans="1:5" x14ac:dyDescent="0.35">
      <c r="A65" s="11">
        <v>48704</v>
      </c>
      <c r="B65" s="12" t="s">
        <v>10</v>
      </c>
      <c r="C65" s="13">
        <v>27.9</v>
      </c>
      <c r="D65" s="14">
        <v>0</v>
      </c>
      <c r="E65" s="18">
        <v>1</v>
      </c>
    </row>
    <row r="66" spans="1:5" x14ac:dyDescent="0.35">
      <c r="A66" s="7">
        <v>48705</v>
      </c>
      <c r="B66" s="8" t="s">
        <v>7</v>
      </c>
      <c r="C66" s="9">
        <v>10.9</v>
      </c>
      <c r="D66" s="10">
        <v>3.5</v>
      </c>
      <c r="E66" s="18">
        <v>1</v>
      </c>
    </row>
    <row r="67" spans="1:5" x14ac:dyDescent="0.35">
      <c r="A67" s="11">
        <v>48706</v>
      </c>
      <c r="B67" s="12" t="s">
        <v>15</v>
      </c>
      <c r="C67" s="13">
        <v>25.5</v>
      </c>
      <c r="D67" s="14">
        <v>20</v>
      </c>
      <c r="E67" s="18">
        <v>1</v>
      </c>
    </row>
    <row r="68" spans="1:5" x14ac:dyDescent="0.35">
      <c r="A68" s="7">
        <v>48707</v>
      </c>
      <c r="B68" s="8" t="s">
        <v>9</v>
      </c>
      <c r="C68" s="9">
        <v>26</v>
      </c>
      <c r="D68" s="10">
        <v>0</v>
      </c>
      <c r="E68" s="18">
        <v>1</v>
      </c>
    </row>
    <row r="69" spans="1:5" x14ac:dyDescent="0.35">
      <c r="A69" s="11">
        <v>48708</v>
      </c>
      <c r="B69" s="12" t="s">
        <v>25</v>
      </c>
      <c r="C69" s="13">
        <v>25.8</v>
      </c>
      <c r="D69" s="14">
        <v>0.1</v>
      </c>
      <c r="E69" s="18">
        <v>1</v>
      </c>
    </row>
    <row r="70" spans="1:5" x14ac:dyDescent="0.35">
      <c r="A70" s="7">
        <v>48709</v>
      </c>
      <c r="B70" s="8" t="s">
        <v>14</v>
      </c>
      <c r="C70" s="9">
        <v>17.5</v>
      </c>
      <c r="D70" s="10">
        <v>0.5</v>
      </c>
      <c r="E70" s="18">
        <v>1</v>
      </c>
    </row>
    <row r="71" spans="1:5" x14ac:dyDescent="0.35">
      <c r="A71" s="11">
        <v>48710</v>
      </c>
      <c r="B71" s="12" t="s">
        <v>10</v>
      </c>
      <c r="C71" s="13">
        <v>17.8</v>
      </c>
      <c r="D71" s="14">
        <v>3.3</v>
      </c>
      <c r="E71" s="18">
        <v>1</v>
      </c>
    </row>
    <row r="72" spans="1:5" x14ac:dyDescent="0.35">
      <c r="A72" s="7">
        <v>48711</v>
      </c>
      <c r="B72" s="8" t="s">
        <v>10</v>
      </c>
      <c r="C72" s="9">
        <v>17.5</v>
      </c>
      <c r="D72" s="10">
        <v>0</v>
      </c>
      <c r="E72" s="18">
        <v>1</v>
      </c>
    </row>
    <row r="73" spans="1:5" x14ac:dyDescent="0.35">
      <c r="A73" s="11">
        <v>48712</v>
      </c>
      <c r="B73" s="12" t="s">
        <v>13</v>
      </c>
      <c r="C73" s="13">
        <v>16.100000000000001</v>
      </c>
      <c r="D73" s="14">
        <v>0</v>
      </c>
      <c r="E73" s="18">
        <v>1</v>
      </c>
    </row>
    <row r="74" spans="1:5" x14ac:dyDescent="0.35">
      <c r="A74" s="7">
        <v>48713</v>
      </c>
      <c r="B74" s="8" t="s">
        <v>5</v>
      </c>
      <c r="C74" s="9">
        <v>11.8</v>
      </c>
      <c r="D74" s="10">
        <v>7</v>
      </c>
      <c r="E74" s="18">
        <v>1</v>
      </c>
    </row>
    <row r="75" spans="1:5" x14ac:dyDescent="0.35">
      <c r="A75" s="11">
        <v>48714</v>
      </c>
      <c r="B75" s="12" t="s">
        <v>15</v>
      </c>
      <c r="C75" s="13">
        <v>26.2</v>
      </c>
      <c r="D75" s="14">
        <v>0</v>
      </c>
      <c r="E75" s="18">
        <v>1</v>
      </c>
    </row>
    <row r="76" spans="1:5" x14ac:dyDescent="0.35">
      <c r="A76" s="7">
        <v>48715</v>
      </c>
      <c r="B76" s="8" t="s">
        <v>6</v>
      </c>
      <c r="C76" s="9">
        <v>28.8</v>
      </c>
      <c r="D76" s="10">
        <v>2.9</v>
      </c>
      <c r="E76" s="18">
        <v>1</v>
      </c>
    </row>
    <row r="77" spans="1:5" x14ac:dyDescent="0.35">
      <c r="A77" s="11">
        <v>48716</v>
      </c>
      <c r="B77" s="12" t="s">
        <v>10</v>
      </c>
      <c r="C77" s="13">
        <v>18.7</v>
      </c>
      <c r="D77" s="14">
        <v>0</v>
      </c>
      <c r="E77" s="18">
        <v>1</v>
      </c>
    </row>
    <row r="78" spans="1:5" x14ac:dyDescent="0.35">
      <c r="A78" s="7">
        <v>48717</v>
      </c>
      <c r="B78" s="8" t="s">
        <v>18</v>
      </c>
      <c r="C78" s="9">
        <v>10.3</v>
      </c>
      <c r="D78" s="10">
        <v>9.1999999999999993</v>
      </c>
      <c r="E78" s="18">
        <v>1</v>
      </c>
    </row>
    <row r="79" spans="1:5" x14ac:dyDescent="0.35">
      <c r="A79" s="11">
        <v>48718</v>
      </c>
      <c r="B79" s="12" t="s">
        <v>6</v>
      </c>
      <c r="C79" s="13">
        <v>29.8</v>
      </c>
      <c r="D79" s="14">
        <v>3.4</v>
      </c>
      <c r="E79" s="18">
        <v>1</v>
      </c>
    </row>
    <row r="80" spans="1:5" x14ac:dyDescent="0.35">
      <c r="A80" s="7">
        <v>48719</v>
      </c>
      <c r="B80" s="8" t="s">
        <v>10</v>
      </c>
      <c r="C80" s="9">
        <v>26.2</v>
      </c>
      <c r="D80" s="10">
        <v>32.299999999999997</v>
      </c>
      <c r="E80" s="18">
        <v>1</v>
      </c>
    </row>
    <row r="81" spans="1:5" x14ac:dyDescent="0.35">
      <c r="A81" s="11">
        <v>48720</v>
      </c>
      <c r="B81" s="12" t="s">
        <v>19</v>
      </c>
      <c r="C81" s="13">
        <v>13.8</v>
      </c>
      <c r="D81" s="14">
        <v>15.9</v>
      </c>
      <c r="E81" s="18">
        <v>1</v>
      </c>
    </row>
    <row r="82" spans="1:5" x14ac:dyDescent="0.35">
      <c r="A82" s="7">
        <v>48721</v>
      </c>
      <c r="B82" s="8" t="s">
        <v>19</v>
      </c>
      <c r="C82" s="9">
        <v>22.4</v>
      </c>
      <c r="D82" s="10">
        <v>24.5</v>
      </c>
      <c r="E82" s="18">
        <v>1</v>
      </c>
    </row>
    <row r="83" spans="1:5" x14ac:dyDescent="0.35">
      <c r="A83" s="11">
        <v>48722</v>
      </c>
      <c r="B83" s="12" t="s">
        <v>19</v>
      </c>
      <c r="C83" s="13">
        <v>24.5</v>
      </c>
      <c r="D83" s="14">
        <v>0.9</v>
      </c>
      <c r="E83" s="18">
        <v>1</v>
      </c>
    </row>
    <row r="84" spans="1:5" x14ac:dyDescent="0.35">
      <c r="A84" s="7">
        <v>48723</v>
      </c>
      <c r="B84" s="8" t="s">
        <v>28</v>
      </c>
      <c r="C84" s="9">
        <v>23.1</v>
      </c>
      <c r="D84" s="10">
        <v>0.3</v>
      </c>
      <c r="E84" s="18">
        <v>1</v>
      </c>
    </row>
    <row r="85" spans="1:5" x14ac:dyDescent="0.35">
      <c r="A85" s="11">
        <v>48724</v>
      </c>
      <c r="B85" s="12" t="s">
        <v>25</v>
      </c>
      <c r="C85" s="13">
        <v>29.8</v>
      </c>
      <c r="D85" s="14">
        <v>0</v>
      </c>
      <c r="E85" s="18">
        <v>1</v>
      </c>
    </row>
    <row r="86" spans="1:5" x14ac:dyDescent="0.35">
      <c r="A86" s="7">
        <v>48725</v>
      </c>
      <c r="B86" s="8" t="s">
        <v>4</v>
      </c>
      <c r="C86" s="9">
        <v>11.2</v>
      </c>
      <c r="D86" s="10">
        <v>0</v>
      </c>
      <c r="E86" s="18">
        <v>1</v>
      </c>
    </row>
    <row r="87" spans="1:5" x14ac:dyDescent="0.35">
      <c r="A87" s="11">
        <v>48726</v>
      </c>
      <c r="B87" s="12" t="s">
        <v>19</v>
      </c>
      <c r="C87" s="13">
        <v>18.7</v>
      </c>
      <c r="D87" s="14">
        <v>0</v>
      </c>
      <c r="E87" s="18">
        <v>1</v>
      </c>
    </row>
    <row r="88" spans="1:5" x14ac:dyDescent="0.35">
      <c r="A88" s="7">
        <v>48727</v>
      </c>
      <c r="B88" s="8" t="s">
        <v>18</v>
      </c>
      <c r="C88" s="9">
        <v>11.4</v>
      </c>
      <c r="D88" s="10">
        <v>8.1</v>
      </c>
      <c r="E88" s="18">
        <v>1</v>
      </c>
    </row>
    <row r="89" spans="1:5" x14ac:dyDescent="0.35">
      <c r="A89" s="11">
        <v>48728</v>
      </c>
      <c r="B89" s="12" t="s">
        <v>13</v>
      </c>
      <c r="C89" s="13">
        <v>21.3</v>
      </c>
      <c r="D89" s="14">
        <v>13.4</v>
      </c>
      <c r="E89" s="18">
        <v>1</v>
      </c>
    </row>
    <row r="90" spans="1:5" x14ac:dyDescent="0.35">
      <c r="A90" s="7">
        <v>48729</v>
      </c>
      <c r="B90" s="8" t="s">
        <v>5</v>
      </c>
      <c r="C90" s="9">
        <v>24.5</v>
      </c>
      <c r="D90" s="10">
        <v>2.6</v>
      </c>
      <c r="E90" s="18">
        <v>1</v>
      </c>
    </row>
    <row r="91" spans="1:5" x14ac:dyDescent="0.35">
      <c r="A91" s="11">
        <v>48730</v>
      </c>
      <c r="B91" s="12" t="s">
        <v>19</v>
      </c>
      <c r="C91" s="13">
        <v>20</v>
      </c>
      <c r="D91" s="14">
        <v>13.2</v>
      </c>
      <c r="E91" s="18">
        <v>1</v>
      </c>
    </row>
    <row r="92" spans="1:5" x14ac:dyDescent="0.35">
      <c r="A92" s="7">
        <v>48731</v>
      </c>
      <c r="B92" s="8" t="s">
        <v>10</v>
      </c>
      <c r="C92" s="9">
        <v>28.4</v>
      </c>
      <c r="D92" s="10">
        <v>12</v>
      </c>
      <c r="E92" s="18">
        <v>1</v>
      </c>
    </row>
    <row r="93" spans="1:5" x14ac:dyDescent="0.35">
      <c r="A93" s="11">
        <v>48732</v>
      </c>
      <c r="B93" s="12" t="s">
        <v>11</v>
      </c>
      <c r="C93" s="13">
        <v>14.8</v>
      </c>
      <c r="D93" s="14">
        <v>10.1</v>
      </c>
      <c r="E93" s="18">
        <v>1</v>
      </c>
    </row>
    <row r="94" spans="1:5" x14ac:dyDescent="0.35">
      <c r="A94" s="7">
        <v>48733</v>
      </c>
      <c r="B94" s="8" t="s">
        <v>29</v>
      </c>
      <c r="C94" s="9">
        <v>27.9</v>
      </c>
      <c r="D94" s="10">
        <v>0.6</v>
      </c>
      <c r="E94" s="18">
        <v>1</v>
      </c>
    </row>
    <row r="95" spans="1:5" x14ac:dyDescent="0.35">
      <c r="A95" s="11">
        <v>48734</v>
      </c>
      <c r="B95" s="12" t="s">
        <v>12</v>
      </c>
      <c r="C95" s="13">
        <v>19.899999999999999</v>
      </c>
      <c r="D95" s="14">
        <v>9.8000000000000007</v>
      </c>
      <c r="E95" s="18">
        <v>1</v>
      </c>
    </row>
    <row r="96" spans="1:5" x14ac:dyDescent="0.35">
      <c r="A96" s="7">
        <v>48735</v>
      </c>
      <c r="B96" s="8" t="s">
        <v>19</v>
      </c>
      <c r="C96" s="9">
        <v>22.5</v>
      </c>
      <c r="D96" s="10">
        <v>0</v>
      </c>
      <c r="E96" s="18">
        <v>1</v>
      </c>
    </row>
    <row r="97" spans="1:5" x14ac:dyDescent="0.35">
      <c r="A97" s="11">
        <v>48736</v>
      </c>
      <c r="B97" s="12" t="s">
        <v>8</v>
      </c>
      <c r="C97" s="13">
        <v>21.6</v>
      </c>
      <c r="D97" s="14">
        <v>4.9000000000000004</v>
      </c>
      <c r="E97" s="18">
        <v>1</v>
      </c>
    </row>
    <row r="98" spans="1:5" x14ac:dyDescent="0.35">
      <c r="A98" s="7">
        <v>48737</v>
      </c>
      <c r="B98" s="8" t="s">
        <v>10</v>
      </c>
      <c r="C98" s="9">
        <v>28.1</v>
      </c>
      <c r="D98" s="10">
        <v>0</v>
      </c>
      <c r="E98" s="18">
        <v>1</v>
      </c>
    </row>
    <row r="99" spans="1:5" x14ac:dyDescent="0.35">
      <c r="A99" s="11">
        <v>48738</v>
      </c>
      <c r="B99" s="12" t="s">
        <v>12</v>
      </c>
      <c r="C99" s="13">
        <v>21.5</v>
      </c>
      <c r="D99" s="14">
        <v>8.6</v>
      </c>
      <c r="E99" s="18">
        <v>1</v>
      </c>
    </row>
    <row r="100" spans="1:5" x14ac:dyDescent="0.35">
      <c r="A100" s="7">
        <v>48739</v>
      </c>
      <c r="B100" s="8" t="s">
        <v>14</v>
      </c>
      <c r="C100" s="9">
        <v>22.7</v>
      </c>
      <c r="D100" s="10">
        <v>0.1</v>
      </c>
      <c r="E100" s="18">
        <v>1</v>
      </c>
    </row>
    <row r="101" spans="1:5" x14ac:dyDescent="0.35">
      <c r="A101" s="11">
        <v>48740</v>
      </c>
      <c r="B101" s="12" t="s">
        <v>10</v>
      </c>
      <c r="C101" s="13">
        <v>27.4</v>
      </c>
      <c r="D101" s="14">
        <v>21.8</v>
      </c>
      <c r="E101" s="18">
        <v>1</v>
      </c>
    </row>
    <row r="102" spans="1:5" x14ac:dyDescent="0.35">
      <c r="A102" s="7">
        <v>48741</v>
      </c>
      <c r="B102" s="8" t="s">
        <v>19</v>
      </c>
      <c r="C102" s="9">
        <v>18.3</v>
      </c>
      <c r="D102" s="10">
        <v>17.3</v>
      </c>
      <c r="E102" s="18">
        <v>1</v>
      </c>
    </row>
    <row r="103" spans="1:5" x14ac:dyDescent="0.35">
      <c r="A103" s="11">
        <v>48742</v>
      </c>
      <c r="B103" s="12" t="s">
        <v>19</v>
      </c>
      <c r="C103" s="13">
        <v>29</v>
      </c>
      <c r="D103" s="14">
        <v>27.3</v>
      </c>
      <c r="E103" s="18">
        <v>1</v>
      </c>
    </row>
    <row r="104" spans="1:5" x14ac:dyDescent="0.35">
      <c r="A104" s="7">
        <v>48743</v>
      </c>
      <c r="B104" s="8" t="s">
        <v>18</v>
      </c>
      <c r="C104" s="9">
        <v>18.100000000000001</v>
      </c>
      <c r="D104" s="10">
        <v>0</v>
      </c>
      <c r="E104" s="18">
        <v>1</v>
      </c>
    </row>
    <row r="105" spans="1:5" x14ac:dyDescent="0.35">
      <c r="A105" s="11">
        <v>48744</v>
      </c>
      <c r="B105" s="12" t="s">
        <v>20</v>
      </c>
      <c r="C105" s="13">
        <v>16.399999999999999</v>
      </c>
      <c r="D105" s="14">
        <v>1.1000000000000001</v>
      </c>
      <c r="E105" s="18">
        <v>1</v>
      </c>
    </row>
    <row r="106" spans="1:5" x14ac:dyDescent="0.35">
      <c r="A106" s="7">
        <v>48745</v>
      </c>
      <c r="B106" s="8" t="s">
        <v>6</v>
      </c>
      <c r="C106" s="9">
        <v>21.8</v>
      </c>
      <c r="D106" s="10">
        <v>0</v>
      </c>
      <c r="E106" s="18">
        <v>1</v>
      </c>
    </row>
    <row r="107" spans="1:5" x14ac:dyDescent="0.35">
      <c r="A107" s="11">
        <v>48746</v>
      </c>
      <c r="B107" s="12" t="s">
        <v>29</v>
      </c>
      <c r="C107" s="13">
        <v>27.2</v>
      </c>
      <c r="D107" s="14">
        <v>0</v>
      </c>
      <c r="E107" s="18">
        <v>1</v>
      </c>
    </row>
    <row r="108" spans="1:5" x14ac:dyDescent="0.35">
      <c r="A108" s="7">
        <v>48747</v>
      </c>
      <c r="B108" s="8" t="s">
        <v>22</v>
      </c>
      <c r="C108" s="9">
        <v>21.2</v>
      </c>
      <c r="D108" s="10">
        <v>0</v>
      </c>
      <c r="E108" s="18">
        <v>1</v>
      </c>
    </row>
    <row r="109" spans="1:5" x14ac:dyDescent="0.35">
      <c r="A109" s="11">
        <v>48748</v>
      </c>
      <c r="B109" s="12" t="s">
        <v>19</v>
      </c>
      <c r="C109" s="13">
        <v>17.7</v>
      </c>
      <c r="D109" s="14">
        <v>13.9</v>
      </c>
      <c r="E109" s="18">
        <v>1</v>
      </c>
    </row>
    <row r="110" spans="1:5" x14ac:dyDescent="0.35">
      <c r="A110" s="7">
        <v>48749</v>
      </c>
      <c r="B110" s="8" t="s">
        <v>22</v>
      </c>
      <c r="C110" s="9">
        <v>10.6</v>
      </c>
      <c r="D110" s="10">
        <v>6.9</v>
      </c>
      <c r="E110" s="18">
        <v>1</v>
      </c>
    </row>
    <row r="111" spans="1:5" x14ac:dyDescent="0.35">
      <c r="A111" s="11">
        <v>48750</v>
      </c>
      <c r="B111" s="12" t="s">
        <v>27</v>
      </c>
      <c r="C111" s="13">
        <v>10.4</v>
      </c>
      <c r="D111" s="14">
        <v>1.1000000000000001</v>
      </c>
      <c r="E111" s="18">
        <v>1</v>
      </c>
    </row>
    <row r="112" spans="1:5" x14ac:dyDescent="0.35">
      <c r="A112" s="7">
        <v>48751</v>
      </c>
      <c r="B112" s="8" t="s">
        <v>10</v>
      </c>
      <c r="C112" s="9">
        <v>15.8</v>
      </c>
      <c r="D112" s="10">
        <v>7.1</v>
      </c>
      <c r="E112" s="18">
        <v>1</v>
      </c>
    </row>
    <row r="113" spans="1:5" x14ac:dyDescent="0.35">
      <c r="A113" s="11">
        <v>48752</v>
      </c>
      <c r="B113" s="12" t="s">
        <v>9</v>
      </c>
      <c r="C113" s="13">
        <v>19.899999999999999</v>
      </c>
      <c r="D113" s="14">
        <v>10.8</v>
      </c>
      <c r="E113" s="18">
        <v>1</v>
      </c>
    </row>
    <row r="114" spans="1:5" x14ac:dyDescent="0.35">
      <c r="A114" s="7">
        <v>48753</v>
      </c>
      <c r="B114" s="8" t="s">
        <v>11</v>
      </c>
      <c r="C114" s="9">
        <v>13</v>
      </c>
      <c r="D114" s="10">
        <v>0</v>
      </c>
      <c r="E114" s="18">
        <v>1</v>
      </c>
    </row>
    <row r="115" spans="1:5" x14ac:dyDescent="0.35">
      <c r="A115" s="11">
        <v>48754</v>
      </c>
      <c r="B115" s="12" t="s">
        <v>7</v>
      </c>
      <c r="C115" s="13">
        <v>28.1</v>
      </c>
      <c r="D115" s="14">
        <v>15</v>
      </c>
      <c r="E115" s="18">
        <v>1</v>
      </c>
    </row>
    <row r="116" spans="1:5" x14ac:dyDescent="0.35">
      <c r="A116" s="7">
        <v>48755</v>
      </c>
      <c r="B116" s="8" t="s">
        <v>12</v>
      </c>
      <c r="C116" s="9">
        <v>22.5</v>
      </c>
      <c r="D116" s="10">
        <v>8.6</v>
      </c>
      <c r="E116" s="18">
        <v>1</v>
      </c>
    </row>
    <row r="117" spans="1:5" x14ac:dyDescent="0.35">
      <c r="A117" s="11">
        <v>48756</v>
      </c>
      <c r="B117" s="12" t="s">
        <v>19</v>
      </c>
      <c r="C117" s="13">
        <v>14</v>
      </c>
      <c r="D117" s="14">
        <v>36.1</v>
      </c>
      <c r="E117" s="18">
        <v>1</v>
      </c>
    </row>
    <row r="118" spans="1:5" x14ac:dyDescent="0.35">
      <c r="A118" s="7">
        <v>48757</v>
      </c>
      <c r="B118" s="8" t="s">
        <v>10</v>
      </c>
      <c r="C118" s="9">
        <v>10.6</v>
      </c>
      <c r="D118" s="10">
        <v>18.399999999999999</v>
      </c>
      <c r="E118" s="18">
        <v>1</v>
      </c>
    </row>
    <row r="119" spans="1:5" x14ac:dyDescent="0.35">
      <c r="A119" s="11">
        <v>48758</v>
      </c>
      <c r="B119" s="12" t="s">
        <v>23</v>
      </c>
      <c r="C119" s="13">
        <v>22.3</v>
      </c>
      <c r="D119" s="14">
        <v>0</v>
      </c>
      <c r="E119" s="18">
        <v>1</v>
      </c>
    </row>
    <row r="120" spans="1:5" x14ac:dyDescent="0.35">
      <c r="A120" s="7">
        <v>48759</v>
      </c>
      <c r="B120" s="8" t="s">
        <v>19</v>
      </c>
      <c r="C120" s="9">
        <v>14.5</v>
      </c>
      <c r="D120" s="10">
        <v>26</v>
      </c>
      <c r="E120" s="18">
        <v>1</v>
      </c>
    </row>
    <row r="121" spans="1:5" x14ac:dyDescent="0.35">
      <c r="A121" s="11">
        <v>48760</v>
      </c>
      <c r="B121" s="12" t="s">
        <v>5</v>
      </c>
      <c r="C121" s="13">
        <v>21</v>
      </c>
      <c r="D121" s="14">
        <v>1.7</v>
      </c>
      <c r="E121" s="18">
        <v>1</v>
      </c>
    </row>
    <row r="122" spans="1:5" x14ac:dyDescent="0.35">
      <c r="A122" s="7">
        <v>48761</v>
      </c>
      <c r="B122" s="8" t="s">
        <v>4</v>
      </c>
      <c r="C122" s="9">
        <v>17.7</v>
      </c>
      <c r="D122" s="10">
        <v>0.4</v>
      </c>
      <c r="E122" s="18">
        <v>1</v>
      </c>
    </row>
    <row r="123" spans="1:5" x14ac:dyDescent="0.35">
      <c r="A123" s="11">
        <v>48762</v>
      </c>
      <c r="B123" s="12" t="s">
        <v>7</v>
      </c>
      <c r="C123" s="13">
        <v>24.3</v>
      </c>
      <c r="D123" s="14">
        <v>9.6999999999999993</v>
      </c>
      <c r="E123" s="18">
        <v>1</v>
      </c>
    </row>
    <row r="124" spans="1:5" x14ac:dyDescent="0.35">
      <c r="A124" s="7">
        <v>48763</v>
      </c>
      <c r="B124" s="8" t="s">
        <v>15</v>
      </c>
      <c r="C124" s="9">
        <v>18.8</v>
      </c>
      <c r="D124" s="10">
        <v>6.4</v>
      </c>
      <c r="E124" s="18">
        <v>1</v>
      </c>
    </row>
    <row r="125" spans="1:5" x14ac:dyDescent="0.35">
      <c r="A125" s="11">
        <v>48764</v>
      </c>
      <c r="B125" s="12" t="s">
        <v>13</v>
      </c>
      <c r="C125" s="13">
        <v>15.9</v>
      </c>
      <c r="D125" s="14">
        <v>5.2</v>
      </c>
      <c r="E125" s="18">
        <v>1</v>
      </c>
    </row>
    <row r="126" spans="1:5" x14ac:dyDescent="0.35">
      <c r="A126" s="7">
        <v>48765</v>
      </c>
      <c r="B126" s="8" t="s">
        <v>7</v>
      </c>
      <c r="C126" s="9">
        <v>26.1</v>
      </c>
      <c r="D126" s="10">
        <v>0</v>
      </c>
      <c r="E126" s="18">
        <v>1</v>
      </c>
    </row>
    <row r="127" spans="1:5" x14ac:dyDescent="0.35">
      <c r="A127" s="11">
        <v>48766</v>
      </c>
      <c r="B127" s="12" t="s">
        <v>19</v>
      </c>
      <c r="C127" s="13">
        <v>29.4</v>
      </c>
      <c r="D127" s="14">
        <v>8.8000000000000007</v>
      </c>
      <c r="E127" s="18">
        <v>1</v>
      </c>
    </row>
    <row r="128" spans="1:5" x14ac:dyDescent="0.35">
      <c r="A128" s="7">
        <v>48767</v>
      </c>
      <c r="B128" s="8" t="s">
        <v>13</v>
      </c>
      <c r="C128" s="9">
        <v>10.5</v>
      </c>
      <c r="D128" s="10">
        <v>14.5</v>
      </c>
      <c r="E128" s="18">
        <v>1</v>
      </c>
    </row>
    <row r="129" spans="1:5" x14ac:dyDescent="0.35">
      <c r="A129" s="11">
        <v>48768</v>
      </c>
      <c r="B129" s="12" t="s">
        <v>30</v>
      </c>
      <c r="C129" s="13">
        <v>18.100000000000001</v>
      </c>
      <c r="D129" s="14">
        <v>0</v>
      </c>
      <c r="E129" s="18">
        <v>1</v>
      </c>
    </row>
    <row r="130" spans="1:5" x14ac:dyDescent="0.35">
      <c r="A130" s="7">
        <v>48769</v>
      </c>
      <c r="B130" s="8" t="s">
        <v>15</v>
      </c>
      <c r="C130" s="9">
        <v>20.6</v>
      </c>
      <c r="D130" s="10">
        <v>0</v>
      </c>
      <c r="E130" s="18">
        <v>1</v>
      </c>
    </row>
    <row r="131" spans="1:5" x14ac:dyDescent="0.35">
      <c r="A131" s="11">
        <v>48770</v>
      </c>
      <c r="B131" s="12" t="s">
        <v>15</v>
      </c>
      <c r="C131" s="13">
        <v>17.100000000000001</v>
      </c>
      <c r="D131" s="14">
        <v>0</v>
      </c>
      <c r="E131" s="18">
        <v>1</v>
      </c>
    </row>
    <row r="132" spans="1:5" x14ac:dyDescent="0.35">
      <c r="A132" s="7">
        <v>48771</v>
      </c>
      <c r="B132" s="8" t="s">
        <v>22</v>
      </c>
      <c r="C132" s="9">
        <v>17</v>
      </c>
      <c r="D132" s="10">
        <v>0.3</v>
      </c>
      <c r="E132" s="18">
        <v>1</v>
      </c>
    </row>
    <row r="133" spans="1:5" x14ac:dyDescent="0.35">
      <c r="A133" s="11">
        <v>48772</v>
      </c>
      <c r="B133" s="12" t="s">
        <v>23</v>
      </c>
      <c r="C133" s="13">
        <v>14.7</v>
      </c>
      <c r="D133" s="14">
        <v>2.2999999999999998</v>
      </c>
      <c r="E133" s="18">
        <v>1</v>
      </c>
    </row>
    <row r="134" spans="1:5" x14ac:dyDescent="0.35">
      <c r="A134" s="7">
        <v>48773</v>
      </c>
      <c r="B134" s="8" t="s">
        <v>15</v>
      </c>
      <c r="C134" s="9">
        <v>21.7</v>
      </c>
      <c r="D134" s="10">
        <v>0</v>
      </c>
      <c r="E134" s="18">
        <v>1</v>
      </c>
    </row>
    <row r="135" spans="1:5" x14ac:dyDescent="0.35">
      <c r="A135" s="11">
        <v>48774</v>
      </c>
      <c r="B135" s="12" t="s">
        <v>16</v>
      </c>
      <c r="C135" s="13">
        <v>12.5</v>
      </c>
      <c r="D135" s="14">
        <v>0</v>
      </c>
      <c r="E135" s="18">
        <v>1</v>
      </c>
    </row>
    <row r="136" spans="1:5" x14ac:dyDescent="0.35">
      <c r="A136" s="7">
        <v>48775</v>
      </c>
      <c r="B136" s="8" t="s">
        <v>8</v>
      </c>
      <c r="C136" s="9">
        <v>17.8</v>
      </c>
      <c r="D136" s="10">
        <v>4.0999999999999996</v>
      </c>
      <c r="E136" s="18">
        <v>1</v>
      </c>
    </row>
    <row r="137" spans="1:5" x14ac:dyDescent="0.35">
      <c r="A137" s="11">
        <v>48776</v>
      </c>
      <c r="B137" s="12" t="s">
        <v>10</v>
      </c>
      <c r="C137" s="13">
        <v>28.9</v>
      </c>
      <c r="D137" s="14">
        <v>38.700000000000003</v>
      </c>
      <c r="E137" s="18">
        <v>1</v>
      </c>
    </row>
    <row r="138" spans="1:5" x14ac:dyDescent="0.35">
      <c r="A138" s="7">
        <v>48777</v>
      </c>
      <c r="B138" s="8" t="s">
        <v>11</v>
      </c>
      <c r="C138" s="9">
        <v>21</v>
      </c>
      <c r="D138" s="10">
        <v>3.5</v>
      </c>
      <c r="E138" s="18">
        <v>1</v>
      </c>
    </row>
    <row r="139" spans="1:5" x14ac:dyDescent="0.35">
      <c r="A139" s="11">
        <v>48778</v>
      </c>
      <c r="B139" s="12" t="s">
        <v>21</v>
      </c>
      <c r="C139" s="13">
        <v>13</v>
      </c>
      <c r="D139" s="14">
        <v>0.1</v>
      </c>
      <c r="E139" s="18">
        <v>1</v>
      </c>
    </row>
    <row r="140" spans="1:5" x14ac:dyDescent="0.35">
      <c r="A140" s="7">
        <v>48779</v>
      </c>
      <c r="B140" s="8" t="s">
        <v>10</v>
      </c>
      <c r="C140" s="9">
        <v>23.1</v>
      </c>
      <c r="D140" s="10">
        <v>0</v>
      </c>
      <c r="E140" s="18">
        <v>1</v>
      </c>
    </row>
    <row r="141" spans="1:5" x14ac:dyDescent="0.35">
      <c r="A141" s="11">
        <v>48780</v>
      </c>
      <c r="B141" s="12" t="s">
        <v>15</v>
      </c>
      <c r="C141" s="13">
        <v>28.5</v>
      </c>
      <c r="D141" s="14">
        <v>0</v>
      </c>
      <c r="E141" s="18">
        <v>1</v>
      </c>
    </row>
    <row r="142" spans="1:5" x14ac:dyDescent="0.35">
      <c r="A142" s="7">
        <v>48781</v>
      </c>
      <c r="B142" s="8" t="s">
        <v>15</v>
      </c>
      <c r="C142" s="9">
        <v>12.8</v>
      </c>
      <c r="D142" s="10">
        <v>0</v>
      </c>
      <c r="E142" s="18">
        <v>1</v>
      </c>
    </row>
    <row r="143" spans="1:5" x14ac:dyDescent="0.35">
      <c r="A143" s="11">
        <v>48782</v>
      </c>
      <c r="B143" s="12" t="s">
        <v>31</v>
      </c>
      <c r="C143" s="13">
        <v>26.8</v>
      </c>
      <c r="D143" s="14">
        <v>0</v>
      </c>
      <c r="E143" s="18">
        <v>1</v>
      </c>
    </row>
    <row r="144" spans="1:5" x14ac:dyDescent="0.35">
      <c r="A144" s="7">
        <v>48783</v>
      </c>
      <c r="B144" s="8" t="s">
        <v>10</v>
      </c>
      <c r="C144" s="9">
        <v>15.1</v>
      </c>
      <c r="D144" s="10">
        <v>24.8</v>
      </c>
      <c r="E144" s="18">
        <v>1</v>
      </c>
    </row>
    <row r="145" spans="1:5" x14ac:dyDescent="0.35">
      <c r="A145" s="11">
        <v>48784</v>
      </c>
      <c r="B145" s="12" t="s">
        <v>18</v>
      </c>
      <c r="C145" s="13">
        <v>14.4</v>
      </c>
      <c r="D145" s="14">
        <v>13.5</v>
      </c>
      <c r="E145" s="18">
        <v>1</v>
      </c>
    </row>
    <row r="146" spans="1:5" x14ac:dyDescent="0.35">
      <c r="A146" s="7">
        <v>48785</v>
      </c>
      <c r="B146" s="8" t="s">
        <v>11</v>
      </c>
      <c r="C146" s="9">
        <v>29.2</v>
      </c>
      <c r="D146" s="10">
        <v>15.7</v>
      </c>
      <c r="E146" s="18">
        <v>1</v>
      </c>
    </row>
    <row r="147" spans="1:5" x14ac:dyDescent="0.35">
      <c r="A147" s="11">
        <v>48786</v>
      </c>
      <c r="B147" s="12" t="s">
        <v>10</v>
      </c>
      <c r="C147" s="13">
        <v>28.9</v>
      </c>
      <c r="D147" s="14">
        <v>47.2</v>
      </c>
      <c r="E147" s="18">
        <v>1</v>
      </c>
    </row>
    <row r="148" spans="1:5" x14ac:dyDescent="0.35">
      <c r="A148" s="7">
        <v>48787</v>
      </c>
      <c r="B148" s="8" t="s">
        <v>20</v>
      </c>
      <c r="C148" s="9">
        <v>18.399999999999999</v>
      </c>
      <c r="D148" s="10">
        <v>3.9</v>
      </c>
      <c r="E148" s="18">
        <v>1</v>
      </c>
    </row>
    <row r="149" spans="1:5" x14ac:dyDescent="0.35">
      <c r="A149" s="11">
        <v>48788</v>
      </c>
      <c r="B149" s="12" t="s">
        <v>17</v>
      </c>
      <c r="C149" s="13">
        <v>26.2</v>
      </c>
      <c r="D149" s="14">
        <v>4</v>
      </c>
      <c r="E149" s="18">
        <v>1</v>
      </c>
    </row>
    <row r="150" spans="1:5" x14ac:dyDescent="0.35">
      <c r="A150" s="7">
        <v>48789</v>
      </c>
      <c r="B150" s="8" t="s">
        <v>10</v>
      </c>
      <c r="C150" s="9">
        <v>14.3</v>
      </c>
      <c r="D150" s="10">
        <v>45.1</v>
      </c>
      <c r="E150" s="18">
        <v>1</v>
      </c>
    </row>
    <row r="151" spans="1:5" x14ac:dyDescent="0.35">
      <c r="A151" s="11">
        <v>48790</v>
      </c>
      <c r="B151" s="12" t="s">
        <v>7</v>
      </c>
      <c r="C151" s="13">
        <v>14.5</v>
      </c>
      <c r="D151" s="14">
        <v>0</v>
      </c>
      <c r="E151" s="18">
        <v>1</v>
      </c>
    </row>
    <row r="152" spans="1:5" x14ac:dyDescent="0.35">
      <c r="A152" s="7">
        <v>48791</v>
      </c>
      <c r="B152" s="8" t="s">
        <v>10</v>
      </c>
      <c r="C152" s="9">
        <v>18.600000000000001</v>
      </c>
      <c r="D152" s="10">
        <v>5.5</v>
      </c>
      <c r="E152" s="18">
        <v>1</v>
      </c>
    </row>
    <row r="153" spans="1:5" x14ac:dyDescent="0.35">
      <c r="A153" s="11">
        <v>48792</v>
      </c>
      <c r="B153" s="12" t="s">
        <v>7</v>
      </c>
      <c r="C153" s="13">
        <v>26.3</v>
      </c>
      <c r="D153" s="14">
        <v>14.5</v>
      </c>
      <c r="E153" s="18">
        <v>1</v>
      </c>
    </row>
    <row r="154" spans="1:5" x14ac:dyDescent="0.35">
      <c r="A154" s="7">
        <v>48793</v>
      </c>
      <c r="B154" s="8" t="s">
        <v>32</v>
      </c>
      <c r="C154" s="9">
        <v>25.9</v>
      </c>
      <c r="D154" s="10">
        <v>0.7</v>
      </c>
      <c r="E154" s="18">
        <v>1</v>
      </c>
    </row>
    <row r="155" spans="1:5" x14ac:dyDescent="0.35">
      <c r="A155" s="11">
        <v>48794</v>
      </c>
      <c r="B155" s="12" t="s">
        <v>12</v>
      </c>
      <c r="C155" s="13">
        <v>29.8</v>
      </c>
      <c r="D155" s="14">
        <v>0</v>
      </c>
      <c r="E155" s="18">
        <v>1</v>
      </c>
    </row>
    <row r="156" spans="1:5" x14ac:dyDescent="0.35">
      <c r="A156" s="7">
        <v>48795</v>
      </c>
      <c r="B156" s="8" t="s">
        <v>10</v>
      </c>
      <c r="C156" s="9">
        <v>18.3</v>
      </c>
      <c r="D156" s="10">
        <v>18.7</v>
      </c>
      <c r="E156" s="18">
        <v>1</v>
      </c>
    </row>
    <row r="157" spans="1:5" x14ac:dyDescent="0.35">
      <c r="A157" s="11">
        <v>48796</v>
      </c>
      <c r="B157" s="12" t="s">
        <v>12</v>
      </c>
      <c r="C157" s="13">
        <v>24.5</v>
      </c>
      <c r="D157" s="14">
        <v>6.7</v>
      </c>
      <c r="E157" s="18">
        <v>1</v>
      </c>
    </row>
    <row r="158" spans="1:5" x14ac:dyDescent="0.35">
      <c r="A158" s="7">
        <v>48797</v>
      </c>
      <c r="B158" s="8" t="s">
        <v>19</v>
      </c>
      <c r="C158" s="9">
        <v>18.7</v>
      </c>
      <c r="D158" s="10">
        <v>0</v>
      </c>
      <c r="E158" s="18">
        <v>1</v>
      </c>
    </row>
    <row r="159" spans="1:5" x14ac:dyDescent="0.35">
      <c r="A159" s="11">
        <v>48798</v>
      </c>
      <c r="B159" s="12" t="s">
        <v>19</v>
      </c>
      <c r="C159" s="13">
        <v>29.2</v>
      </c>
      <c r="D159" s="14">
        <v>34.9</v>
      </c>
      <c r="E159" s="18">
        <v>1</v>
      </c>
    </row>
    <row r="160" spans="1:5" x14ac:dyDescent="0.35">
      <c r="A160" s="7">
        <v>48799</v>
      </c>
      <c r="B160" s="8" t="s">
        <v>9</v>
      </c>
      <c r="C160" s="9">
        <v>21.4</v>
      </c>
      <c r="D160" s="10">
        <v>10.7</v>
      </c>
      <c r="E160" s="18">
        <v>1</v>
      </c>
    </row>
    <row r="161" spans="1:5" x14ac:dyDescent="0.35">
      <c r="A161" s="11">
        <v>48800</v>
      </c>
      <c r="B161" s="12" t="s">
        <v>15</v>
      </c>
      <c r="C161" s="13">
        <v>25.6</v>
      </c>
      <c r="D161" s="14">
        <v>3.1</v>
      </c>
      <c r="E161" s="18">
        <v>1</v>
      </c>
    </row>
    <row r="162" spans="1:5" x14ac:dyDescent="0.35">
      <c r="A162" s="7">
        <v>48801</v>
      </c>
      <c r="B162" s="8" t="s">
        <v>15</v>
      </c>
      <c r="C162" s="9">
        <v>15.7</v>
      </c>
      <c r="D162" s="10">
        <v>5.0999999999999996</v>
      </c>
      <c r="E162" s="18">
        <v>1</v>
      </c>
    </row>
    <row r="163" spans="1:5" x14ac:dyDescent="0.35">
      <c r="A163" s="11">
        <v>48802</v>
      </c>
      <c r="B163" s="12" t="s">
        <v>6</v>
      </c>
      <c r="C163" s="13">
        <v>27.3</v>
      </c>
      <c r="D163" s="14">
        <v>11</v>
      </c>
      <c r="E163" s="18">
        <v>1</v>
      </c>
    </row>
    <row r="164" spans="1:5" x14ac:dyDescent="0.35">
      <c r="A164" s="7">
        <v>48803</v>
      </c>
      <c r="B164" s="8" t="s">
        <v>25</v>
      </c>
      <c r="C164" s="9">
        <v>28.4</v>
      </c>
      <c r="D164" s="10">
        <v>2.7</v>
      </c>
      <c r="E164" s="18">
        <v>1</v>
      </c>
    </row>
    <row r="165" spans="1:5" x14ac:dyDescent="0.35">
      <c r="A165" s="11">
        <v>48804</v>
      </c>
      <c r="B165" s="12" t="s">
        <v>11</v>
      </c>
      <c r="C165" s="13">
        <v>22</v>
      </c>
      <c r="D165" s="14">
        <v>3.3</v>
      </c>
      <c r="E165" s="18">
        <v>1</v>
      </c>
    </row>
    <row r="166" spans="1:5" x14ac:dyDescent="0.35">
      <c r="A166" s="7">
        <v>48805</v>
      </c>
      <c r="B166" s="8" t="s">
        <v>8</v>
      </c>
      <c r="C166" s="9">
        <v>19.399999999999999</v>
      </c>
      <c r="D166" s="10">
        <v>0</v>
      </c>
      <c r="E166" s="18">
        <v>1</v>
      </c>
    </row>
    <row r="167" spans="1:5" x14ac:dyDescent="0.35">
      <c r="A167" s="11">
        <v>48806</v>
      </c>
      <c r="B167" s="12" t="s">
        <v>15</v>
      </c>
      <c r="C167" s="13">
        <v>22.7</v>
      </c>
      <c r="D167" s="14">
        <v>14.8</v>
      </c>
      <c r="E167" s="18">
        <v>1</v>
      </c>
    </row>
    <row r="168" spans="1:5" x14ac:dyDescent="0.35">
      <c r="A168" s="7">
        <v>48807</v>
      </c>
      <c r="B168" s="8" t="s">
        <v>7</v>
      </c>
      <c r="C168" s="9">
        <v>22.6</v>
      </c>
      <c r="D168" s="10">
        <v>16.5</v>
      </c>
      <c r="E168" s="18">
        <v>1</v>
      </c>
    </row>
    <row r="169" spans="1:5" x14ac:dyDescent="0.35">
      <c r="A169" s="11">
        <v>48808</v>
      </c>
      <c r="B169" s="12" t="s">
        <v>17</v>
      </c>
      <c r="C169" s="13">
        <v>26.1</v>
      </c>
      <c r="D169" s="14">
        <v>0</v>
      </c>
      <c r="E169" s="18">
        <v>1</v>
      </c>
    </row>
    <row r="170" spans="1:5" x14ac:dyDescent="0.35">
      <c r="A170" s="7">
        <v>48809</v>
      </c>
      <c r="B170" s="8" t="s">
        <v>15</v>
      </c>
      <c r="C170" s="9">
        <v>27.6</v>
      </c>
      <c r="D170" s="10">
        <v>6.7</v>
      </c>
      <c r="E170" s="18">
        <v>1</v>
      </c>
    </row>
    <row r="171" spans="1:5" x14ac:dyDescent="0.35">
      <c r="A171" s="11">
        <v>48810</v>
      </c>
      <c r="B171" s="12" t="s">
        <v>12</v>
      </c>
      <c r="C171" s="13">
        <v>13.2</v>
      </c>
      <c r="D171" s="14">
        <v>0</v>
      </c>
      <c r="E171" s="18">
        <v>1</v>
      </c>
    </row>
    <row r="172" spans="1:5" x14ac:dyDescent="0.35">
      <c r="A172" s="7">
        <v>48811</v>
      </c>
      <c r="B172" s="8" t="s">
        <v>21</v>
      </c>
      <c r="C172" s="9">
        <v>22</v>
      </c>
      <c r="D172" s="10">
        <v>0</v>
      </c>
      <c r="E172" s="18">
        <v>1</v>
      </c>
    </row>
    <row r="173" spans="1:5" x14ac:dyDescent="0.35">
      <c r="A173" s="11">
        <v>48812</v>
      </c>
      <c r="B173" s="12" t="s">
        <v>9</v>
      </c>
      <c r="C173" s="13">
        <v>10.8</v>
      </c>
      <c r="D173" s="14">
        <v>7.6</v>
      </c>
      <c r="E173" s="18">
        <v>1</v>
      </c>
    </row>
    <row r="174" spans="1:5" x14ac:dyDescent="0.35">
      <c r="A174" s="7">
        <v>48813</v>
      </c>
      <c r="B174" s="8" t="s">
        <v>10</v>
      </c>
      <c r="C174" s="9">
        <v>15.6</v>
      </c>
      <c r="D174" s="10">
        <v>38.4</v>
      </c>
      <c r="E174" s="18">
        <v>1</v>
      </c>
    </row>
    <row r="175" spans="1:5" x14ac:dyDescent="0.35">
      <c r="A175" s="11">
        <v>48814</v>
      </c>
      <c r="B175" s="12" t="s">
        <v>26</v>
      </c>
      <c r="C175" s="13">
        <v>11.7</v>
      </c>
      <c r="D175" s="14">
        <v>0.5</v>
      </c>
      <c r="E175" s="18">
        <v>1</v>
      </c>
    </row>
    <row r="176" spans="1:5" x14ac:dyDescent="0.35">
      <c r="A176" s="7">
        <v>48815</v>
      </c>
      <c r="B176" s="8" t="s">
        <v>10</v>
      </c>
      <c r="C176" s="9">
        <v>27.2</v>
      </c>
      <c r="D176" s="10">
        <v>8.3000000000000007</v>
      </c>
      <c r="E176" s="18">
        <v>1</v>
      </c>
    </row>
    <row r="177" spans="1:5" x14ac:dyDescent="0.35">
      <c r="A177" s="11">
        <v>48816</v>
      </c>
      <c r="B177" s="12" t="s">
        <v>10</v>
      </c>
      <c r="C177" s="13">
        <v>24.7</v>
      </c>
      <c r="D177" s="14">
        <v>28.9</v>
      </c>
      <c r="E177" s="18">
        <v>1</v>
      </c>
    </row>
    <row r="178" spans="1:5" x14ac:dyDescent="0.35">
      <c r="A178" s="7">
        <v>48817</v>
      </c>
      <c r="B178" s="8" t="s">
        <v>11</v>
      </c>
      <c r="C178" s="9">
        <v>18.2</v>
      </c>
      <c r="D178" s="10">
        <v>12.5</v>
      </c>
      <c r="E178" s="18">
        <v>1</v>
      </c>
    </row>
    <row r="179" spans="1:5" x14ac:dyDescent="0.35">
      <c r="A179" s="11">
        <v>48818</v>
      </c>
      <c r="B179" s="12" t="s">
        <v>11</v>
      </c>
      <c r="C179" s="13">
        <v>14.6</v>
      </c>
      <c r="D179" s="14">
        <v>17.899999999999999</v>
      </c>
      <c r="E179" s="18">
        <v>1</v>
      </c>
    </row>
    <row r="180" spans="1:5" x14ac:dyDescent="0.35">
      <c r="A180" s="7">
        <v>48819</v>
      </c>
      <c r="B180" s="8" t="s">
        <v>11</v>
      </c>
      <c r="C180" s="9">
        <v>16.5</v>
      </c>
      <c r="D180" s="10">
        <v>13.9</v>
      </c>
      <c r="E180" s="18">
        <v>1</v>
      </c>
    </row>
    <row r="181" spans="1:5" x14ac:dyDescent="0.35">
      <c r="A181" s="11">
        <v>48820</v>
      </c>
      <c r="B181" s="12" t="s">
        <v>18</v>
      </c>
      <c r="C181" s="13">
        <v>29.4</v>
      </c>
      <c r="D181" s="14">
        <v>0</v>
      </c>
      <c r="E181" s="18">
        <v>1</v>
      </c>
    </row>
    <row r="182" spans="1:5" x14ac:dyDescent="0.35">
      <c r="A182" s="7">
        <v>48821</v>
      </c>
      <c r="B182" s="8" t="s">
        <v>10</v>
      </c>
      <c r="C182" s="9">
        <v>17.899999999999999</v>
      </c>
      <c r="D182" s="10">
        <v>0</v>
      </c>
      <c r="E182" s="18">
        <v>1</v>
      </c>
    </row>
    <row r="183" spans="1:5" x14ac:dyDescent="0.35">
      <c r="A183" s="11">
        <v>48822</v>
      </c>
      <c r="B183" s="12" t="s">
        <v>17</v>
      </c>
      <c r="C183" s="13">
        <v>29.8</v>
      </c>
      <c r="D183" s="14">
        <v>0</v>
      </c>
      <c r="E183" s="18">
        <v>1</v>
      </c>
    </row>
    <row r="184" spans="1:5" x14ac:dyDescent="0.35">
      <c r="A184" s="7">
        <v>48823</v>
      </c>
      <c r="B184" s="8" t="s">
        <v>4</v>
      </c>
      <c r="C184" s="9">
        <v>18.7</v>
      </c>
      <c r="D184" s="10">
        <v>0</v>
      </c>
      <c r="E184" s="18">
        <v>1</v>
      </c>
    </row>
    <row r="185" spans="1:5" x14ac:dyDescent="0.35">
      <c r="A185" s="11">
        <v>48824</v>
      </c>
      <c r="B185" s="12" t="s">
        <v>12</v>
      </c>
      <c r="C185" s="13">
        <v>24.3</v>
      </c>
      <c r="D185" s="14">
        <v>7.8</v>
      </c>
      <c r="E185" s="18">
        <v>1</v>
      </c>
    </row>
    <row r="186" spans="1:5" x14ac:dyDescent="0.35">
      <c r="A186" s="7">
        <v>48825</v>
      </c>
      <c r="B186" s="8" t="s">
        <v>13</v>
      </c>
      <c r="C186" s="9">
        <v>29.3</v>
      </c>
      <c r="D186" s="10">
        <v>4.5999999999999996</v>
      </c>
      <c r="E186" s="18">
        <v>1</v>
      </c>
    </row>
    <row r="187" spans="1:5" x14ac:dyDescent="0.35">
      <c r="A187" s="11">
        <v>48826</v>
      </c>
      <c r="B187" s="12" t="s">
        <v>7</v>
      </c>
      <c r="C187" s="13">
        <v>18.399999999999999</v>
      </c>
      <c r="D187" s="14">
        <v>0</v>
      </c>
      <c r="E187" s="18">
        <v>1</v>
      </c>
    </row>
    <row r="188" spans="1:5" x14ac:dyDescent="0.35">
      <c r="A188" s="7">
        <v>48827</v>
      </c>
      <c r="B188" s="8" t="s">
        <v>7</v>
      </c>
      <c r="C188" s="9">
        <v>10.3</v>
      </c>
      <c r="D188" s="10">
        <v>16</v>
      </c>
      <c r="E188" s="18">
        <v>1</v>
      </c>
    </row>
    <row r="189" spans="1:5" x14ac:dyDescent="0.35">
      <c r="A189" s="11">
        <v>48828</v>
      </c>
      <c r="B189" s="12" t="s">
        <v>10</v>
      </c>
      <c r="C189" s="13">
        <v>27.5</v>
      </c>
      <c r="D189" s="14">
        <v>0</v>
      </c>
      <c r="E189" s="18">
        <v>1</v>
      </c>
    </row>
    <row r="190" spans="1:5" x14ac:dyDescent="0.35">
      <c r="A190" s="7">
        <v>48829</v>
      </c>
      <c r="B190" s="8" t="s">
        <v>7</v>
      </c>
      <c r="C190" s="9">
        <v>20.6</v>
      </c>
      <c r="D190" s="10">
        <v>15.7</v>
      </c>
      <c r="E190" s="18">
        <v>1</v>
      </c>
    </row>
    <row r="191" spans="1:5" x14ac:dyDescent="0.35">
      <c r="A191" s="11">
        <v>48830</v>
      </c>
      <c r="B191" s="12" t="s">
        <v>11</v>
      </c>
      <c r="C191" s="13">
        <v>21.3</v>
      </c>
      <c r="D191" s="14">
        <v>0</v>
      </c>
      <c r="E191" s="18">
        <v>1</v>
      </c>
    </row>
    <row r="192" spans="1:5" x14ac:dyDescent="0.35">
      <c r="A192" s="7">
        <v>48831</v>
      </c>
      <c r="B192" s="8" t="s">
        <v>19</v>
      </c>
      <c r="C192" s="9">
        <v>26.2</v>
      </c>
      <c r="D192" s="10">
        <v>0</v>
      </c>
      <c r="E192" s="18">
        <v>1</v>
      </c>
    </row>
    <row r="193" spans="1:5" x14ac:dyDescent="0.35">
      <c r="A193" s="11">
        <v>48832</v>
      </c>
      <c r="B193" s="12" t="s">
        <v>10</v>
      </c>
      <c r="C193" s="13">
        <v>23.9</v>
      </c>
      <c r="D193" s="14">
        <v>0</v>
      </c>
      <c r="E193" s="18">
        <v>1</v>
      </c>
    </row>
    <row r="194" spans="1:5" x14ac:dyDescent="0.35">
      <c r="A194" s="7">
        <v>48833</v>
      </c>
      <c r="B194" s="8" t="s">
        <v>27</v>
      </c>
      <c r="C194" s="9">
        <v>26.6</v>
      </c>
      <c r="D194" s="10">
        <v>1.6</v>
      </c>
      <c r="E194" s="18">
        <v>1</v>
      </c>
    </row>
    <row r="195" spans="1:5" x14ac:dyDescent="0.35">
      <c r="A195" s="11">
        <v>48834</v>
      </c>
      <c r="B195" s="12" t="s">
        <v>10</v>
      </c>
      <c r="C195" s="13">
        <v>18.600000000000001</v>
      </c>
      <c r="D195" s="14">
        <v>20.399999999999999</v>
      </c>
      <c r="E195" s="18">
        <v>1</v>
      </c>
    </row>
    <row r="196" spans="1:5" x14ac:dyDescent="0.35">
      <c r="A196" s="7">
        <v>48835</v>
      </c>
      <c r="B196" s="8" t="s">
        <v>18</v>
      </c>
      <c r="C196" s="9">
        <v>22.3</v>
      </c>
      <c r="D196" s="10">
        <v>1.7</v>
      </c>
      <c r="E196" s="18">
        <v>1</v>
      </c>
    </row>
    <row r="197" spans="1:5" x14ac:dyDescent="0.35">
      <c r="A197" s="11">
        <v>48836</v>
      </c>
      <c r="B197" s="12" t="s">
        <v>17</v>
      </c>
      <c r="C197" s="13">
        <v>18.399999999999999</v>
      </c>
      <c r="D197" s="14">
        <v>3.9</v>
      </c>
      <c r="E197" s="18">
        <v>1</v>
      </c>
    </row>
    <row r="198" spans="1:5" x14ac:dyDescent="0.35">
      <c r="A198" s="7">
        <v>48837</v>
      </c>
      <c r="B198" s="8" t="s">
        <v>27</v>
      </c>
      <c r="C198" s="9">
        <v>28</v>
      </c>
      <c r="D198" s="10">
        <v>4.4000000000000004</v>
      </c>
      <c r="E198" s="18">
        <v>1</v>
      </c>
    </row>
    <row r="199" spans="1:5" x14ac:dyDescent="0.35">
      <c r="A199" s="11">
        <v>48838</v>
      </c>
      <c r="B199" s="12" t="s">
        <v>10</v>
      </c>
      <c r="C199" s="13">
        <v>10.9</v>
      </c>
      <c r="D199" s="14">
        <v>32.9</v>
      </c>
      <c r="E199" s="18">
        <v>1</v>
      </c>
    </row>
    <row r="200" spans="1:5" x14ac:dyDescent="0.35">
      <c r="A200" s="7">
        <v>48839</v>
      </c>
      <c r="B200" s="8" t="s">
        <v>19</v>
      </c>
      <c r="C200" s="9">
        <v>25.1</v>
      </c>
      <c r="D200" s="10">
        <v>33.299999999999997</v>
      </c>
      <c r="E200" s="18">
        <v>1</v>
      </c>
    </row>
    <row r="201" spans="1:5" x14ac:dyDescent="0.35">
      <c r="A201" s="11">
        <v>48840</v>
      </c>
      <c r="B201" s="12" t="s">
        <v>28</v>
      </c>
      <c r="C201" s="13">
        <v>10.7</v>
      </c>
      <c r="D201" s="14">
        <v>0.3</v>
      </c>
      <c r="E201" s="18">
        <v>1</v>
      </c>
    </row>
    <row r="202" spans="1:5" x14ac:dyDescent="0.35">
      <c r="A202" s="7">
        <v>48841</v>
      </c>
      <c r="B202" s="8" t="s">
        <v>10</v>
      </c>
      <c r="C202" s="9">
        <v>26.1</v>
      </c>
      <c r="D202" s="10">
        <v>31</v>
      </c>
      <c r="E202" s="18">
        <v>1</v>
      </c>
    </row>
    <row r="203" spans="1:5" x14ac:dyDescent="0.35">
      <c r="A203" s="11">
        <v>48842</v>
      </c>
      <c r="B203" s="12" t="s">
        <v>11</v>
      </c>
      <c r="C203" s="13">
        <v>15.2</v>
      </c>
      <c r="D203" s="14">
        <v>12.7</v>
      </c>
      <c r="E203" s="18">
        <v>1</v>
      </c>
    </row>
    <row r="204" spans="1:5" x14ac:dyDescent="0.35">
      <c r="A204" s="7">
        <v>48843</v>
      </c>
      <c r="B204" s="8" t="s">
        <v>14</v>
      </c>
      <c r="C204" s="9">
        <v>28.8</v>
      </c>
      <c r="D204" s="10">
        <v>4.3</v>
      </c>
      <c r="E204" s="18">
        <v>1</v>
      </c>
    </row>
    <row r="205" spans="1:5" x14ac:dyDescent="0.35">
      <c r="A205" s="11">
        <v>48844</v>
      </c>
      <c r="B205" s="12" t="s">
        <v>26</v>
      </c>
      <c r="C205" s="13">
        <v>10.3</v>
      </c>
      <c r="D205" s="14">
        <v>0</v>
      </c>
      <c r="E205" s="18">
        <v>1</v>
      </c>
    </row>
    <row r="206" spans="1:5" x14ac:dyDescent="0.35">
      <c r="A206" s="7">
        <v>48845</v>
      </c>
      <c r="B206" s="8" t="s">
        <v>6</v>
      </c>
      <c r="C206" s="9">
        <v>14.9</v>
      </c>
      <c r="D206" s="10">
        <v>0.1</v>
      </c>
      <c r="E206" s="18">
        <v>1</v>
      </c>
    </row>
    <row r="207" spans="1:5" x14ac:dyDescent="0.35">
      <c r="A207" s="11">
        <v>48846</v>
      </c>
      <c r="B207" s="12" t="s">
        <v>10</v>
      </c>
      <c r="C207" s="13">
        <v>11.3</v>
      </c>
      <c r="D207" s="14">
        <v>0</v>
      </c>
      <c r="E207" s="18">
        <v>1</v>
      </c>
    </row>
    <row r="208" spans="1:5" x14ac:dyDescent="0.35">
      <c r="A208" s="7">
        <v>48847</v>
      </c>
      <c r="B208" s="8" t="s">
        <v>10</v>
      </c>
      <c r="C208" s="9">
        <v>20.8</v>
      </c>
      <c r="D208" s="10">
        <v>34.9</v>
      </c>
      <c r="E208" s="18">
        <v>1</v>
      </c>
    </row>
    <row r="209" spans="1:5" x14ac:dyDescent="0.35">
      <c r="A209" s="11">
        <v>48848</v>
      </c>
      <c r="B209" s="12" t="s">
        <v>19</v>
      </c>
      <c r="C209" s="13">
        <v>18.2</v>
      </c>
      <c r="D209" s="14">
        <v>0</v>
      </c>
      <c r="E209" s="18">
        <v>1</v>
      </c>
    </row>
    <row r="210" spans="1:5" x14ac:dyDescent="0.35">
      <c r="A210" s="7">
        <v>48849</v>
      </c>
      <c r="B210" s="8" t="s">
        <v>17</v>
      </c>
      <c r="C210" s="9">
        <v>12.7</v>
      </c>
      <c r="D210" s="10">
        <v>5.3</v>
      </c>
      <c r="E210" s="18">
        <v>1</v>
      </c>
    </row>
    <row r="211" spans="1:5" x14ac:dyDescent="0.35">
      <c r="A211" s="11">
        <v>48850</v>
      </c>
      <c r="B211" s="12" t="s">
        <v>14</v>
      </c>
      <c r="C211" s="13">
        <v>21.4</v>
      </c>
      <c r="D211" s="14">
        <v>8.3000000000000007</v>
      </c>
      <c r="E211" s="18">
        <v>1</v>
      </c>
    </row>
    <row r="212" spans="1:5" x14ac:dyDescent="0.35">
      <c r="A212" s="7">
        <v>48851</v>
      </c>
      <c r="B212" s="8" t="s">
        <v>6</v>
      </c>
      <c r="C212" s="9">
        <v>21.3</v>
      </c>
      <c r="D212" s="10">
        <v>11.8</v>
      </c>
      <c r="E212" s="18">
        <v>1</v>
      </c>
    </row>
    <row r="213" spans="1:5" x14ac:dyDescent="0.35">
      <c r="A213" s="11">
        <v>48852</v>
      </c>
      <c r="B213" s="12" t="s">
        <v>17</v>
      </c>
      <c r="C213" s="13">
        <v>20.7</v>
      </c>
      <c r="D213" s="14">
        <v>3.9</v>
      </c>
      <c r="E213" s="18">
        <v>1</v>
      </c>
    </row>
    <row r="214" spans="1:5" x14ac:dyDescent="0.35">
      <c r="A214" s="7">
        <v>48853</v>
      </c>
      <c r="B214" s="8" t="s">
        <v>20</v>
      </c>
      <c r="C214" s="9">
        <v>19.7</v>
      </c>
      <c r="D214" s="10">
        <v>0</v>
      </c>
      <c r="E214" s="18">
        <v>1</v>
      </c>
    </row>
    <row r="215" spans="1:5" x14ac:dyDescent="0.35">
      <c r="A215" s="11">
        <v>48854</v>
      </c>
      <c r="B215" s="12" t="s">
        <v>11</v>
      </c>
      <c r="C215" s="13">
        <v>27.2</v>
      </c>
      <c r="D215" s="14">
        <v>17.600000000000001</v>
      </c>
      <c r="E215" s="18">
        <v>1</v>
      </c>
    </row>
    <row r="216" spans="1:5" x14ac:dyDescent="0.35">
      <c r="A216" s="7">
        <v>48855</v>
      </c>
      <c r="B216" s="8" t="s">
        <v>25</v>
      </c>
      <c r="C216" s="9">
        <v>16.600000000000001</v>
      </c>
      <c r="D216" s="10">
        <v>1.7</v>
      </c>
      <c r="E216" s="18">
        <v>1</v>
      </c>
    </row>
    <row r="217" spans="1:5" x14ac:dyDescent="0.35">
      <c r="A217" s="11">
        <v>48856</v>
      </c>
      <c r="B217" s="12" t="s">
        <v>11</v>
      </c>
      <c r="C217" s="13">
        <v>22.3</v>
      </c>
      <c r="D217" s="14">
        <v>0</v>
      </c>
      <c r="E217" s="18">
        <v>1</v>
      </c>
    </row>
    <row r="218" spans="1:5" x14ac:dyDescent="0.35">
      <c r="A218" s="7">
        <v>48857</v>
      </c>
      <c r="B218" s="8" t="s">
        <v>10</v>
      </c>
      <c r="C218" s="9">
        <v>18</v>
      </c>
      <c r="D218" s="10">
        <v>40.799999999999997</v>
      </c>
      <c r="E218" s="18">
        <v>1</v>
      </c>
    </row>
    <row r="219" spans="1:5" x14ac:dyDescent="0.35">
      <c r="A219" s="11">
        <v>48858</v>
      </c>
      <c r="B219" s="12" t="s">
        <v>24</v>
      </c>
      <c r="C219" s="13">
        <v>21.8</v>
      </c>
      <c r="D219" s="14">
        <v>0</v>
      </c>
      <c r="E219" s="18">
        <v>1</v>
      </c>
    </row>
    <row r="220" spans="1:5" x14ac:dyDescent="0.35">
      <c r="A220" s="7">
        <v>48859</v>
      </c>
      <c r="B220" s="8" t="s">
        <v>6</v>
      </c>
      <c r="C220" s="9">
        <v>22.2</v>
      </c>
      <c r="D220" s="10">
        <v>11.2</v>
      </c>
      <c r="E220" s="18">
        <v>1</v>
      </c>
    </row>
    <row r="221" spans="1:5" x14ac:dyDescent="0.35">
      <c r="A221" s="11">
        <v>48860</v>
      </c>
      <c r="B221" s="12" t="s">
        <v>6</v>
      </c>
      <c r="C221" s="13">
        <v>20</v>
      </c>
      <c r="D221" s="14">
        <v>0</v>
      </c>
      <c r="E221" s="18">
        <v>1</v>
      </c>
    </row>
    <row r="222" spans="1:5" x14ac:dyDescent="0.35">
      <c r="A222" s="7">
        <v>48861</v>
      </c>
      <c r="B222" s="8" t="s">
        <v>32</v>
      </c>
      <c r="C222" s="9">
        <v>29.4</v>
      </c>
      <c r="D222" s="10">
        <v>0.7</v>
      </c>
      <c r="E222" s="18">
        <v>1</v>
      </c>
    </row>
    <row r="223" spans="1:5" x14ac:dyDescent="0.35">
      <c r="A223" s="11">
        <v>48862</v>
      </c>
      <c r="B223" s="12" t="s">
        <v>10</v>
      </c>
      <c r="C223" s="13">
        <v>23.6</v>
      </c>
      <c r="D223" s="14">
        <v>0</v>
      </c>
      <c r="E223" s="18">
        <v>1</v>
      </c>
    </row>
    <row r="224" spans="1:5" x14ac:dyDescent="0.35">
      <c r="A224" s="7">
        <v>48863</v>
      </c>
      <c r="B224" s="8" t="s">
        <v>7</v>
      </c>
      <c r="C224" s="9">
        <v>16.3</v>
      </c>
      <c r="D224" s="10">
        <v>22</v>
      </c>
      <c r="E224" s="18">
        <v>1</v>
      </c>
    </row>
    <row r="225" spans="1:5" x14ac:dyDescent="0.35">
      <c r="A225" s="11">
        <v>48864</v>
      </c>
      <c r="B225" s="12" t="s">
        <v>15</v>
      </c>
      <c r="C225" s="13">
        <v>15</v>
      </c>
      <c r="D225" s="14">
        <v>0</v>
      </c>
      <c r="E225" s="18">
        <v>1</v>
      </c>
    </row>
    <row r="226" spans="1:5" x14ac:dyDescent="0.35">
      <c r="A226" s="7">
        <v>48865</v>
      </c>
      <c r="B226" s="8" t="s">
        <v>14</v>
      </c>
      <c r="C226" s="9">
        <v>10.8</v>
      </c>
      <c r="D226" s="10">
        <v>0</v>
      </c>
      <c r="E226" s="18">
        <v>1</v>
      </c>
    </row>
    <row r="227" spans="1:5" x14ac:dyDescent="0.35">
      <c r="A227" s="11">
        <v>48866</v>
      </c>
      <c r="B227" s="12" t="s">
        <v>19</v>
      </c>
      <c r="C227" s="13">
        <v>10.5</v>
      </c>
      <c r="D227" s="14">
        <v>0</v>
      </c>
      <c r="E227" s="18">
        <v>1</v>
      </c>
    </row>
    <row r="228" spans="1:5" x14ac:dyDescent="0.35">
      <c r="A228" s="7">
        <v>48867</v>
      </c>
      <c r="B228" s="8" t="s">
        <v>5</v>
      </c>
      <c r="C228" s="9">
        <v>20.3</v>
      </c>
      <c r="D228" s="10">
        <v>0</v>
      </c>
      <c r="E228" s="18">
        <v>1</v>
      </c>
    </row>
    <row r="229" spans="1:5" x14ac:dyDescent="0.35">
      <c r="A229" s="11">
        <v>48868</v>
      </c>
      <c r="B229" s="12" t="s">
        <v>10</v>
      </c>
      <c r="C229" s="13">
        <v>13.1</v>
      </c>
      <c r="D229" s="14">
        <v>50.4</v>
      </c>
      <c r="E229" s="18">
        <v>1</v>
      </c>
    </row>
    <row r="230" spans="1:5" x14ac:dyDescent="0.35">
      <c r="A230" s="7">
        <v>48869</v>
      </c>
      <c r="B230" s="8" t="s">
        <v>12</v>
      </c>
      <c r="C230" s="9">
        <v>24.8</v>
      </c>
      <c r="D230" s="10">
        <v>7.9</v>
      </c>
      <c r="E230" s="18">
        <v>1</v>
      </c>
    </row>
    <row r="231" spans="1:5" x14ac:dyDescent="0.35">
      <c r="A231" s="11">
        <v>48870</v>
      </c>
      <c r="B231" s="12" t="s">
        <v>11</v>
      </c>
      <c r="C231" s="13">
        <v>23.6</v>
      </c>
      <c r="D231" s="14">
        <v>0.8</v>
      </c>
      <c r="E231" s="18">
        <v>1</v>
      </c>
    </row>
    <row r="232" spans="1:5" x14ac:dyDescent="0.35">
      <c r="A232" s="7">
        <v>48871</v>
      </c>
      <c r="B232" s="8" t="s">
        <v>17</v>
      </c>
      <c r="C232" s="9">
        <v>17.899999999999999</v>
      </c>
      <c r="D232" s="10">
        <v>0</v>
      </c>
      <c r="E232" s="18">
        <v>1</v>
      </c>
    </row>
    <row r="233" spans="1:5" x14ac:dyDescent="0.35">
      <c r="A233" s="11">
        <v>48872</v>
      </c>
      <c r="B233" s="12" t="s">
        <v>12</v>
      </c>
      <c r="C233" s="13">
        <v>23.2</v>
      </c>
      <c r="D233" s="14">
        <v>3</v>
      </c>
      <c r="E233" s="18">
        <v>1</v>
      </c>
    </row>
    <row r="234" spans="1:5" x14ac:dyDescent="0.35">
      <c r="A234" s="7">
        <v>48873</v>
      </c>
      <c r="B234" s="8" t="s">
        <v>8</v>
      </c>
      <c r="C234" s="9">
        <v>21.8</v>
      </c>
      <c r="D234" s="10">
        <v>2</v>
      </c>
      <c r="E234" s="18">
        <v>1</v>
      </c>
    </row>
    <row r="235" spans="1:5" x14ac:dyDescent="0.35">
      <c r="A235" s="11">
        <v>48874</v>
      </c>
      <c r="B235" s="12" t="s">
        <v>26</v>
      </c>
      <c r="C235" s="13">
        <v>22.2</v>
      </c>
      <c r="D235" s="14">
        <v>3.1</v>
      </c>
      <c r="E235" s="18">
        <v>1</v>
      </c>
    </row>
    <row r="236" spans="1:5" x14ac:dyDescent="0.35">
      <c r="A236" s="7">
        <v>48875</v>
      </c>
      <c r="B236" s="8" t="s">
        <v>15</v>
      </c>
      <c r="C236" s="9">
        <v>29</v>
      </c>
      <c r="D236" s="10">
        <v>16.399999999999999</v>
      </c>
      <c r="E236" s="18">
        <v>1</v>
      </c>
    </row>
    <row r="237" spans="1:5" x14ac:dyDescent="0.35">
      <c r="A237" s="11">
        <v>48876</v>
      </c>
      <c r="B237" s="12" t="s">
        <v>24</v>
      </c>
      <c r="C237" s="13">
        <v>24.6</v>
      </c>
      <c r="D237" s="14">
        <v>1.7</v>
      </c>
      <c r="E237" s="18">
        <v>1</v>
      </c>
    </row>
    <row r="238" spans="1:5" x14ac:dyDescent="0.35">
      <c r="A238" s="7">
        <v>48877</v>
      </c>
      <c r="B238" s="8" t="s">
        <v>12</v>
      </c>
      <c r="C238" s="9">
        <v>23.4</v>
      </c>
      <c r="D238" s="10">
        <v>0.6</v>
      </c>
      <c r="E238" s="18">
        <v>1</v>
      </c>
    </row>
    <row r="239" spans="1:5" x14ac:dyDescent="0.35">
      <c r="A239" s="11">
        <v>48878</v>
      </c>
      <c r="B239" s="12" t="s">
        <v>15</v>
      </c>
      <c r="C239" s="13">
        <v>21</v>
      </c>
      <c r="D239" s="14">
        <v>0</v>
      </c>
      <c r="E239" s="18">
        <v>1</v>
      </c>
    </row>
    <row r="240" spans="1:5" x14ac:dyDescent="0.35">
      <c r="A240" s="7">
        <v>48879</v>
      </c>
      <c r="B240" s="8" t="s">
        <v>5</v>
      </c>
      <c r="C240" s="9">
        <v>22</v>
      </c>
      <c r="D240" s="10">
        <v>0</v>
      </c>
      <c r="E240" s="18">
        <v>1</v>
      </c>
    </row>
    <row r="241" spans="1:5" x14ac:dyDescent="0.35">
      <c r="A241" s="11">
        <v>48880</v>
      </c>
      <c r="B241" s="12" t="s">
        <v>9</v>
      </c>
      <c r="C241" s="13">
        <v>29.9</v>
      </c>
      <c r="D241" s="14">
        <v>8</v>
      </c>
      <c r="E241" s="18">
        <v>1</v>
      </c>
    </row>
    <row r="242" spans="1:5" x14ac:dyDescent="0.35">
      <c r="A242" s="7">
        <v>48881</v>
      </c>
      <c r="B242" s="8" t="s">
        <v>7</v>
      </c>
      <c r="C242" s="9">
        <v>27.2</v>
      </c>
      <c r="D242" s="10">
        <v>19.2</v>
      </c>
      <c r="E242" s="18">
        <v>1</v>
      </c>
    </row>
    <row r="243" spans="1:5" x14ac:dyDescent="0.35">
      <c r="A243" s="11">
        <v>48882</v>
      </c>
      <c r="B243" s="12" t="s">
        <v>19</v>
      </c>
      <c r="C243" s="13">
        <v>10.9</v>
      </c>
      <c r="D243" s="14">
        <v>9</v>
      </c>
      <c r="E243" s="18">
        <v>1</v>
      </c>
    </row>
    <row r="244" spans="1:5" x14ac:dyDescent="0.35">
      <c r="A244" s="7">
        <v>48883</v>
      </c>
      <c r="B244" s="8" t="s">
        <v>9</v>
      </c>
      <c r="C244" s="9">
        <v>22.6</v>
      </c>
      <c r="D244" s="10">
        <v>5.9</v>
      </c>
      <c r="E244" s="18">
        <v>1</v>
      </c>
    </row>
    <row r="245" spans="1:5" x14ac:dyDescent="0.35">
      <c r="A245" s="11">
        <v>48884</v>
      </c>
      <c r="B245" s="12" t="s">
        <v>23</v>
      </c>
      <c r="C245" s="13">
        <v>12</v>
      </c>
      <c r="D245" s="14">
        <v>3.9</v>
      </c>
      <c r="E245" s="18">
        <v>1</v>
      </c>
    </row>
    <row r="246" spans="1:5" x14ac:dyDescent="0.35">
      <c r="A246" s="7">
        <v>48885</v>
      </c>
      <c r="B246" s="8" t="s">
        <v>15</v>
      </c>
      <c r="C246" s="9">
        <v>19.5</v>
      </c>
      <c r="D246" s="10">
        <v>14.2</v>
      </c>
      <c r="E246" s="18">
        <v>1</v>
      </c>
    </row>
    <row r="247" spans="1:5" x14ac:dyDescent="0.35">
      <c r="A247" s="11">
        <v>48886</v>
      </c>
      <c r="B247" s="12" t="s">
        <v>10</v>
      </c>
      <c r="C247" s="13">
        <v>27</v>
      </c>
      <c r="D247" s="14">
        <v>10.9</v>
      </c>
      <c r="E247" s="18">
        <v>1</v>
      </c>
    </row>
    <row r="248" spans="1:5" x14ac:dyDescent="0.35">
      <c r="A248" s="7">
        <v>48887</v>
      </c>
      <c r="B248" s="8" t="s">
        <v>22</v>
      </c>
      <c r="C248" s="9">
        <v>10.7</v>
      </c>
      <c r="D248" s="10">
        <v>5.6</v>
      </c>
      <c r="E248" s="18">
        <v>1</v>
      </c>
    </row>
    <row r="249" spans="1:5" x14ac:dyDescent="0.35">
      <c r="A249" s="11">
        <v>48888</v>
      </c>
      <c r="B249" s="12" t="s">
        <v>19</v>
      </c>
      <c r="C249" s="13">
        <v>29.1</v>
      </c>
      <c r="D249" s="14">
        <v>0</v>
      </c>
      <c r="E249" s="18">
        <v>1</v>
      </c>
    </row>
    <row r="250" spans="1:5" x14ac:dyDescent="0.35">
      <c r="A250" s="7">
        <v>48889</v>
      </c>
      <c r="B250" s="8" t="s">
        <v>27</v>
      </c>
      <c r="C250" s="9">
        <v>25.3</v>
      </c>
      <c r="D250" s="10">
        <v>0</v>
      </c>
      <c r="E250" s="18">
        <v>1</v>
      </c>
    </row>
    <row r="251" spans="1:5" x14ac:dyDescent="0.35">
      <c r="A251" s="11">
        <v>48890</v>
      </c>
      <c r="B251" s="12" t="s">
        <v>6</v>
      </c>
      <c r="C251" s="13">
        <v>13.3</v>
      </c>
      <c r="D251" s="14">
        <v>4.4000000000000004</v>
      </c>
      <c r="E251" s="18">
        <v>1</v>
      </c>
    </row>
    <row r="252" spans="1:5" x14ac:dyDescent="0.35">
      <c r="A252" s="7">
        <v>48891</v>
      </c>
      <c r="B252" s="8" t="s">
        <v>7</v>
      </c>
      <c r="C252" s="9">
        <v>16.899999999999999</v>
      </c>
      <c r="D252" s="10">
        <v>0</v>
      </c>
      <c r="E252" s="18">
        <v>1</v>
      </c>
    </row>
    <row r="253" spans="1:5" x14ac:dyDescent="0.35">
      <c r="A253" s="11">
        <v>48892</v>
      </c>
      <c r="B253" s="12" t="s">
        <v>15</v>
      </c>
      <c r="C253" s="13">
        <v>26.4</v>
      </c>
      <c r="D253" s="14">
        <v>6.8</v>
      </c>
      <c r="E253" s="18">
        <v>1</v>
      </c>
    </row>
    <row r="254" spans="1:5" x14ac:dyDescent="0.35">
      <c r="A254" s="7">
        <v>48893</v>
      </c>
      <c r="B254" s="8" t="s">
        <v>14</v>
      </c>
      <c r="C254" s="9">
        <v>29.7</v>
      </c>
      <c r="D254" s="10">
        <v>0</v>
      </c>
      <c r="E254" s="18">
        <v>1</v>
      </c>
    </row>
    <row r="255" spans="1:5" x14ac:dyDescent="0.35">
      <c r="A255" s="11">
        <v>48894</v>
      </c>
      <c r="B255" s="12" t="s">
        <v>7</v>
      </c>
      <c r="C255" s="13">
        <v>17.600000000000001</v>
      </c>
      <c r="D255" s="14">
        <v>8.6999999999999993</v>
      </c>
      <c r="E255" s="18">
        <v>1</v>
      </c>
    </row>
    <row r="256" spans="1:5" x14ac:dyDescent="0.35">
      <c r="A256" s="7">
        <v>48895</v>
      </c>
      <c r="B256" s="8" t="s">
        <v>17</v>
      </c>
      <c r="C256" s="9">
        <v>13.2</v>
      </c>
      <c r="D256" s="10">
        <v>3.3</v>
      </c>
      <c r="E256" s="18">
        <v>1</v>
      </c>
    </row>
    <row r="257" spans="1:5" x14ac:dyDescent="0.35">
      <c r="A257" s="11">
        <v>48896</v>
      </c>
      <c r="B257" s="12" t="s">
        <v>15</v>
      </c>
      <c r="C257" s="13">
        <v>21.2</v>
      </c>
      <c r="D257" s="14">
        <v>0</v>
      </c>
      <c r="E257" s="18">
        <v>1</v>
      </c>
    </row>
    <row r="258" spans="1:5" x14ac:dyDescent="0.35">
      <c r="A258" s="7">
        <v>48897</v>
      </c>
      <c r="B258" s="8" t="s">
        <v>15</v>
      </c>
      <c r="C258" s="9">
        <v>23</v>
      </c>
      <c r="D258" s="10">
        <v>7.7</v>
      </c>
      <c r="E258" s="18">
        <v>1</v>
      </c>
    </row>
    <row r="259" spans="1:5" x14ac:dyDescent="0.35">
      <c r="A259" s="11">
        <v>48898</v>
      </c>
      <c r="B259" s="12" t="s">
        <v>11</v>
      </c>
      <c r="C259" s="13">
        <v>23</v>
      </c>
      <c r="D259" s="14">
        <v>0</v>
      </c>
      <c r="E259" s="18">
        <v>1</v>
      </c>
    </row>
    <row r="260" spans="1:5" x14ac:dyDescent="0.35">
      <c r="A260" s="7">
        <v>48899</v>
      </c>
      <c r="B260" s="8" t="s">
        <v>11</v>
      </c>
      <c r="C260" s="9">
        <v>23.4</v>
      </c>
      <c r="D260" s="10">
        <v>0</v>
      </c>
      <c r="E260" s="18">
        <v>1</v>
      </c>
    </row>
    <row r="261" spans="1:5" x14ac:dyDescent="0.35">
      <c r="A261" s="11">
        <v>48900</v>
      </c>
      <c r="B261" s="12" t="s">
        <v>7</v>
      </c>
      <c r="C261" s="13">
        <v>28.7</v>
      </c>
      <c r="D261" s="14">
        <v>3.3</v>
      </c>
      <c r="E261" s="18">
        <v>1</v>
      </c>
    </row>
    <row r="262" spans="1:5" x14ac:dyDescent="0.35">
      <c r="A262" s="7">
        <v>48901</v>
      </c>
      <c r="B262" s="8" t="s">
        <v>26</v>
      </c>
      <c r="C262" s="9">
        <v>23.6</v>
      </c>
      <c r="D262" s="10">
        <v>4.3</v>
      </c>
      <c r="E262" s="18">
        <v>1</v>
      </c>
    </row>
    <row r="263" spans="1:5" x14ac:dyDescent="0.35">
      <c r="A263" s="11">
        <v>48902</v>
      </c>
      <c r="B263" s="12" t="s">
        <v>6</v>
      </c>
      <c r="C263" s="13">
        <v>10.199999999999999</v>
      </c>
      <c r="D263" s="14">
        <v>8.6999999999999993</v>
      </c>
      <c r="E263" s="18">
        <v>1</v>
      </c>
    </row>
    <row r="264" spans="1:5" x14ac:dyDescent="0.35">
      <c r="A264" s="7">
        <v>48903</v>
      </c>
      <c r="B264" s="8" t="s">
        <v>9</v>
      </c>
      <c r="C264" s="9">
        <v>13.8</v>
      </c>
      <c r="D264" s="10">
        <v>0</v>
      </c>
      <c r="E264" s="18">
        <v>1</v>
      </c>
    </row>
    <row r="265" spans="1:5" x14ac:dyDescent="0.35">
      <c r="A265" s="11">
        <v>48904</v>
      </c>
      <c r="B265" s="12" t="s">
        <v>8</v>
      </c>
      <c r="C265" s="13">
        <v>27.7</v>
      </c>
      <c r="D265" s="14">
        <v>0</v>
      </c>
      <c r="E265" s="18">
        <v>1</v>
      </c>
    </row>
    <row r="266" spans="1:5" x14ac:dyDescent="0.35">
      <c r="A266" s="7">
        <v>48905</v>
      </c>
      <c r="B266" s="8" t="s">
        <v>7</v>
      </c>
      <c r="C266" s="9">
        <v>13.3</v>
      </c>
      <c r="D266" s="10">
        <v>7.2</v>
      </c>
      <c r="E266" s="18">
        <v>1</v>
      </c>
    </row>
    <row r="267" spans="1:5" x14ac:dyDescent="0.35">
      <c r="A267" s="11">
        <v>48906</v>
      </c>
      <c r="B267" s="12" t="s">
        <v>11</v>
      </c>
      <c r="C267" s="13">
        <v>26</v>
      </c>
      <c r="D267" s="14">
        <v>0.7</v>
      </c>
      <c r="E267" s="18">
        <v>1</v>
      </c>
    </row>
    <row r="268" spans="1:5" x14ac:dyDescent="0.35">
      <c r="A268" s="7">
        <v>48907</v>
      </c>
      <c r="B268" s="8" t="s">
        <v>6</v>
      </c>
      <c r="C268" s="9">
        <v>16.3</v>
      </c>
      <c r="D268" s="10">
        <v>11</v>
      </c>
      <c r="E268" s="18">
        <v>1</v>
      </c>
    </row>
    <row r="269" spans="1:5" x14ac:dyDescent="0.35">
      <c r="A269" s="11">
        <v>48908</v>
      </c>
      <c r="B269" s="12" t="s">
        <v>15</v>
      </c>
      <c r="C269" s="13">
        <v>23.5</v>
      </c>
      <c r="D269" s="14">
        <v>15.5</v>
      </c>
      <c r="E269" s="18">
        <v>1</v>
      </c>
    </row>
    <row r="270" spans="1:5" x14ac:dyDescent="0.35">
      <c r="A270" s="7">
        <v>48909</v>
      </c>
      <c r="B270" s="8" t="s">
        <v>27</v>
      </c>
      <c r="C270" s="9">
        <v>15.7</v>
      </c>
      <c r="D270" s="10">
        <v>0</v>
      </c>
      <c r="E270" s="18">
        <v>1</v>
      </c>
    </row>
    <row r="271" spans="1:5" x14ac:dyDescent="0.35">
      <c r="A271" s="11">
        <v>48910</v>
      </c>
      <c r="B271" s="12" t="s">
        <v>26</v>
      </c>
      <c r="C271" s="13">
        <v>26</v>
      </c>
      <c r="D271" s="14">
        <v>6.4</v>
      </c>
      <c r="E271" s="18">
        <v>1</v>
      </c>
    </row>
    <row r="272" spans="1:5" x14ac:dyDescent="0.35">
      <c r="A272" s="7">
        <v>48911</v>
      </c>
      <c r="B272" s="8" t="s">
        <v>19</v>
      </c>
      <c r="C272" s="9">
        <v>22.7</v>
      </c>
      <c r="D272" s="10">
        <v>0</v>
      </c>
      <c r="E272" s="18">
        <v>1</v>
      </c>
    </row>
    <row r="273" spans="1:5" x14ac:dyDescent="0.35">
      <c r="A273" s="11">
        <v>48912</v>
      </c>
      <c r="B273" s="12" t="s">
        <v>9</v>
      </c>
      <c r="C273" s="13">
        <v>26.2</v>
      </c>
      <c r="D273" s="14">
        <v>5.7</v>
      </c>
      <c r="E273" s="18">
        <v>1</v>
      </c>
    </row>
    <row r="274" spans="1:5" x14ac:dyDescent="0.35">
      <c r="A274" s="7">
        <v>48913</v>
      </c>
      <c r="B274" s="8" t="s">
        <v>22</v>
      </c>
      <c r="C274" s="9">
        <v>14.1</v>
      </c>
      <c r="D274" s="10">
        <v>0</v>
      </c>
      <c r="E274" s="18">
        <v>1</v>
      </c>
    </row>
    <row r="275" spans="1:5" x14ac:dyDescent="0.35">
      <c r="A275" s="11">
        <v>48914</v>
      </c>
      <c r="B275" s="12" t="s">
        <v>11</v>
      </c>
      <c r="C275" s="13">
        <v>23.6</v>
      </c>
      <c r="D275" s="14">
        <v>19.7</v>
      </c>
      <c r="E275" s="18">
        <v>1</v>
      </c>
    </row>
    <row r="276" spans="1:5" x14ac:dyDescent="0.35">
      <c r="A276" s="7">
        <v>48915</v>
      </c>
      <c r="B276" s="8" t="s">
        <v>19</v>
      </c>
      <c r="C276" s="9">
        <v>25.2</v>
      </c>
      <c r="D276" s="10">
        <v>37.200000000000003</v>
      </c>
      <c r="E276" s="18">
        <v>1</v>
      </c>
    </row>
    <row r="277" spans="1:5" x14ac:dyDescent="0.35">
      <c r="A277" s="11">
        <v>48916</v>
      </c>
      <c r="B277" s="12" t="s">
        <v>13</v>
      </c>
      <c r="C277" s="13">
        <v>23</v>
      </c>
      <c r="D277" s="14">
        <v>0</v>
      </c>
      <c r="E277" s="18">
        <v>1</v>
      </c>
    </row>
    <row r="278" spans="1:5" x14ac:dyDescent="0.35">
      <c r="A278" s="7">
        <v>48917</v>
      </c>
      <c r="B278" s="8" t="s">
        <v>6</v>
      </c>
      <c r="C278" s="9">
        <v>29.7</v>
      </c>
      <c r="D278" s="10">
        <v>6.8</v>
      </c>
      <c r="E278" s="18">
        <v>1</v>
      </c>
    </row>
    <row r="279" spans="1:5" x14ac:dyDescent="0.35">
      <c r="A279" s="11">
        <v>48918</v>
      </c>
      <c r="B279" s="12" t="s">
        <v>9</v>
      </c>
      <c r="C279" s="13">
        <v>17.2</v>
      </c>
      <c r="D279" s="14">
        <v>3.5</v>
      </c>
      <c r="E279" s="18">
        <v>1</v>
      </c>
    </row>
    <row r="280" spans="1:5" x14ac:dyDescent="0.35">
      <c r="A280" s="7">
        <v>48919</v>
      </c>
      <c r="B280" s="8" t="s">
        <v>9</v>
      </c>
      <c r="C280" s="9">
        <v>21.7</v>
      </c>
      <c r="D280" s="10">
        <v>2.5</v>
      </c>
      <c r="E280" s="18">
        <v>1</v>
      </c>
    </row>
    <row r="281" spans="1:5" x14ac:dyDescent="0.35">
      <c r="A281" s="11">
        <v>48920</v>
      </c>
      <c r="B281" s="12" t="s">
        <v>11</v>
      </c>
      <c r="C281" s="13">
        <v>25.8</v>
      </c>
      <c r="D281" s="14">
        <v>3.8</v>
      </c>
      <c r="E281" s="18">
        <v>1</v>
      </c>
    </row>
    <row r="282" spans="1:5" x14ac:dyDescent="0.35">
      <c r="A282" s="7">
        <v>48921</v>
      </c>
      <c r="B282" s="8" t="s">
        <v>26</v>
      </c>
      <c r="C282" s="9">
        <v>12.9</v>
      </c>
      <c r="D282" s="10">
        <v>1.6</v>
      </c>
      <c r="E282" s="18">
        <v>1</v>
      </c>
    </row>
    <row r="283" spans="1:5" x14ac:dyDescent="0.35">
      <c r="A283" s="11">
        <v>48922</v>
      </c>
      <c r="B283" s="12" t="s">
        <v>16</v>
      </c>
      <c r="C283" s="13">
        <v>18.2</v>
      </c>
      <c r="D283" s="14">
        <v>0</v>
      </c>
      <c r="E283" s="18">
        <v>1</v>
      </c>
    </row>
    <row r="284" spans="1:5" x14ac:dyDescent="0.35">
      <c r="A284" s="7">
        <v>48923</v>
      </c>
      <c r="B284" s="8" t="s">
        <v>10</v>
      </c>
      <c r="C284" s="9">
        <v>20</v>
      </c>
      <c r="D284" s="10">
        <v>25.7</v>
      </c>
      <c r="E284" s="18">
        <v>1</v>
      </c>
    </row>
    <row r="285" spans="1:5" x14ac:dyDescent="0.35">
      <c r="A285" s="11">
        <v>48924</v>
      </c>
      <c r="B285" s="12" t="s">
        <v>19</v>
      </c>
      <c r="C285" s="13">
        <v>17.100000000000001</v>
      </c>
      <c r="D285" s="14">
        <v>33</v>
      </c>
      <c r="E285" s="18">
        <v>1</v>
      </c>
    </row>
    <row r="286" spans="1:5" x14ac:dyDescent="0.35">
      <c r="A286" s="7">
        <v>48925</v>
      </c>
      <c r="B286" s="8" t="s">
        <v>5</v>
      </c>
      <c r="C286" s="9">
        <v>23.2</v>
      </c>
      <c r="D286" s="10">
        <v>2.2999999999999998</v>
      </c>
      <c r="E286" s="18">
        <v>1</v>
      </c>
    </row>
    <row r="287" spans="1:5" x14ac:dyDescent="0.35">
      <c r="A287" s="11">
        <v>48926</v>
      </c>
      <c r="B287" s="12" t="s">
        <v>15</v>
      </c>
      <c r="C287" s="13">
        <v>23.1</v>
      </c>
      <c r="D287" s="14">
        <v>2.2000000000000002</v>
      </c>
      <c r="E287" s="18">
        <v>1</v>
      </c>
    </row>
    <row r="288" spans="1:5" x14ac:dyDescent="0.35">
      <c r="A288" s="7">
        <v>48927</v>
      </c>
      <c r="B288" s="8" t="s">
        <v>10</v>
      </c>
      <c r="C288" s="9">
        <v>22.4</v>
      </c>
      <c r="D288" s="10">
        <v>33.5</v>
      </c>
      <c r="E288" s="18">
        <v>1</v>
      </c>
    </row>
    <row r="289" spans="1:5" x14ac:dyDescent="0.35">
      <c r="A289" s="11">
        <v>48928</v>
      </c>
      <c r="B289" s="12" t="s">
        <v>33</v>
      </c>
      <c r="C289" s="13">
        <v>25.4</v>
      </c>
      <c r="D289" s="14">
        <v>0.9</v>
      </c>
      <c r="E289" s="18">
        <v>1</v>
      </c>
    </row>
    <row r="290" spans="1:5" x14ac:dyDescent="0.35">
      <c r="A290" s="7">
        <v>48929</v>
      </c>
      <c r="B290" s="8" t="s">
        <v>10</v>
      </c>
      <c r="C290" s="9">
        <v>15.4</v>
      </c>
      <c r="D290" s="10">
        <v>1.6</v>
      </c>
      <c r="E290" s="18">
        <v>1</v>
      </c>
    </row>
    <row r="291" spans="1:5" x14ac:dyDescent="0.35">
      <c r="A291" s="11">
        <v>48930</v>
      </c>
      <c r="B291" s="12" t="s">
        <v>25</v>
      </c>
      <c r="C291" s="13">
        <v>23.5</v>
      </c>
      <c r="D291" s="14">
        <v>0.6</v>
      </c>
      <c r="E291" s="18">
        <v>1</v>
      </c>
    </row>
    <row r="292" spans="1:5" x14ac:dyDescent="0.35">
      <c r="A292" s="7">
        <v>48931</v>
      </c>
      <c r="B292" s="8" t="s">
        <v>15</v>
      </c>
      <c r="C292" s="9">
        <v>10.3</v>
      </c>
      <c r="D292" s="10">
        <v>15.4</v>
      </c>
      <c r="E292" s="18">
        <v>1</v>
      </c>
    </row>
    <row r="293" spans="1:5" x14ac:dyDescent="0.35">
      <c r="A293" s="11">
        <v>48932</v>
      </c>
      <c r="B293" s="12" t="s">
        <v>10</v>
      </c>
      <c r="C293" s="13">
        <v>15.5</v>
      </c>
      <c r="D293" s="14">
        <v>20.2</v>
      </c>
      <c r="E293" s="18">
        <v>1</v>
      </c>
    </row>
    <row r="294" spans="1:5" x14ac:dyDescent="0.35">
      <c r="A294" s="7">
        <v>48933</v>
      </c>
      <c r="B294" s="8" t="s">
        <v>24</v>
      </c>
      <c r="C294" s="9">
        <v>20.7</v>
      </c>
      <c r="D294" s="10">
        <v>3</v>
      </c>
      <c r="E294" s="18">
        <v>1</v>
      </c>
    </row>
    <row r="295" spans="1:5" x14ac:dyDescent="0.35">
      <c r="A295" s="11">
        <v>48934</v>
      </c>
      <c r="B295" s="12" t="s">
        <v>13</v>
      </c>
      <c r="C295" s="13">
        <v>12.7</v>
      </c>
      <c r="D295" s="14">
        <v>14.4</v>
      </c>
      <c r="E295" s="18">
        <v>1</v>
      </c>
    </row>
    <row r="296" spans="1:5" x14ac:dyDescent="0.35">
      <c r="A296" s="7">
        <v>48935</v>
      </c>
      <c r="B296" s="8" t="s">
        <v>23</v>
      </c>
      <c r="C296" s="9">
        <v>22.8</v>
      </c>
      <c r="D296" s="10">
        <v>3.3</v>
      </c>
      <c r="E296" s="18">
        <v>1</v>
      </c>
    </row>
    <row r="297" spans="1:5" x14ac:dyDescent="0.35">
      <c r="A297" s="11">
        <v>48936</v>
      </c>
      <c r="B297" s="12" t="s">
        <v>30</v>
      </c>
      <c r="C297" s="13">
        <v>20.5</v>
      </c>
      <c r="D297" s="14">
        <v>0</v>
      </c>
      <c r="E297" s="18">
        <v>1</v>
      </c>
    </row>
    <row r="298" spans="1:5" x14ac:dyDescent="0.35">
      <c r="A298" s="7">
        <v>48937</v>
      </c>
      <c r="B298" s="8" t="s">
        <v>22</v>
      </c>
      <c r="C298" s="9">
        <v>13.1</v>
      </c>
      <c r="D298" s="10">
        <v>5.9</v>
      </c>
      <c r="E298" s="18">
        <v>1</v>
      </c>
    </row>
    <row r="299" spans="1:5" x14ac:dyDescent="0.35">
      <c r="A299" s="11">
        <v>48938</v>
      </c>
      <c r="B299" s="12" t="s">
        <v>21</v>
      </c>
      <c r="C299" s="13">
        <v>29</v>
      </c>
      <c r="D299" s="14">
        <v>1</v>
      </c>
      <c r="E299" s="18">
        <v>1</v>
      </c>
    </row>
    <row r="300" spans="1:5" x14ac:dyDescent="0.35">
      <c r="A300" s="7">
        <v>48939</v>
      </c>
      <c r="B300" s="8" t="s">
        <v>19</v>
      </c>
      <c r="C300" s="9">
        <v>15.4</v>
      </c>
      <c r="D300" s="10">
        <v>0</v>
      </c>
      <c r="E300" s="18">
        <v>1</v>
      </c>
    </row>
    <row r="301" spans="1:5" x14ac:dyDescent="0.35">
      <c r="A301" s="11">
        <v>48940</v>
      </c>
      <c r="B301" s="12" t="s">
        <v>10</v>
      </c>
      <c r="C301" s="13">
        <v>20.3</v>
      </c>
      <c r="D301" s="14">
        <v>10.7</v>
      </c>
      <c r="E301" s="18">
        <v>1</v>
      </c>
    </row>
    <row r="302" spans="1:5" x14ac:dyDescent="0.35">
      <c r="A302" s="7">
        <v>48941</v>
      </c>
      <c r="B302" s="8" t="s">
        <v>10</v>
      </c>
      <c r="C302" s="9">
        <v>15</v>
      </c>
      <c r="D302" s="10">
        <v>0</v>
      </c>
      <c r="E302" s="18">
        <v>1</v>
      </c>
    </row>
    <row r="303" spans="1:5" x14ac:dyDescent="0.35">
      <c r="A303" s="11">
        <v>48942</v>
      </c>
      <c r="B303" s="12" t="s">
        <v>18</v>
      </c>
      <c r="C303" s="13">
        <v>16.600000000000001</v>
      </c>
      <c r="D303" s="14">
        <v>0</v>
      </c>
      <c r="E303" s="18">
        <v>1</v>
      </c>
    </row>
    <row r="304" spans="1:5" x14ac:dyDescent="0.35">
      <c r="A304" s="7">
        <v>48943</v>
      </c>
      <c r="B304" s="8" t="s">
        <v>11</v>
      </c>
      <c r="C304" s="9">
        <v>28.6</v>
      </c>
      <c r="D304" s="10">
        <v>0</v>
      </c>
      <c r="E304" s="18">
        <v>1</v>
      </c>
    </row>
    <row r="305" spans="1:5" x14ac:dyDescent="0.35">
      <c r="A305" s="11">
        <v>48944</v>
      </c>
      <c r="B305" s="12" t="s">
        <v>17</v>
      </c>
      <c r="C305" s="13">
        <v>11.4</v>
      </c>
      <c r="D305" s="14">
        <v>3.6</v>
      </c>
      <c r="E305" s="18">
        <v>1</v>
      </c>
    </row>
    <row r="306" spans="1:5" x14ac:dyDescent="0.35">
      <c r="A306" s="7">
        <v>48945</v>
      </c>
      <c r="B306" s="8" t="s">
        <v>9</v>
      </c>
      <c r="C306" s="9">
        <v>15.5</v>
      </c>
      <c r="D306" s="10">
        <v>1</v>
      </c>
      <c r="E306" s="18">
        <v>1</v>
      </c>
    </row>
    <row r="307" spans="1:5" x14ac:dyDescent="0.35">
      <c r="A307" s="11">
        <v>48946</v>
      </c>
      <c r="B307" s="12" t="s">
        <v>6</v>
      </c>
      <c r="C307" s="13">
        <v>18.3</v>
      </c>
      <c r="D307" s="14">
        <v>0.7</v>
      </c>
      <c r="E307" s="18">
        <v>1</v>
      </c>
    </row>
    <row r="308" spans="1:5" x14ac:dyDescent="0.35">
      <c r="A308" s="7">
        <v>48947</v>
      </c>
      <c r="B308" s="8" t="s">
        <v>19</v>
      </c>
      <c r="C308" s="9">
        <v>14.9</v>
      </c>
      <c r="D308" s="10">
        <v>6.1</v>
      </c>
      <c r="E308" s="18">
        <v>1</v>
      </c>
    </row>
    <row r="309" spans="1:5" x14ac:dyDescent="0.35">
      <c r="A309" s="11">
        <v>48948</v>
      </c>
      <c r="B309" s="12" t="s">
        <v>11</v>
      </c>
      <c r="C309" s="13">
        <v>29.7</v>
      </c>
      <c r="D309" s="14">
        <v>13.3</v>
      </c>
      <c r="E309" s="18">
        <v>1</v>
      </c>
    </row>
    <row r="310" spans="1:5" x14ac:dyDescent="0.35">
      <c r="A310" s="7">
        <v>48949</v>
      </c>
      <c r="B310" s="8" t="s">
        <v>7</v>
      </c>
      <c r="C310" s="9">
        <v>28.9</v>
      </c>
      <c r="D310" s="10">
        <v>13.8</v>
      </c>
      <c r="E310" s="18">
        <v>1</v>
      </c>
    </row>
    <row r="311" spans="1:5" x14ac:dyDescent="0.35">
      <c r="A311" s="11">
        <v>48950</v>
      </c>
      <c r="B311" s="12" t="s">
        <v>17</v>
      </c>
      <c r="C311" s="13">
        <v>24.3</v>
      </c>
      <c r="D311" s="14">
        <v>0</v>
      </c>
      <c r="E311" s="18">
        <v>1</v>
      </c>
    </row>
    <row r="312" spans="1:5" x14ac:dyDescent="0.35">
      <c r="A312" s="7">
        <v>48951</v>
      </c>
      <c r="B312" s="8" t="s">
        <v>10</v>
      </c>
      <c r="C312" s="9">
        <v>24</v>
      </c>
      <c r="D312" s="10">
        <v>19.7</v>
      </c>
      <c r="E312" s="18">
        <v>1</v>
      </c>
    </row>
    <row r="313" spans="1:5" x14ac:dyDescent="0.35">
      <c r="A313" s="11">
        <v>48952</v>
      </c>
      <c r="B313" s="12" t="s">
        <v>15</v>
      </c>
      <c r="C313" s="13">
        <v>11.8</v>
      </c>
      <c r="D313" s="14">
        <v>13.3</v>
      </c>
      <c r="E313" s="18">
        <v>1</v>
      </c>
    </row>
    <row r="314" spans="1:5" x14ac:dyDescent="0.35">
      <c r="A314" s="7">
        <v>48953</v>
      </c>
      <c r="B314" s="8" t="s">
        <v>10</v>
      </c>
      <c r="C314" s="9">
        <v>26.5</v>
      </c>
      <c r="D314" s="10">
        <v>19.7</v>
      </c>
      <c r="E314" s="18">
        <v>1</v>
      </c>
    </row>
    <row r="315" spans="1:5" x14ac:dyDescent="0.35">
      <c r="A315" s="11">
        <v>48954</v>
      </c>
      <c r="B315" s="12" t="s">
        <v>26</v>
      </c>
      <c r="C315" s="13">
        <v>12.4</v>
      </c>
      <c r="D315" s="14">
        <v>5.0999999999999996</v>
      </c>
      <c r="E315" s="18">
        <v>1</v>
      </c>
    </row>
    <row r="316" spans="1:5" x14ac:dyDescent="0.35">
      <c r="A316" s="7">
        <v>48955</v>
      </c>
      <c r="B316" s="8" t="s">
        <v>10</v>
      </c>
      <c r="C316" s="9">
        <v>21.9</v>
      </c>
      <c r="D316" s="10">
        <v>6.6</v>
      </c>
      <c r="E316" s="18">
        <v>1</v>
      </c>
    </row>
    <row r="317" spans="1:5" x14ac:dyDescent="0.35">
      <c r="A317" s="11">
        <v>48956</v>
      </c>
      <c r="B317" s="12" t="s">
        <v>10</v>
      </c>
      <c r="C317" s="13">
        <v>20.3</v>
      </c>
      <c r="D317" s="14">
        <v>0</v>
      </c>
      <c r="E317" s="18">
        <v>1</v>
      </c>
    </row>
    <row r="318" spans="1:5" x14ac:dyDescent="0.35">
      <c r="A318" s="7">
        <v>48957</v>
      </c>
      <c r="B318" s="8" t="s">
        <v>32</v>
      </c>
      <c r="C318" s="9">
        <v>27.7</v>
      </c>
      <c r="D318" s="10">
        <v>0.3</v>
      </c>
      <c r="E318" s="18">
        <v>1</v>
      </c>
    </row>
    <row r="319" spans="1:5" x14ac:dyDescent="0.35">
      <c r="A319" s="11">
        <v>48958</v>
      </c>
      <c r="B319" s="12" t="s">
        <v>19</v>
      </c>
      <c r="C319" s="13">
        <v>28.5</v>
      </c>
      <c r="D319" s="14">
        <v>30</v>
      </c>
      <c r="E319" s="18">
        <v>1</v>
      </c>
    </row>
    <row r="320" spans="1:5" x14ac:dyDescent="0.35">
      <c r="A320" s="7">
        <v>48959</v>
      </c>
      <c r="B320" s="8" t="s">
        <v>21</v>
      </c>
      <c r="C320" s="9">
        <v>28.7</v>
      </c>
      <c r="D320" s="10">
        <v>1.9</v>
      </c>
      <c r="E320" s="18">
        <v>1</v>
      </c>
    </row>
    <row r="321" spans="1:5" x14ac:dyDescent="0.35">
      <c r="A321" s="11">
        <v>48960</v>
      </c>
      <c r="B321" s="12" t="s">
        <v>4</v>
      </c>
      <c r="C321" s="13">
        <v>10.9</v>
      </c>
      <c r="D321" s="14">
        <v>0</v>
      </c>
      <c r="E321" s="18">
        <v>1</v>
      </c>
    </row>
    <row r="322" spans="1:5" x14ac:dyDescent="0.35">
      <c r="A322" s="7">
        <v>48961</v>
      </c>
      <c r="B322" s="8" t="s">
        <v>9</v>
      </c>
      <c r="C322" s="9">
        <v>13.7</v>
      </c>
      <c r="D322" s="10">
        <v>0</v>
      </c>
      <c r="E322" s="18">
        <v>1</v>
      </c>
    </row>
    <row r="323" spans="1:5" x14ac:dyDescent="0.35">
      <c r="A323" s="11">
        <v>48962</v>
      </c>
      <c r="B323" s="12" t="s">
        <v>11</v>
      </c>
      <c r="C323" s="13">
        <v>28.2</v>
      </c>
      <c r="D323" s="14">
        <v>0</v>
      </c>
      <c r="E323" s="18">
        <v>1</v>
      </c>
    </row>
    <row r="324" spans="1:5" x14ac:dyDescent="0.35">
      <c r="A324" s="7">
        <v>48963</v>
      </c>
      <c r="B324" s="8" t="s">
        <v>19</v>
      </c>
      <c r="C324" s="9">
        <v>20.100000000000001</v>
      </c>
      <c r="D324" s="10">
        <v>0</v>
      </c>
      <c r="E324" s="18">
        <v>1</v>
      </c>
    </row>
    <row r="325" spans="1:5" x14ac:dyDescent="0.35">
      <c r="A325" s="11">
        <v>48964</v>
      </c>
      <c r="B325" s="12" t="s">
        <v>11</v>
      </c>
      <c r="C325" s="13">
        <v>20.6</v>
      </c>
      <c r="D325" s="14">
        <v>0</v>
      </c>
      <c r="E325" s="18">
        <v>1</v>
      </c>
    </row>
    <row r="326" spans="1:5" x14ac:dyDescent="0.35">
      <c r="A326" s="7">
        <v>48965</v>
      </c>
      <c r="B326" s="8" t="s">
        <v>13</v>
      </c>
      <c r="C326" s="9">
        <v>15.5</v>
      </c>
      <c r="D326" s="10">
        <v>16.8</v>
      </c>
      <c r="E326" s="18">
        <v>1</v>
      </c>
    </row>
    <row r="327" spans="1:5" x14ac:dyDescent="0.35">
      <c r="A327" s="11">
        <v>48966</v>
      </c>
      <c r="B327" s="12" t="s">
        <v>12</v>
      </c>
      <c r="C327" s="13">
        <v>22.2</v>
      </c>
      <c r="D327" s="14">
        <v>2.4</v>
      </c>
      <c r="E327" s="18">
        <v>1</v>
      </c>
    </row>
    <row r="328" spans="1:5" x14ac:dyDescent="0.35">
      <c r="A328" s="7">
        <v>48967</v>
      </c>
      <c r="B328" s="8" t="s">
        <v>13</v>
      </c>
      <c r="C328" s="9">
        <v>15</v>
      </c>
      <c r="D328" s="10">
        <v>4.0999999999999996</v>
      </c>
      <c r="E328" s="18">
        <v>1</v>
      </c>
    </row>
    <row r="329" spans="1:5" x14ac:dyDescent="0.35">
      <c r="A329" s="11">
        <v>48968</v>
      </c>
      <c r="B329" s="12" t="s">
        <v>19</v>
      </c>
      <c r="C329" s="13">
        <v>18.399999999999999</v>
      </c>
      <c r="D329" s="14">
        <v>30.4</v>
      </c>
      <c r="E329" s="18">
        <v>1</v>
      </c>
    </row>
    <row r="330" spans="1:5" x14ac:dyDescent="0.35">
      <c r="A330" s="7">
        <v>48969</v>
      </c>
      <c r="B330" s="8" t="s">
        <v>32</v>
      </c>
      <c r="C330" s="9">
        <v>29.3</v>
      </c>
      <c r="D330" s="10">
        <v>0.4</v>
      </c>
      <c r="E330" s="18">
        <v>1</v>
      </c>
    </row>
    <row r="331" spans="1:5" x14ac:dyDescent="0.35">
      <c r="A331" s="11">
        <v>48970</v>
      </c>
      <c r="B331" s="12" t="s">
        <v>23</v>
      </c>
      <c r="C331" s="13">
        <v>23.9</v>
      </c>
      <c r="D331" s="14">
        <v>3.3</v>
      </c>
      <c r="E331" s="18">
        <v>1</v>
      </c>
    </row>
    <row r="332" spans="1:5" x14ac:dyDescent="0.35">
      <c r="A332" s="7">
        <v>48971</v>
      </c>
      <c r="B332" s="8" t="s">
        <v>20</v>
      </c>
      <c r="C332" s="9">
        <v>29.8</v>
      </c>
      <c r="D332" s="10">
        <v>3.3</v>
      </c>
      <c r="E332" s="18">
        <v>1</v>
      </c>
    </row>
    <row r="333" spans="1:5" x14ac:dyDescent="0.35">
      <c r="A333" s="11">
        <v>48972</v>
      </c>
      <c r="B333" s="12" t="s">
        <v>10</v>
      </c>
      <c r="C333" s="13">
        <v>29.1</v>
      </c>
      <c r="D333" s="14">
        <v>23</v>
      </c>
      <c r="E333" s="18">
        <v>1</v>
      </c>
    </row>
    <row r="334" spans="1:5" x14ac:dyDescent="0.35">
      <c r="A334" s="7">
        <v>48973</v>
      </c>
      <c r="B334" s="8" t="s">
        <v>11</v>
      </c>
      <c r="C334" s="9">
        <v>22.5</v>
      </c>
      <c r="D334" s="10">
        <v>17.2</v>
      </c>
      <c r="E334" s="18">
        <v>1</v>
      </c>
    </row>
    <row r="335" spans="1:5" x14ac:dyDescent="0.35">
      <c r="A335" s="11">
        <v>48974</v>
      </c>
      <c r="B335" s="12" t="s">
        <v>19</v>
      </c>
      <c r="C335" s="13">
        <v>15.3</v>
      </c>
      <c r="D335" s="14">
        <v>21.5</v>
      </c>
      <c r="E335" s="18">
        <v>1</v>
      </c>
    </row>
    <row r="336" spans="1:5" x14ac:dyDescent="0.35">
      <c r="A336" s="7">
        <v>48975</v>
      </c>
      <c r="B336" s="8" t="s">
        <v>10</v>
      </c>
      <c r="C336" s="9">
        <v>13.8</v>
      </c>
      <c r="D336" s="10">
        <v>40.4</v>
      </c>
      <c r="E336" s="18">
        <v>1</v>
      </c>
    </row>
    <row r="337" spans="1:5" x14ac:dyDescent="0.35">
      <c r="A337" s="11">
        <v>48976</v>
      </c>
      <c r="B337" s="12" t="s">
        <v>7</v>
      </c>
      <c r="C337" s="13">
        <v>12.3</v>
      </c>
      <c r="D337" s="14">
        <v>0</v>
      </c>
      <c r="E337" s="18">
        <v>1</v>
      </c>
    </row>
    <row r="338" spans="1:5" x14ac:dyDescent="0.35">
      <c r="A338" s="7">
        <v>48977</v>
      </c>
      <c r="B338" s="8" t="s">
        <v>5</v>
      </c>
      <c r="C338" s="9">
        <v>18.5</v>
      </c>
      <c r="D338" s="10">
        <v>4.2</v>
      </c>
      <c r="E338" s="18">
        <v>1</v>
      </c>
    </row>
    <row r="339" spans="1:5" x14ac:dyDescent="0.35">
      <c r="A339" s="11">
        <v>48978</v>
      </c>
      <c r="B339" s="12" t="s">
        <v>20</v>
      </c>
      <c r="C339" s="13">
        <v>10.3</v>
      </c>
      <c r="D339" s="14">
        <v>3.2</v>
      </c>
      <c r="E339" s="18">
        <v>1</v>
      </c>
    </row>
    <row r="340" spans="1:5" x14ac:dyDescent="0.35">
      <c r="A340" s="7">
        <v>48979</v>
      </c>
      <c r="B340" s="8" t="s">
        <v>19</v>
      </c>
      <c r="C340" s="9">
        <v>24.9</v>
      </c>
      <c r="D340" s="10">
        <v>12.1</v>
      </c>
      <c r="E340" s="18">
        <v>1</v>
      </c>
    </row>
    <row r="341" spans="1:5" x14ac:dyDescent="0.35">
      <c r="A341" s="11">
        <v>48980</v>
      </c>
      <c r="B341" s="12" t="s">
        <v>10</v>
      </c>
      <c r="C341" s="13">
        <v>26.4</v>
      </c>
      <c r="D341" s="14">
        <v>0</v>
      </c>
      <c r="E341" s="18">
        <v>1</v>
      </c>
    </row>
    <row r="342" spans="1:5" x14ac:dyDescent="0.35">
      <c r="A342" s="7">
        <v>48981</v>
      </c>
      <c r="B342" s="8" t="s">
        <v>7</v>
      </c>
      <c r="C342" s="9">
        <v>11.8</v>
      </c>
      <c r="D342" s="10">
        <v>0</v>
      </c>
      <c r="E342" s="18">
        <v>1</v>
      </c>
    </row>
    <row r="343" spans="1:5" x14ac:dyDescent="0.35">
      <c r="A343" s="11">
        <v>48982</v>
      </c>
      <c r="B343" s="12" t="s">
        <v>6</v>
      </c>
      <c r="C343" s="13">
        <v>11</v>
      </c>
      <c r="D343" s="14">
        <v>7.5</v>
      </c>
      <c r="E343" s="18">
        <v>1</v>
      </c>
    </row>
    <row r="344" spans="1:5" x14ac:dyDescent="0.35">
      <c r="A344" s="7">
        <v>48983</v>
      </c>
      <c r="B344" s="8" t="s">
        <v>10</v>
      </c>
      <c r="C344" s="9">
        <v>15.4</v>
      </c>
      <c r="D344" s="10">
        <v>5.2</v>
      </c>
      <c r="E344" s="18">
        <v>1</v>
      </c>
    </row>
    <row r="345" spans="1:5" x14ac:dyDescent="0.35">
      <c r="A345" s="11">
        <v>48984</v>
      </c>
      <c r="B345" s="12" t="s">
        <v>27</v>
      </c>
      <c r="C345" s="13">
        <v>25.7</v>
      </c>
      <c r="D345" s="14">
        <v>5.8</v>
      </c>
      <c r="E345" s="18">
        <v>1</v>
      </c>
    </row>
    <row r="346" spans="1:5" x14ac:dyDescent="0.35">
      <c r="A346" s="7">
        <v>48985</v>
      </c>
      <c r="B346" s="8" t="s">
        <v>13</v>
      </c>
      <c r="C346" s="9">
        <v>14.8</v>
      </c>
      <c r="D346" s="10">
        <v>0</v>
      </c>
      <c r="E346" s="18">
        <v>1</v>
      </c>
    </row>
    <row r="347" spans="1:5" x14ac:dyDescent="0.35">
      <c r="A347" s="11">
        <v>48986</v>
      </c>
      <c r="B347" s="12" t="s">
        <v>31</v>
      </c>
      <c r="C347" s="13">
        <v>21.5</v>
      </c>
      <c r="D347" s="14">
        <v>0.8</v>
      </c>
      <c r="E347" s="18">
        <v>1</v>
      </c>
    </row>
    <row r="348" spans="1:5" x14ac:dyDescent="0.35">
      <c r="A348" s="7">
        <v>48987</v>
      </c>
      <c r="B348" s="8" t="s">
        <v>19</v>
      </c>
      <c r="C348" s="9">
        <v>26.2</v>
      </c>
      <c r="D348" s="10">
        <v>8.9</v>
      </c>
      <c r="E348" s="18">
        <v>1</v>
      </c>
    </row>
    <row r="349" spans="1:5" x14ac:dyDescent="0.35">
      <c r="A349" s="11">
        <v>48988</v>
      </c>
      <c r="B349" s="12" t="s">
        <v>4</v>
      </c>
      <c r="C349" s="13">
        <v>20.6</v>
      </c>
      <c r="D349" s="14">
        <v>0.1</v>
      </c>
      <c r="E349" s="18">
        <v>1</v>
      </c>
    </row>
    <row r="350" spans="1:5" x14ac:dyDescent="0.35">
      <c r="A350" s="7">
        <v>48989</v>
      </c>
      <c r="B350" s="8" t="s">
        <v>10</v>
      </c>
      <c r="C350" s="9">
        <v>14.1</v>
      </c>
      <c r="D350" s="10">
        <v>20.9</v>
      </c>
      <c r="E350" s="18">
        <v>1</v>
      </c>
    </row>
    <row r="351" spans="1:5" x14ac:dyDescent="0.35">
      <c r="A351" s="11">
        <v>48990</v>
      </c>
      <c r="B351" s="12" t="s">
        <v>24</v>
      </c>
      <c r="C351" s="13">
        <v>20.8</v>
      </c>
      <c r="D351" s="14">
        <v>0.7</v>
      </c>
      <c r="E351" s="18">
        <v>1</v>
      </c>
    </row>
    <row r="352" spans="1:5" x14ac:dyDescent="0.35">
      <c r="A352" s="7">
        <v>48991</v>
      </c>
      <c r="B352" s="8" t="s">
        <v>18</v>
      </c>
      <c r="C352" s="9">
        <v>17.600000000000001</v>
      </c>
      <c r="D352" s="10">
        <v>10.5</v>
      </c>
      <c r="E352" s="18">
        <v>1</v>
      </c>
    </row>
    <row r="353" spans="1:5" x14ac:dyDescent="0.35">
      <c r="A353" s="11">
        <v>48992</v>
      </c>
      <c r="B353" s="12" t="s">
        <v>10</v>
      </c>
      <c r="C353" s="13">
        <v>16.8</v>
      </c>
      <c r="D353" s="14">
        <v>38.9</v>
      </c>
      <c r="E353" s="18">
        <v>1</v>
      </c>
    </row>
    <row r="354" spans="1:5" x14ac:dyDescent="0.35">
      <c r="A354" s="7">
        <v>48993</v>
      </c>
      <c r="B354" s="8" t="s">
        <v>4</v>
      </c>
      <c r="C354" s="9">
        <v>23.1</v>
      </c>
      <c r="D354" s="10">
        <v>0</v>
      </c>
      <c r="E354" s="18">
        <v>1</v>
      </c>
    </row>
    <row r="355" spans="1:5" x14ac:dyDescent="0.35">
      <c r="A355" s="11">
        <v>48994</v>
      </c>
      <c r="B355" s="12" t="s">
        <v>27</v>
      </c>
      <c r="C355" s="13">
        <v>16.3</v>
      </c>
      <c r="D355" s="14">
        <v>3.4</v>
      </c>
      <c r="E355" s="18">
        <v>1</v>
      </c>
    </row>
    <row r="356" spans="1:5" x14ac:dyDescent="0.35">
      <c r="A356" s="7">
        <v>48995</v>
      </c>
      <c r="B356" s="8" t="s">
        <v>7</v>
      </c>
      <c r="C356" s="9">
        <v>15.7</v>
      </c>
      <c r="D356" s="10">
        <v>10.9</v>
      </c>
      <c r="E356" s="18">
        <v>1</v>
      </c>
    </row>
    <row r="357" spans="1:5" x14ac:dyDescent="0.35">
      <c r="A357" s="11">
        <v>48996</v>
      </c>
      <c r="B357" s="12" t="s">
        <v>18</v>
      </c>
      <c r="C357" s="13">
        <v>29.3</v>
      </c>
      <c r="D357" s="14">
        <v>2.1</v>
      </c>
      <c r="E357" s="18">
        <v>1</v>
      </c>
    </row>
    <row r="358" spans="1:5" x14ac:dyDescent="0.35">
      <c r="A358" s="7">
        <v>48997</v>
      </c>
      <c r="B358" s="8" t="s">
        <v>22</v>
      </c>
      <c r="C358" s="9">
        <v>24</v>
      </c>
      <c r="D358" s="10">
        <v>7.3</v>
      </c>
      <c r="E358" s="18">
        <v>1</v>
      </c>
    </row>
    <row r="359" spans="1:5" x14ac:dyDescent="0.35">
      <c r="A359" s="11">
        <v>48998</v>
      </c>
      <c r="B359" s="12" t="s">
        <v>6</v>
      </c>
      <c r="C359" s="13">
        <v>27</v>
      </c>
      <c r="D359" s="14">
        <v>0.6</v>
      </c>
      <c r="E359" s="18">
        <v>1</v>
      </c>
    </row>
    <row r="360" spans="1:5" x14ac:dyDescent="0.35">
      <c r="A360" s="7">
        <v>48999</v>
      </c>
      <c r="B360" s="8" t="s">
        <v>10</v>
      </c>
      <c r="C360" s="9">
        <v>26.3</v>
      </c>
      <c r="D360" s="10">
        <v>1.2</v>
      </c>
      <c r="E360" s="18">
        <v>1</v>
      </c>
    </row>
    <row r="361" spans="1:5" x14ac:dyDescent="0.35">
      <c r="A361" s="11">
        <v>49000</v>
      </c>
      <c r="B361" s="12" t="s">
        <v>15</v>
      </c>
      <c r="C361" s="13">
        <v>26.3</v>
      </c>
      <c r="D361" s="14">
        <v>8.1999999999999993</v>
      </c>
      <c r="E361" s="18">
        <v>1</v>
      </c>
    </row>
    <row r="362" spans="1:5" x14ac:dyDescent="0.35">
      <c r="A362" s="7">
        <v>49001</v>
      </c>
      <c r="B362" s="8" t="s">
        <v>6</v>
      </c>
      <c r="C362" s="9">
        <v>25.2</v>
      </c>
      <c r="D362" s="10">
        <v>4.7</v>
      </c>
      <c r="E362" s="18">
        <v>1</v>
      </c>
    </row>
    <row r="363" spans="1:5" x14ac:dyDescent="0.35">
      <c r="A363" s="11">
        <v>49002</v>
      </c>
      <c r="B363" s="12" t="s">
        <v>10</v>
      </c>
      <c r="C363" s="13">
        <v>22.1</v>
      </c>
      <c r="D363" s="14">
        <v>0</v>
      </c>
      <c r="E363" s="18">
        <v>1</v>
      </c>
    </row>
    <row r="364" spans="1:5" x14ac:dyDescent="0.35">
      <c r="A364" s="7">
        <v>49003</v>
      </c>
      <c r="B364" s="8" t="s">
        <v>10</v>
      </c>
      <c r="C364" s="9">
        <v>11.9</v>
      </c>
      <c r="D364" s="10">
        <v>41.6</v>
      </c>
      <c r="E364" s="18">
        <v>1</v>
      </c>
    </row>
    <row r="365" spans="1:5" x14ac:dyDescent="0.35">
      <c r="A365" s="11">
        <v>49004</v>
      </c>
      <c r="B365" s="12" t="s">
        <v>13</v>
      </c>
      <c r="C365" s="13">
        <v>19.600000000000001</v>
      </c>
      <c r="D365" s="14">
        <v>0</v>
      </c>
      <c r="E365" s="18">
        <v>1</v>
      </c>
    </row>
    <row r="366" spans="1:5" x14ac:dyDescent="0.35">
      <c r="A366" s="7">
        <v>49005</v>
      </c>
      <c r="B366" s="8" t="s">
        <v>27</v>
      </c>
      <c r="C366" s="9">
        <v>15.9</v>
      </c>
      <c r="D366" s="10">
        <v>0</v>
      </c>
      <c r="E366" s="18">
        <v>1</v>
      </c>
    </row>
    <row r="367" spans="1:5" x14ac:dyDescent="0.35">
      <c r="A367" s="11">
        <v>49006</v>
      </c>
      <c r="B367" s="12" t="s">
        <v>12</v>
      </c>
      <c r="C367" s="13">
        <v>24.3</v>
      </c>
      <c r="D367" s="14">
        <v>1.7</v>
      </c>
      <c r="E367" s="18">
        <v>1</v>
      </c>
    </row>
    <row r="368" spans="1:5" x14ac:dyDescent="0.35">
      <c r="A368" s="7">
        <v>49007</v>
      </c>
      <c r="B368" s="8" t="s">
        <v>14</v>
      </c>
      <c r="C368" s="9">
        <v>20</v>
      </c>
      <c r="D368" s="10">
        <v>0</v>
      </c>
      <c r="E368" s="18">
        <v>1</v>
      </c>
    </row>
    <row r="369" spans="1:5" x14ac:dyDescent="0.35">
      <c r="A369" s="11">
        <v>49008</v>
      </c>
      <c r="B369" s="12" t="s">
        <v>10</v>
      </c>
      <c r="C369" s="13">
        <v>14.2</v>
      </c>
      <c r="D369" s="14">
        <v>32.200000000000003</v>
      </c>
      <c r="E369" s="18">
        <v>1</v>
      </c>
    </row>
    <row r="370" spans="1:5" x14ac:dyDescent="0.35">
      <c r="A370" s="7">
        <v>49009</v>
      </c>
      <c r="B370" s="8" t="s">
        <v>7</v>
      </c>
      <c r="C370" s="9">
        <v>20.5</v>
      </c>
      <c r="D370" s="10">
        <v>18.3</v>
      </c>
      <c r="E370" s="18">
        <v>1</v>
      </c>
    </row>
    <row r="371" spans="1:5" x14ac:dyDescent="0.35">
      <c r="A371" s="11">
        <v>49010</v>
      </c>
      <c r="B371" s="12" t="s">
        <v>10</v>
      </c>
      <c r="C371" s="13">
        <v>22.4</v>
      </c>
      <c r="D371" s="14">
        <v>0</v>
      </c>
      <c r="E371" s="18">
        <v>1</v>
      </c>
    </row>
    <row r="372" spans="1:5" x14ac:dyDescent="0.35">
      <c r="A372" s="7">
        <v>49011</v>
      </c>
      <c r="B372" s="8" t="s">
        <v>22</v>
      </c>
      <c r="C372" s="9">
        <v>19.100000000000001</v>
      </c>
      <c r="D372" s="10">
        <v>0</v>
      </c>
      <c r="E372" s="18">
        <v>1</v>
      </c>
    </row>
    <row r="373" spans="1:5" x14ac:dyDescent="0.35">
      <c r="A373" s="11">
        <v>49012</v>
      </c>
      <c r="B373" s="12" t="s">
        <v>15</v>
      </c>
      <c r="C373" s="13">
        <v>20.399999999999999</v>
      </c>
      <c r="D373" s="14">
        <v>4.3</v>
      </c>
      <c r="E373" s="18">
        <v>1</v>
      </c>
    </row>
    <row r="374" spans="1:5" x14ac:dyDescent="0.35">
      <c r="A374" s="7">
        <v>49013</v>
      </c>
      <c r="B374" s="8" t="s">
        <v>19</v>
      </c>
      <c r="C374" s="9">
        <v>29.8</v>
      </c>
      <c r="D374" s="10">
        <v>0</v>
      </c>
      <c r="E374" s="18">
        <v>1</v>
      </c>
    </row>
    <row r="375" spans="1:5" x14ac:dyDescent="0.35">
      <c r="A375" s="11">
        <v>49014</v>
      </c>
      <c r="B375" s="12" t="s">
        <v>33</v>
      </c>
      <c r="C375" s="13">
        <v>13.7</v>
      </c>
      <c r="D375" s="14">
        <v>0.7</v>
      </c>
      <c r="E375" s="18">
        <v>1</v>
      </c>
    </row>
    <row r="376" spans="1:5" x14ac:dyDescent="0.35">
      <c r="A376" s="7">
        <v>49015</v>
      </c>
      <c r="B376" s="8" t="s">
        <v>8</v>
      </c>
      <c r="C376" s="9">
        <v>20.2</v>
      </c>
      <c r="D376" s="10">
        <v>3.7</v>
      </c>
      <c r="E376" s="18">
        <v>1</v>
      </c>
    </row>
    <row r="377" spans="1:5" x14ac:dyDescent="0.35">
      <c r="A377" s="11">
        <v>49016</v>
      </c>
      <c r="B377" s="12" t="s">
        <v>11</v>
      </c>
      <c r="C377" s="13">
        <v>18.2</v>
      </c>
      <c r="D377" s="14">
        <v>1.6</v>
      </c>
      <c r="E377" s="18">
        <v>1</v>
      </c>
    </row>
    <row r="378" spans="1:5" x14ac:dyDescent="0.35">
      <c r="A378" s="7">
        <v>49017</v>
      </c>
      <c r="B378" s="8" t="s">
        <v>13</v>
      </c>
      <c r="C378" s="9">
        <v>14.2</v>
      </c>
      <c r="D378" s="10">
        <v>2</v>
      </c>
      <c r="E378" s="18">
        <v>1</v>
      </c>
    </row>
    <row r="379" spans="1:5" x14ac:dyDescent="0.35">
      <c r="A379" s="11">
        <v>49018</v>
      </c>
      <c r="B379" s="12" t="s">
        <v>15</v>
      </c>
      <c r="C379" s="13">
        <v>11.2</v>
      </c>
      <c r="D379" s="14">
        <v>14.3</v>
      </c>
      <c r="E379" s="18">
        <v>1</v>
      </c>
    </row>
    <row r="380" spans="1:5" x14ac:dyDescent="0.35">
      <c r="A380" s="7">
        <v>49019</v>
      </c>
      <c r="B380" s="8" t="s">
        <v>32</v>
      </c>
      <c r="C380" s="9">
        <v>13.9</v>
      </c>
      <c r="D380" s="10">
        <v>0.2</v>
      </c>
      <c r="E380" s="18">
        <v>1</v>
      </c>
    </row>
    <row r="381" spans="1:5" x14ac:dyDescent="0.35">
      <c r="A381" s="11">
        <v>49020</v>
      </c>
      <c r="B381" s="12" t="s">
        <v>11</v>
      </c>
      <c r="C381" s="13">
        <v>22.6</v>
      </c>
      <c r="D381" s="14">
        <v>15.1</v>
      </c>
      <c r="E381" s="18">
        <v>1</v>
      </c>
    </row>
    <row r="382" spans="1:5" x14ac:dyDescent="0.35">
      <c r="A382" s="7">
        <v>49021</v>
      </c>
      <c r="B382" s="8" t="s">
        <v>15</v>
      </c>
      <c r="C382" s="9">
        <v>29.8</v>
      </c>
      <c r="D382" s="10">
        <v>0</v>
      </c>
      <c r="E382" s="18">
        <v>1</v>
      </c>
    </row>
    <row r="383" spans="1:5" x14ac:dyDescent="0.35">
      <c r="A383" s="11">
        <v>49022</v>
      </c>
      <c r="B383" s="12" t="s">
        <v>20</v>
      </c>
      <c r="C383" s="13">
        <v>12.7</v>
      </c>
      <c r="D383" s="14">
        <v>2.6</v>
      </c>
      <c r="E383" s="18">
        <v>1</v>
      </c>
    </row>
    <row r="384" spans="1:5" x14ac:dyDescent="0.35">
      <c r="A384" s="7">
        <v>49023</v>
      </c>
      <c r="B384" s="8" t="s">
        <v>27</v>
      </c>
      <c r="C384" s="9">
        <v>14.4</v>
      </c>
      <c r="D384" s="10">
        <v>0</v>
      </c>
      <c r="E384" s="18">
        <v>1</v>
      </c>
    </row>
    <row r="385" spans="1:5" x14ac:dyDescent="0.35">
      <c r="A385" s="11">
        <v>49024</v>
      </c>
      <c r="B385" s="12" t="s">
        <v>33</v>
      </c>
      <c r="C385" s="13">
        <v>18.399999999999999</v>
      </c>
      <c r="D385" s="14">
        <v>0.2</v>
      </c>
      <c r="E385" s="18">
        <v>1</v>
      </c>
    </row>
    <row r="386" spans="1:5" x14ac:dyDescent="0.35">
      <c r="A386" s="7">
        <v>49025</v>
      </c>
      <c r="B386" s="8" t="s">
        <v>9</v>
      </c>
      <c r="C386" s="9">
        <v>27.2</v>
      </c>
      <c r="D386" s="10">
        <v>9.6</v>
      </c>
      <c r="E386" s="18">
        <v>1</v>
      </c>
    </row>
    <row r="387" spans="1:5" x14ac:dyDescent="0.35">
      <c r="A387" s="11">
        <v>49026</v>
      </c>
      <c r="B387" s="12" t="s">
        <v>22</v>
      </c>
      <c r="C387" s="13">
        <v>12.5</v>
      </c>
      <c r="D387" s="14">
        <v>8.8000000000000007</v>
      </c>
      <c r="E387" s="18">
        <v>1</v>
      </c>
    </row>
    <row r="388" spans="1:5" x14ac:dyDescent="0.35">
      <c r="A388" s="7">
        <v>49027</v>
      </c>
      <c r="B388" s="8" t="s">
        <v>26</v>
      </c>
      <c r="C388" s="9">
        <v>22.6</v>
      </c>
      <c r="D388" s="10">
        <v>3.5</v>
      </c>
      <c r="E388" s="18">
        <v>1</v>
      </c>
    </row>
    <row r="389" spans="1:5" x14ac:dyDescent="0.35">
      <c r="A389" s="11">
        <v>49028</v>
      </c>
      <c r="B389" s="12" t="s">
        <v>7</v>
      </c>
      <c r="C389" s="13">
        <v>21.8</v>
      </c>
      <c r="D389" s="14">
        <v>6.5</v>
      </c>
      <c r="E389" s="18">
        <v>1</v>
      </c>
    </row>
    <row r="390" spans="1:5" x14ac:dyDescent="0.35">
      <c r="A390" s="7">
        <v>49029</v>
      </c>
      <c r="B390" s="8" t="s">
        <v>23</v>
      </c>
      <c r="C390" s="9">
        <v>17.2</v>
      </c>
      <c r="D390" s="10">
        <v>0</v>
      </c>
      <c r="E390" s="18">
        <v>1</v>
      </c>
    </row>
    <row r="391" spans="1:5" x14ac:dyDescent="0.35">
      <c r="A391" s="11">
        <v>49030</v>
      </c>
      <c r="B391" s="12" t="s">
        <v>13</v>
      </c>
      <c r="C391" s="13">
        <v>13.4</v>
      </c>
      <c r="D391" s="14">
        <v>14.1</v>
      </c>
      <c r="E391" s="18">
        <v>1</v>
      </c>
    </row>
    <row r="392" spans="1:5" x14ac:dyDescent="0.35">
      <c r="A392" s="7">
        <v>49031</v>
      </c>
      <c r="B392" s="8" t="s">
        <v>9</v>
      </c>
      <c r="C392" s="9">
        <v>13.8</v>
      </c>
      <c r="D392" s="10">
        <v>9.9</v>
      </c>
      <c r="E392" s="18">
        <v>1</v>
      </c>
    </row>
    <row r="393" spans="1:5" x14ac:dyDescent="0.35">
      <c r="A393" s="11">
        <v>49032</v>
      </c>
      <c r="B393" s="12" t="s">
        <v>24</v>
      </c>
      <c r="C393" s="13">
        <v>10.6</v>
      </c>
      <c r="D393" s="14">
        <v>1.2</v>
      </c>
      <c r="E393" s="18">
        <v>1</v>
      </c>
    </row>
    <row r="394" spans="1:5" x14ac:dyDescent="0.35">
      <c r="A394" s="7">
        <v>49033</v>
      </c>
      <c r="B394" s="8" t="s">
        <v>16</v>
      </c>
      <c r="C394" s="9">
        <v>28.8</v>
      </c>
      <c r="D394" s="10">
        <v>0.1</v>
      </c>
      <c r="E394" s="18">
        <v>1</v>
      </c>
    </row>
    <row r="395" spans="1:5" x14ac:dyDescent="0.35">
      <c r="A395" s="11">
        <v>49034</v>
      </c>
      <c r="B395" s="12" t="s">
        <v>28</v>
      </c>
      <c r="C395" s="13">
        <v>16.899999999999999</v>
      </c>
      <c r="D395" s="14">
        <v>0.7</v>
      </c>
      <c r="E395" s="18">
        <v>1</v>
      </c>
    </row>
    <row r="396" spans="1:5" x14ac:dyDescent="0.35">
      <c r="A396" s="7">
        <v>49035</v>
      </c>
      <c r="B396" s="8" t="s">
        <v>18</v>
      </c>
      <c r="C396" s="9">
        <v>11.2</v>
      </c>
      <c r="D396" s="10">
        <v>4.8</v>
      </c>
      <c r="E396" s="18">
        <v>1</v>
      </c>
    </row>
    <row r="397" spans="1:5" x14ac:dyDescent="0.35">
      <c r="A397" s="11">
        <v>49036</v>
      </c>
      <c r="B397" s="12" t="s">
        <v>10</v>
      </c>
      <c r="C397" s="13">
        <v>13.9</v>
      </c>
      <c r="D397" s="14">
        <v>23</v>
      </c>
      <c r="E397" s="18">
        <v>1</v>
      </c>
    </row>
    <row r="398" spans="1:5" x14ac:dyDescent="0.35">
      <c r="A398" s="7">
        <v>49037</v>
      </c>
      <c r="B398" s="8" t="s">
        <v>11</v>
      </c>
      <c r="C398" s="9">
        <v>25.3</v>
      </c>
      <c r="D398" s="10">
        <v>21.9</v>
      </c>
      <c r="E398" s="18">
        <v>1</v>
      </c>
    </row>
    <row r="399" spans="1:5" x14ac:dyDescent="0.35">
      <c r="A399" s="11">
        <v>49038</v>
      </c>
      <c r="B399" s="12" t="s">
        <v>10</v>
      </c>
      <c r="C399" s="13">
        <v>14.7</v>
      </c>
      <c r="D399" s="14">
        <v>0</v>
      </c>
      <c r="E399" s="18">
        <v>1</v>
      </c>
    </row>
    <row r="400" spans="1:5" x14ac:dyDescent="0.35">
      <c r="A400" s="7">
        <v>49039</v>
      </c>
      <c r="B400" s="8" t="s">
        <v>12</v>
      </c>
      <c r="C400" s="9">
        <v>20.3</v>
      </c>
      <c r="D400" s="10">
        <v>5.3</v>
      </c>
      <c r="E400" s="18">
        <v>1</v>
      </c>
    </row>
    <row r="401" spans="1:5" x14ac:dyDescent="0.35">
      <c r="A401" s="11">
        <v>49040</v>
      </c>
      <c r="B401" s="12" t="s">
        <v>15</v>
      </c>
      <c r="C401" s="13">
        <v>25</v>
      </c>
      <c r="D401" s="14">
        <v>3.8</v>
      </c>
      <c r="E401" s="18">
        <v>1</v>
      </c>
    </row>
    <row r="402" spans="1:5" x14ac:dyDescent="0.35">
      <c r="A402" s="7">
        <v>49041</v>
      </c>
      <c r="B402" s="8" t="s">
        <v>18</v>
      </c>
      <c r="C402" s="9">
        <v>19.600000000000001</v>
      </c>
      <c r="D402" s="10">
        <v>0.6</v>
      </c>
      <c r="E402" s="18">
        <v>1</v>
      </c>
    </row>
    <row r="403" spans="1:5" x14ac:dyDescent="0.35">
      <c r="A403" s="11">
        <v>49042</v>
      </c>
      <c r="B403" s="12" t="s">
        <v>12</v>
      </c>
      <c r="C403" s="13">
        <v>10.8</v>
      </c>
      <c r="D403" s="14">
        <v>0</v>
      </c>
      <c r="E403" s="18">
        <v>1</v>
      </c>
    </row>
    <row r="404" spans="1:5" x14ac:dyDescent="0.35">
      <c r="A404" s="7">
        <v>49043</v>
      </c>
      <c r="B404" s="8" t="s">
        <v>21</v>
      </c>
      <c r="C404" s="9">
        <v>17.100000000000001</v>
      </c>
      <c r="D404" s="10">
        <v>0.7</v>
      </c>
      <c r="E404" s="18">
        <v>1</v>
      </c>
    </row>
    <row r="405" spans="1:5" x14ac:dyDescent="0.35">
      <c r="A405" s="11">
        <v>49044</v>
      </c>
      <c r="B405" s="12" t="s">
        <v>14</v>
      </c>
      <c r="C405" s="13">
        <v>15.1</v>
      </c>
      <c r="D405" s="14">
        <v>0</v>
      </c>
      <c r="E405" s="18">
        <v>1</v>
      </c>
    </row>
    <row r="406" spans="1:5" x14ac:dyDescent="0.35">
      <c r="A406" s="7">
        <v>49045</v>
      </c>
      <c r="B406" s="8" t="s">
        <v>18</v>
      </c>
      <c r="C406" s="9">
        <v>26.4</v>
      </c>
      <c r="D406" s="10">
        <v>1.9</v>
      </c>
      <c r="E406" s="18">
        <v>1</v>
      </c>
    </row>
    <row r="407" spans="1:5" x14ac:dyDescent="0.35">
      <c r="A407" s="11">
        <v>49046</v>
      </c>
      <c r="B407" s="12" t="s">
        <v>10</v>
      </c>
      <c r="C407" s="13">
        <v>11.6</v>
      </c>
      <c r="D407" s="14">
        <v>14.4</v>
      </c>
      <c r="E407" s="18">
        <v>1</v>
      </c>
    </row>
    <row r="408" spans="1:5" x14ac:dyDescent="0.35">
      <c r="A408" s="7">
        <v>49047</v>
      </c>
      <c r="B408" s="8" t="s">
        <v>10</v>
      </c>
      <c r="C408" s="9">
        <v>16.600000000000001</v>
      </c>
      <c r="D408" s="10">
        <v>40.6</v>
      </c>
      <c r="E408" s="18">
        <v>1</v>
      </c>
    </row>
    <row r="409" spans="1:5" x14ac:dyDescent="0.35">
      <c r="A409" s="11">
        <v>49048</v>
      </c>
      <c r="B409" s="12" t="s">
        <v>19</v>
      </c>
      <c r="C409" s="13">
        <v>19.5</v>
      </c>
      <c r="D409" s="14">
        <v>24.9</v>
      </c>
      <c r="E409" s="18">
        <v>1</v>
      </c>
    </row>
    <row r="410" spans="1:5" x14ac:dyDescent="0.35">
      <c r="A410" s="7">
        <v>49049</v>
      </c>
      <c r="B410" s="8" t="s">
        <v>17</v>
      </c>
      <c r="C410" s="9">
        <v>24.9</v>
      </c>
      <c r="D410" s="10">
        <v>6.5</v>
      </c>
      <c r="E410" s="18">
        <v>1</v>
      </c>
    </row>
    <row r="411" spans="1:5" x14ac:dyDescent="0.35">
      <c r="A411" s="11">
        <v>49050</v>
      </c>
      <c r="B411" s="12" t="s">
        <v>23</v>
      </c>
      <c r="C411" s="13">
        <v>19.3</v>
      </c>
      <c r="D411" s="14">
        <v>0.8</v>
      </c>
      <c r="E411" s="18">
        <v>1</v>
      </c>
    </row>
    <row r="412" spans="1:5" x14ac:dyDescent="0.35">
      <c r="A412" s="7">
        <v>49051</v>
      </c>
      <c r="B412" s="8" t="s">
        <v>17</v>
      </c>
      <c r="C412" s="9">
        <v>26.2</v>
      </c>
      <c r="D412" s="10">
        <v>2.8</v>
      </c>
      <c r="E412" s="18">
        <v>1</v>
      </c>
    </row>
    <row r="413" spans="1:5" x14ac:dyDescent="0.35">
      <c r="A413" s="11">
        <v>49052</v>
      </c>
      <c r="B413" s="12" t="s">
        <v>7</v>
      </c>
      <c r="C413" s="13">
        <v>28.1</v>
      </c>
      <c r="D413" s="14">
        <v>0.6</v>
      </c>
      <c r="E413" s="18">
        <v>1</v>
      </c>
    </row>
    <row r="414" spans="1:5" x14ac:dyDescent="0.35">
      <c r="A414" s="7">
        <v>49053</v>
      </c>
      <c r="B414" s="8" t="s">
        <v>14</v>
      </c>
      <c r="C414" s="9">
        <v>17</v>
      </c>
      <c r="D414" s="10">
        <v>4.8</v>
      </c>
      <c r="E414" s="18">
        <v>1</v>
      </c>
    </row>
    <row r="415" spans="1:5" x14ac:dyDescent="0.35">
      <c r="A415" s="11">
        <v>49054</v>
      </c>
      <c r="B415" s="12" t="s">
        <v>17</v>
      </c>
      <c r="C415" s="13">
        <v>28.5</v>
      </c>
      <c r="D415" s="14">
        <v>7.1</v>
      </c>
      <c r="E415" s="18">
        <v>1</v>
      </c>
    </row>
    <row r="416" spans="1:5" x14ac:dyDescent="0.35">
      <c r="A416" s="7">
        <v>49055</v>
      </c>
      <c r="B416" s="8" t="s">
        <v>5</v>
      </c>
      <c r="C416" s="9">
        <v>14.2</v>
      </c>
      <c r="D416" s="10">
        <v>2.1</v>
      </c>
      <c r="E416" s="18">
        <v>1</v>
      </c>
    </row>
    <row r="417" spans="1:5" x14ac:dyDescent="0.35">
      <c r="A417" s="11">
        <v>49056</v>
      </c>
      <c r="B417" s="12" t="s">
        <v>7</v>
      </c>
      <c r="C417" s="13">
        <v>24.9</v>
      </c>
      <c r="D417" s="14">
        <v>8.3000000000000007</v>
      </c>
      <c r="E417" s="18">
        <v>1</v>
      </c>
    </row>
    <row r="418" spans="1:5" x14ac:dyDescent="0.35">
      <c r="A418" s="7">
        <v>49057</v>
      </c>
      <c r="B418" s="8" t="s">
        <v>17</v>
      </c>
      <c r="C418" s="9">
        <v>19.100000000000001</v>
      </c>
      <c r="D418" s="10">
        <v>3.4</v>
      </c>
      <c r="E418" s="18">
        <v>1</v>
      </c>
    </row>
    <row r="419" spans="1:5" x14ac:dyDescent="0.35">
      <c r="A419" s="11">
        <v>49058</v>
      </c>
      <c r="B419" s="12" t="s">
        <v>10</v>
      </c>
      <c r="C419" s="13">
        <v>14.9</v>
      </c>
      <c r="D419" s="14">
        <v>23.1</v>
      </c>
      <c r="E419" s="18">
        <v>1</v>
      </c>
    </row>
    <row r="420" spans="1:5" x14ac:dyDescent="0.35">
      <c r="A420" s="7">
        <v>49059</v>
      </c>
      <c r="B420" s="8" t="s">
        <v>27</v>
      </c>
      <c r="C420" s="9">
        <v>16.899999999999999</v>
      </c>
      <c r="D420" s="10">
        <v>6.8</v>
      </c>
      <c r="E420" s="18">
        <v>1</v>
      </c>
    </row>
    <row r="421" spans="1:5" x14ac:dyDescent="0.35">
      <c r="A421" s="11">
        <v>49060</v>
      </c>
      <c r="B421" s="12" t="s">
        <v>12</v>
      </c>
      <c r="C421" s="13">
        <v>15.9</v>
      </c>
      <c r="D421" s="14">
        <v>6.8</v>
      </c>
      <c r="E421" s="18">
        <v>1</v>
      </c>
    </row>
    <row r="422" spans="1:5" x14ac:dyDescent="0.35">
      <c r="A422" s="7">
        <v>49061</v>
      </c>
      <c r="B422" s="8" t="s">
        <v>29</v>
      </c>
      <c r="C422" s="9">
        <v>26.3</v>
      </c>
      <c r="D422" s="10">
        <v>0.7</v>
      </c>
      <c r="E422" s="18">
        <v>1</v>
      </c>
    </row>
    <row r="423" spans="1:5" x14ac:dyDescent="0.35">
      <c r="A423" s="11">
        <v>49062</v>
      </c>
      <c r="B423" s="12" t="s">
        <v>10</v>
      </c>
      <c r="C423" s="13">
        <v>12.2</v>
      </c>
      <c r="D423" s="14">
        <v>0</v>
      </c>
      <c r="E423" s="18">
        <v>1</v>
      </c>
    </row>
    <row r="424" spans="1:5" x14ac:dyDescent="0.35">
      <c r="A424" s="7">
        <v>49063</v>
      </c>
      <c r="B424" s="8" t="s">
        <v>7</v>
      </c>
      <c r="C424" s="9">
        <v>27.5</v>
      </c>
      <c r="D424" s="10">
        <v>0</v>
      </c>
      <c r="E424" s="18">
        <v>1</v>
      </c>
    </row>
    <row r="425" spans="1:5" x14ac:dyDescent="0.35">
      <c r="A425" s="11">
        <v>49064</v>
      </c>
      <c r="B425" s="12" t="s">
        <v>21</v>
      </c>
      <c r="C425" s="13">
        <v>23</v>
      </c>
      <c r="D425" s="14">
        <v>0</v>
      </c>
      <c r="E425" s="18">
        <v>1</v>
      </c>
    </row>
    <row r="426" spans="1:5" x14ac:dyDescent="0.35">
      <c r="A426" s="7">
        <v>49065</v>
      </c>
      <c r="B426" s="8" t="s">
        <v>19</v>
      </c>
      <c r="C426" s="9">
        <v>17.899999999999999</v>
      </c>
      <c r="D426" s="10">
        <v>36.799999999999997</v>
      </c>
      <c r="E426" s="18">
        <v>1</v>
      </c>
    </row>
    <row r="427" spans="1:5" x14ac:dyDescent="0.35">
      <c r="A427" s="11">
        <v>49066</v>
      </c>
      <c r="B427" s="12" t="s">
        <v>19</v>
      </c>
      <c r="C427" s="13">
        <v>27.3</v>
      </c>
      <c r="D427" s="14">
        <v>0</v>
      </c>
      <c r="E427" s="18">
        <v>1</v>
      </c>
    </row>
    <row r="428" spans="1:5" x14ac:dyDescent="0.35">
      <c r="A428" s="7">
        <v>49067</v>
      </c>
      <c r="B428" s="8" t="s">
        <v>4</v>
      </c>
      <c r="C428" s="9">
        <v>19.3</v>
      </c>
      <c r="D428" s="10">
        <v>0.4</v>
      </c>
      <c r="E428" s="18">
        <v>1</v>
      </c>
    </row>
    <row r="429" spans="1:5" x14ac:dyDescent="0.35">
      <c r="A429" s="11">
        <v>49068</v>
      </c>
      <c r="B429" s="12" t="s">
        <v>14</v>
      </c>
      <c r="C429" s="13">
        <v>25.5</v>
      </c>
      <c r="D429" s="14">
        <v>0</v>
      </c>
      <c r="E429" s="18">
        <v>1</v>
      </c>
    </row>
    <row r="430" spans="1:5" x14ac:dyDescent="0.35">
      <c r="A430" s="7">
        <v>49069</v>
      </c>
      <c r="B430" s="8" t="s">
        <v>6</v>
      </c>
      <c r="C430" s="9">
        <v>13.7</v>
      </c>
      <c r="D430" s="10">
        <v>11.7</v>
      </c>
      <c r="E430" s="18">
        <v>1</v>
      </c>
    </row>
    <row r="431" spans="1:5" x14ac:dyDescent="0.35">
      <c r="A431" s="11">
        <v>49070</v>
      </c>
      <c r="B431" s="12" t="s">
        <v>19</v>
      </c>
      <c r="C431" s="13">
        <v>18.399999999999999</v>
      </c>
      <c r="D431" s="14">
        <v>0</v>
      </c>
      <c r="E431" s="18">
        <v>1</v>
      </c>
    </row>
    <row r="432" spans="1:5" x14ac:dyDescent="0.35">
      <c r="A432" s="7">
        <v>49071</v>
      </c>
      <c r="B432" s="8" t="s">
        <v>18</v>
      </c>
      <c r="C432" s="9">
        <v>11.1</v>
      </c>
      <c r="D432" s="10">
        <v>0</v>
      </c>
      <c r="E432" s="18">
        <v>1</v>
      </c>
    </row>
    <row r="433" spans="1:5" x14ac:dyDescent="0.35">
      <c r="A433" s="11">
        <v>49072</v>
      </c>
      <c r="B433" s="12" t="s">
        <v>12</v>
      </c>
      <c r="C433" s="13">
        <v>28</v>
      </c>
      <c r="D433" s="14">
        <v>0</v>
      </c>
      <c r="E433" s="18">
        <v>1</v>
      </c>
    </row>
    <row r="434" spans="1:5" x14ac:dyDescent="0.35">
      <c r="A434" s="7">
        <v>49073</v>
      </c>
      <c r="B434" s="8" t="s">
        <v>6</v>
      </c>
      <c r="C434" s="9">
        <v>16.2</v>
      </c>
      <c r="D434" s="10">
        <v>13.7</v>
      </c>
      <c r="E434" s="18">
        <v>1</v>
      </c>
    </row>
    <row r="435" spans="1:5" x14ac:dyDescent="0.35">
      <c r="A435" s="11">
        <v>49074</v>
      </c>
      <c r="B435" s="12" t="s">
        <v>19</v>
      </c>
      <c r="C435" s="13">
        <v>12.1</v>
      </c>
      <c r="D435" s="14">
        <v>37.200000000000003</v>
      </c>
      <c r="E435" s="18">
        <v>1</v>
      </c>
    </row>
    <row r="436" spans="1:5" x14ac:dyDescent="0.35">
      <c r="A436" s="7">
        <v>49075</v>
      </c>
      <c r="B436" s="8" t="s">
        <v>20</v>
      </c>
      <c r="C436" s="9">
        <v>21.4</v>
      </c>
      <c r="D436" s="10">
        <v>3.1</v>
      </c>
      <c r="E436" s="18">
        <v>1</v>
      </c>
    </row>
    <row r="437" spans="1:5" x14ac:dyDescent="0.35">
      <c r="A437" s="11">
        <v>49076</v>
      </c>
      <c r="B437" s="12" t="s">
        <v>10</v>
      </c>
      <c r="C437" s="13">
        <v>11.2</v>
      </c>
      <c r="D437" s="14">
        <v>0</v>
      </c>
      <c r="E437" s="18">
        <v>1</v>
      </c>
    </row>
    <row r="438" spans="1:5" x14ac:dyDescent="0.35">
      <c r="A438" s="7">
        <v>49077</v>
      </c>
      <c r="B438" s="8" t="s">
        <v>28</v>
      </c>
      <c r="C438" s="9">
        <v>18.399999999999999</v>
      </c>
      <c r="D438" s="10">
        <v>0.2</v>
      </c>
      <c r="E438" s="18">
        <v>1</v>
      </c>
    </row>
    <row r="439" spans="1:5" x14ac:dyDescent="0.35">
      <c r="A439" s="11">
        <v>49078</v>
      </c>
      <c r="B439" s="12" t="s">
        <v>12</v>
      </c>
      <c r="C439" s="13">
        <v>13.7</v>
      </c>
      <c r="D439" s="14">
        <v>0</v>
      </c>
      <c r="E439" s="18">
        <v>1</v>
      </c>
    </row>
    <row r="440" spans="1:5" x14ac:dyDescent="0.35">
      <c r="A440" s="7">
        <v>49079</v>
      </c>
      <c r="B440" s="8" t="s">
        <v>19</v>
      </c>
      <c r="C440" s="9">
        <v>10.4</v>
      </c>
      <c r="D440" s="10">
        <v>15.6</v>
      </c>
      <c r="E440" s="18">
        <v>1</v>
      </c>
    </row>
    <row r="441" spans="1:5" x14ac:dyDescent="0.35">
      <c r="A441" s="11">
        <v>49080</v>
      </c>
      <c r="B441" s="12" t="s">
        <v>31</v>
      </c>
      <c r="C441" s="13">
        <v>21.8</v>
      </c>
      <c r="D441" s="14">
        <v>0</v>
      </c>
      <c r="E441" s="18">
        <v>1</v>
      </c>
    </row>
    <row r="442" spans="1:5" x14ac:dyDescent="0.35">
      <c r="A442" s="7">
        <v>49081</v>
      </c>
      <c r="B442" s="8" t="s">
        <v>7</v>
      </c>
      <c r="C442" s="9">
        <v>11</v>
      </c>
      <c r="D442" s="10">
        <v>0.4</v>
      </c>
      <c r="E442" s="18">
        <v>1</v>
      </c>
    </row>
    <row r="443" spans="1:5" x14ac:dyDescent="0.35">
      <c r="A443" s="11">
        <v>49082</v>
      </c>
      <c r="B443" s="12" t="s">
        <v>10</v>
      </c>
      <c r="C443" s="13">
        <v>19</v>
      </c>
      <c r="D443" s="14">
        <v>21.9</v>
      </c>
      <c r="E443" s="18">
        <v>1</v>
      </c>
    </row>
    <row r="444" spans="1:5" x14ac:dyDescent="0.35">
      <c r="A444" s="7">
        <v>49083</v>
      </c>
      <c r="B444" s="8" t="s">
        <v>10</v>
      </c>
      <c r="C444" s="9">
        <v>12.5</v>
      </c>
      <c r="D444" s="10">
        <v>0</v>
      </c>
      <c r="E444" s="18">
        <v>1</v>
      </c>
    </row>
    <row r="445" spans="1:5" x14ac:dyDescent="0.35">
      <c r="A445" s="11">
        <v>49084</v>
      </c>
      <c r="B445" s="12" t="s">
        <v>15</v>
      </c>
      <c r="C445" s="13">
        <v>13.6</v>
      </c>
      <c r="D445" s="14">
        <v>12.6</v>
      </c>
      <c r="E445" s="18">
        <v>1</v>
      </c>
    </row>
    <row r="446" spans="1:5" x14ac:dyDescent="0.35">
      <c r="A446" s="7">
        <v>49085</v>
      </c>
      <c r="B446" s="8" t="s">
        <v>10</v>
      </c>
      <c r="C446" s="9">
        <v>20.2</v>
      </c>
      <c r="D446" s="10">
        <v>17.899999999999999</v>
      </c>
      <c r="E446" s="18">
        <v>1</v>
      </c>
    </row>
    <row r="447" spans="1:5" x14ac:dyDescent="0.35">
      <c r="A447" s="11">
        <v>49086</v>
      </c>
      <c r="B447" s="12" t="s">
        <v>10</v>
      </c>
      <c r="C447" s="13">
        <v>28.7</v>
      </c>
      <c r="D447" s="14">
        <v>0</v>
      </c>
      <c r="E447" s="18">
        <v>1</v>
      </c>
    </row>
    <row r="448" spans="1:5" x14ac:dyDescent="0.35">
      <c r="A448" s="7">
        <v>49087</v>
      </c>
      <c r="B448" s="8" t="s">
        <v>20</v>
      </c>
      <c r="C448" s="9">
        <v>13.4</v>
      </c>
      <c r="D448" s="10">
        <v>4.8</v>
      </c>
      <c r="E448" s="18">
        <v>1</v>
      </c>
    </row>
    <row r="449" spans="1:5" x14ac:dyDescent="0.35">
      <c r="A449" s="11">
        <v>49088</v>
      </c>
      <c r="B449" s="12" t="s">
        <v>15</v>
      </c>
      <c r="C449" s="13">
        <v>12</v>
      </c>
      <c r="D449" s="14">
        <v>8.9</v>
      </c>
      <c r="E449" s="18">
        <v>1</v>
      </c>
    </row>
    <row r="450" spans="1:5" x14ac:dyDescent="0.35">
      <c r="A450" s="7">
        <v>49089</v>
      </c>
      <c r="B450" s="8" t="s">
        <v>11</v>
      </c>
      <c r="C450" s="9">
        <v>28.9</v>
      </c>
      <c r="D450" s="10">
        <v>13.9</v>
      </c>
      <c r="E450" s="18">
        <v>1</v>
      </c>
    </row>
    <row r="451" spans="1:5" x14ac:dyDescent="0.35">
      <c r="A451" s="11">
        <v>49090</v>
      </c>
      <c r="B451" s="12" t="s">
        <v>22</v>
      </c>
      <c r="C451" s="13">
        <v>25.2</v>
      </c>
      <c r="D451" s="14">
        <v>0</v>
      </c>
      <c r="E451" s="18">
        <v>1</v>
      </c>
    </row>
    <row r="452" spans="1:5" x14ac:dyDescent="0.35">
      <c r="A452" s="7">
        <v>49091</v>
      </c>
      <c r="B452" s="8" t="s">
        <v>11</v>
      </c>
      <c r="C452" s="9">
        <v>18.600000000000001</v>
      </c>
      <c r="D452" s="10">
        <v>1.8</v>
      </c>
      <c r="E452" s="18">
        <v>1</v>
      </c>
    </row>
    <row r="453" spans="1:5" x14ac:dyDescent="0.35">
      <c r="A453" s="11">
        <v>49092</v>
      </c>
      <c r="B453" s="12" t="s">
        <v>26</v>
      </c>
      <c r="C453" s="13">
        <v>20</v>
      </c>
      <c r="D453" s="14">
        <v>2.4</v>
      </c>
      <c r="E453" s="18">
        <v>1</v>
      </c>
    </row>
    <row r="454" spans="1:5" x14ac:dyDescent="0.35">
      <c r="A454" s="7">
        <v>49093</v>
      </c>
      <c r="B454" s="8" t="s">
        <v>9</v>
      </c>
      <c r="C454" s="9">
        <v>14.3</v>
      </c>
      <c r="D454" s="10">
        <v>3.9</v>
      </c>
      <c r="E454" s="18">
        <v>1</v>
      </c>
    </row>
    <row r="455" spans="1:5" x14ac:dyDescent="0.35">
      <c r="A455" s="11">
        <v>49094</v>
      </c>
      <c r="B455" s="12" t="s">
        <v>10</v>
      </c>
      <c r="C455" s="13">
        <v>28.8</v>
      </c>
      <c r="D455" s="14">
        <v>25.1</v>
      </c>
      <c r="E455" s="18">
        <v>1</v>
      </c>
    </row>
    <row r="456" spans="1:5" x14ac:dyDescent="0.35">
      <c r="A456" s="7">
        <v>49095</v>
      </c>
      <c r="B456" s="8" t="s">
        <v>19</v>
      </c>
      <c r="C456" s="9">
        <v>26.8</v>
      </c>
      <c r="D456" s="10">
        <v>10.8</v>
      </c>
      <c r="E456" s="18">
        <v>1</v>
      </c>
    </row>
    <row r="457" spans="1:5" x14ac:dyDescent="0.35">
      <c r="A457" s="11">
        <v>49096</v>
      </c>
      <c r="B457" s="12" t="s">
        <v>19</v>
      </c>
      <c r="C457" s="13">
        <v>20.399999999999999</v>
      </c>
      <c r="D457" s="14">
        <v>0</v>
      </c>
      <c r="E457" s="18">
        <v>1</v>
      </c>
    </row>
    <row r="458" spans="1:5" x14ac:dyDescent="0.35">
      <c r="A458" s="7">
        <v>49097</v>
      </c>
      <c r="B458" s="8" t="s">
        <v>22</v>
      </c>
      <c r="C458" s="9">
        <v>14.1</v>
      </c>
      <c r="D458" s="10">
        <v>4.5</v>
      </c>
      <c r="E458" s="18">
        <v>1</v>
      </c>
    </row>
    <row r="459" spans="1:5" x14ac:dyDescent="0.35">
      <c r="A459" s="11">
        <v>49098</v>
      </c>
      <c r="B459" s="12" t="s">
        <v>14</v>
      </c>
      <c r="C459" s="13">
        <v>28.1</v>
      </c>
      <c r="D459" s="14">
        <v>6.3</v>
      </c>
      <c r="E459" s="18">
        <v>1</v>
      </c>
    </row>
    <row r="460" spans="1:5" x14ac:dyDescent="0.35">
      <c r="A460" s="7">
        <v>49099</v>
      </c>
      <c r="B460" s="8" t="s">
        <v>13</v>
      </c>
      <c r="C460" s="9">
        <v>15.7</v>
      </c>
      <c r="D460" s="10">
        <v>11.5</v>
      </c>
      <c r="E460" s="18">
        <v>1</v>
      </c>
    </row>
    <row r="461" spans="1:5" x14ac:dyDescent="0.35">
      <c r="A461" s="11">
        <v>49100</v>
      </c>
      <c r="B461" s="12" t="s">
        <v>29</v>
      </c>
      <c r="C461" s="13">
        <v>27.7</v>
      </c>
      <c r="D461" s="14">
        <v>0.6</v>
      </c>
      <c r="E461" s="18">
        <v>1</v>
      </c>
    </row>
    <row r="462" spans="1:5" x14ac:dyDescent="0.35">
      <c r="A462" s="7">
        <v>49101</v>
      </c>
      <c r="B462" s="8" t="s">
        <v>7</v>
      </c>
      <c r="C462" s="9">
        <v>22.9</v>
      </c>
      <c r="D462" s="10">
        <v>22.6</v>
      </c>
      <c r="E462" s="18">
        <v>1</v>
      </c>
    </row>
    <row r="463" spans="1:5" x14ac:dyDescent="0.35">
      <c r="A463" s="11">
        <v>49102</v>
      </c>
      <c r="B463" s="12" t="s">
        <v>13</v>
      </c>
      <c r="C463" s="13">
        <v>10.3</v>
      </c>
      <c r="D463" s="14">
        <v>0</v>
      </c>
      <c r="E463" s="18">
        <v>1</v>
      </c>
    </row>
    <row r="464" spans="1:5" x14ac:dyDescent="0.35">
      <c r="A464" s="7">
        <v>49103</v>
      </c>
      <c r="B464" s="8" t="s">
        <v>23</v>
      </c>
      <c r="C464" s="9">
        <v>28.4</v>
      </c>
      <c r="D464" s="10">
        <v>4</v>
      </c>
      <c r="E464" s="18">
        <v>1</v>
      </c>
    </row>
    <row r="465" spans="1:5" x14ac:dyDescent="0.35">
      <c r="A465" s="11">
        <v>49104</v>
      </c>
      <c r="B465" s="12" t="s">
        <v>18</v>
      </c>
      <c r="C465" s="13">
        <v>18.7</v>
      </c>
      <c r="D465" s="14">
        <v>15</v>
      </c>
      <c r="E465" s="18">
        <v>1</v>
      </c>
    </row>
    <row r="466" spans="1:5" x14ac:dyDescent="0.35">
      <c r="A466" s="7">
        <v>49105</v>
      </c>
      <c r="B466" s="8" t="s">
        <v>19</v>
      </c>
      <c r="C466" s="9">
        <v>13.7</v>
      </c>
      <c r="D466" s="10">
        <v>9.4</v>
      </c>
      <c r="E466" s="18">
        <v>1</v>
      </c>
    </row>
    <row r="467" spans="1:5" x14ac:dyDescent="0.35">
      <c r="A467" s="11">
        <v>49106</v>
      </c>
      <c r="B467" s="12" t="s">
        <v>14</v>
      </c>
      <c r="C467" s="13">
        <v>16.3</v>
      </c>
      <c r="D467" s="14">
        <v>3.6</v>
      </c>
      <c r="E467" s="18">
        <v>1</v>
      </c>
    </row>
    <row r="468" spans="1:5" x14ac:dyDescent="0.35">
      <c r="A468" s="7">
        <v>49107</v>
      </c>
      <c r="B468" s="8" t="s">
        <v>27</v>
      </c>
      <c r="C468" s="9">
        <v>14</v>
      </c>
      <c r="D468" s="10">
        <v>0</v>
      </c>
      <c r="E468" s="18">
        <v>1</v>
      </c>
    </row>
    <row r="469" spans="1:5" x14ac:dyDescent="0.35">
      <c r="A469" s="11">
        <v>49108</v>
      </c>
      <c r="B469" s="12" t="s">
        <v>15</v>
      </c>
      <c r="C469" s="13">
        <v>26</v>
      </c>
      <c r="D469" s="14">
        <v>5.5</v>
      </c>
      <c r="E469" s="18">
        <v>1</v>
      </c>
    </row>
    <row r="470" spans="1:5" x14ac:dyDescent="0.35">
      <c r="A470" s="7">
        <v>49109</v>
      </c>
      <c r="B470" s="8" t="s">
        <v>19</v>
      </c>
      <c r="C470" s="9">
        <v>27</v>
      </c>
      <c r="D470" s="10">
        <v>38.6</v>
      </c>
      <c r="E470" s="18">
        <v>1</v>
      </c>
    </row>
    <row r="471" spans="1:5" x14ac:dyDescent="0.35">
      <c r="A471" s="11">
        <v>49110</v>
      </c>
      <c r="B471" s="12" t="s">
        <v>10</v>
      </c>
      <c r="C471" s="13">
        <v>26.6</v>
      </c>
      <c r="D471" s="14">
        <v>49.7</v>
      </c>
      <c r="E471" s="18">
        <v>1</v>
      </c>
    </row>
    <row r="472" spans="1:5" x14ac:dyDescent="0.35">
      <c r="A472" s="7">
        <v>49111</v>
      </c>
      <c r="B472" s="8" t="s">
        <v>19</v>
      </c>
      <c r="C472" s="9">
        <v>20.9</v>
      </c>
      <c r="D472" s="10">
        <v>30</v>
      </c>
      <c r="E472" s="18">
        <v>1</v>
      </c>
    </row>
    <row r="473" spans="1:5" x14ac:dyDescent="0.35">
      <c r="A473" s="11">
        <v>49112</v>
      </c>
      <c r="B473" s="12" t="s">
        <v>22</v>
      </c>
      <c r="C473" s="13">
        <v>28.5</v>
      </c>
      <c r="D473" s="14">
        <v>5.3</v>
      </c>
      <c r="E473" s="18">
        <v>1</v>
      </c>
    </row>
    <row r="474" spans="1:5" x14ac:dyDescent="0.35">
      <c r="A474" s="7">
        <v>49113</v>
      </c>
      <c r="B474" s="8" t="s">
        <v>5</v>
      </c>
      <c r="C474" s="9">
        <v>10.4</v>
      </c>
      <c r="D474" s="10">
        <v>0</v>
      </c>
      <c r="E474" s="18">
        <v>1</v>
      </c>
    </row>
    <row r="475" spans="1:5" x14ac:dyDescent="0.35">
      <c r="A475" s="11">
        <v>49114</v>
      </c>
      <c r="B475" s="12" t="s">
        <v>18</v>
      </c>
      <c r="C475" s="13">
        <v>25.9</v>
      </c>
      <c r="D475" s="14">
        <v>9.1999999999999993</v>
      </c>
      <c r="E475" s="18">
        <v>1</v>
      </c>
    </row>
    <row r="476" spans="1:5" x14ac:dyDescent="0.35">
      <c r="A476" s="7">
        <v>49115</v>
      </c>
      <c r="B476" s="8" t="s">
        <v>11</v>
      </c>
      <c r="C476" s="9">
        <v>24.6</v>
      </c>
      <c r="D476" s="10">
        <v>11</v>
      </c>
      <c r="E476" s="18">
        <v>1</v>
      </c>
    </row>
    <row r="477" spans="1:5" x14ac:dyDescent="0.35">
      <c r="A477" s="11">
        <v>49116</v>
      </c>
      <c r="B477" s="12" t="s">
        <v>16</v>
      </c>
      <c r="C477" s="13">
        <v>22</v>
      </c>
      <c r="D477" s="14">
        <v>0</v>
      </c>
      <c r="E477" s="18">
        <v>1</v>
      </c>
    </row>
    <row r="478" spans="1:5" x14ac:dyDescent="0.35">
      <c r="A478" s="7">
        <v>49117</v>
      </c>
      <c r="B478" s="8" t="s">
        <v>8</v>
      </c>
      <c r="C478" s="9">
        <v>16.8</v>
      </c>
      <c r="D478" s="10">
        <v>2.4</v>
      </c>
      <c r="E478" s="18">
        <v>1</v>
      </c>
    </row>
    <row r="479" spans="1:5" x14ac:dyDescent="0.35">
      <c r="A479" s="11">
        <v>49118</v>
      </c>
      <c r="B479" s="12" t="s">
        <v>10</v>
      </c>
      <c r="C479" s="13">
        <v>21.7</v>
      </c>
      <c r="D479" s="14">
        <v>44.1</v>
      </c>
      <c r="E479" s="18">
        <v>1</v>
      </c>
    </row>
    <row r="480" spans="1:5" x14ac:dyDescent="0.35">
      <c r="A480" s="7">
        <v>49119</v>
      </c>
      <c r="B480" s="8" t="s">
        <v>12</v>
      </c>
      <c r="C480" s="9">
        <v>28.9</v>
      </c>
      <c r="D480" s="10">
        <v>0</v>
      </c>
      <c r="E480" s="18">
        <v>1</v>
      </c>
    </row>
    <row r="481" spans="1:5" x14ac:dyDescent="0.35">
      <c r="A481" s="11">
        <v>49120</v>
      </c>
      <c r="B481" s="12" t="s">
        <v>13</v>
      </c>
      <c r="C481" s="13">
        <v>26.6</v>
      </c>
      <c r="D481" s="14">
        <v>0.4</v>
      </c>
      <c r="E481" s="18">
        <v>1</v>
      </c>
    </row>
    <row r="482" spans="1:5" x14ac:dyDescent="0.35">
      <c r="A482" s="7">
        <v>49121</v>
      </c>
      <c r="B482" s="8" t="s">
        <v>15</v>
      </c>
      <c r="C482" s="9">
        <v>28</v>
      </c>
      <c r="D482" s="10">
        <v>16.7</v>
      </c>
      <c r="E482" s="18">
        <v>1</v>
      </c>
    </row>
    <row r="483" spans="1:5" x14ac:dyDescent="0.35">
      <c r="A483" s="11">
        <v>49122</v>
      </c>
      <c r="B483" s="12" t="s">
        <v>17</v>
      </c>
      <c r="C483" s="13">
        <v>27.5</v>
      </c>
      <c r="D483" s="14">
        <v>0</v>
      </c>
      <c r="E483" s="18">
        <v>1</v>
      </c>
    </row>
    <row r="484" spans="1:5" x14ac:dyDescent="0.35">
      <c r="A484" s="7">
        <v>49123</v>
      </c>
      <c r="B484" s="8" t="s">
        <v>22</v>
      </c>
      <c r="C484" s="9">
        <v>18.2</v>
      </c>
      <c r="D484" s="10">
        <v>0</v>
      </c>
      <c r="E484" s="18">
        <v>1</v>
      </c>
    </row>
    <row r="485" spans="1:5" x14ac:dyDescent="0.35">
      <c r="A485" s="11">
        <v>49124</v>
      </c>
      <c r="B485" s="12" t="s">
        <v>18</v>
      </c>
      <c r="C485" s="13">
        <v>25.1</v>
      </c>
      <c r="D485" s="14">
        <v>0</v>
      </c>
      <c r="E485" s="18">
        <v>1</v>
      </c>
    </row>
    <row r="486" spans="1:5" x14ac:dyDescent="0.35">
      <c r="A486" s="7">
        <v>49125</v>
      </c>
      <c r="B486" s="8" t="s">
        <v>4</v>
      </c>
      <c r="C486" s="9">
        <v>10.1</v>
      </c>
      <c r="D486" s="10">
        <v>0.2</v>
      </c>
      <c r="E486" s="18">
        <v>1</v>
      </c>
    </row>
    <row r="487" spans="1:5" x14ac:dyDescent="0.35">
      <c r="A487" s="11">
        <v>49126</v>
      </c>
      <c r="B487" s="12" t="s">
        <v>15</v>
      </c>
      <c r="C487" s="13">
        <v>13.1</v>
      </c>
      <c r="D487" s="14">
        <v>7.9</v>
      </c>
      <c r="E487" s="18">
        <v>1</v>
      </c>
    </row>
    <row r="488" spans="1:5" x14ac:dyDescent="0.35">
      <c r="A488" s="7">
        <v>49127</v>
      </c>
      <c r="B488" s="8" t="s">
        <v>9</v>
      </c>
      <c r="C488" s="9">
        <v>22.9</v>
      </c>
      <c r="D488" s="10">
        <v>0</v>
      </c>
      <c r="E488" s="18">
        <v>1</v>
      </c>
    </row>
    <row r="489" spans="1:5" x14ac:dyDescent="0.35">
      <c r="A489" s="11">
        <v>49128</v>
      </c>
      <c r="B489" s="12" t="s">
        <v>9</v>
      </c>
      <c r="C489" s="13">
        <v>26.3</v>
      </c>
      <c r="D489" s="14">
        <v>4</v>
      </c>
      <c r="E489" s="18">
        <v>1</v>
      </c>
    </row>
    <row r="490" spans="1:5" x14ac:dyDescent="0.35">
      <c r="A490" s="7">
        <v>49129</v>
      </c>
      <c r="B490" s="8" t="s">
        <v>19</v>
      </c>
      <c r="C490" s="9">
        <v>11.3</v>
      </c>
      <c r="D490" s="10">
        <v>19.8</v>
      </c>
      <c r="E490" s="18">
        <v>1</v>
      </c>
    </row>
    <row r="491" spans="1:5" x14ac:dyDescent="0.35">
      <c r="A491" s="11">
        <v>49130</v>
      </c>
      <c r="B491" s="12" t="s">
        <v>10</v>
      </c>
      <c r="C491" s="13">
        <v>30</v>
      </c>
      <c r="D491" s="14">
        <v>0</v>
      </c>
      <c r="E491" s="18">
        <v>1</v>
      </c>
    </row>
    <row r="492" spans="1:5" x14ac:dyDescent="0.35">
      <c r="A492" s="7">
        <v>49131</v>
      </c>
      <c r="B492" s="8" t="s">
        <v>22</v>
      </c>
      <c r="C492" s="9">
        <v>20.399999999999999</v>
      </c>
      <c r="D492" s="10">
        <v>0</v>
      </c>
      <c r="E492" s="18">
        <v>1</v>
      </c>
    </row>
    <row r="493" spans="1:5" x14ac:dyDescent="0.35">
      <c r="A493" s="11">
        <v>49132</v>
      </c>
      <c r="B493" s="12" t="s">
        <v>7</v>
      </c>
      <c r="C493" s="13">
        <v>24.5</v>
      </c>
      <c r="D493" s="14">
        <v>8.6999999999999993</v>
      </c>
      <c r="E493" s="18">
        <v>1</v>
      </c>
    </row>
    <row r="494" spans="1:5" x14ac:dyDescent="0.35">
      <c r="A494" s="7">
        <v>49133</v>
      </c>
      <c r="B494" s="8" t="s">
        <v>11</v>
      </c>
      <c r="C494" s="9">
        <v>17</v>
      </c>
      <c r="D494" s="10">
        <v>2.7</v>
      </c>
      <c r="E494" s="18">
        <v>1</v>
      </c>
    </row>
    <row r="495" spans="1:5" x14ac:dyDescent="0.35">
      <c r="A495" s="11">
        <v>49134</v>
      </c>
      <c r="B495" s="12" t="s">
        <v>19</v>
      </c>
      <c r="C495" s="13">
        <v>21</v>
      </c>
      <c r="D495" s="14">
        <v>5.6</v>
      </c>
      <c r="E495" s="18">
        <v>1</v>
      </c>
    </row>
    <row r="496" spans="1:5" x14ac:dyDescent="0.35">
      <c r="A496" s="7">
        <v>49135</v>
      </c>
      <c r="B496" s="8" t="s">
        <v>19</v>
      </c>
      <c r="C496" s="9">
        <v>20.7</v>
      </c>
      <c r="D496" s="10">
        <v>0</v>
      </c>
      <c r="E496" s="18">
        <v>1</v>
      </c>
    </row>
    <row r="497" spans="1:5" x14ac:dyDescent="0.35">
      <c r="A497" s="11">
        <v>49136</v>
      </c>
      <c r="B497" s="12" t="s">
        <v>12</v>
      </c>
      <c r="C497" s="13">
        <v>26.7</v>
      </c>
      <c r="D497" s="14">
        <v>9.8000000000000007</v>
      </c>
      <c r="E497" s="18">
        <v>1</v>
      </c>
    </row>
    <row r="498" spans="1:5" x14ac:dyDescent="0.35">
      <c r="A498" s="7">
        <v>49137</v>
      </c>
      <c r="B498" s="8" t="s">
        <v>30</v>
      </c>
      <c r="C498" s="9">
        <v>10.199999999999999</v>
      </c>
      <c r="D498" s="10">
        <v>0.1</v>
      </c>
      <c r="E498" s="18">
        <v>1</v>
      </c>
    </row>
    <row r="499" spans="1:5" x14ac:dyDescent="0.35">
      <c r="A499" s="11">
        <v>49138</v>
      </c>
      <c r="B499" s="12" t="s">
        <v>10</v>
      </c>
      <c r="C499" s="13">
        <v>15.7</v>
      </c>
      <c r="D499" s="14">
        <v>5.8</v>
      </c>
      <c r="E499" s="18">
        <v>1</v>
      </c>
    </row>
    <row r="500" spans="1:5" x14ac:dyDescent="0.35">
      <c r="A500" s="7">
        <v>49139</v>
      </c>
      <c r="B500" s="8" t="s">
        <v>33</v>
      </c>
      <c r="C500" s="9">
        <v>15.9</v>
      </c>
      <c r="D500" s="10">
        <v>2.2000000000000002</v>
      </c>
      <c r="E500" s="18">
        <v>1</v>
      </c>
    </row>
    <row r="501" spans="1:5" x14ac:dyDescent="0.35">
      <c r="A501" s="11">
        <v>49140</v>
      </c>
      <c r="B501" s="12" t="s">
        <v>19</v>
      </c>
      <c r="C501" s="13">
        <v>21</v>
      </c>
      <c r="D501" s="14">
        <v>13.1</v>
      </c>
      <c r="E501" s="18">
        <v>1</v>
      </c>
    </row>
    <row r="502" spans="1:5" x14ac:dyDescent="0.35">
      <c r="A502" s="7">
        <v>49141</v>
      </c>
      <c r="B502" s="8" t="s">
        <v>9</v>
      </c>
      <c r="C502" s="9">
        <v>10.9</v>
      </c>
      <c r="D502" s="10">
        <v>8.1</v>
      </c>
      <c r="E502" s="18">
        <v>1</v>
      </c>
    </row>
    <row r="503" spans="1:5" x14ac:dyDescent="0.35">
      <c r="A503" s="11">
        <v>49142</v>
      </c>
      <c r="B503" s="12" t="s">
        <v>22</v>
      </c>
      <c r="C503" s="13">
        <v>20.9</v>
      </c>
      <c r="D503" s="14">
        <v>5.9</v>
      </c>
      <c r="E503" s="18">
        <v>1</v>
      </c>
    </row>
    <row r="504" spans="1:5" x14ac:dyDescent="0.35">
      <c r="A504" s="7">
        <v>49143</v>
      </c>
      <c r="B504" s="8" t="s">
        <v>19</v>
      </c>
      <c r="C504" s="9">
        <v>21.8</v>
      </c>
      <c r="D504" s="10">
        <v>15.9</v>
      </c>
      <c r="E504" s="18">
        <v>1</v>
      </c>
    </row>
    <row r="505" spans="1:5" x14ac:dyDescent="0.35">
      <c r="A505" s="11">
        <v>49144</v>
      </c>
      <c r="B505" s="12" t="s">
        <v>15</v>
      </c>
      <c r="C505" s="13">
        <v>11.9</v>
      </c>
      <c r="D505" s="14">
        <v>18.100000000000001</v>
      </c>
      <c r="E505" s="18">
        <v>1</v>
      </c>
    </row>
    <row r="506" spans="1:5" x14ac:dyDescent="0.35">
      <c r="A506" s="7">
        <v>49145</v>
      </c>
      <c r="B506" s="8" t="s">
        <v>13</v>
      </c>
      <c r="C506" s="9">
        <v>12.9</v>
      </c>
      <c r="D506" s="10">
        <v>0</v>
      </c>
      <c r="E506" s="18">
        <v>1</v>
      </c>
    </row>
    <row r="507" spans="1:5" x14ac:dyDescent="0.35">
      <c r="A507" s="11">
        <v>49146</v>
      </c>
      <c r="B507" s="12" t="s">
        <v>19</v>
      </c>
      <c r="C507" s="13">
        <v>14.9</v>
      </c>
      <c r="D507" s="14">
        <v>4.8</v>
      </c>
      <c r="E507" s="18">
        <v>1</v>
      </c>
    </row>
    <row r="508" spans="1:5" x14ac:dyDescent="0.35">
      <c r="A508" s="7">
        <v>49147</v>
      </c>
      <c r="B508" s="8" t="s">
        <v>10</v>
      </c>
      <c r="C508" s="9">
        <v>29.5</v>
      </c>
      <c r="D508" s="10">
        <v>0</v>
      </c>
      <c r="E508" s="18">
        <v>1</v>
      </c>
    </row>
    <row r="509" spans="1:5" x14ac:dyDescent="0.35">
      <c r="A509" s="11">
        <v>49148</v>
      </c>
      <c r="B509" s="12" t="s">
        <v>19</v>
      </c>
      <c r="C509" s="13">
        <v>18.100000000000001</v>
      </c>
      <c r="D509" s="14">
        <v>0</v>
      </c>
      <c r="E509" s="18">
        <v>1</v>
      </c>
    </row>
    <row r="510" spans="1:5" x14ac:dyDescent="0.35">
      <c r="A510" s="7">
        <v>49149</v>
      </c>
      <c r="B510" s="8" t="s">
        <v>6</v>
      </c>
      <c r="C510" s="9">
        <v>10.8</v>
      </c>
      <c r="D510" s="10">
        <v>11.8</v>
      </c>
      <c r="E510" s="18">
        <v>1</v>
      </c>
    </row>
    <row r="511" spans="1:5" x14ac:dyDescent="0.35">
      <c r="A511" s="11">
        <v>49150</v>
      </c>
      <c r="B511" s="12" t="s">
        <v>9</v>
      </c>
      <c r="C511" s="13">
        <v>13.5</v>
      </c>
      <c r="D511" s="14">
        <v>5.4</v>
      </c>
      <c r="E511" s="18">
        <v>1</v>
      </c>
    </row>
    <row r="512" spans="1:5" x14ac:dyDescent="0.35">
      <c r="A512" s="7">
        <v>49151</v>
      </c>
      <c r="B512" s="8" t="s">
        <v>22</v>
      </c>
      <c r="C512" s="9">
        <v>15.9</v>
      </c>
      <c r="D512" s="10">
        <v>0</v>
      </c>
      <c r="E512" s="18">
        <v>1</v>
      </c>
    </row>
    <row r="513" spans="1:5" x14ac:dyDescent="0.35">
      <c r="A513" s="11">
        <v>49152</v>
      </c>
      <c r="B513" s="12" t="s">
        <v>26</v>
      </c>
      <c r="C513" s="13">
        <v>23.1</v>
      </c>
      <c r="D513" s="14">
        <v>0</v>
      </c>
      <c r="E513" s="18">
        <v>1</v>
      </c>
    </row>
    <row r="514" spans="1:5" x14ac:dyDescent="0.35">
      <c r="A514" s="7">
        <v>49153</v>
      </c>
      <c r="B514" s="8" t="s">
        <v>16</v>
      </c>
      <c r="C514" s="9">
        <v>26.7</v>
      </c>
      <c r="D514" s="10">
        <v>0</v>
      </c>
      <c r="E514" s="18">
        <v>1</v>
      </c>
    </row>
    <row r="515" spans="1:5" x14ac:dyDescent="0.35">
      <c r="A515" s="11">
        <v>49154</v>
      </c>
      <c r="B515" s="12" t="s">
        <v>10</v>
      </c>
      <c r="C515" s="13">
        <v>26</v>
      </c>
      <c r="D515" s="14">
        <v>29.1</v>
      </c>
      <c r="E515" s="18">
        <v>1</v>
      </c>
    </row>
    <row r="516" spans="1:5" x14ac:dyDescent="0.35">
      <c r="A516" s="7">
        <v>49155</v>
      </c>
      <c r="B516" s="8" t="s">
        <v>18</v>
      </c>
      <c r="C516" s="9">
        <v>23.6</v>
      </c>
      <c r="D516" s="10">
        <v>9.1</v>
      </c>
      <c r="E516" s="18">
        <v>1</v>
      </c>
    </row>
    <row r="517" spans="1:5" x14ac:dyDescent="0.35">
      <c r="A517" s="11">
        <v>49156</v>
      </c>
      <c r="B517" s="12" t="s">
        <v>26</v>
      </c>
      <c r="C517" s="13">
        <v>29.8</v>
      </c>
      <c r="D517" s="14">
        <v>5.7</v>
      </c>
      <c r="E517" s="18">
        <v>1</v>
      </c>
    </row>
    <row r="518" spans="1:5" x14ac:dyDescent="0.35">
      <c r="A518" s="7">
        <v>49157</v>
      </c>
      <c r="B518" s="8" t="s">
        <v>19</v>
      </c>
      <c r="C518" s="9">
        <v>18.600000000000001</v>
      </c>
      <c r="D518" s="10">
        <v>0</v>
      </c>
      <c r="E518" s="18">
        <v>1</v>
      </c>
    </row>
    <row r="519" spans="1:5" x14ac:dyDescent="0.35">
      <c r="A519" s="11">
        <v>49158</v>
      </c>
      <c r="B519" s="12" t="s">
        <v>15</v>
      </c>
      <c r="C519" s="13">
        <v>17.600000000000001</v>
      </c>
      <c r="D519" s="14">
        <v>2.4</v>
      </c>
      <c r="E519" s="18">
        <v>1</v>
      </c>
    </row>
    <row r="520" spans="1:5" x14ac:dyDescent="0.35">
      <c r="A520" s="7">
        <v>49159</v>
      </c>
      <c r="B520" s="8" t="s">
        <v>15</v>
      </c>
      <c r="C520" s="9">
        <v>12.6</v>
      </c>
      <c r="D520" s="10">
        <v>9.1999999999999993</v>
      </c>
      <c r="E520" s="18">
        <v>1</v>
      </c>
    </row>
    <row r="521" spans="1:5" x14ac:dyDescent="0.35">
      <c r="A521" s="11">
        <v>49160</v>
      </c>
      <c r="B521" s="12" t="s">
        <v>17</v>
      </c>
      <c r="C521" s="13">
        <v>25.4</v>
      </c>
      <c r="D521" s="14">
        <v>5.4</v>
      </c>
      <c r="E521" s="18">
        <v>1</v>
      </c>
    </row>
    <row r="522" spans="1:5" x14ac:dyDescent="0.35">
      <c r="A522" s="7">
        <v>49161</v>
      </c>
      <c r="B522" s="8" t="s">
        <v>20</v>
      </c>
      <c r="C522" s="9">
        <v>12.8</v>
      </c>
      <c r="D522" s="10">
        <v>3.6</v>
      </c>
      <c r="E522" s="18">
        <v>1</v>
      </c>
    </row>
    <row r="523" spans="1:5" x14ac:dyDescent="0.35">
      <c r="A523" s="11">
        <v>49162</v>
      </c>
      <c r="B523" s="12" t="s">
        <v>11</v>
      </c>
      <c r="C523" s="13">
        <v>18.7</v>
      </c>
      <c r="D523" s="14">
        <v>0</v>
      </c>
      <c r="E523" s="18">
        <v>1</v>
      </c>
    </row>
    <row r="524" spans="1:5" x14ac:dyDescent="0.35">
      <c r="A524" s="7">
        <v>49163</v>
      </c>
      <c r="B524" s="8" t="s">
        <v>33</v>
      </c>
      <c r="C524" s="9">
        <v>22.3</v>
      </c>
      <c r="D524" s="10">
        <v>0</v>
      </c>
      <c r="E524" s="18">
        <v>1</v>
      </c>
    </row>
    <row r="525" spans="1:5" x14ac:dyDescent="0.35">
      <c r="A525" s="11">
        <v>49164</v>
      </c>
      <c r="B525" s="12" t="s">
        <v>18</v>
      </c>
      <c r="C525" s="13">
        <v>26.4</v>
      </c>
      <c r="D525" s="14">
        <v>0.5</v>
      </c>
      <c r="E525" s="18">
        <v>1</v>
      </c>
    </row>
    <row r="526" spans="1:5" x14ac:dyDescent="0.35">
      <c r="A526" s="7">
        <v>49165</v>
      </c>
      <c r="B526" s="8" t="s">
        <v>7</v>
      </c>
      <c r="C526" s="9">
        <v>28.5</v>
      </c>
      <c r="D526" s="10">
        <v>3.2</v>
      </c>
      <c r="E526" s="18">
        <v>1</v>
      </c>
    </row>
    <row r="527" spans="1:5" x14ac:dyDescent="0.35">
      <c r="A527" s="11">
        <v>49166</v>
      </c>
      <c r="B527" s="12" t="s">
        <v>17</v>
      </c>
      <c r="C527" s="13">
        <v>16.8</v>
      </c>
      <c r="D527" s="14">
        <v>5.5</v>
      </c>
      <c r="E527" s="18">
        <v>1</v>
      </c>
    </row>
    <row r="528" spans="1:5" x14ac:dyDescent="0.35">
      <c r="A528" s="7">
        <v>49167</v>
      </c>
      <c r="B528" s="8" t="s">
        <v>27</v>
      </c>
      <c r="C528" s="9">
        <v>24.7</v>
      </c>
      <c r="D528" s="10">
        <v>0.8</v>
      </c>
      <c r="E528" s="18">
        <v>1</v>
      </c>
    </row>
    <row r="529" spans="1:5" x14ac:dyDescent="0.35">
      <c r="A529" s="11">
        <v>49168</v>
      </c>
      <c r="B529" s="12" t="s">
        <v>9</v>
      </c>
      <c r="C529" s="13">
        <v>29.6</v>
      </c>
      <c r="D529" s="14">
        <v>0</v>
      </c>
      <c r="E529" s="18">
        <v>1</v>
      </c>
    </row>
    <row r="530" spans="1:5" x14ac:dyDescent="0.35">
      <c r="A530" s="7">
        <v>49169</v>
      </c>
      <c r="B530" s="8" t="s">
        <v>10</v>
      </c>
      <c r="C530" s="9">
        <v>23.3</v>
      </c>
      <c r="D530" s="10">
        <v>29.4</v>
      </c>
      <c r="E530" s="18">
        <v>1</v>
      </c>
    </row>
    <row r="531" spans="1:5" x14ac:dyDescent="0.35">
      <c r="A531" s="11">
        <v>49170</v>
      </c>
      <c r="B531" s="12" t="s">
        <v>9</v>
      </c>
      <c r="C531" s="13">
        <v>28.8</v>
      </c>
      <c r="D531" s="14">
        <v>11.5</v>
      </c>
      <c r="E531" s="18">
        <v>1</v>
      </c>
    </row>
    <row r="532" spans="1:5" x14ac:dyDescent="0.35">
      <c r="A532" s="7">
        <v>49171</v>
      </c>
      <c r="B532" s="8" t="s">
        <v>9</v>
      </c>
      <c r="C532" s="9">
        <v>26.5</v>
      </c>
      <c r="D532" s="10">
        <v>0</v>
      </c>
      <c r="E532" s="18">
        <v>1</v>
      </c>
    </row>
    <row r="533" spans="1:5" x14ac:dyDescent="0.35">
      <c r="A533" s="11">
        <v>49172</v>
      </c>
      <c r="B533" s="12" t="s">
        <v>23</v>
      </c>
      <c r="C533" s="13">
        <v>17.100000000000001</v>
      </c>
      <c r="D533" s="14">
        <v>3.6</v>
      </c>
      <c r="E533" s="18">
        <v>1</v>
      </c>
    </row>
    <row r="534" spans="1:5" x14ac:dyDescent="0.35">
      <c r="A534" s="7">
        <v>49173</v>
      </c>
      <c r="B534" s="8" t="s">
        <v>9</v>
      </c>
      <c r="C534" s="9">
        <v>17.8</v>
      </c>
      <c r="D534" s="10">
        <v>7</v>
      </c>
      <c r="E534" s="18">
        <v>1</v>
      </c>
    </row>
    <row r="535" spans="1:5" x14ac:dyDescent="0.35">
      <c r="A535" s="11">
        <v>49174</v>
      </c>
      <c r="B535" s="12" t="s">
        <v>27</v>
      </c>
      <c r="C535" s="13">
        <v>24.7</v>
      </c>
      <c r="D535" s="14">
        <v>1.5</v>
      </c>
      <c r="E535" s="18">
        <v>1</v>
      </c>
    </row>
    <row r="536" spans="1:5" x14ac:dyDescent="0.35">
      <c r="A536" s="7">
        <v>49175</v>
      </c>
      <c r="B536" s="8" t="s">
        <v>19</v>
      </c>
      <c r="C536" s="9">
        <v>25.1</v>
      </c>
      <c r="D536" s="10">
        <v>0</v>
      </c>
      <c r="E536" s="18">
        <v>1</v>
      </c>
    </row>
    <row r="537" spans="1:5" x14ac:dyDescent="0.35">
      <c r="A537" s="11">
        <v>49176</v>
      </c>
      <c r="B537" s="12" t="s">
        <v>32</v>
      </c>
      <c r="C537" s="13">
        <v>27</v>
      </c>
      <c r="D537" s="14">
        <v>0</v>
      </c>
      <c r="E537" s="18">
        <v>1</v>
      </c>
    </row>
    <row r="538" spans="1:5" x14ac:dyDescent="0.35">
      <c r="A538" s="7">
        <v>49177</v>
      </c>
      <c r="B538" s="8" t="s">
        <v>18</v>
      </c>
      <c r="C538" s="9">
        <v>18.2</v>
      </c>
      <c r="D538" s="10">
        <v>13.9</v>
      </c>
      <c r="E538" s="18">
        <v>1</v>
      </c>
    </row>
    <row r="539" spans="1:5" x14ac:dyDescent="0.35">
      <c r="A539" s="11">
        <v>49178</v>
      </c>
      <c r="B539" s="12" t="s">
        <v>15</v>
      </c>
      <c r="C539" s="13">
        <v>10.8</v>
      </c>
      <c r="D539" s="14">
        <v>7.9</v>
      </c>
      <c r="E539" s="18">
        <v>1</v>
      </c>
    </row>
    <row r="540" spans="1:5" x14ac:dyDescent="0.35">
      <c r="A540" s="7">
        <v>49179</v>
      </c>
      <c r="B540" s="8" t="s">
        <v>7</v>
      </c>
      <c r="C540" s="9">
        <v>27.9</v>
      </c>
      <c r="D540" s="10">
        <v>9.9</v>
      </c>
      <c r="E540" s="18">
        <v>1</v>
      </c>
    </row>
    <row r="541" spans="1:5" x14ac:dyDescent="0.35">
      <c r="A541" s="11">
        <v>49180</v>
      </c>
      <c r="B541" s="12" t="s">
        <v>24</v>
      </c>
      <c r="C541" s="13">
        <v>14.1</v>
      </c>
      <c r="D541" s="14">
        <v>0.7</v>
      </c>
      <c r="E541" s="18">
        <v>1</v>
      </c>
    </row>
    <row r="542" spans="1:5" x14ac:dyDescent="0.35">
      <c r="A542" s="7">
        <v>49181</v>
      </c>
      <c r="B542" s="8" t="s">
        <v>18</v>
      </c>
      <c r="C542" s="9">
        <v>17.5</v>
      </c>
      <c r="D542" s="10">
        <v>3.2</v>
      </c>
      <c r="E542" s="18">
        <v>1</v>
      </c>
    </row>
    <row r="543" spans="1:5" x14ac:dyDescent="0.35">
      <c r="A543" s="11">
        <v>49182</v>
      </c>
      <c r="B543" s="12" t="s">
        <v>10</v>
      </c>
      <c r="C543" s="13">
        <v>14.3</v>
      </c>
      <c r="D543" s="14">
        <v>0</v>
      </c>
      <c r="E543" s="18">
        <v>1</v>
      </c>
    </row>
    <row r="544" spans="1:5" x14ac:dyDescent="0.35">
      <c r="A544" s="7">
        <v>49183</v>
      </c>
      <c r="B544" s="8" t="s">
        <v>20</v>
      </c>
      <c r="C544" s="9">
        <v>15.4</v>
      </c>
      <c r="D544" s="10">
        <v>0</v>
      </c>
      <c r="E544" s="18">
        <v>1</v>
      </c>
    </row>
    <row r="545" spans="1:5" x14ac:dyDescent="0.35">
      <c r="A545" s="11">
        <v>49184</v>
      </c>
      <c r="B545" s="12" t="s">
        <v>19</v>
      </c>
      <c r="C545" s="13">
        <v>17.5</v>
      </c>
      <c r="D545" s="14">
        <v>0</v>
      </c>
      <c r="E545" s="18">
        <v>1</v>
      </c>
    </row>
    <row r="546" spans="1:5" x14ac:dyDescent="0.35">
      <c r="A546" s="7">
        <v>49185</v>
      </c>
      <c r="B546" s="8" t="s">
        <v>13</v>
      </c>
      <c r="C546" s="9">
        <v>11.6</v>
      </c>
      <c r="D546" s="10">
        <v>4.0999999999999996</v>
      </c>
      <c r="E546" s="18">
        <v>1</v>
      </c>
    </row>
    <row r="547" spans="1:5" x14ac:dyDescent="0.35">
      <c r="A547" s="11">
        <v>49186</v>
      </c>
      <c r="B547" s="12" t="s">
        <v>9</v>
      </c>
      <c r="C547" s="13">
        <v>27.9</v>
      </c>
      <c r="D547" s="14">
        <v>10.3</v>
      </c>
      <c r="E547" s="18">
        <v>1</v>
      </c>
    </row>
    <row r="548" spans="1:5" x14ac:dyDescent="0.35">
      <c r="A548" s="7">
        <v>49187</v>
      </c>
      <c r="B548" s="8" t="s">
        <v>19</v>
      </c>
      <c r="C548" s="9">
        <v>11.8</v>
      </c>
      <c r="D548" s="10">
        <v>20.2</v>
      </c>
      <c r="E548" s="18">
        <v>1</v>
      </c>
    </row>
    <row r="549" spans="1:5" x14ac:dyDescent="0.35">
      <c r="A549" s="11">
        <v>49188</v>
      </c>
      <c r="B549" s="12" t="s">
        <v>7</v>
      </c>
      <c r="C549" s="13">
        <v>12</v>
      </c>
      <c r="D549" s="14">
        <v>8.5</v>
      </c>
      <c r="E549" s="18">
        <v>1</v>
      </c>
    </row>
    <row r="550" spans="1:5" x14ac:dyDescent="0.35">
      <c r="A550" s="7">
        <v>49189</v>
      </c>
      <c r="B550" s="8" t="s">
        <v>10</v>
      </c>
      <c r="C550" s="9">
        <v>11.8</v>
      </c>
      <c r="D550" s="10">
        <v>7.8</v>
      </c>
      <c r="E550" s="18">
        <v>1</v>
      </c>
    </row>
    <row r="551" spans="1:5" x14ac:dyDescent="0.35">
      <c r="A551" s="11">
        <v>49190</v>
      </c>
      <c r="B551" s="12" t="s">
        <v>17</v>
      </c>
      <c r="C551" s="13">
        <v>22.2</v>
      </c>
      <c r="D551" s="14">
        <v>0</v>
      </c>
      <c r="E551" s="18">
        <v>1</v>
      </c>
    </row>
    <row r="552" spans="1:5" x14ac:dyDescent="0.35">
      <c r="A552" s="7">
        <v>49191</v>
      </c>
      <c r="B552" s="8" t="s">
        <v>7</v>
      </c>
      <c r="C552" s="9">
        <v>13.3</v>
      </c>
      <c r="D552" s="10">
        <v>3.8</v>
      </c>
      <c r="E552" s="18">
        <v>1</v>
      </c>
    </row>
    <row r="553" spans="1:5" x14ac:dyDescent="0.35">
      <c r="A553" s="11">
        <v>49192</v>
      </c>
      <c r="B553" s="12" t="s">
        <v>13</v>
      </c>
      <c r="C553" s="13">
        <v>24.6</v>
      </c>
      <c r="D553" s="14">
        <v>2.1</v>
      </c>
      <c r="E553" s="18">
        <v>1</v>
      </c>
    </row>
    <row r="554" spans="1:5" x14ac:dyDescent="0.35">
      <c r="A554" s="7">
        <v>49193</v>
      </c>
      <c r="B554" s="8" t="s">
        <v>19</v>
      </c>
      <c r="C554" s="9">
        <v>15.7</v>
      </c>
      <c r="D554" s="10">
        <v>0</v>
      </c>
      <c r="E554" s="18">
        <v>1</v>
      </c>
    </row>
    <row r="555" spans="1:5" x14ac:dyDescent="0.35">
      <c r="A555" s="11">
        <v>49194</v>
      </c>
      <c r="B555" s="12" t="s">
        <v>18</v>
      </c>
      <c r="C555" s="13">
        <v>26.7</v>
      </c>
      <c r="D555" s="14">
        <v>16.2</v>
      </c>
      <c r="E555" s="18">
        <v>1</v>
      </c>
    </row>
    <row r="556" spans="1:5" x14ac:dyDescent="0.35">
      <c r="A556" s="7">
        <v>49195</v>
      </c>
      <c r="B556" s="8" t="s">
        <v>15</v>
      </c>
      <c r="C556" s="9">
        <v>28.1</v>
      </c>
      <c r="D556" s="10">
        <v>1.1000000000000001</v>
      </c>
      <c r="E556" s="18">
        <v>1</v>
      </c>
    </row>
    <row r="557" spans="1:5" x14ac:dyDescent="0.35">
      <c r="A557" s="11">
        <v>49196</v>
      </c>
      <c r="B557" s="12" t="s">
        <v>10</v>
      </c>
      <c r="C557" s="13">
        <v>29.1</v>
      </c>
      <c r="D557" s="14">
        <v>3</v>
      </c>
      <c r="E557" s="18">
        <v>1</v>
      </c>
    </row>
    <row r="558" spans="1:5" x14ac:dyDescent="0.35">
      <c r="A558" s="7">
        <v>49197</v>
      </c>
      <c r="B558" s="8" t="s">
        <v>7</v>
      </c>
      <c r="C558" s="9">
        <v>26.2</v>
      </c>
      <c r="D558" s="10">
        <v>0</v>
      </c>
      <c r="E558" s="18">
        <v>1</v>
      </c>
    </row>
    <row r="559" spans="1:5" x14ac:dyDescent="0.35">
      <c r="A559" s="11">
        <v>49198</v>
      </c>
      <c r="B559" s="12" t="s">
        <v>31</v>
      </c>
      <c r="C559" s="13">
        <v>23.3</v>
      </c>
      <c r="D559" s="14">
        <v>0</v>
      </c>
      <c r="E559" s="18">
        <v>1</v>
      </c>
    </row>
    <row r="560" spans="1:5" x14ac:dyDescent="0.35">
      <c r="A560" s="7">
        <v>49199</v>
      </c>
      <c r="B560" s="8" t="s">
        <v>19</v>
      </c>
      <c r="C560" s="9">
        <v>21.7</v>
      </c>
      <c r="D560" s="10">
        <v>10.4</v>
      </c>
      <c r="E560" s="18">
        <v>1</v>
      </c>
    </row>
    <row r="561" spans="1:5" x14ac:dyDescent="0.35">
      <c r="A561" s="11">
        <v>49200</v>
      </c>
      <c r="B561" s="12" t="s">
        <v>18</v>
      </c>
      <c r="C561" s="13">
        <v>18.8</v>
      </c>
      <c r="D561" s="14">
        <v>15.6</v>
      </c>
      <c r="E561" s="18">
        <v>1</v>
      </c>
    </row>
    <row r="562" spans="1:5" x14ac:dyDescent="0.35">
      <c r="A562" s="7">
        <v>49201</v>
      </c>
      <c r="B562" s="8" t="s">
        <v>15</v>
      </c>
      <c r="C562" s="9">
        <v>25.4</v>
      </c>
      <c r="D562" s="10">
        <v>7.4</v>
      </c>
      <c r="E562" s="18">
        <v>1</v>
      </c>
    </row>
    <row r="563" spans="1:5" x14ac:dyDescent="0.35">
      <c r="A563" s="11">
        <v>49202</v>
      </c>
      <c r="B563" s="12" t="s">
        <v>11</v>
      </c>
      <c r="C563" s="13">
        <v>21.1</v>
      </c>
      <c r="D563" s="14">
        <v>1</v>
      </c>
      <c r="E563" s="18">
        <v>1</v>
      </c>
    </row>
    <row r="564" spans="1:5" x14ac:dyDescent="0.35">
      <c r="A564" s="7">
        <v>49203</v>
      </c>
      <c r="B564" s="8" t="s">
        <v>11</v>
      </c>
      <c r="C564" s="9">
        <v>25.1</v>
      </c>
      <c r="D564" s="10">
        <v>20</v>
      </c>
      <c r="E564" s="18">
        <v>1</v>
      </c>
    </row>
    <row r="565" spans="1:5" x14ac:dyDescent="0.35">
      <c r="A565" s="11">
        <v>49204</v>
      </c>
      <c r="B565" s="12" t="s">
        <v>7</v>
      </c>
      <c r="C565" s="13">
        <v>17.600000000000001</v>
      </c>
      <c r="D565" s="14">
        <v>0</v>
      </c>
      <c r="E565" s="18">
        <v>1</v>
      </c>
    </row>
    <row r="566" spans="1:5" x14ac:dyDescent="0.35">
      <c r="A566" s="7">
        <v>49205</v>
      </c>
      <c r="B566" s="8" t="s">
        <v>15</v>
      </c>
      <c r="C566" s="9">
        <v>21.2</v>
      </c>
      <c r="D566" s="10">
        <v>3.4</v>
      </c>
      <c r="E566" s="18">
        <v>1</v>
      </c>
    </row>
    <row r="567" spans="1:5" x14ac:dyDescent="0.35">
      <c r="A567" s="11">
        <v>49206</v>
      </c>
      <c r="B567" s="12" t="s">
        <v>7</v>
      </c>
      <c r="C567" s="13">
        <v>26.4</v>
      </c>
      <c r="D567" s="14">
        <v>14.7</v>
      </c>
      <c r="E567" s="18">
        <v>1</v>
      </c>
    </row>
    <row r="568" spans="1:5" x14ac:dyDescent="0.35">
      <c r="A568" s="7">
        <v>49207</v>
      </c>
      <c r="B568" s="8" t="s">
        <v>5</v>
      </c>
      <c r="C568" s="9">
        <v>13.5</v>
      </c>
      <c r="D568" s="10">
        <v>0</v>
      </c>
      <c r="E568" s="18">
        <v>1</v>
      </c>
    </row>
    <row r="569" spans="1:5" x14ac:dyDescent="0.35">
      <c r="A569" s="11">
        <v>49208</v>
      </c>
      <c r="B569" s="12" t="s">
        <v>22</v>
      </c>
      <c r="C569" s="13">
        <v>25.1</v>
      </c>
      <c r="D569" s="14">
        <v>0</v>
      </c>
      <c r="E569" s="18">
        <v>1</v>
      </c>
    </row>
    <row r="570" spans="1:5" x14ac:dyDescent="0.35">
      <c r="A570" s="7">
        <v>49209</v>
      </c>
      <c r="B570" s="8" t="s">
        <v>11</v>
      </c>
      <c r="C570" s="9">
        <v>10.4</v>
      </c>
      <c r="D570" s="10">
        <v>11</v>
      </c>
      <c r="E570" s="18">
        <v>1</v>
      </c>
    </row>
    <row r="571" spans="1:5" x14ac:dyDescent="0.35">
      <c r="A571" s="11">
        <v>49210</v>
      </c>
      <c r="B571" s="12" t="s">
        <v>15</v>
      </c>
      <c r="C571" s="13">
        <v>24.3</v>
      </c>
      <c r="D571" s="14">
        <v>4.9000000000000004</v>
      </c>
      <c r="E571" s="18">
        <v>1</v>
      </c>
    </row>
    <row r="572" spans="1:5" x14ac:dyDescent="0.35">
      <c r="A572" s="7">
        <v>49211</v>
      </c>
      <c r="B572" s="8" t="s">
        <v>12</v>
      </c>
      <c r="C572" s="9">
        <v>18.7</v>
      </c>
      <c r="D572" s="10">
        <v>6.2</v>
      </c>
      <c r="E572" s="18">
        <v>1</v>
      </c>
    </row>
    <row r="573" spans="1:5" x14ac:dyDescent="0.35">
      <c r="A573" s="11">
        <v>49212</v>
      </c>
      <c r="B573" s="12" t="s">
        <v>33</v>
      </c>
      <c r="C573" s="13">
        <v>14.1</v>
      </c>
      <c r="D573" s="14">
        <v>0</v>
      </c>
      <c r="E573" s="18">
        <v>1</v>
      </c>
    </row>
    <row r="574" spans="1:5" x14ac:dyDescent="0.35">
      <c r="A574" s="7">
        <v>49213</v>
      </c>
      <c r="B574" s="8" t="s">
        <v>23</v>
      </c>
      <c r="C574" s="9">
        <v>24.2</v>
      </c>
      <c r="D574" s="10">
        <v>0</v>
      </c>
      <c r="E574" s="18">
        <v>1</v>
      </c>
    </row>
    <row r="575" spans="1:5" x14ac:dyDescent="0.35">
      <c r="A575" s="11">
        <v>49214</v>
      </c>
      <c r="B575" s="12" t="s">
        <v>22</v>
      </c>
      <c r="C575" s="13">
        <v>26.4</v>
      </c>
      <c r="D575" s="14">
        <v>0</v>
      </c>
      <c r="E575" s="18">
        <v>1</v>
      </c>
    </row>
    <row r="576" spans="1:5" x14ac:dyDescent="0.35">
      <c r="A576" s="7">
        <v>49215</v>
      </c>
      <c r="B576" s="8" t="s">
        <v>10</v>
      </c>
      <c r="C576" s="9">
        <v>24.5</v>
      </c>
      <c r="D576" s="10">
        <v>4</v>
      </c>
      <c r="E576" s="18">
        <v>1</v>
      </c>
    </row>
    <row r="577" spans="1:5" x14ac:dyDescent="0.35">
      <c r="A577" s="11">
        <v>49216</v>
      </c>
      <c r="B577" s="12" t="s">
        <v>14</v>
      </c>
      <c r="C577" s="13">
        <v>25.5</v>
      </c>
      <c r="D577" s="14">
        <v>2.9</v>
      </c>
      <c r="E577" s="18">
        <v>1</v>
      </c>
    </row>
    <row r="578" spans="1:5" x14ac:dyDescent="0.35">
      <c r="A578" s="7">
        <v>49217</v>
      </c>
      <c r="B578" s="8" t="s">
        <v>11</v>
      </c>
      <c r="C578" s="9">
        <v>11.8</v>
      </c>
      <c r="D578" s="10">
        <v>13.5</v>
      </c>
      <c r="E578" s="18">
        <v>1</v>
      </c>
    </row>
    <row r="579" spans="1:5" x14ac:dyDescent="0.35">
      <c r="A579" s="11">
        <v>49218</v>
      </c>
      <c r="B579" s="12" t="s">
        <v>22</v>
      </c>
      <c r="C579" s="13">
        <v>14.3</v>
      </c>
      <c r="D579" s="14">
        <v>5.4</v>
      </c>
      <c r="E579" s="18">
        <v>1</v>
      </c>
    </row>
    <row r="580" spans="1:5" x14ac:dyDescent="0.35">
      <c r="A580" s="7">
        <v>49219</v>
      </c>
      <c r="B580" s="8" t="s">
        <v>9</v>
      </c>
      <c r="C580" s="9">
        <v>12.4</v>
      </c>
      <c r="D580" s="10">
        <v>1.2</v>
      </c>
      <c r="E580" s="18">
        <v>1</v>
      </c>
    </row>
    <row r="581" spans="1:5" x14ac:dyDescent="0.35">
      <c r="A581" s="11">
        <v>49220</v>
      </c>
      <c r="B581" s="12" t="s">
        <v>19</v>
      </c>
      <c r="C581" s="13">
        <v>29.3</v>
      </c>
      <c r="D581" s="14">
        <v>19.8</v>
      </c>
      <c r="E581" s="18">
        <v>1</v>
      </c>
    </row>
    <row r="582" spans="1:5" x14ac:dyDescent="0.35">
      <c r="A582" s="7">
        <v>49221</v>
      </c>
      <c r="B582" s="8" t="s">
        <v>7</v>
      </c>
      <c r="C582" s="9">
        <v>29.4</v>
      </c>
      <c r="D582" s="10">
        <v>0</v>
      </c>
      <c r="E582" s="18">
        <v>1</v>
      </c>
    </row>
    <row r="583" spans="1:5" x14ac:dyDescent="0.35">
      <c r="A583" s="11">
        <v>49222</v>
      </c>
      <c r="B583" s="12" t="s">
        <v>13</v>
      </c>
      <c r="C583" s="13">
        <v>29.8</v>
      </c>
      <c r="D583" s="14">
        <v>16</v>
      </c>
      <c r="E583" s="18">
        <v>1</v>
      </c>
    </row>
    <row r="584" spans="1:5" x14ac:dyDescent="0.35">
      <c r="A584" s="7">
        <v>49223</v>
      </c>
      <c r="B584" s="8" t="s">
        <v>19</v>
      </c>
      <c r="C584" s="9">
        <v>29.9</v>
      </c>
      <c r="D584" s="10">
        <v>13.3</v>
      </c>
      <c r="E584" s="18">
        <v>1</v>
      </c>
    </row>
    <row r="585" spans="1:5" x14ac:dyDescent="0.35">
      <c r="A585" s="11">
        <v>49224</v>
      </c>
      <c r="B585" s="12" t="s">
        <v>9</v>
      </c>
      <c r="C585" s="13">
        <v>11.6</v>
      </c>
      <c r="D585" s="14">
        <v>9.6999999999999993</v>
      </c>
      <c r="E585" s="18">
        <v>1</v>
      </c>
    </row>
    <row r="586" spans="1:5" x14ac:dyDescent="0.35">
      <c r="A586" s="7">
        <v>49225</v>
      </c>
      <c r="B586" s="8" t="s">
        <v>11</v>
      </c>
      <c r="C586" s="9">
        <v>10.199999999999999</v>
      </c>
      <c r="D586" s="10">
        <v>0</v>
      </c>
      <c r="E586" s="18">
        <v>1</v>
      </c>
    </row>
    <row r="587" spans="1:5" x14ac:dyDescent="0.35">
      <c r="A587" s="11">
        <v>49226</v>
      </c>
      <c r="B587" s="12" t="s">
        <v>9</v>
      </c>
      <c r="C587" s="13">
        <v>10.7</v>
      </c>
      <c r="D587" s="14">
        <v>11.9</v>
      </c>
      <c r="E587" s="18">
        <v>1</v>
      </c>
    </row>
    <row r="588" spans="1:5" x14ac:dyDescent="0.35">
      <c r="A588" s="7">
        <v>49227</v>
      </c>
      <c r="B588" s="8" t="s">
        <v>30</v>
      </c>
      <c r="C588" s="9">
        <v>11.7</v>
      </c>
      <c r="D588" s="10">
        <v>0.1</v>
      </c>
      <c r="E588" s="18">
        <v>1</v>
      </c>
    </row>
    <row r="589" spans="1:5" x14ac:dyDescent="0.35">
      <c r="A589" s="11">
        <v>49228</v>
      </c>
      <c r="B589" s="12" t="s">
        <v>18</v>
      </c>
      <c r="C589" s="13">
        <v>29.4</v>
      </c>
      <c r="D589" s="14">
        <v>9.6</v>
      </c>
      <c r="E589" s="18">
        <v>1</v>
      </c>
    </row>
    <row r="590" spans="1:5" x14ac:dyDescent="0.35">
      <c r="A590" s="7">
        <v>49229</v>
      </c>
      <c r="B590" s="8" t="s">
        <v>20</v>
      </c>
      <c r="C590" s="9">
        <v>29.1</v>
      </c>
      <c r="D590" s="10">
        <v>2.6</v>
      </c>
      <c r="E590" s="18">
        <v>1</v>
      </c>
    </row>
    <row r="591" spans="1:5" x14ac:dyDescent="0.35">
      <c r="A591" s="11">
        <v>49230</v>
      </c>
      <c r="B591" s="12" t="s">
        <v>10</v>
      </c>
      <c r="C591" s="13">
        <v>20.5</v>
      </c>
      <c r="D591" s="14">
        <v>30.1</v>
      </c>
      <c r="E591" s="18">
        <v>1</v>
      </c>
    </row>
    <row r="592" spans="1:5" x14ac:dyDescent="0.35">
      <c r="A592" s="7">
        <v>49231</v>
      </c>
      <c r="B592" s="8" t="s">
        <v>7</v>
      </c>
      <c r="C592" s="9">
        <v>26.2</v>
      </c>
      <c r="D592" s="10">
        <v>19</v>
      </c>
      <c r="E592" s="18">
        <v>1</v>
      </c>
    </row>
    <row r="593" spans="1:5" x14ac:dyDescent="0.35">
      <c r="A593" s="11">
        <v>49232</v>
      </c>
      <c r="B593" s="12" t="s">
        <v>15</v>
      </c>
      <c r="C593" s="13">
        <v>22.6</v>
      </c>
      <c r="D593" s="14">
        <v>0</v>
      </c>
      <c r="E593" s="18">
        <v>1</v>
      </c>
    </row>
    <row r="594" spans="1:5" x14ac:dyDescent="0.35">
      <c r="A594" s="7">
        <v>49233</v>
      </c>
      <c r="B594" s="8" t="s">
        <v>14</v>
      </c>
      <c r="C594" s="9">
        <v>17.7</v>
      </c>
      <c r="D594" s="10">
        <v>0</v>
      </c>
      <c r="E594" s="18">
        <v>1</v>
      </c>
    </row>
    <row r="595" spans="1:5" x14ac:dyDescent="0.35">
      <c r="A595" s="11">
        <v>49234</v>
      </c>
      <c r="B595" s="12" t="s">
        <v>19</v>
      </c>
      <c r="C595" s="13">
        <v>21.2</v>
      </c>
      <c r="D595" s="14">
        <v>0</v>
      </c>
      <c r="E595" s="18">
        <v>1</v>
      </c>
    </row>
    <row r="596" spans="1:5" x14ac:dyDescent="0.35">
      <c r="A596" s="7">
        <v>49235</v>
      </c>
      <c r="B596" s="8" t="s">
        <v>33</v>
      </c>
      <c r="C596" s="9">
        <v>10.3</v>
      </c>
      <c r="D596" s="10">
        <v>0.2</v>
      </c>
      <c r="E596" s="18">
        <v>1</v>
      </c>
    </row>
    <row r="597" spans="1:5" x14ac:dyDescent="0.35">
      <c r="A597" s="11">
        <v>49236</v>
      </c>
      <c r="B597" s="12" t="s">
        <v>25</v>
      </c>
      <c r="C597" s="13">
        <v>10.1</v>
      </c>
      <c r="D597" s="14">
        <v>2.1</v>
      </c>
      <c r="E597" s="18">
        <v>1</v>
      </c>
    </row>
    <row r="598" spans="1:5" x14ac:dyDescent="0.35">
      <c r="A598" s="7">
        <v>49237</v>
      </c>
      <c r="B598" s="8" t="s">
        <v>8</v>
      </c>
      <c r="C598" s="9">
        <v>23.4</v>
      </c>
      <c r="D598" s="10">
        <v>3.9</v>
      </c>
      <c r="E598" s="18">
        <v>1</v>
      </c>
    </row>
    <row r="599" spans="1:5" x14ac:dyDescent="0.35">
      <c r="A599" s="11">
        <v>49238</v>
      </c>
      <c r="B599" s="12" t="s">
        <v>31</v>
      </c>
      <c r="C599" s="13">
        <v>11.7</v>
      </c>
      <c r="D599" s="14">
        <v>0</v>
      </c>
      <c r="E599" s="18">
        <v>1</v>
      </c>
    </row>
    <row r="600" spans="1:5" x14ac:dyDescent="0.35">
      <c r="A600" s="7">
        <v>49239</v>
      </c>
      <c r="B600" s="8" t="s">
        <v>5</v>
      </c>
      <c r="C600" s="9">
        <v>26</v>
      </c>
      <c r="D600" s="10">
        <v>2.1</v>
      </c>
      <c r="E600" s="18">
        <v>1</v>
      </c>
    </row>
    <row r="601" spans="1:5" x14ac:dyDescent="0.35">
      <c r="A601" s="11">
        <v>49240</v>
      </c>
      <c r="B601" s="12" t="s">
        <v>30</v>
      </c>
      <c r="C601" s="13">
        <v>29.5</v>
      </c>
      <c r="D601" s="14">
        <v>0.4</v>
      </c>
      <c r="E601" s="18">
        <v>1</v>
      </c>
    </row>
    <row r="602" spans="1:5" x14ac:dyDescent="0.35">
      <c r="A602" s="7">
        <v>49241</v>
      </c>
      <c r="B602" s="8" t="s">
        <v>14</v>
      </c>
      <c r="C602" s="9">
        <v>13</v>
      </c>
      <c r="D602" s="10">
        <v>4.4000000000000004</v>
      </c>
      <c r="E602" s="18">
        <v>1</v>
      </c>
    </row>
    <row r="603" spans="1:5" x14ac:dyDescent="0.35">
      <c r="A603" s="11">
        <v>49242</v>
      </c>
      <c r="B603" s="12" t="s">
        <v>9</v>
      </c>
      <c r="C603" s="13">
        <v>17.100000000000001</v>
      </c>
      <c r="D603" s="14">
        <v>3.8</v>
      </c>
      <c r="E603" s="18">
        <v>1</v>
      </c>
    </row>
    <row r="604" spans="1:5" x14ac:dyDescent="0.35">
      <c r="A604" s="7">
        <v>49243</v>
      </c>
      <c r="B604" s="8" t="s">
        <v>27</v>
      </c>
      <c r="C604" s="9">
        <v>12.6</v>
      </c>
      <c r="D604" s="10">
        <v>0.2</v>
      </c>
      <c r="E604" s="18">
        <v>1</v>
      </c>
    </row>
    <row r="605" spans="1:5" x14ac:dyDescent="0.35">
      <c r="A605" s="11">
        <v>49244</v>
      </c>
      <c r="B605" s="12" t="s">
        <v>10</v>
      </c>
      <c r="C605" s="13">
        <v>23.6</v>
      </c>
      <c r="D605" s="14">
        <v>24.1</v>
      </c>
      <c r="E605" s="18">
        <v>1</v>
      </c>
    </row>
    <row r="606" spans="1:5" x14ac:dyDescent="0.35">
      <c r="A606" s="7">
        <v>49245</v>
      </c>
      <c r="B606" s="8" t="s">
        <v>11</v>
      </c>
      <c r="C606" s="9">
        <v>14.9</v>
      </c>
      <c r="D606" s="10">
        <v>14.2</v>
      </c>
      <c r="E606" s="18">
        <v>1</v>
      </c>
    </row>
    <row r="607" spans="1:5" x14ac:dyDescent="0.35">
      <c r="A607" s="11">
        <v>49246</v>
      </c>
      <c r="B607" s="12" t="s">
        <v>12</v>
      </c>
      <c r="C607" s="13">
        <v>17</v>
      </c>
      <c r="D607" s="14">
        <v>0</v>
      </c>
      <c r="E607" s="18">
        <v>1</v>
      </c>
    </row>
    <row r="608" spans="1:5" x14ac:dyDescent="0.35">
      <c r="A608" s="7">
        <v>49247</v>
      </c>
      <c r="B608" s="8" t="s">
        <v>11</v>
      </c>
      <c r="C608" s="9">
        <v>12.8</v>
      </c>
      <c r="D608" s="10">
        <v>0</v>
      </c>
      <c r="E608" s="18">
        <v>1</v>
      </c>
    </row>
    <row r="609" spans="1:5" x14ac:dyDescent="0.35">
      <c r="A609" s="11">
        <v>49248</v>
      </c>
      <c r="B609" s="12" t="s">
        <v>13</v>
      </c>
      <c r="C609" s="13">
        <v>17.5</v>
      </c>
      <c r="D609" s="14">
        <v>0</v>
      </c>
      <c r="E609" s="18">
        <v>1</v>
      </c>
    </row>
    <row r="610" spans="1:5" x14ac:dyDescent="0.35">
      <c r="A610" s="7">
        <v>49249</v>
      </c>
      <c r="B610" s="8" t="s">
        <v>10</v>
      </c>
      <c r="C610" s="9">
        <v>13.9</v>
      </c>
      <c r="D610" s="10">
        <v>15.3</v>
      </c>
      <c r="E610" s="18">
        <v>1</v>
      </c>
    </row>
    <row r="611" spans="1:5" x14ac:dyDescent="0.35">
      <c r="A611" s="11">
        <v>49250</v>
      </c>
      <c r="B611" s="12" t="s">
        <v>19</v>
      </c>
      <c r="C611" s="13">
        <v>25.9</v>
      </c>
      <c r="D611" s="14">
        <v>14.5</v>
      </c>
      <c r="E611" s="18">
        <v>1</v>
      </c>
    </row>
    <row r="612" spans="1:5" x14ac:dyDescent="0.35">
      <c r="A612" s="7">
        <v>49251</v>
      </c>
      <c r="B612" s="8" t="s">
        <v>17</v>
      </c>
      <c r="C612" s="9">
        <v>12.1</v>
      </c>
      <c r="D612" s="10">
        <v>0</v>
      </c>
      <c r="E612" s="18">
        <v>1</v>
      </c>
    </row>
    <row r="613" spans="1:5" x14ac:dyDescent="0.35">
      <c r="A613" s="11">
        <v>49252</v>
      </c>
      <c r="B613" s="12" t="s">
        <v>7</v>
      </c>
      <c r="C613" s="13">
        <v>25.8</v>
      </c>
      <c r="D613" s="14">
        <v>12.3</v>
      </c>
      <c r="E613" s="18">
        <v>1</v>
      </c>
    </row>
    <row r="614" spans="1:5" x14ac:dyDescent="0.35">
      <c r="A614" s="7">
        <v>49253</v>
      </c>
      <c r="B614" s="8" t="s">
        <v>9</v>
      </c>
      <c r="C614" s="9">
        <v>29.1</v>
      </c>
      <c r="D614" s="10">
        <v>0</v>
      </c>
      <c r="E614" s="18">
        <v>1</v>
      </c>
    </row>
    <row r="615" spans="1:5" x14ac:dyDescent="0.35">
      <c r="A615" s="11">
        <v>49254</v>
      </c>
      <c r="B615" s="12" t="s">
        <v>10</v>
      </c>
      <c r="C615" s="13">
        <v>13.2</v>
      </c>
      <c r="D615" s="14">
        <v>0</v>
      </c>
      <c r="E615" s="18">
        <v>1</v>
      </c>
    </row>
    <row r="616" spans="1:5" x14ac:dyDescent="0.35">
      <c r="A616" s="7">
        <v>49255</v>
      </c>
      <c r="B616" s="8" t="s">
        <v>7</v>
      </c>
      <c r="C616" s="9">
        <v>29.4</v>
      </c>
      <c r="D616" s="10">
        <v>12.8</v>
      </c>
      <c r="E616" s="18">
        <v>1</v>
      </c>
    </row>
    <row r="617" spans="1:5" x14ac:dyDescent="0.35">
      <c r="A617" s="11">
        <v>49256</v>
      </c>
      <c r="B617" s="12" t="s">
        <v>15</v>
      </c>
      <c r="C617" s="13">
        <v>21</v>
      </c>
      <c r="D617" s="14">
        <v>0</v>
      </c>
      <c r="E617" s="18">
        <v>1</v>
      </c>
    </row>
    <row r="618" spans="1:5" x14ac:dyDescent="0.35">
      <c r="A618" s="7">
        <v>49257</v>
      </c>
      <c r="B618" s="8" t="s">
        <v>6</v>
      </c>
      <c r="C618" s="9">
        <v>22.7</v>
      </c>
      <c r="D618" s="10">
        <v>12.4</v>
      </c>
      <c r="E618" s="18">
        <v>1</v>
      </c>
    </row>
    <row r="619" spans="1:5" x14ac:dyDescent="0.35">
      <c r="A619" s="11">
        <v>49258</v>
      </c>
      <c r="B619" s="12" t="s">
        <v>10</v>
      </c>
      <c r="C619" s="13">
        <v>25.1</v>
      </c>
      <c r="D619" s="14">
        <v>43.4</v>
      </c>
      <c r="E619" s="18">
        <v>1</v>
      </c>
    </row>
    <row r="620" spans="1:5" x14ac:dyDescent="0.35">
      <c r="A620" s="7">
        <v>49259</v>
      </c>
      <c r="B620" s="8" t="s">
        <v>10</v>
      </c>
      <c r="C620" s="9">
        <v>26.8</v>
      </c>
      <c r="D620" s="10">
        <v>26.9</v>
      </c>
      <c r="E620" s="18">
        <v>1</v>
      </c>
    </row>
    <row r="621" spans="1:5" x14ac:dyDescent="0.35">
      <c r="A621" s="11">
        <v>49260</v>
      </c>
      <c r="B621" s="12" t="s">
        <v>29</v>
      </c>
      <c r="C621" s="13">
        <v>15.9</v>
      </c>
      <c r="D621" s="14">
        <v>0.5</v>
      </c>
      <c r="E621" s="18">
        <v>1</v>
      </c>
    </row>
    <row r="622" spans="1:5" x14ac:dyDescent="0.35">
      <c r="A622" s="7">
        <v>49261</v>
      </c>
      <c r="B622" s="8" t="s">
        <v>18</v>
      </c>
      <c r="C622" s="9">
        <v>27.6</v>
      </c>
      <c r="D622" s="10">
        <v>0</v>
      </c>
      <c r="E622" s="18">
        <v>1</v>
      </c>
    </row>
    <row r="623" spans="1:5" x14ac:dyDescent="0.35">
      <c r="A623" s="11">
        <v>49262</v>
      </c>
      <c r="B623" s="12" t="s">
        <v>25</v>
      </c>
      <c r="C623" s="13">
        <v>20.8</v>
      </c>
      <c r="D623" s="14">
        <v>0</v>
      </c>
      <c r="E623" s="18">
        <v>1</v>
      </c>
    </row>
    <row r="624" spans="1:5" x14ac:dyDescent="0.35">
      <c r="A624" s="7">
        <v>49263</v>
      </c>
      <c r="B624" s="8" t="s">
        <v>6</v>
      </c>
      <c r="C624" s="9">
        <v>23.9</v>
      </c>
      <c r="D624" s="10">
        <v>9.9</v>
      </c>
      <c r="E624" s="18">
        <v>1</v>
      </c>
    </row>
    <row r="625" spans="1:5" x14ac:dyDescent="0.35">
      <c r="A625" s="11">
        <v>49264</v>
      </c>
      <c r="B625" s="12" t="s">
        <v>27</v>
      </c>
      <c r="C625" s="13">
        <v>24.8</v>
      </c>
      <c r="D625" s="14">
        <v>4.7</v>
      </c>
      <c r="E625" s="18">
        <v>1</v>
      </c>
    </row>
    <row r="626" spans="1:5" x14ac:dyDescent="0.35">
      <c r="A626" s="7">
        <v>49265</v>
      </c>
      <c r="B626" s="8" t="s">
        <v>19</v>
      </c>
      <c r="C626" s="9">
        <v>16.3</v>
      </c>
      <c r="D626" s="10">
        <v>0</v>
      </c>
      <c r="E626" s="18">
        <v>1</v>
      </c>
    </row>
    <row r="627" spans="1:5" x14ac:dyDescent="0.35">
      <c r="A627" s="11">
        <v>49266</v>
      </c>
      <c r="B627" s="12" t="s">
        <v>18</v>
      </c>
      <c r="C627" s="13">
        <v>20.100000000000001</v>
      </c>
      <c r="D627" s="14">
        <v>0</v>
      </c>
      <c r="E627" s="18">
        <v>1</v>
      </c>
    </row>
    <row r="628" spans="1:5" x14ac:dyDescent="0.35">
      <c r="A628" s="7">
        <v>49267</v>
      </c>
      <c r="B628" s="8" t="s">
        <v>22</v>
      </c>
      <c r="C628" s="9">
        <v>25.9</v>
      </c>
      <c r="D628" s="10">
        <v>8.9</v>
      </c>
      <c r="E628" s="18">
        <v>1</v>
      </c>
    </row>
    <row r="629" spans="1:5" x14ac:dyDescent="0.35">
      <c r="A629" s="11">
        <v>49268</v>
      </c>
      <c r="B629" s="12" t="s">
        <v>19</v>
      </c>
      <c r="C629" s="13">
        <v>27.3</v>
      </c>
      <c r="D629" s="14">
        <v>15.8</v>
      </c>
      <c r="E629" s="18">
        <v>1</v>
      </c>
    </row>
    <row r="630" spans="1:5" x14ac:dyDescent="0.35">
      <c r="A630" s="7">
        <v>49269</v>
      </c>
      <c r="B630" s="8" t="s">
        <v>6</v>
      </c>
      <c r="C630" s="9">
        <v>19.100000000000001</v>
      </c>
      <c r="D630" s="10">
        <v>6.3</v>
      </c>
      <c r="E630" s="18">
        <v>1</v>
      </c>
    </row>
    <row r="631" spans="1:5" x14ac:dyDescent="0.35">
      <c r="A631" s="11">
        <v>49270</v>
      </c>
      <c r="B631" s="12" t="s">
        <v>10</v>
      </c>
      <c r="C631" s="13">
        <v>16.899999999999999</v>
      </c>
      <c r="D631" s="14">
        <v>0</v>
      </c>
      <c r="E631" s="18">
        <v>1</v>
      </c>
    </row>
    <row r="632" spans="1:5" x14ac:dyDescent="0.35">
      <c r="A632" s="7">
        <v>49271</v>
      </c>
      <c r="B632" s="8" t="s">
        <v>7</v>
      </c>
      <c r="C632" s="9">
        <v>13.4</v>
      </c>
      <c r="D632" s="10">
        <v>20.100000000000001</v>
      </c>
      <c r="E632" s="18">
        <v>1</v>
      </c>
    </row>
    <row r="633" spans="1:5" x14ac:dyDescent="0.35">
      <c r="A633" s="11">
        <v>49272</v>
      </c>
      <c r="B633" s="12" t="s">
        <v>24</v>
      </c>
      <c r="C633" s="13">
        <v>24.8</v>
      </c>
      <c r="D633" s="14">
        <v>0.4</v>
      </c>
      <c r="E633" s="18">
        <v>1</v>
      </c>
    </row>
    <row r="634" spans="1:5" x14ac:dyDescent="0.35">
      <c r="A634" s="7">
        <v>49273</v>
      </c>
      <c r="B634" s="8" t="s">
        <v>17</v>
      </c>
      <c r="C634" s="9">
        <v>28.4</v>
      </c>
      <c r="D634" s="10">
        <v>1.6</v>
      </c>
      <c r="E634" s="18">
        <v>1</v>
      </c>
    </row>
    <row r="635" spans="1:5" x14ac:dyDescent="0.35">
      <c r="A635" s="11">
        <v>49274</v>
      </c>
      <c r="B635" s="12" t="s">
        <v>23</v>
      </c>
      <c r="C635" s="13">
        <v>25.3</v>
      </c>
      <c r="D635" s="14">
        <v>1.8</v>
      </c>
      <c r="E635" s="18">
        <v>1</v>
      </c>
    </row>
    <row r="636" spans="1:5" x14ac:dyDescent="0.35">
      <c r="A636" s="7">
        <v>49275</v>
      </c>
      <c r="B636" s="8" t="s">
        <v>18</v>
      </c>
      <c r="C636" s="9">
        <v>25.9</v>
      </c>
      <c r="D636" s="10">
        <v>1.6</v>
      </c>
      <c r="E636" s="18">
        <v>1</v>
      </c>
    </row>
    <row r="637" spans="1:5" x14ac:dyDescent="0.35">
      <c r="A637" s="11">
        <v>49276</v>
      </c>
      <c r="B637" s="12" t="s">
        <v>6</v>
      </c>
      <c r="C637" s="13">
        <v>12.2</v>
      </c>
      <c r="D637" s="14">
        <v>0.8</v>
      </c>
      <c r="E637" s="18">
        <v>1</v>
      </c>
    </row>
    <row r="638" spans="1:5" x14ac:dyDescent="0.35">
      <c r="A638" s="7">
        <v>49277</v>
      </c>
      <c r="B638" s="8" t="s">
        <v>33</v>
      </c>
      <c r="C638" s="9">
        <v>22.8</v>
      </c>
      <c r="D638" s="10">
        <v>2.2999999999999998</v>
      </c>
      <c r="E638" s="18">
        <v>1</v>
      </c>
    </row>
    <row r="639" spans="1:5" x14ac:dyDescent="0.35">
      <c r="A639" s="11">
        <v>49278</v>
      </c>
      <c r="B639" s="12" t="s">
        <v>19</v>
      </c>
      <c r="C639" s="13">
        <v>12.7</v>
      </c>
      <c r="D639" s="14">
        <v>0</v>
      </c>
      <c r="E639" s="18">
        <v>1</v>
      </c>
    </row>
    <row r="640" spans="1:5" x14ac:dyDescent="0.35">
      <c r="A640" s="7">
        <v>49279</v>
      </c>
      <c r="B640" s="8" t="s">
        <v>26</v>
      </c>
      <c r="C640" s="9">
        <v>13</v>
      </c>
      <c r="D640" s="10">
        <v>5.0999999999999996</v>
      </c>
      <c r="E640" s="18">
        <v>1</v>
      </c>
    </row>
    <row r="641" spans="1:5" x14ac:dyDescent="0.35">
      <c r="A641" s="11">
        <v>49280</v>
      </c>
      <c r="B641" s="12" t="s">
        <v>10</v>
      </c>
      <c r="C641" s="13">
        <v>13.5</v>
      </c>
      <c r="D641" s="14">
        <v>4.9000000000000004</v>
      </c>
      <c r="E641" s="18">
        <v>1</v>
      </c>
    </row>
    <row r="642" spans="1:5" x14ac:dyDescent="0.35">
      <c r="A642" s="7">
        <v>49281</v>
      </c>
      <c r="B642" s="8" t="s">
        <v>13</v>
      </c>
      <c r="C642" s="9">
        <v>17.8</v>
      </c>
      <c r="D642" s="10">
        <v>5</v>
      </c>
      <c r="E642" s="18">
        <v>1</v>
      </c>
    </row>
    <row r="643" spans="1:5" x14ac:dyDescent="0.35">
      <c r="A643" s="11">
        <v>49282</v>
      </c>
      <c r="B643" s="12" t="s">
        <v>10</v>
      </c>
      <c r="C643" s="13">
        <v>21.5</v>
      </c>
      <c r="D643" s="14">
        <v>47.1</v>
      </c>
      <c r="E643" s="18">
        <v>1</v>
      </c>
    </row>
    <row r="644" spans="1:5" x14ac:dyDescent="0.35">
      <c r="A644" s="7">
        <v>49283</v>
      </c>
      <c r="B644" s="8" t="s">
        <v>8</v>
      </c>
      <c r="C644" s="9">
        <v>20.5</v>
      </c>
      <c r="D644" s="10">
        <v>0.1</v>
      </c>
      <c r="E644" s="18">
        <v>1</v>
      </c>
    </row>
    <row r="645" spans="1:5" x14ac:dyDescent="0.35">
      <c r="A645" s="11">
        <v>49284</v>
      </c>
      <c r="B645" s="12" t="s">
        <v>13</v>
      </c>
      <c r="C645" s="13">
        <v>14.4</v>
      </c>
      <c r="D645" s="14">
        <v>0</v>
      </c>
      <c r="E645" s="18">
        <v>1</v>
      </c>
    </row>
    <row r="646" spans="1:5" x14ac:dyDescent="0.35">
      <c r="A646" s="7">
        <v>49285</v>
      </c>
      <c r="B646" s="8" t="s">
        <v>15</v>
      </c>
      <c r="C646" s="9">
        <v>12.3</v>
      </c>
      <c r="D646" s="10">
        <v>0</v>
      </c>
      <c r="E646" s="18">
        <v>1</v>
      </c>
    </row>
    <row r="647" spans="1:5" x14ac:dyDescent="0.35">
      <c r="A647" s="11">
        <v>49286</v>
      </c>
      <c r="B647" s="12" t="s">
        <v>13</v>
      </c>
      <c r="C647" s="13">
        <v>26.5</v>
      </c>
      <c r="D647" s="14">
        <v>14</v>
      </c>
      <c r="E647" s="18">
        <v>1</v>
      </c>
    </row>
    <row r="648" spans="1:5" x14ac:dyDescent="0.35">
      <c r="A648" s="7">
        <v>49287</v>
      </c>
      <c r="B648" s="8" t="s">
        <v>13</v>
      </c>
      <c r="C648" s="9">
        <v>17.7</v>
      </c>
      <c r="D648" s="10">
        <v>0</v>
      </c>
      <c r="E648" s="18">
        <v>1</v>
      </c>
    </row>
    <row r="649" spans="1:5" x14ac:dyDescent="0.35">
      <c r="A649" s="11">
        <v>49288</v>
      </c>
      <c r="B649" s="12" t="s">
        <v>26</v>
      </c>
      <c r="C649" s="13">
        <v>15.7</v>
      </c>
      <c r="D649" s="14">
        <v>1</v>
      </c>
      <c r="E649" s="18">
        <v>1</v>
      </c>
    </row>
    <row r="650" spans="1:5" x14ac:dyDescent="0.35">
      <c r="A650" s="7">
        <v>49289</v>
      </c>
      <c r="B650" s="8" t="s">
        <v>20</v>
      </c>
      <c r="C650" s="9">
        <v>16.2</v>
      </c>
      <c r="D650" s="10">
        <v>0</v>
      </c>
      <c r="E650" s="18">
        <v>1</v>
      </c>
    </row>
    <row r="651" spans="1:5" x14ac:dyDescent="0.35">
      <c r="A651" s="11">
        <v>49290</v>
      </c>
      <c r="B651" s="12" t="s">
        <v>21</v>
      </c>
      <c r="C651" s="13">
        <v>18.600000000000001</v>
      </c>
      <c r="D651" s="14">
        <v>1.4</v>
      </c>
      <c r="E651" s="18">
        <v>1</v>
      </c>
    </row>
    <row r="652" spans="1:5" x14ac:dyDescent="0.35">
      <c r="A652" s="7">
        <v>49291</v>
      </c>
      <c r="B652" s="8" t="s">
        <v>18</v>
      </c>
      <c r="C652" s="9">
        <v>23.9</v>
      </c>
      <c r="D652" s="10">
        <v>4</v>
      </c>
      <c r="E652" s="18">
        <v>1</v>
      </c>
    </row>
    <row r="653" spans="1:5" x14ac:dyDescent="0.35">
      <c r="A653" s="11">
        <v>49292</v>
      </c>
      <c r="B653" s="12" t="s">
        <v>10</v>
      </c>
      <c r="C653" s="13">
        <v>15.8</v>
      </c>
      <c r="D653" s="14">
        <v>50.3</v>
      </c>
      <c r="E653" s="18">
        <v>1</v>
      </c>
    </row>
    <row r="654" spans="1:5" x14ac:dyDescent="0.35">
      <c r="A654" s="7">
        <v>49293</v>
      </c>
      <c r="B654" s="8" t="s">
        <v>12</v>
      </c>
      <c r="C654" s="9">
        <v>26.2</v>
      </c>
      <c r="D654" s="10">
        <v>8.5</v>
      </c>
      <c r="E654" s="18">
        <v>1</v>
      </c>
    </row>
    <row r="655" spans="1:5" x14ac:dyDescent="0.35">
      <c r="A655" s="11">
        <v>49294</v>
      </c>
      <c r="B655" s="12" t="s">
        <v>10</v>
      </c>
      <c r="C655" s="13">
        <v>23.1</v>
      </c>
      <c r="D655" s="14">
        <v>0</v>
      </c>
      <c r="E655" s="18">
        <v>1</v>
      </c>
    </row>
    <row r="656" spans="1:5" x14ac:dyDescent="0.35">
      <c r="A656" s="7">
        <v>49295</v>
      </c>
      <c r="B656" s="8" t="s">
        <v>21</v>
      </c>
      <c r="C656" s="9">
        <v>10.8</v>
      </c>
      <c r="D656" s="10">
        <v>0</v>
      </c>
      <c r="E656" s="18">
        <v>1</v>
      </c>
    </row>
    <row r="657" spans="1:5" x14ac:dyDescent="0.35">
      <c r="A657" s="11">
        <v>49296</v>
      </c>
      <c r="B657" s="12" t="s">
        <v>18</v>
      </c>
      <c r="C657" s="13">
        <v>21.2</v>
      </c>
      <c r="D657" s="14">
        <v>16.100000000000001</v>
      </c>
      <c r="E657" s="18">
        <v>1</v>
      </c>
    </row>
    <row r="658" spans="1:5" x14ac:dyDescent="0.35">
      <c r="A658" s="7">
        <v>49297</v>
      </c>
      <c r="B658" s="8" t="s">
        <v>7</v>
      </c>
      <c r="C658" s="9">
        <v>26.3</v>
      </c>
      <c r="D658" s="10">
        <v>21.1</v>
      </c>
      <c r="E658" s="18">
        <v>1</v>
      </c>
    </row>
    <row r="659" spans="1:5" x14ac:dyDescent="0.35">
      <c r="A659" s="11">
        <v>49298</v>
      </c>
      <c r="B659" s="12" t="s">
        <v>7</v>
      </c>
      <c r="C659" s="13">
        <v>22.8</v>
      </c>
      <c r="D659" s="14">
        <v>22.7</v>
      </c>
      <c r="E659" s="18">
        <v>1</v>
      </c>
    </row>
    <row r="660" spans="1:5" x14ac:dyDescent="0.35">
      <c r="A660" s="7">
        <v>49299</v>
      </c>
      <c r="B660" s="8" t="s">
        <v>18</v>
      </c>
      <c r="C660" s="9">
        <v>24</v>
      </c>
      <c r="D660" s="10">
        <v>11.5</v>
      </c>
      <c r="E660" s="18">
        <v>1</v>
      </c>
    </row>
    <row r="661" spans="1:5" x14ac:dyDescent="0.35">
      <c r="A661" s="11">
        <v>49300</v>
      </c>
      <c r="B661" s="12" t="s">
        <v>14</v>
      </c>
      <c r="C661" s="13">
        <v>16.8</v>
      </c>
      <c r="D661" s="14">
        <v>2</v>
      </c>
      <c r="E661" s="18">
        <v>1</v>
      </c>
    </row>
    <row r="662" spans="1:5" x14ac:dyDescent="0.35">
      <c r="A662" s="7">
        <v>49301</v>
      </c>
      <c r="B662" s="8" t="s">
        <v>13</v>
      </c>
      <c r="C662" s="9">
        <v>12.5</v>
      </c>
      <c r="D662" s="10">
        <v>4.7</v>
      </c>
      <c r="E662" s="18">
        <v>1</v>
      </c>
    </row>
    <row r="663" spans="1:5" x14ac:dyDescent="0.35">
      <c r="A663" s="11">
        <v>49302</v>
      </c>
      <c r="B663" s="12" t="s">
        <v>10</v>
      </c>
      <c r="C663" s="13">
        <v>15</v>
      </c>
      <c r="D663" s="14">
        <v>1.7</v>
      </c>
      <c r="E663" s="18">
        <v>1</v>
      </c>
    </row>
    <row r="664" spans="1:5" x14ac:dyDescent="0.35">
      <c r="A664" s="7">
        <v>49303</v>
      </c>
      <c r="B664" s="8" t="s">
        <v>18</v>
      </c>
      <c r="C664" s="9">
        <v>16.2</v>
      </c>
      <c r="D664" s="10">
        <v>0</v>
      </c>
      <c r="E664" s="18">
        <v>1</v>
      </c>
    </row>
    <row r="665" spans="1:5" x14ac:dyDescent="0.35">
      <c r="A665" s="11">
        <v>49304</v>
      </c>
      <c r="B665" s="12" t="s">
        <v>7</v>
      </c>
      <c r="C665" s="13">
        <v>29.3</v>
      </c>
      <c r="D665" s="14">
        <v>0</v>
      </c>
      <c r="E665" s="18">
        <v>1</v>
      </c>
    </row>
    <row r="666" spans="1:5" x14ac:dyDescent="0.35">
      <c r="A666" s="7">
        <v>49305</v>
      </c>
      <c r="B666" s="8" t="s">
        <v>32</v>
      </c>
      <c r="C666" s="9">
        <v>26.4</v>
      </c>
      <c r="D666" s="10">
        <v>0.2</v>
      </c>
      <c r="E666" s="18">
        <v>1</v>
      </c>
    </row>
    <row r="667" spans="1:5" x14ac:dyDescent="0.35">
      <c r="A667" s="11">
        <v>49306</v>
      </c>
      <c r="B667" s="12" t="s">
        <v>18</v>
      </c>
      <c r="C667" s="13">
        <v>23</v>
      </c>
      <c r="D667" s="14">
        <v>0</v>
      </c>
      <c r="E667" s="18">
        <v>1</v>
      </c>
    </row>
    <row r="668" spans="1:5" x14ac:dyDescent="0.35">
      <c r="A668" s="7">
        <v>49307</v>
      </c>
      <c r="B668" s="8" t="s">
        <v>11</v>
      </c>
      <c r="C668" s="9">
        <v>25.4</v>
      </c>
      <c r="D668" s="10">
        <v>1.2</v>
      </c>
      <c r="E668" s="18">
        <v>1</v>
      </c>
    </row>
    <row r="669" spans="1:5" x14ac:dyDescent="0.35">
      <c r="A669" s="11">
        <v>49308</v>
      </c>
      <c r="B669" s="12" t="s">
        <v>10</v>
      </c>
      <c r="C669" s="13">
        <v>24.5</v>
      </c>
      <c r="D669" s="14">
        <v>22.5</v>
      </c>
      <c r="E669" s="18">
        <v>1</v>
      </c>
    </row>
    <row r="670" spans="1:5" x14ac:dyDescent="0.35">
      <c r="A670" s="7">
        <v>49309</v>
      </c>
      <c r="B670" s="8" t="s">
        <v>19</v>
      </c>
      <c r="C670" s="9">
        <v>19</v>
      </c>
      <c r="D670" s="10">
        <v>18.899999999999999</v>
      </c>
      <c r="E670" s="18">
        <v>1</v>
      </c>
    </row>
    <row r="671" spans="1:5" x14ac:dyDescent="0.35">
      <c r="A671" s="11">
        <v>49310</v>
      </c>
      <c r="B671" s="12" t="s">
        <v>19</v>
      </c>
      <c r="C671" s="13">
        <v>10</v>
      </c>
      <c r="D671" s="14">
        <v>7.6</v>
      </c>
      <c r="E671" s="18">
        <v>1</v>
      </c>
    </row>
    <row r="672" spans="1:5" x14ac:dyDescent="0.35">
      <c r="A672" s="7">
        <v>49311</v>
      </c>
      <c r="B672" s="8" t="s">
        <v>10</v>
      </c>
      <c r="C672" s="9">
        <v>10.4</v>
      </c>
      <c r="D672" s="10">
        <v>20.6</v>
      </c>
      <c r="E672" s="18">
        <v>1</v>
      </c>
    </row>
    <row r="673" spans="1:5" x14ac:dyDescent="0.35">
      <c r="A673" s="11">
        <v>49312</v>
      </c>
      <c r="B673" s="12" t="s">
        <v>21</v>
      </c>
      <c r="C673" s="13">
        <v>10.5</v>
      </c>
      <c r="D673" s="14">
        <v>0</v>
      </c>
      <c r="E673" s="18">
        <v>1</v>
      </c>
    </row>
    <row r="674" spans="1:5" x14ac:dyDescent="0.35">
      <c r="A674" s="7">
        <v>49313</v>
      </c>
      <c r="B674" s="8" t="s">
        <v>6</v>
      </c>
      <c r="C674" s="9">
        <v>12.1</v>
      </c>
      <c r="D674" s="10">
        <v>8.8000000000000007</v>
      </c>
      <c r="E674" s="18">
        <v>1</v>
      </c>
    </row>
    <row r="675" spans="1:5" x14ac:dyDescent="0.35">
      <c r="A675" s="11">
        <v>49314</v>
      </c>
      <c r="B675" s="12" t="s">
        <v>10</v>
      </c>
      <c r="C675" s="13">
        <v>20.5</v>
      </c>
      <c r="D675" s="14">
        <v>0</v>
      </c>
      <c r="E675" s="18">
        <v>1</v>
      </c>
    </row>
    <row r="676" spans="1:5" x14ac:dyDescent="0.35">
      <c r="A676" s="7">
        <v>49315</v>
      </c>
      <c r="B676" s="8" t="s">
        <v>13</v>
      </c>
      <c r="C676" s="9">
        <v>13.1</v>
      </c>
      <c r="D676" s="10">
        <v>0</v>
      </c>
      <c r="E676" s="18">
        <v>1</v>
      </c>
    </row>
    <row r="677" spans="1:5" x14ac:dyDescent="0.35">
      <c r="A677" s="11">
        <v>49316</v>
      </c>
      <c r="B677" s="12" t="s">
        <v>26</v>
      </c>
      <c r="C677" s="13">
        <v>29.8</v>
      </c>
      <c r="D677" s="14">
        <v>1.1000000000000001</v>
      </c>
      <c r="E677" s="18">
        <v>1</v>
      </c>
    </row>
    <row r="678" spans="1:5" x14ac:dyDescent="0.35">
      <c r="A678" s="7">
        <v>49317</v>
      </c>
      <c r="B678" s="8" t="s">
        <v>15</v>
      </c>
      <c r="C678" s="9">
        <v>17.100000000000001</v>
      </c>
      <c r="D678" s="10">
        <v>5.5</v>
      </c>
      <c r="E678" s="18">
        <v>1</v>
      </c>
    </row>
    <row r="679" spans="1:5" x14ac:dyDescent="0.35">
      <c r="A679" s="11">
        <v>49318</v>
      </c>
      <c r="B679" s="12" t="s">
        <v>14</v>
      </c>
      <c r="C679" s="13">
        <v>29.1</v>
      </c>
      <c r="D679" s="14">
        <v>0.4</v>
      </c>
      <c r="E679" s="18">
        <v>1</v>
      </c>
    </row>
    <row r="680" spans="1:5" x14ac:dyDescent="0.35">
      <c r="A680" s="7">
        <v>49319</v>
      </c>
      <c r="B680" s="8" t="s">
        <v>18</v>
      </c>
      <c r="C680" s="9">
        <v>10.9</v>
      </c>
      <c r="D680" s="10">
        <v>0</v>
      </c>
      <c r="E680" s="18">
        <v>1</v>
      </c>
    </row>
    <row r="681" spans="1:5" x14ac:dyDescent="0.35">
      <c r="A681" s="11">
        <v>49320</v>
      </c>
      <c r="B681" s="12" t="s">
        <v>32</v>
      </c>
      <c r="C681" s="13">
        <v>27.4</v>
      </c>
      <c r="D681" s="14">
        <v>0.3</v>
      </c>
      <c r="E681" s="18">
        <v>1</v>
      </c>
    </row>
    <row r="682" spans="1:5" x14ac:dyDescent="0.35">
      <c r="A682" s="7">
        <v>49321</v>
      </c>
      <c r="B682" s="8" t="s">
        <v>19</v>
      </c>
      <c r="C682" s="9">
        <v>16.3</v>
      </c>
      <c r="D682" s="10">
        <v>9.8000000000000007</v>
      </c>
      <c r="E682" s="18">
        <v>1</v>
      </c>
    </row>
    <row r="683" spans="1:5" x14ac:dyDescent="0.35">
      <c r="A683" s="11">
        <v>49322</v>
      </c>
      <c r="B683" s="12" t="s">
        <v>7</v>
      </c>
      <c r="C683" s="13">
        <v>14.7</v>
      </c>
      <c r="D683" s="14">
        <v>0</v>
      </c>
      <c r="E683" s="18">
        <v>1</v>
      </c>
    </row>
    <row r="684" spans="1:5" x14ac:dyDescent="0.35">
      <c r="A684" s="7">
        <v>49323</v>
      </c>
      <c r="B684" s="8" t="s">
        <v>12</v>
      </c>
      <c r="C684" s="9">
        <v>17.2</v>
      </c>
      <c r="D684" s="10">
        <v>2</v>
      </c>
      <c r="E684" s="18">
        <v>1</v>
      </c>
    </row>
    <row r="685" spans="1:5" x14ac:dyDescent="0.35">
      <c r="A685" s="11">
        <v>49324</v>
      </c>
      <c r="B685" s="12" t="s">
        <v>15</v>
      </c>
      <c r="C685" s="13">
        <v>24.2</v>
      </c>
      <c r="D685" s="14">
        <v>9.9</v>
      </c>
      <c r="E685" s="18">
        <v>1</v>
      </c>
    </row>
    <row r="686" spans="1:5" x14ac:dyDescent="0.35">
      <c r="A686" s="7">
        <v>49325</v>
      </c>
      <c r="B686" s="8" t="s">
        <v>13</v>
      </c>
      <c r="C686" s="9">
        <v>22.3</v>
      </c>
      <c r="D686" s="10">
        <v>0</v>
      </c>
      <c r="E686" s="18">
        <v>1</v>
      </c>
    </row>
    <row r="687" spans="1:5" x14ac:dyDescent="0.35">
      <c r="A687" s="11">
        <v>49326</v>
      </c>
      <c r="B687" s="12" t="s">
        <v>29</v>
      </c>
      <c r="C687" s="13">
        <v>26.7</v>
      </c>
      <c r="D687" s="14">
        <v>0.6</v>
      </c>
      <c r="E687" s="18">
        <v>1</v>
      </c>
    </row>
    <row r="688" spans="1:5" x14ac:dyDescent="0.35">
      <c r="A688" s="7">
        <v>49327</v>
      </c>
      <c r="B688" s="8" t="s">
        <v>12</v>
      </c>
      <c r="C688" s="9">
        <v>10.9</v>
      </c>
      <c r="D688" s="10">
        <v>3.8</v>
      </c>
      <c r="E688" s="18">
        <v>1</v>
      </c>
    </row>
    <row r="689" spans="1:5" x14ac:dyDescent="0.35">
      <c r="A689" s="11">
        <v>49328</v>
      </c>
      <c r="B689" s="12" t="s">
        <v>21</v>
      </c>
      <c r="C689" s="13">
        <v>23.7</v>
      </c>
      <c r="D689" s="14">
        <v>0</v>
      </c>
      <c r="E689" s="18">
        <v>1</v>
      </c>
    </row>
    <row r="690" spans="1:5" x14ac:dyDescent="0.35">
      <c r="A690" s="7">
        <v>49329</v>
      </c>
      <c r="B690" s="8" t="s">
        <v>10</v>
      </c>
      <c r="C690" s="9">
        <v>16</v>
      </c>
      <c r="D690" s="10">
        <v>22.3</v>
      </c>
      <c r="E690" s="18">
        <v>1</v>
      </c>
    </row>
    <row r="691" spans="1:5" x14ac:dyDescent="0.35">
      <c r="A691" s="11">
        <v>49330</v>
      </c>
      <c r="B691" s="12" t="s">
        <v>10</v>
      </c>
      <c r="C691" s="13">
        <v>19.399999999999999</v>
      </c>
      <c r="D691" s="14">
        <v>41.6</v>
      </c>
      <c r="E691" s="18">
        <v>1</v>
      </c>
    </row>
    <row r="692" spans="1:5" x14ac:dyDescent="0.35">
      <c r="A692" s="7">
        <v>49331</v>
      </c>
      <c r="B692" s="8" t="s">
        <v>11</v>
      </c>
      <c r="C692" s="9">
        <v>26.7</v>
      </c>
      <c r="D692" s="10">
        <v>10</v>
      </c>
      <c r="E692" s="18">
        <v>1</v>
      </c>
    </row>
    <row r="693" spans="1:5" x14ac:dyDescent="0.35">
      <c r="A693" s="11">
        <v>49332</v>
      </c>
      <c r="B693" s="12" t="s">
        <v>19</v>
      </c>
      <c r="C693" s="13">
        <v>20.8</v>
      </c>
      <c r="D693" s="14">
        <v>0</v>
      </c>
      <c r="E693" s="18">
        <v>1</v>
      </c>
    </row>
    <row r="694" spans="1:5" x14ac:dyDescent="0.35">
      <c r="A694" s="7">
        <v>49333</v>
      </c>
      <c r="B694" s="8" t="s">
        <v>10</v>
      </c>
      <c r="C694" s="9">
        <v>25.6</v>
      </c>
      <c r="D694" s="10">
        <v>0</v>
      </c>
      <c r="E694" s="18">
        <v>1</v>
      </c>
    </row>
    <row r="695" spans="1:5" x14ac:dyDescent="0.35">
      <c r="A695" s="11">
        <v>49334</v>
      </c>
      <c r="B695" s="12" t="s">
        <v>18</v>
      </c>
      <c r="C695" s="13">
        <v>18.3</v>
      </c>
      <c r="D695" s="14">
        <v>0.5</v>
      </c>
      <c r="E695" s="18">
        <v>1</v>
      </c>
    </row>
    <row r="696" spans="1:5" x14ac:dyDescent="0.35">
      <c r="A696" s="7">
        <v>49335</v>
      </c>
      <c r="B696" s="8" t="s">
        <v>9</v>
      </c>
      <c r="C696" s="9">
        <v>27.4</v>
      </c>
      <c r="D696" s="10">
        <v>4.2</v>
      </c>
      <c r="E696" s="18">
        <v>1</v>
      </c>
    </row>
    <row r="697" spans="1:5" x14ac:dyDescent="0.35">
      <c r="A697" s="11">
        <v>49336</v>
      </c>
      <c r="B697" s="12" t="s">
        <v>23</v>
      </c>
      <c r="C697" s="13">
        <v>16.100000000000001</v>
      </c>
      <c r="D697" s="14">
        <v>3.4</v>
      </c>
      <c r="E697" s="18">
        <v>1</v>
      </c>
    </row>
    <row r="698" spans="1:5" x14ac:dyDescent="0.35">
      <c r="A698" s="7">
        <v>49337</v>
      </c>
      <c r="B698" s="8" t="s">
        <v>14</v>
      </c>
      <c r="C698" s="9">
        <v>27.5</v>
      </c>
      <c r="D698" s="10">
        <v>8</v>
      </c>
      <c r="E698" s="18">
        <v>1</v>
      </c>
    </row>
    <row r="699" spans="1:5" x14ac:dyDescent="0.35">
      <c r="A699" s="11">
        <v>49338</v>
      </c>
      <c r="B699" s="12" t="s">
        <v>9</v>
      </c>
      <c r="C699" s="13">
        <v>28.4</v>
      </c>
      <c r="D699" s="14">
        <v>10.199999999999999</v>
      </c>
      <c r="E699" s="18">
        <v>1</v>
      </c>
    </row>
    <row r="700" spans="1:5" x14ac:dyDescent="0.35">
      <c r="A700" s="7">
        <v>49339</v>
      </c>
      <c r="B700" s="8" t="s">
        <v>13</v>
      </c>
      <c r="C700" s="9">
        <v>16.100000000000001</v>
      </c>
      <c r="D700" s="10">
        <v>4</v>
      </c>
      <c r="E700" s="18">
        <v>1</v>
      </c>
    </row>
    <row r="701" spans="1:5" x14ac:dyDescent="0.35">
      <c r="A701" s="11">
        <v>49340</v>
      </c>
      <c r="B701" s="12" t="s">
        <v>23</v>
      </c>
      <c r="C701" s="13">
        <v>28.4</v>
      </c>
      <c r="D701" s="14">
        <v>2.6</v>
      </c>
      <c r="E701" s="18">
        <v>1</v>
      </c>
    </row>
    <row r="702" spans="1:5" x14ac:dyDescent="0.35">
      <c r="A702" s="7">
        <v>49341</v>
      </c>
      <c r="B702" s="8" t="s">
        <v>14</v>
      </c>
      <c r="C702" s="9">
        <v>29.3</v>
      </c>
      <c r="D702" s="10">
        <v>0</v>
      </c>
      <c r="E702" s="18">
        <v>1</v>
      </c>
    </row>
    <row r="703" spans="1:5" x14ac:dyDescent="0.35">
      <c r="A703" s="11">
        <v>49342</v>
      </c>
      <c r="B703" s="12" t="s">
        <v>13</v>
      </c>
      <c r="C703" s="13">
        <v>19.7</v>
      </c>
      <c r="D703" s="14">
        <v>16.2</v>
      </c>
      <c r="E703" s="18">
        <v>1</v>
      </c>
    </row>
    <row r="704" spans="1:5" x14ac:dyDescent="0.35">
      <c r="A704" s="7">
        <v>49343</v>
      </c>
      <c r="B704" s="8" t="s">
        <v>31</v>
      </c>
      <c r="C704" s="9">
        <v>11.5</v>
      </c>
      <c r="D704" s="10">
        <v>0.3</v>
      </c>
      <c r="E704" s="18">
        <v>1</v>
      </c>
    </row>
    <row r="705" spans="1:5" x14ac:dyDescent="0.35">
      <c r="A705" s="11">
        <v>49344</v>
      </c>
      <c r="B705" s="12" t="s">
        <v>19</v>
      </c>
      <c r="C705" s="13">
        <v>19.5</v>
      </c>
      <c r="D705" s="14">
        <v>0</v>
      </c>
      <c r="E705" s="18">
        <v>1</v>
      </c>
    </row>
    <row r="706" spans="1:5" x14ac:dyDescent="0.35">
      <c r="A706" s="7">
        <v>49345</v>
      </c>
      <c r="B706" s="8" t="s">
        <v>20</v>
      </c>
      <c r="C706" s="9">
        <v>22.7</v>
      </c>
      <c r="D706" s="10">
        <v>0.7</v>
      </c>
      <c r="E706" s="18">
        <v>1</v>
      </c>
    </row>
    <row r="707" spans="1:5" x14ac:dyDescent="0.35">
      <c r="A707" s="11">
        <v>49346</v>
      </c>
      <c r="B707" s="12" t="s">
        <v>7</v>
      </c>
      <c r="C707" s="13">
        <v>19.7</v>
      </c>
      <c r="D707" s="14">
        <v>7.3</v>
      </c>
      <c r="E707" s="18">
        <v>1</v>
      </c>
    </row>
    <row r="708" spans="1:5" x14ac:dyDescent="0.35">
      <c r="A708" s="7">
        <v>49347</v>
      </c>
      <c r="B708" s="8" t="s">
        <v>26</v>
      </c>
      <c r="C708" s="9">
        <v>19.399999999999999</v>
      </c>
      <c r="D708" s="10">
        <v>0.4</v>
      </c>
      <c r="E708" s="18">
        <v>1</v>
      </c>
    </row>
    <row r="709" spans="1:5" x14ac:dyDescent="0.35">
      <c r="A709" s="11">
        <v>49348</v>
      </c>
      <c r="B709" s="12" t="s">
        <v>23</v>
      </c>
      <c r="C709" s="13">
        <v>13.8</v>
      </c>
      <c r="D709" s="14">
        <v>1.1000000000000001</v>
      </c>
      <c r="E709" s="18">
        <v>1</v>
      </c>
    </row>
    <row r="710" spans="1:5" x14ac:dyDescent="0.35">
      <c r="A710" s="7">
        <v>49349</v>
      </c>
      <c r="B710" s="8" t="s">
        <v>13</v>
      </c>
      <c r="C710" s="9">
        <v>19.600000000000001</v>
      </c>
      <c r="D710" s="10">
        <v>2.2999999999999998</v>
      </c>
      <c r="E710" s="18">
        <v>1</v>
      </c>
    </row>
    <row r="711" spans="1:5" x14ac:dyDescent="0.35">
      <c r="A711" s="11">
        <v>49350</v>
      </c>
      <c r="B711" s="12" t="s">
        <v>19</v>
      </c>
      <c r="C711" s="13">
        <v>22.6</v>
      </c>
      <c r="D711" s="14">
        <v>13.3</v>
      </c>
      <c r="E711" s="18">
        <v>1</v>
      </c>
    </row>
    <row r="712" spans="1:5" x14ac:dyDescent="0.35">
      <c r="A712" s="7">
        <v>49351</v>
      </c>
      <c r="B712" s="8" t="s">
        <v>6</v>
      </c>
      <c r="C712" s="9">
        <v>18.2</v>
      </c>
      <c r="D712" s="10">
        <v>7.6</v>
      </c>
      <c r="E712" s="18">
        <v>1</v>
      </c>
    </row>
    <row r="713" spans="1:5" x14ac:dyDescent="0.35">
      <c r="A713" s="11">
        <v>49352</v>
      </c>
      <c r="B713" s="12" t="s">
        <v>19</v>
      </c>
      <c r="C713" s="13">
        <v>27.3</v>
      </c>
      <c r="D713" s="14">
        <v>38.4</v>
      </c>
      <c r="E713" s="18">
        <v>1</v>
      </c>
    </row>
    <row r="714" spans="1:5" x14ac:dyDescent="0.35">
      <c r="A714" s="7">
        <v>49353</v>
      </c>
      <c r="B714" s="8" t="s">
        <v>19</v>
      </c>
      <c r="C714" s="9">
        <v>14.7</v>
      </c>
      <c r="D714" s="10">
        <v>31.8</v>
      </c>
      <c r="E714" s="18">
        <v>1</v>
      </c>
    </row>
    <row r="715" spans="1:5" x14ac:dyDescent="0.35">
      <c r="A715" s="11">
        <v>49354</v>
      </c>
      <c r="B715" s="12" t="s">
        <v>22</v>
      </c>
      <c r="C715" s="13">
        <v>20.6</v>
      </c>
      <c r="D715" s="14">
        <v>5.9</v>
      </c>
      <c r="E715" s="18">
        <v>1</v>
      </c>
    </row>
    <row r="716" spans="1:5" x14ac:dyDescent="0.35">
      <c r="A716" s="7">
        <v>49355</v>
      </c>
      <c r="B716" s="8" t="s">
        <v>10</v>
      </c>
      <c r="C716" s="9">
        <v>12.6</v>
      </c>
      <c r="D716" s="10">
        <v>14.4</v>
      </c>
      <c r="E716" s="18">
        <v>1</v>
      </c>
    </row>
    <row r="717" spans="1:5" x14ac:dyDescent="0.35">
      <c r="A717" s="11">
        <v>49356</v>
      </c>
      <c r="B717" s="12" t="s">
        <v>11</v>
      </c>
      <c r="C717" s="13">
        <v>14.5</v>
      </c>
      <c r="D717" s="14">
        <v>0</v>
      </c>
      <c r="E717" s="18">
        <v>1</v>
      </c>
    </row>
    <row r="718" spans="1:5" x14ac:dyDescent="0.35">
      <c r="A718" s="7">
        <v>49357</v>
      </c>
      <c r="B718" s="8" t="s">
        <v>10</v>
      </c>
      <c r="C718" s="9">
        <v>24.7</v>
      </c>
      <c r="D718" s="10">
        <v>36</v>
      </c>
      <c r="E718" s="18">
        <v>1</v>
      </c>
    </row>
    <row r="719" spans="1:5" x14ac:dyDescent="0.35">
      <c r="A719" s="11">
        <v>49358</v>
      </c>
      <c r="B719" s="12" t="s">
        <v>19</v>
      </c>
      <c r="C719" s="13">
        <v>17.899999999999999</v>
      </c>
      <c r="D719" s="14">
        <v>24.9</v>
      </c>
      <c r="E719" s="18">
        <v>1</v>
      </c>
    </row>
    <row r="720" spans="1:5" x14ac:dyDescent="0.35">
      <c r="A720" s="7">
        <v>49359</v>
      </c>
      <c r="B720" s="8" t="s">
        <v>14</v>
      </c>
      <c r="C720" s="9">
        <v>20.2</v>
      </c>
      <c r="D720" s="10">
        <v>2.9</v>
      </c>
      <c r="E720" s="18">
        <v>1</v>
      </c>
    </row>
    <row r="721" spans="1:5" x14ac:dyDescent="0.35">
      <c r="A721" s="11">
        <v>49360</v>
      </c>
      <c r="B721" s="12" t="s">
        <v>8</v>
      </c>
      <c r="C721" s="13">
        <v>13.4</v>
      </c>
      <c r="D721" s="14">
        <v>1.7</v>
      </c>
      <c r="E721" s="18">
        <v>1</v>
      </c>
    </row>
    <row r="722" spans="1:5" x14ac:dyDescent="0.35">
      <c r="A722" s="7">
        <v>49361</v>
      </c>
      <c r="B722" s="8" t="s">
        <v>17</v>
      </c>
      <c r="C722" s="9">
        <v>12.2</v>
      </c>
      <c r="D722" s="10">
        <v>6</v>
      </c>
      <c r="E722" s="18">
        <v>1</v>
      </c>
    </row>
    <row r="723" spans="1:5" x14ac:dyDescent="0.35">
      <c r="A723" s="11">
        <v>49362</v>
      </c>
      <c r="B723" s="12" t="s">
        <v>30</v>
      </c>
      <c r="C723" s="13">
        <v>29.8</v>
      </c>
      <c r="D723" s="14">
        <v>0.4</v>
      </c>
      <c r="E723" s="18">
        <v>1</v>
      </c>
    </row>
    <row r="724" spans="1:5" x14ac:dyDescent="0.35">
      <c r="A724" s="7">
        <v>49363</v>
      </c>
      <c r="B724" s="8" t="s">
        <v>19</v>
      </c>
      <c r="C724" s="9">
        <v>16.100000000000001</v>
      </c>
      <c r="D724" s="10">
        <v>28.7</v>
      </c>
      <c r="E724" s="18">
        <v>1</v>
      </c>
    </row>
    <row r="725" spans="1:5" x14ac:dyDescent="0.35">
      <c r="A725" s="11">
        <v>49364</v>
      </c>
      <c r="B725" s="12" t="s">
        <v>10</v>
      </c>
      <c r="C725" s="13">
        <v>18.8</v>
      </c>
      <c r="D725" s="14">
        <v>0</v>
      </c>
      <c r="E725" s="18">
        <v>1</v>
      </c>
    </row>
    <row r="726" spans="1:5" x14ac:dyDescent="0.35">
      <c r="A726" s="7">
        <v>49365</v>
      </c>
      <c r="B726" s="8" t="s">
        <v>15</v>
      </c>
      <c r="C726" s="9">
        <v>17.100000000000001</v>
      </c>
      <c r="D726" s="10">
        <v>0</v>
      </c>
      <c r="E726" s="18">
        <v>1</v>
      </c>
    </row>
    <row r="727" spans="1:5" x14ac:dyDescent="0.35">
      <c r="A727" s="11">
        <v>49366</v>
      </c>
      <c r="B727" s="12" t="s">
        <v>9</v>
      </c>
      <c r="C727" s="13">
        <v>11.7</v>
      </c>
      <c r="D727" s="14">
        <v>7.7</v>
      </c>
      <c r="E727" s="18">
        <v>1</v>
      </c>
    </row>
    <row r="728" spans="1:5" x14ac:dyDescent="0.35">
      <c r="A728" s="7">
        <v>49367</v>
      </c>
      <c r="B728" s="8" t="s">
        <v>18</v>
      </c>
      <c r="C728" s="9">
        <v>25.4</v>
      </c>
      <c r="D728" s="10">
        <v>14.2</v>
      </c>
      <c r="E728" s="18">
        <v>1</v>
      </c>
    </row>
    <row r="729" spans="1:5" x14ac:dyDescent="0.35">
      <c r="A729" s="11">
        <v>49368</v>
      </c>
      <c r="B729" s="12" t="s">
        <v>22</v>
      </c>
      <c r="C729" s="13">
        <v>12.6</v>
      </c>
      <c r="D729" s="14">
        <v>9</v>
      </c>
      <c r="E729" s="18">
        <v>1</v>
      </c>
    </row>
    <row r="730" spans="1:5" x14ac:dyDescent="0.35">
      <c r="A730" s="7">
        <v>49369</v>
      </c>
      <c r="B730" s="8" t="s">
        <v>10</v>
      </c>
      <c r="C730" s="9">
        <v>15.8</v>
      </c>
      <c r="D730" s="10">
        <v>0</v>
      </c>
      <c r="E730" s="18">
        <v>1</v>
      </c>
    </row>
    <row r="731" spans="1:5" x14ac:dyDescent="0.35">
      <c r="A731" s="11">
        <v>49370</v>
      </c>
      <c r="B731" s="12" t="s">
        <v>18</v>
      </c>
      <c r="C731" s="13">
        <v>24.7</v>
      </c>
      <c r="D731" s="14">
        <v>13.9</v>
      </c>
      <c r="E731" s="18">
        <v>1</v>
      </c>
    </row>
    <row r="732" spans="1:5" x14ac:dyDescent="0.35">
      <c r="A732" s="7">
        <v>49371</v>
      </c>
      <c r="B732" s="8" t="s">
        <v>27</v>
      </c>
      <c r="C732" s="9">
        <v>26.7</v>
      </c>
      <c r="D732" s="10">
        <v>0</v>
      </c>
      <c r="E732" s="18">
        <v>1</v>
      </c>
    </row>
    <row r="733" spans="1:5" x14ac:dyDescent="0.35">
      <c r="A733" s="11">
        <v>49372</v>
      </c>
      <c r="B733" s="12" t="s">
        <v>19</v>
      </c>
      <c r="C733" s="13">
        <v>21.2</v>
      </c>
      <c r="D733" s="14">
        <v>5.3</v>
      </c>
      <c r="E733" s="18">
        <v>1</v>
      </c>
    </row>
    <row r="734" spans="1:5" x14ac:dyDescent="0.35">
      <c r="A734" s="7">
        <v>49373</v>
      </c>
      <c r="B734" s="8" t="s">
        <v>6</v>
      </c>
      <c r="C734" s="9">
        <v>10.4</v>
      </c>
      <c r="D734" s="10">
        <v>8.6</v>
      </c>
      <c r="E734" s="18">
        <v>1</v>
      </c>
    </row>
    <row r="735" spans="1:5" x14ac:dyDescent="0.35">
      <c r="A735" s="11">
        <v>49374</v>
      </c>
      <c r="B735" s="12" t="s">
        <v>26</v>
      </c>
      <c r="C735" s="13">
        <v>25.1</v>
      </c>
      <c r="D735" s="14">
        <v>3.3</v>
      </c>
      <c r="E735" s="18">
        <v>1</v>
      </c>
    </row>
    <row r="736" spans="1:5" x14ac:dyDescent="0.35">
      <c r="A736" s="7">
        <v>49375</v>
      </c>
      <c r="B736" s="8" t="s">
        <v>19</v>
      </c>
      <c r="C736" s="9">
        <v>27.8</v>
      </c>
      <c r="D736" s="10">
        <v>20.9</v>
      </c>
      <c r="E736" s="18">
        <v>1</v>
      </c>
    </row>
    <row r="737" spans="1:5" x14ac:dyDescent="0.35">
      <c r="A737" s="11">
        <v>49376</v>
      </c>
      <c r="B737" s="12" t="s">
        <v>11</v>
      </c>
      <c r="C737" s="13">
        <v>26.1</v>
      </c>
      <c r="D737" s="14">
        <v>0</v>
      </c>
      <c r="E737" s="18">
        <v>1</v>
      </c>
    </row>
    <row r="738" spans="1:5" x14ac:dyDescent="0.35">
      <c r="A738" s="7">
        <v>49377</v>
      </c>
      <c r="B738" s="8" t="s">
        <v>13</v>
      </c>
      <c r="C738" s="9">
        <v>18.3</v>
      </c>
      <c r="D738" s="10">
        <v>7.8</v>
      </c>
      <c r="E738" s="18">
        <v>1</v>
      </c>
    </row>
    <row r="739" spans="1:5" x14ac:dyDescent="0.35">
      <c r="A739" s="11">
        <v>49378</v>
      </c>
      <c r="B739" s="12" t="s">
        <v>11</v>
      </c>
      <c r="C739" s="13">
        <v>16.3</v>
      </c>
      <c r="D739" s="14">
        <v>0</v>
      </c>
      <c r="E739" s="18">
        <v>1</v>
      </c>
    </row>
    <row r="740" spans="1:5" x14ac:dyDescent="0.35">
      <c r="A740" s="7">
        <v>49379</v>
      </c>
      <c r="B740" s="8" t="s">
        <v>11</v>
      </c>
      <c r="C740" s="9">
        <v>17.2</v>
      </c>
      <c r="D740" s="10">
        <v>12.5</v>
      </c>
      <c r="E740" s="18">
        <v>1</v>
      </c>
    </row>
    <row r="741" spans="1:5" x14ac:dyDescent="0.35">
      <c r="A741" s="11">
        <v>49380</v>
      </c>
      <c r="B741" s="12" t="s">
        <v>24</v>
      </c>
      <c r="C741" s="13">
        <v>22.1</v>
      </c>
      <c r="D741" s="14">
        <v>3.7</v>
      </c>
      <c r="E741" s="18">
        <v>1</v>
      </c>
    </row>
    <row r="742" spans="1:5" x14ac:dyDescent="0.35">
      <c r="A742" s="7">
        <v>49381</v>
      </c>
      <c r="B742" s="8" t="s">
        <v>23</v>
      </c>
      <c r="C742" s="9">
        <v>18.8</v>
      </c>
      <c r="D742" s="10">
        <v>0</v>
      </c>
      <c r="E742" s="18">
        <v>1</v>
      </c>
    </row>
    <row r="743" spans="1:5" x14ac:dyDescent="0.35">
      <c r="A743" s="11">
        <v>49382</v>
      </c>
      <c r="B743" s="12" t="s">
        <v>18</v>
      </c>
      <c r="C743" s="13">
        <v>12.3</v>
      </c>
      <c r="D743" s="14">
        <v>7.1</v>
      </c>
      <c r="E743" s="18">
        <v>1</v>
      </c>
    </row>
    <row r="744" spans="1:5" x14ac:dyDescent="0.35">
      <c r="A744" s="7">
        <v>49383</v>
      </c>
      <c r="B744" s="8" t="s">
        <v>10</v>
      </c>
      <c r="C744" s="9">
        <v>27.5</v>
      </c>
      <c r="D744" s="10">
        <v>34.299999999999997</v>
      </c>
      <c r="E744" s="18">
        <v>1</v>
      </c>
    </row>
    <row r="745" spans="1:5" x14ac:dyDescent="0.35">
      <c r="A745" s="11">
        <v>49384</v>
      </c>
      <c r="B745" s="12" t="s">
        <v>18</v>
      </c>
      <c r="C745" s="13">
        <v>23.1</v>
      </c>
      <c r="D745" s="14">
        <v>0</v>
      </c>
      <c r="E745" s="18">
        <v>1</v>
      </c>
    </row>
    <row r="746" spans="1:5" x14ac:dyDescent="0.35">
      <c r="A746" s="7">
        <v>49385</v>
      </c>
      <c r="B746" s="8" t="s">
        <v>11</v>
      </c>
      <c r="C746" s="9">
        <v>21.3</v>
      </c>
      <c r="D746" s="10">
        <v>0</v>
      </c>
      <c r="E746" s="18">
        <v>1</v>
      </c>
    </row>
    <row r="747" spans="1:5" x14ac:dyDescent="0.35">
      <c r="A747" s="11">
        <v>49386</v>
      </c>
      <c r="B747" s="12" t="s">
        <v>26</v>
      </c>
      <c r="C747" s="13">
        <v>13.8</v>
      </c>
      <c r="D747" s="14">
        <v>5.9</v>
      </c>
      <c r="E747" s="18">
        <v>1</v>
      </c>
    </row>
    <row r="748" spans="1:5" x14ac:dyDescent="0.35">
      <c r="A748" s="7">
        <v>49387</v>
      </c>
      <c r="B748" s="8" t="s">
        <v>13</v>
      </c>
      <c r="C748" s="9">
        <v>20</v>
      </c>
      <c r="D748" s="10">
        <v>16</v>
      </c>
      <c r="E748" s="18">
        <v>1</v>
      </c>
    </row>
    <row r="749" spans="1:5" x14ac:dyDescent="0.35">
      <c r="A749" s="11">
        <v>49388</v>
      </c>
      <c r="B749" s="12" t="s">
        <v>12</v>
      </c>
      <c r="C749" s="13">
        <v>23.9</v>
      </c>
      <c r="D749" s="14">
        <v>0</v>
      </c>
      <c r="E749" s="18">
        <v>1</v>
      </c>
    </row>
    <row r="750" spans="1:5" x14ac:dyDescent="0.35">
      <c r="A750" s="7">
        <v>49389</v>
      </c>
      <c r="B750" s="8" t="s">
        <v>29</v>
      </c>
      <c r="C750" s="9">
        <v>15.3</v>
      </c>
      <c r="D750" s="10">
        <v>0.1</v>
      </c>
      <c r="E750" s="18">
        <v>1</v>
      </c>
    </row>
    <row r="751" spans="1:5" x14ac:dyDescent="0.35">
      <c r="A751" s="11">
        <v>49390</v>
      </c>
      <c r="B751" s="12" t="s">
        <v>14</v>
      </c>
      <c r="C751" s="13">
        <v>16.600000000000001</v>
      </c>
      <c r="D751" s="14">
        <v>0</v>
      </c>
      <c r="E751" s="18">
        <v>1</v>
      </c>
    </row>
    <row r="752" spans="1:5" x14ac:dyDescent="0.35">
      <c r="A752" s="7">
        <v>49391</v>
      </c>
      <c r="B752" s="8" t="s">
        <v>27</v>
      </c>
      <c r="C752" s="9">
        <v>20.8</v>
      </c>
      <c r="D752" s="10">
        <v>2</v>
      </c>
      <c r="E752" s="18">
        <v>1</v>
      </c>
    </row>
    <row r="753" spans="1:5" x14ac:dyDescent="0.35">
      <c r="A753" s="11">
        <v>49392</v>
      </c>
      <c r="B753" s="12" t="s">
        <v>11</v>
      </c>
      <c r="C753" s="13">
        <v>10.8</v>
      </c>
      <c r="D753" s="14">
        <v>12.3</v>
      </c>
      <c r="E753" s="18">
        <v>1</v>
      </c>
    </row>
    <row r="754" spans="1:5" x14ac:dyDescent="0.35">
      <c r="A754" s="7">
        <v>49393</v>
      </c>
      <c r="B754" s="8" t="s">
        <v>11</v>
      </c>
      <c r="C754" s="9">
        <v>12.5</v>
      </c>
      <c r="D754" s="10">
        <v>18.399999999999999</v>
      </c>
      <c r="E754" s="18">
        <v>1</v>
      </c>
    </row>
    <row r="755" spans="1:5" x14ac:dyDescent="0.35">
      <c r="A755" s="11">
        <v>49394</v>
      </c>
      <c r="B755" s="12" t="s">
        <v>9</v>
      </c>
      <c r="C755" s="13">
        <v>24</v>
      </c>
      <c r="D755" s="14">
        <v>4.9000000000000004</v>
      </c>
      <c r="E755" s="18">
        <v>1</v>
      </c>
    </row>
    <row r="756" spans="1:5" x14ac:dyDescent="0.35">
      <c r="A756" s="7">
        <v>49395</v>
      </c>
      <c r="B756" s="8" t="s">
        <v>10</v>
      </c>
      <c r="C756" s="9">
        <v>21.4</v>
      </c>
      <c r="D756" s="10">
        <v>11.1</v>
      </c>
      <c r="E756" s="18">
        <v>1</v>
      </c>
    </row>
    <row r="757" spans="1:5" x14ac:dyDescent="0.35">
      <c r="A757" s="11">
        <v>49396</v>
      </c>
      <c r="B757" s="12" t="s">
        <v>22</v>
      </c>
      <c r="C757" s="13">
        <v>18.3</v>
      </c>
      <c r="D757" s="14">
        <v>0</v>
      </c>
      <c r="E757" s="18">
        <v>1</v>
      </c>
    </row>
    <row r="758" spans="1:5" x14ac:dyDescent="0.35">
      <c r="A758" s="7">
        <v>49397</v>
      </c>
      <c r="B758" s="8" t="s">
        <v>15</v>
      </c>
      <c r="C758" s="9">
        <v>10.5</v>
      </c>
      <c r="D758" s="10">
        <v>3.9</v>
      </c>
      <c r="E758" s="18">
        <v>1</v>
      </c>
    </row>
    <row r="759" spans="1:5" x14ac:dyDescent="0.35">
      <c r="A759" s="11">
        <v>49398</v>
      </c>
      <c r="B759" s="12" t="s">
        <v>10</v>
      </c>
      <c r="C759" s="13">
        <v>11.7</v>
      </c>
      <c r="D759" s="14">
        <v>0</v>
      </c>
      <c r="E759" s="18">
        <v>1</v>
      </c>
    </row>
    <row r="760" spans="1:5" x14ac:dyDescent="0.35">
      <c r="A760" s="7">
        <v>49399</v>
      </c>
      <c r="B760" s="8" t="s">
        <v>7</v>
      </c>
      <c r="C760" s="9">
        <v>26.8</v>
      </c>
      <c r="D760" s="10">
        <v>0</v>
      </c>
      <c r="E760" s="18">
        <v>1</v>
      </c>
    </row>
    <row r="761" spans="1:5" x14ac:dyDescent="0.35">
      <c r="A761" s="11">
        <v>49400</v>
      </c>
      <c r="B761" s="12" t="s">
        <v>10</v>
      </c>
      <c r="C761" s="13">
        <v>22.1</v>
      </c>
      <c r="D761" s="14">
        <v>33.799999999999997</v>
      </c>
      <c r="E761" s="18">
        <v>1</v>
      </c>
    </row>
    <row r="762" spans="1:5" x14ac:dyDescent="0.35">
      <c r="A762" s="7">
        <v>49401</v>
      </c>
      <c r="B762" s="8" t="s">
        <v>32</v>
      </c>
      <c r="C762" s="9">
        <v>17.100000000000001</v>
      </c>
      <c r="D762" s="10">
        <v>0</v>
      </c>
      <c r="E762" s="18">
        <v>1</v>
      </c>
    </row>
    <row r="763" spans="1:5" x14ac:dyDescent="0.35">
      <c r="A763" s="11">
        <v>49402</v>
      </c>
      <c r="B763" s="12" t="s">
        <v>13</v>
      </c>
      <c r="C763" s="13">
        <v>12.1</v>
      </c>
      <c r="D763" s="14">
        <v>14.4</v>
      </c>
      <c r="E763" s="18">
        <v>1</v>
      </c>
    </row>
    <row r="764" spans="1:5" x14ac:dyDescent="0.35">
      <c r="A764" s="7">
        <v>49403</v>
      </c>
      <c r="B764" s="8" t="s">
        <v>19</v>
      </c>
      <c r="C764" s="9">
        <v>28.6</v>
      </c>
      <c r="D764" s="10">
        <v>23.2</v>
      </c>
      <c r="E764" s="18">
        <v>1</v>
      </c>
    </row>
    <row r="765" spans="1:5" x14ac:dyDescent="0.35">
      <c r="A765" s="11">
        <v>49404</v>
      </c>
      <c r="B765" s="12" t="s">
        <v>6</v>
      </c>
      <c r="C765" s="13">
        <v>21.2</v>
      </c>
      <c r="D765" s="14">
        <v>1.5</v>
      </c>
      <c r="E765" s="18">
        <v>1</v>
      </c>
    </row>
    <row r="766" spans="1:5" x14ac:dyDescent="0.35">
      <c r="A766" s="7">
        <v>49405</v>
      </c>
      <c r="B766" s="8" t="s">
        <v>9</v>
      </c>
      <c r="C766" s="9">
        <v>17.2</v>
      </c>
      <c r="D766" s="10">
        <v>2.4</v>
      </c>
      <c r="E766" s="18">
        <v>1</v>
      </c>
    </row>
    <row r="767" spans="1:5" x14ac:dyDescent="0.35">
      <c r="A767" s="11">
        <v>49406</v>
      </c>
      <c r="B767" s="12" t="s">
        <v>10</v>
      </c>
      <c r="C767" s="13">
        <v>22.3</v>
      </c>
      <c r="D767" s="14">
        <v>0</v>
      </c>
      <c r="E767" s="18">
        <v>1</v>
      </c>
    </row>
    <row r="768" spans="1:5" x14ac:dyDescent="0.35">
      <c r="A768" s="7">
        <v>49407</v>
      </c>
      <c r="B768" s="8" t="s">
        <v>15</v>
      </c>
      <c r="C768" s="9">
        <v>13.2</v>
      </c>
      <c r="D768" s="10">
        <v>3.6</v>
      </c>
      <c r="E768" s="18">
        <v>1</v>
      </c>
    </row>
    <row r="769" spans="1:5" x14ac:dyDescent="0.35">
      <c r="A769" s="11">
        <v>49408</v>
      </c>
      <c r="B769" s="12" t="s">
        <v>18</v>
      </c>
      <c r="C769" s="13">
        <v>13.6</v>
      </c>
      <c r="D769" s="14">
        <v>13.4</v>
      </c>
      <c r="E769" s="18">
        <v>1</v>
      </c>
    </row>
    <row r="770" spans="1:5" x14ac:dyDescent="0.35">
      <c r="A770" s="7">
        <v>49409</v>
      </c>
      <c r="B770" s="8" t="s">
        <v>12</v>
      </c>
      <c r="C770" s="9">
        <v>15.7</v>
      </c>
      <c r="D770" s="10">
        <v>0</v>
      </c>
      <c r="E770" s="18">
        <v>1</v>
      </c>
    </row>
    <row r="771" spans="1:5" x14ac:dyDescent="0.35">
      <c r="A771" s="11">
        <v>49410</v>
      </c>
      <c r="B771" s="12" t="s">
        <v>9</v>
      </c>
      <c r="C771" s="13">
        <v>24.8</v>
      </c>
      <c r="D771" s="14">
        <v>0</v>
      </c>
      <c r="E771" s="18">
        <v>1</v>
      </c>
    </row>
    <row r="772" spans="1:5" x14ac:dyDescent="0.35">
      <c r="A772" s="7">
        <v>49411</v>
      </c>
      <c r="B772" s="8" t="s">
        <v>10</v>
      </c>
      <c r="C772" s="9">
        <v>25.1</v>
      </c>
      <c r="D772" s="10">
        <v>5.0999999999999996</v>
      </c>
      <c r="E772" s="18">
        <v>1</v>
      </c>
    </row>
    <row r="773" spans="1:5" x14ac:dyDescent="0.35">
      <c r="A773" s="11">
        <v>49412</v>
      </c>
      <c r="B773" s="12" t="s">
        <v>19</v>
      </c>
      <c r="C773" s="13">
        <v>14.2</v>
      </c>
      <c r="D773" s="14">
        <v>23.5</v>
      </c>
      <c r="E773" s="18">
        <v>1</v>
      </c>
    </row>
    <row r="774" spans="1:5" x14ac:dyDescent="0.35">
      <c r="A774" s="7">
        <v>49413</v>
      </c>
      <c r="B774" s="8" t="s">
        <v>14</v>
      </c>
      <c r="C774" s="9">
        <v>21.1</v>
      </c>
      <c r="D774" s="10">
        <v>1.4</v>
      </c>
      <c r="E774" s="18">
        <v>1</v>
      </c>
    </row>
    <row r="775" spans="1:5" x14ac:dyDescent="0.35">
      <c r="A775" s="11">
        <v>49414</v>
      </c>
      <c r="B775" s="12" t="s">
        <v>10</v>
      </c>
      <c r="C775" s="13">
        <v>25.4</v>
      </c>
      <c r="D775" s="14">
        <v>28</v>
      </c>
      <c r="E775" s="18">
        <v>1</v>
      </c>
    </row>
    <row r="776" spans="1:5" x14ac:dyDescent="0.35">
      <c r="A776" s="7">
        <v>49415</v>
      </c>
      <c r="B776" s="8" t="s">
        <v>10</v>
      </c>
      <c r="C776" s="9">
        <v>24.7</v>
      </c>
      <c r="D776" s="10">
        <v>5.7</v>
      </c>
      <c r="E776" s="18">
        <v>1</v>
      </c>
    </row>
    <row r="777" spans="1:5" x14ac:dyDescent="0.35">
      <c r="A777" s="11">
        <v>49416</v>
      </c>
      <c r="B777" s="12" t="s">
        <v>13</v>
      </c>
      <c r="C777" s="13">
        <v>19.8</v>
      </c>
      <c r="D777" s="14">
        <v>0</v>
      </c>
      <c r="E777" s="18">
        <v>1</v>
      </c>
    </row>
    <row r="778" spans="1:5" x14ac:dyDescent="0.35">
      <c r="A778" s="7">
        <v>49417</v>
      </c>
      <c r="B778" s="8" t="s">
        <v>27</v>
      </c>
      <c r="C778" s="9">
        <v>28.4</v>
      </c>
      <c r="D778" s="10">
        <v>2.9</v>
      </c>
      <c r="E778" s="18">
        <v>1</v>
      </c>
    </row>
    <row r="779" spans="1:5" x14ac:dyDescent="0.35">
      <c r="A779" s="11">
        <v>49418</v>
      </c>
      <c r="B779" s="12" t="s">
        <v>11</v>
      </c>
      <c r="C779" s="13">
        <v>26.5</v>
      </c>
      <c r="D779" s="14">
        <v>0</v>
      </c>
      <c r="E779" s="18">
        <v>1</v>
      </c>
    </row>
    <row r="780" spans="1:5" x14ac:dyDescent="0.35">
      <c r="A780" s="7">
        <v>49419</v>
      </c>
      <c r="B780" s="8" t="s">
        <v>10</v>
      </c>
      <c r="C780" s="9">
        <v>14.1</v>
      </c>
      <c r="D780" s="10">
        <v>13.1</v>
      </c>
      <c r="E780" s="18">
        <v>1</v>
      </c>
    </row>
    <row r="781" spans="1:5" x14ac:dyDescent="0.35">
      <c r="A781" s="11">
        <v>49420</v>
      </c>
      <c r="B781" s="12" t="s">
        <v>28</v>
      </c>
      <c r="C781" s="13">
        <v>15.9</v>
      </c>
      <c r="D781" s="14">
        <v>0.5</v>
      </c>
      <c r="E781" s="18">
        <v>1</v>
      </c>
    </row>
    <row r="782" spans="1:5" x14ac:dyDescent="0.35">
      <c r="A782" s="7">
        <v>49421</v>
      </c>
      <c r="B782" s="8" t="s">
        <v>19</v>
      </c>
      <c r="C782" s="9">
        <v>28.2</v>
      </c>
      <c r="D782" s="10">
        <v>26.9</v>
      </c>
      <c r="E782" s="18">
        <v>1</v>
      </c>
    </row>
    <row r="783" spans="1:5" x14ac:dyDescent="0.35">
      <c r="A783" s="11">
        <v>49422</v>
      </c>
      <c r="B783" s="12" t="s">
        <v>28</v>
      </c>
      <c r="C783" s="13">
        <v>17.100000000000001</v>
      </c>
      <c r="D783" s="14">
        <v>0.5</v>
      </c>
      <c r="E783" s="18">
        <v>1</v>
      </c>
    </row>
    <row r="784" spans="1:5" x14ac:dyDescent="0.35">
      <c r="A784" s="7">
        <v>49423</v>
      </c>
      <c r="B784" s="8" t="s">
        <v>19</v>
      </c>
      <c r="C784" s="9">
        <v>27</v>
      </c>
      <c r="D784" s="10">
        <v>0</v>
      </c>
      <c r="E784" s="18">
        <v>1</v>
      </c>
    </row>
    <row r="785" spans="1:5" x14ac:dyDescent="0.35">
      <c r="A785" s="11">
        <v>49424</v>
      </c>
      <c r="B785" s="12" t="s">
        <v>18</v>
      </c>
      <c r="C785" s="13">
        <v>24.1</v>
      </c>
      <c r="D785" s="14">
        <v>0</v>
      </c>
      <c r="E785" s="18">
        <v>1</v>
      </c>
    </row>
    <row r="786" spans="1:5" x14ac:dyDescent="0.35">
      <c r="A786" s="7">
        <v>49425</v>
      </c>
      <c r="B786" s="8" t="s">
        <v>12</v>
      </c>
      <c r="C786" s="9">
        <v>10.4</v>
      </c>
      <c r="D786" s="10">
        <v>7.2</v>
      </c>
      <c r="E786" s="18">
        <v>1</v>
      </c>
    </row>
    <row r="787" spans="1:5" x14ac:dyDescent="0.35">
      <c r="A787" s="11">
        <v>49426</v>
      </c>
      <c r="B787" s="12" t="s">
        <v>13</v>
      </c>
      <c r="C787" s="13">
        <v>27.2</v>
      </c>
      <c r="D787" s="14">
        <v>15.1</v>
      </c>
      <c r="E787" s="18">
        <v>1</v>
      </c>
    </row>
    <row r="788" spans="1:5" x14ac:dyDescent="0.35">
      <c r="A788" s="7">
        <v>49427</v>
      </c>
      <c r="B788" s="8" t="s">
        <v>22</v>
      </c>
      <c r="C788" s="9">
        <v>22.1</v>
      </c>
      <c r="D788" s="10">
        <v>0</v>
      </c>
      <c r="E788" s="18">
        <v>1</v>
      </c>
    </row>
    <row r="789" spans="1:5" x14ac:dyDescent="0.35">
      <c r="A789" s="11">
        <v>49428</v>
      </c>
      <c r="B789" s="12" t="s">
        <v>14</v>
      </c>
      <c r="C789" s="13">
        <v>13.3</v>
      </c>
      <c r="D789" s="14">
        <v>8.5</v>
      </c>
      <c r="E789" s="18">
        <v>1</v>
      </c>
    </row>
    <row r="790" spans="1:5" x14ac:dyDescent="0.35">
      <c r="A790" s="7">
        <v>49429</v>
      </c>
      <c r="B790" s="8" t="s">
        <v>12</v>
      </c>
      <c r="C790" s="9">
        <v>26.4</v>
      </c>
      <c r="D790" s="10">
        <v>0</v>
      </c>
      <c r="E790" s="18">
        <v>1</v>
      </c>
    </row>
    <row r="791" spans="1:5" x14ac:dyDescent="0.35">
      <c r="A791" s="11">
        <v>49430</v>
      </c>
      <c r="B791" s="12" t="s">
        <v>25</v>
      </c>
      <c r="C791" s="13">
        <v>25.8</v>
      </c>
      <c r="D791" s="14">
        <v>2.9</v>
      </c>
      <c r="E791" s="18">
        <v>1</v>
      </c>
    </row>
    <row r="792" spans="1:5" x14ac:dyDescent="0.35">
      <c r="A792" s="7">
        <v>49431</v>
      </c>
      <c r="B792" s="8" t="s">
        <v>15</v>
      </c>
      <c r="C792" s="9">
        <v>23</v>
      </c>
      <c r="D792" s="10">
        <v>3.8</v>
      </c>
      <c r="E792" s="18">
        <v>1</v>
      </c>
    </row>
    <row r="793" spans="1:5" x14ac:dyDescent="0.35">
      <c r="A793" s="11">
        <v>49432</v>
      </c>
      <c r="B793" s="12" t="s">
        <v>13</v>
      </c>
      <c r="C793" s="13">
        <v>22.7</v>
      </c>
      <c r="D793" s="14">
        <v>0</v>
      </c>
      <c r="E793" s="18">
        <v>1</v>
      </c>
    </row>
    <row r="794" spans="1:5" x14ac:dyDescent="0.35">
      <c r="A794" s="7">
        <v>49433</v>
      </c>
      <c r="B794" s="8" t="s">
        <v>26</v>
      </c>
      <c r="C794" s="9">
        <v>26.2</v>
      </c>
      <c r="D794" s="10">
        <v>5.0999999999999996</v>
      </c>
      <c r="E794" s="18">
        <v>1</v>
      </c>
    </row>
    <row r="795" spans="1:5" x14ac:dyDescent="0.35">
      <c r="A795" s="11">
        <v>49434</v>
      </c>
      <c r="B795" s="12" t="s">
        <v>14</v>
      </c>
      <c r="C795" s="13">
        <v>16.600000000000001</v>
      </c>
      <c r="D795" s="14">
        <v>0</v>
      </c>
      <c r="E795" s="18">
        <v>1</v>
      </c>
    </row>
    <row r="796" spans="1:5" x14ac:dyDescent="0.35">
      <c r="A796" s="7">
        <v>49435</v>
      </c>
      <c r="B796" s="8" t="s">
        <v>23</v>
      </c>
      <c r="C796" s="9">
        <v>23.9</v>
      </c>
      <c r="D796" s="10">
        <v>0</v>
      </c>
      <c r="E796" s="18">
        <v>1</v>
      </c>
    </row>
    <row r="797" spans="1:5" x14ac:dyDescent="0.35">
      <c r="A797" s="11">
        <v>49436</v>
      </c>
      <c r="B797" s="12" t="s">
        <v>7</v>
      </c>
      <c r="C797" s="13">
        <v>10.6</v>
      </c>
      <c r="D797" s="14">
        <v>21.3</v>
      </c>
      <c r="E797" s="18">
        <v>1</v>
      </c>
    </row>
    <row r="798" spans="1:5" x14ac:dyDescent="0.35">
      <c r="A798" s="7">
        <v>49437</v>
      </c>
      <c r="B798" s="8" t="s">
        <v>10</v>
      </c>
      <c r="C798" s="9">
        <v>22.8</v>
      </c>
      <c r="D798" s="10">
        <v>24.6</v>
      </c>
      <c r="E798" s="18">
        <v>1</v>
      </c>
    </row>
    <row r="799" spans="1:5" x14ac:dyDescent="0.35">
      <c r="A799" s="11">
        <v>49438</v>
      </c>
      <c r="B799" s="12" t="s">
        <v>5</v>
      </c>
      <c r="C799" s="13">
        <v>26.8</v>
      </c>
      <c r="D799" s="14">
        <v>7.5</v>
      </c>
      <c r="E799" s="18">
        <v>1</v>
      </c>
    </row>
    <row r="800" spans="1:5" x14ac:dyDescent="0.35">
      <c r="A800" s="7">
        <v>49439</v>
      </c>
      <c r="B800" s="8" t="s">
        <v>19</v>
      </c>
      <c r="C800" s="9">
        <v>21.3</v>
      </c>
      <c r="D800" s="10">
        <v>37.700000000000003</v>
      </c>
      <c r="E800" s="18">
        <v>1</v>
      </c>
    </row>
    <row r="801" spans="1:5" x14ac:dyDescent="0.35">
      <c r="A801" s="11">
        <v>49440</v>
      </c>
      <c r="B801" s="12" t="s">
        <v>12</v>
      </c>
      <c r="C801" s="13">
        <v>20.3</v>
      </c>
      <c r="D801" s="14">
        <v>11</v>
      </c>
      <c r="E801" s="18">
        <v>1</v>
      </c>
    </row>
    <row r="802" spans="1:5" x14ac:dyDescent="0.35">
      <c r="A802" s="7">
        <v>49441</v>
      </c>
      <c r="B802" s="8" t="s">
        <v>19</v>
      </c>
      <c r="C802" s="9">
        <v>25.6</v>
      </c>
      <c r="D802" s="10">
        <v>20.100000000000001</v>
      </c>
      <c r="E802" s="18">
        <v>1</v>
      </c>
    </row>
    <row r="803" spans="1:5" x14ac:dyDescent="0.35">
      <c r="A803" s="11">
        <v>49442</v>
      </c>
      <c r="B803" s="12" t="s">
        <v>13</v>
      </c>
      <c r="C803" s="13">
        <v>25.1</v>
      </c>
      <c r="D803" s="14">
        <v>14.7</v>
      </c>
      <c r="E803" s="18">
        <v>1</v>
      </c>
    </row>
    <row r="804" spans="1:5" x14ac:dyDescent="0.35">
      <c r="A804" s="7">
        <v>49443</v>
      </c>
      <c r="B804" s="8" t="s">
        <v>7</v>
      </c>
      <c r="C804" s="9">
        <v>24.3</v>
      </c>
      <c r="D804" s="10">
        <v>24.3</v>
      </c>
      <c r="E804" s="18">
        <v>1</v>
      </c>
    </row>
    <row r="805" spans="1:5" x14ac:dyDescent="0.35">
      <c r="A805" s="11">
        <v>49444</v>
      </c>
      <c r="B805" s="12" t="s">
        <v>14</v>
      </c>
      <c r="C805" s="13">
        <v>12.9</v>
      </c>
      <c r="D805" s="14">
        <v>2.7</v>
      </c>
      <c r="E805" s="18">
        <v>1</v>
      </c>
    </row>
    <row r="806" spans="1:5" x14ac:dyDescent="0.35">
      <c r="A806" s="7">
        <v>49445</v>
      </c>
      <c r="B806" s="8" t="s">
        <v>19</v>
      </c>
      <c r="C806" s="9">
        <v>16.7</v>
      </c>
      <c r="D806" s="10">
        <v>27.7</v>
      </c>
      <c r="E806" s="18">
        <v>1</v>
      </c>
    </row>
    <row r="807" spans="1:5" x14ac:dyDescent="0.35">
      <c r="A807" s="11">
        <v>49446</v>
      </c>
      <c r="B807" s="12" t="s">
        <v>10</v>
      </c>
      <c r="C807" s="13">
        <v>16.2</v>
      </c>
      <c r="D807" s="14">
        <v>20.5</v>
      </c>
      <c r="E807" s="18">
        <v>1</v>
      </c>
    </row>
    <row r="808" spans="1:5" x14ac:dyDescent="0.35">
      <c r="A808" s="7">
        <v>49447</v>
      </c>
      <c r="B808" s="8" t="s">
        <v>12</v>
      </c>
      <c r="C808" s="9">
        <v>19.5</v>
      </c>
      <c r="D808" s="10">
        <v>5.0999999999999996</v>
      </c>
      <c r="E808" s="18">
        <v>1</v>
      </c>
    </row>
    <row r="809" spans="1:5" x14ac:dyDescent="0.35">
      <c r="A809" s="11">
        <v>49448</v>
      </c>
      <c r="B809" s="12" t="s">
        <v>10</v>
      </c>
      <c r="C809" s="13">
        <v>22.9</v>
      </c>
      <c r="D809" s="14">
        <v>6.6</v>
      </c>
      <c r="E809" s="18">
        <v>1</v>
      </c>
    </row>
    <row r="810" spans="1:5" x14ac:dyDescent="0.35">
      <c r="A810" s="7">
        <v>49449</v>
      </c>
      <c r="B810" s="8" t="s">
        <v>19</v>
      </c>
      <c r="C810" s="9">
        <v>25.9</v>
      </c>
      <c r="D810" s="10">
        <v>4.4000000000000004</v>
      </c>
      <c r="E810" s="18">
        <v>1</v>
      </c>
    </row>
    <row r="811" spans="1:5" x14ac:dyDescent="0.35">
      <c r="A811" s="11">
        <v>49450</v>
      </c>
      <c r="B811" s="12" t="s">
        <v>18</v>
      </c>
      <c r="C811" s="13">
        <v>20.3</v>
      </c>
      <c r="D811" s="14">
        <v>4.5999999999999996</v>
      </c>
      <c r="E811" s="18">
        <v>1</v>
      </c>
    </row>
    <row r="812" spans="1:5" x14ac:dyDescent="0.35">
      <c r="A812" s="7">
        <v>49451</v>
      </c>
      <c r="B812" s="8" t="s">
        <v>28</v>
      </c>
      <c r="C812" s="9">
        <v>11.3</v>
      </c>
      <c r="D812" s="10">
        <v>0.3</v>
      </c>
      <c r="E812" s="18">
        <v>1</v>
      </c>
    </row>
    <row r="813" spans="1:5" x14ac:dyDescent="0.35">
      <c r="A813" s="11">
        <v>49452</v>
      </c>
      <c r="B813" s="12" t="s">
        <v>10</v>
      </c>
      <c r="C813" s="13">
        <v>27.4</v>
      </c>
      <c r="D813" s="14">
        <v>29.9</v>
      </c>
      <c r="E813" s="18">
        <v>1</v>
      </c>
    </row>
    <row r="814" spans="1:5" x14ac:dyDescent="0.35">
      <c r="A814" s="7">
        <v>49453</v>
      </c>
      <c r="B814" s="8" t="s">
        <v>19</v>
      </c>
      <c r="C814" s="9">
        <v>29.2</v>
      </c>
      <c r="D814" s="10">
        <v>0</v>
      </c>
      <c r="E814" s="18">
        <v>1</v>
      </c>
    </row>
    <row r="815" spans="1:5" x14ac:dyDescent="0.35">
      <c r="A815" s="11">
        <v>49454</v>
      </c>
      <c r="B815" s="12" t="s">
        <v>4</v>
      </c>
      <c r="C815" s="13">
        <v>27.4</v>
      </c>
      <c r="D815" s="14">
        <v>0</v>
      </c>
      <c r="E815" s="18">
        <v>1</v>
      </c>
    </row>
    <row r="816" spans="1:5" x14ac:dyDescent="0.35">
      <c r="A816" s="7">
        <v>49455</v>
      </c>
      <c r="B816" s="8" t="s">
        <v>19</v>
      </c>
      <c r="C816" s="9">
        <v>10.1</v>
      </c>
      <c r="D816" s="10">
        <v>8.1</v>
      </c>
      <c r="E816" s="18">
        <v>1</v>
      </c>
    </row>
    <row r="817" spans="1:5" x14ac:dyDescent="0.35">
      <c r="A817" s="11">
        <v>49456</v>
      </c>
      <c r="B817" s="12" t="s">
        <v>5</v>
      </c>
      <c r="C817" s="13">
        <v>12.9</v>
      </c>
      <c r="D817" s="14">
        <v>5.9</v>
      </c>
      <c r="E817" s="18">
        <v>1</v>
      </c>
    </row>
    <row r="818" spans="1:5" x14ac:dyDescent="0.35">
      <c r="A818" s="7">
        <v>49457</v>
      </c>
      <c r="B818" s="8" t="s">
        <v>14</v>
      </c>
      <c r="C818" s="9">
        <v>18.7</v>
      </c>
      <c r="D818" s="10">
        <v>0</v>
      </c>
      <c r="E818" s="18">
        <v>1</v>
      </c>
    </row>
    <row r="819" spans="1:5" x14ac:dyDescent="0.35">
      <c r="A819" s="11">
        <v>49458</v>
      </c>
      <c r="B819" s="12" t="s">
        <v>32</v>
      </c>
      <c r="C819" s="13">
        <v>17.8</v>
      </c>
      <c r="D819" s="14">
        <v>0.3</v>
      </c>
      <c r="E819" s="18">
        <v>1</v>
      </c>
    </row>
    <row r="820" spans="1:5" x14ac:dyDescent="0.35">
      <c r="A820" s="7">
        <v>49459</v>
      </c>
      <c r="B820" s="8" t="s">
        <v>10</v>
      </c>
      <c r="C820" s="9">
        <v>24.7</v>
      </c>
      <c r="D820" s="10">
        <v>42.9</v>
      </c>
      <c r="E820" s="18">
        <v>1</v>
      </c>
    </row>
    <row r="821" spans="1:5" x14ac:dyDescent="0.35">
      <c r="A821" s="11">
        <v>49460</v>
      </c>
      <c r="B821" s="12" t="s">
        <v>10</v>
      </c>
      <c r="C821" s="13">
        <v>28.7</v>
      </c>
      <c r="D821" s="14">
        <v>33.799999999999997</v>
      </c>
      <c r="E821" s="18">
        <v>1</v>
      </c>
    </row>
    <row r="822" spans="1:5" x14ac:dyDescent="0.35">
      <c r="A822" s="7">
        <v>49461</v>
      </c>
      <c r="B822" s="8" t="s">
        <v>18</v>
      </c>
      <c r="C822" s="9">
        <v>12.3</v>
      </c>
      <c r="D822" s="10">
        <v>1.7</v>
      </c>
      <c r="E822" s="18">
        <v>1</v>
      </c>
    </row>
    <row r="823" spans="1:5" x14ac:dyDescent="0.35">
      <c r="A823" s="11">
        <v>49462</v>
      </c>
      <c r="B823" s="12" t="s">
        <v>19</v>
      </c>
      <c r="C823" s="13">
        <v>22.9</v>
      </c>
      <c r="D823" s="14">
        <v>0</v>
      </c>
      <c r="E823" s="18">
        <v>1</v>
      </c>
    </row>
    <row r="824" spans="1:5" x14ac:dyDescent="0.35">
      <c r="A824" s="7">
        <v>49463</v>
      </c>
      <c r="B824" s="8" t="s">
        <v>17</v>
      </c>
      <c r="C824" s="9">
        <v>20</v>
      </c>
      <c r="D824" s="10">
        <v>3</v>
      </c>
      <c r="E824" s="18">
        <v>1</v>
      </c>
    </row>
    <row r="825" spans="1:5" x14ac:dyDescent="0.35">
      <c r="A825" s="11">
        <v>49464</v>
      </c>
      <c r="B825" s="12" t="s">
        <v>10</v>
      </c>
      <c r="C825" s="13">
        <v>27.3</v>
      </c>
      <c r="D825" s="14">
        <v>0</v>
      </c>
      <c r="E825" s="18">
        <v>1</v>
      </c>
    </row>
    <row r="826" spans="1:5" x14ac:dyDescent="0.35">
      <c r="A826" s="7">
        <v>49465</v>
      </c>
      <c r="B826" s="8" t="s">
        <v>13</v>
      </c>
      <c r="C826" s="9">
        <v>29.9</v>
      </c>
      <c r="D826" s="10">
        <v>7.7</v>
      </c>
      <c r="E826" s="18">
        <v>1</v>
      </c>
    </row>
    <row r="827" spans="1:5" x14ac:dyDescent="0.35">
      <c r="A827" s="11">
        <v>49466</v>
      </c>
      <c r="B827" s="12" t="s">
        <v>12</v>
      </c>
      <c r="C827" s="13">
        <v>27.5</v>
      </c>
      <c r="D827" s="14">
        <v>2.7</v>
      </c>
      <c r="E827" s="18">
        <v>1</v>
      </c>
    </row>
    <row r="828" spans="1:5" x14ac:dyDescent="0.35">
      <c r="A828" s="7">
        <v>49467</v>
      </c>
      <c r="B828" s="8" t="s">
        <v>18</v>
      </c>
      <c r="C828" s="9">
        <v>16.5</v>
      </c>
      <c r="D828" s="10">
        <v>13.3</v>
      </c>
      <c r="E828" s="18">
        <v>1</v>
      </c>
    </row>
    <row r="829" spans="1:5" x14ac:dyDescent="0.35">
      <c r="A829" s="11">
        <v>49468</v>
      </c>
      <c r="B829" s="12" t="s">
        <v>5</v>
      </c>
      <c r="C829" s="13">
        <v>23.5</v>
      </c>
      <c r="D829" s="14">
        <v>5.9</v>
      </c>
      <c r="E829" s="18">
        <v>1</v>
      </c>
    </row>
    <row r="830" spans="1:5" x14ac:dyDescent="0.35">
      <c r="A830" s="7">
        <v>49469</v>
      </c>
      <c r="B830" s="8" t="s">
        <v>5</v>
      </c>
      <c r="C830" s="9">
        <v>21.5</v>
      </c>
      <c r="D830" s="10">
        <v>4.0999999999999996</v>
      </c>
      <c r="E830" s="18">
        <v>1</v>
      </c>
    </row>
    <row r="831" spans="1:5" x14ac:dyDescent="0.35">
      <c r="A831" s="11">
        <v>49470</v>
      </c>
      <c r="B831" s="12" t="s">
        <v>15</v>
      </c>
      <c r="C831" s="13">
        <v>10.3</v>
      </c>
      <c r="D831" s="14">
        <v>15.6</v>
      </c>
      <c r="E831" s="18">
        <v>1</v>
      </c>
    </row>
    <row r="832" spans="1:5" x14ac:dyDescent="0.35">
      <c r="A832" s="7">
        <v>49471</v>
      </c>
      <c r="B832" s="8" t="s">
        <v>10</v>
      </c>
      <c r="C832" s="9">
        <v>15</v>
      </c>
      <c r="D832" s="10">
        <v>0</v>
      </c>
      <c r="E832" s="18">
        <v>1</v>
      </c>
    </row>
    <row r="833" spans="1:5" x14ac:dyDescent="0.35">
      <c r="A833" s="11">
        <v>49472</v>
      </c>
      <c r="B833" s="12" t="s">
        <v>6</v>
      </c>
      <c r="C833" s="13">
        <v>23.3</v>
      </c>
      <c r="D833" s="14">
        <v>5.3</v>
      </c>
      <c r="E833" s="18">
        <v>1</v>
      </c>
    </row>
    <row r="834" spans="1:5" x14ac:dyDescent="0.35">
      <c r="A834" s="7">
        <v>49473</v>
      </c>
      <c r="B834" s="8" t="s">
        <v>15</v>
      </c>
      <c r="C834" s="9">
        <v>10.5</v>
      </c>
      <c r="D834" s="10">
        <v>14.4</v>
      </c>
      <c r="E834" s="18">
        <v>1</v>
      </c>
    </row>
    <row r="835" spans="1:5" x14ac:dyDescent="0.35">
      <c r="A835" s="11">
        <v>49474</v>
      </c>
      <c r="B835" s="12" t="s">
        <v>10</v>
      </c>
      <c r="C835" s="13">
        <v>18.5</v>
      </c>
      <c r="D835" s="14">
        <v>0</v>
      </c>
      <c r="E835" s="18">
        <v>1</v>
      </c>
    </row>
    <row r="836" spans="1:5" x14ac:dyDescent="0.35">
      <c r="A836" s="7">
        <v>49475</v>
      </c>
      <c r="B836" s="8" t="s">
        <v>14</v>
      </c>
      <c r="C836" s="9">
        <v>20.2</v>
      </c>
      <c r="D836" s="10">
        <v>5.4</v>
      </c>
      <c r="E836" s="18">
        <v>1</v>
      </c>
    </row>
    <row r="837" spans="1:5" x14ac:dyDescent="0.35">
      <c r="A837" s="11">
        <v>49476</v>
      </c>
      <c r="B837" s="12" t="s">
        <v>23</v>
      </c>
      <c r="C837" s="13">
        <v>29</v>
      </c>
      <c r="D837" s="14">
        <v>4.2</v>
      </c>
      <c r="E837" s="18">
        <v>1</v>
      </c>
    </row>
    <row r="838" spans="1:5" x14ac:dyDescent="0.35">
      <c r="A838" s="7">
        <v>49477</v>
      </c>
      <c r="B838" s="8" t="s">
        <v>15</v>
      </c>
      <c r="C838" s="9">
        <v>12.1</v>
      </c>
      <c r="D838" s="10">
        <v>18.100000000000001</v>
      </c>
      <c r="E838" s="18">
        <v>1</v>
      </c>
    </row>
    <row r="839" spans="1:5" x14ac:dyDescent="0.35">
      <c r="A839" s="11">
        <v>49478</v>
      </c>
      <c r="B839" s="12" t="s">
        <v>13</v>
      </c>
      <c r="C839" s="13">
        <v>14.1</v>
      </c>
      <c r="D839" s="14">
        <v>5.6</v>
      </c>
      <c r="E839" s="18">
        <v>1</v>
      </c>
    </row>
    <row r="840" spans="1:5" x14ac:dyDescent="0.35">
      <c r="A840" s="7">
        <v>49479</v>
      </c>
      <c r="B840" s="8" t="s">
        <v>10</v>
      </c>
      <c r="C840" s="9">
        <v>19.5</v>
      </c>
      <c r="D840" s="10">
        <v>2.7</v>
      </c>
      <c r="E840" s="18">
        <v>1</v>
      </c>
    </row>
    <row r="841" spans="1:5" x14ac:dyDescent="0.35">
      <c r="A841" s="11">
        <v>49480</v>
      </c>
      <c r="B841" s="12" t="s">
        <v>27</v>
      </c>
      <c r="C841" s="13">
        <v>28.7</v>
      </c>
      <c r="D841" s="14">
        <v>0.3</v>
      </c>
      <c r="E841" s="18">
        <v>1</v>
      </c>
    </row>
    <row r="842" spans="1:5" x14ac:dyDescent="0.35">
      <c r="A842" s="7">
        <v>49481</v>
      </c>
      <c r="B842" s="8" t="s">
        <v>19</v>
      </c>
      <c r="C842" s="9">
        <v>20.3</v>
      </c>
      <c r="D842" s="10">
        <v>15</v>
      </c>
      <c r="E842" s="18">
        <v>1</v>
      </c>
    </row>
    <row r="843" spans="1:5" x14ac:dyDescent="0.35">
      <c r="A843" s="11">
        <v>49482</v>
      </c>
      <c r="B843" s="12" t="s">
        <v>7</v>
      </c>
      <c r="C843" s="13">
        <v>25.9</v>
      </c>
      <c r="D843" s="14">
        <v>4.7</v>
      </c>
      <c r="E843" s="18">
        <v>1</v>
      </c>
    </row>
    <row r="844" spans="1:5" x14ac:dyDescent="0.35">
      <c r="A844" s="7">
        <v>49483</v>
      </c>
      <c r="B844" s="8" t="s">
        <v>7</v>
      </c>
      <c r="C844" s="9">
        <v>25.3</v>
      </c>
      <c r="D844" s="10">
        <v>0</v>
      </c>
      <c r="E844" s="18">
        <v>1</v>
      </c>
    </row>
    <row r="845" spans="1:5" x14ac:dyDescent="0.35">
      <c r="A845" s="11">
        <v>49484</v>
      </c>
      <c r="B845" s="12" t="s">
        <v>20</v>
      </c>
      <c r="C845" s="13">
        <v>22.8</v>
      </c>
      <c r="D845" s="14">
        <v>0.6</v>
      </c>
      <c r="E845" s="18">
        <v>1</v>
      </c>
    </row>
    <row r="846" spans="1:5" x14ac:dyDescent="0.35">
      <c r="A846" s="7">
        <v>49485</v>
      </c>
      <c r="B846" s="8" t="s">
        <v>22</v>
      </c>
      <c r="C846" s="9">
        <v>28.4</v>
      </c>
      <c r="D846" s="10">
        <v>2.2999999999999998</v>
      </c>
      <c r="E846" s="18">
        <v>1</v>
      </c>
    </row>
    <row r="847" spans="1:5" x14ac:dyDescent="0.35">
      <c r="A847" s="11">
        <v>49486</v>
      </c>
      <c r="B847" s="12" t="s">
        <v>22</v>
      </c>
      <c r="C847" s="13">
        <v>29.7</v>
      </c>
      <c r="D847" s="14">
        <v>0</v>
      </c>
      <c r="E847" s="18">
        <v>1</v>
      </c>
    </row>
    <row r="848" spans="1:5" x14ac:dyDescent="0.35">
      <c r="A848" s="7">
        <v>49487</v>
      </c>
      <c r="B848" s="8" t="s">
        <v>15</v>
      </c>
      <c r="C848" s="9">
        <v>11.7</v>
      </c>
      <c r="D848" s="10">
        <v>6.4</v>
      </c>
      <c r="E848" s="18">
        <v>1</v>
      </c>
    </row>
    <row r="849" spans="1:5" x14ac:dyDescent="0.35">
      <c r="A849" s="11">
        <v>49488</v>
      </c>
      <c r="B849" s="12" t="s">
        <v>22</v>
      </c>
      <c r="C849" s="13">
        <v>12.8</v>
      </c>
      <c r="D849" s="14">
        <v>6.9</v>
      </c>
      <c r="E849" s="18">
        <v>1</v>
      </c>
    </row>
    <row r="850" spans="1:5" x14ac:dyDescent="0.35">
      <c r="A850" s="7">
        <v>49489</v>
      </c>
      <c r="B850" s="8" t="s">
        <v>10</v>
      </c>
      <c r="C850" s="9">
        <v>11</v>
      </c>
      <c r="D850" s="10">
        <v>0</v>
      </c>
      <c r="E850" s="18">
        <v>1</v>
      </c>
    </row>
    <row r="851" spans="1:5" x14ac:dyDescent="0.35">
      <c r="A851" s="11">
        <v>49490</v>
      </c>
      <c r="B851" s="12" t="s">
        <v>33</v>
      </c>
      <c r="C851" s="13">
        <v>14.7</v>
      </c>
      <c r="D851" s="14">
        <v>0.5</v>
      </c>
      <c r="E851" s="18">
        <v>1</v>
      </c>
    </row>
    <row r="852" spans="1:5" x14ac:dyDescent="0.35">
      <c r="A852" s="7">
        <v>49491</v>
      </c>
      <c r="B852" s="8" t="s">
        <v>26</v>
      </c>
      <c r="C852" s="9">
        <v>13.2</v>
      </c>
      <c r="D852" s="10">
        <v>2.5</v>
      </c>
      <c r="E852" s="18">
        <v>1</v>
      </c>
    </row>
    <row r="853" spans="1:5" x14ac:dyDescent="0.35">
      <c r="A853" s="11">
        <v>49492</v>
      </c>
      <c r="B853" s="12" t="s">
        <v>26</v>
      </c>
      <c r="C853" s="13">
        <v>28</v>
      </c>
      <c r="D853" s="14">
        <v>3.8</v>
      </c>
      <c r="E853" s="18">
        <v>1</v>
      </c>
    </row>
    <row r="854" spans="1:5" x14ac:dyDescent="0.35">
      <c r="A854" s="7">
        <v>49493</v>
      </c>
      <c r="B854" s="8" t="s">
        <v>11</v>
      </c>
      <c r="C854" s="9">
        <v>27.5</v>
      </c>
      <c r="D854" s="10">
        <v>10.3</v>
      </c>
      <c r="E854" s="18">
        <v>1</v>
      </c>
    </row>
    <row r="855" spans="1:5" x14ac:dyDescent="0.35">
      <c r="A855" s="11">
        <v>49494</v>
      </c>
      <c r="B855" s="12" t="s">
        <v>26</v>
      </c>
      <c r="C855" s="13">
        <v>12.1</v>
      </c>
      <c r="D855" s="14">
        <v>4.7</v>
      </c>
      <c r="E855" s="18">
        <v>1</v>
      </c>
    </row>
    <row r="856" spans="1:5" x14ac:dyDescent="0.35">
      <c r="A856" s="7">
        <v>49495</v>
      </c>
      <c r="B856" s="8" t="s">
        <v>15</v>
      </c>
      <c r="C856" s="9">
        <v>24.7</v>
      </c>
      <c r="D856" s="10">
        <v>7.2</v>
      </c>
      <c r="E856" s="18">
        <v>1</v>
      </c>
    </row>
    <row r="857" spans="1:5" x14ac:dyDescent="0.35">
      <c r="A857" s="11">
        <v>49496</v>
      </c>
      <c r="B857" s="12" t="s">
        <v>25</v>
      </c>
      <c r="C857" s="13">
        <v>27.1</v>
      </c>
      <c r="D857" s="14">
        <v>2.6</v>
      </c>
      <c r="E857" s="18">
        <v>1</v>
      </c>
    </row>
    <row r="858" spans="1:5" x14ac:dyDescent="0.35">
      <c r="A858" s="7">
        <v>49497</v>
      </c>
      <c r="B858" s="8" t="s">
        <v>7</v>
      </c>
      <c r="C858" s="9">
        <v>28.7</v>
      </c>
      <c r="D858" s="10">
        <v>3</v>
      </c>
      <c r="E858" s="18">
        <v>1</v>
      </c>
    </row>
    <row r="859" spans="1:5" x14ac:dyDescent="0.35">
      <c r="A859" s="11">
        <v>49498</v>
      </c>
      <c r="B859" s="12" t="s">
        <v>10</v>
      </c>
      <c r="C859" s="13">
        <v>15</v>
      </c>
      <c r="D859" s="14">
        <v>21.4</v>
      </c>
      <c r="E859" s="18">
        <v>1</v>
      </c>
    </row>
    <row r="860" spans="1:5" x14ac:dyDescent="0.35">
      <c r="A860" s="7">
        <v>49499</v>
      </c>
      <c r="B860" s="8" t="s">
        <v>11</v>
      </c>
      <c r="C860" s="9">
        <v>11.6</v>
      </c>
      <c r="D860" s="10">
        <v>3.7</v>
      </c>
      <c r="E860" s="18">
        <v>1</v>
      </c>
    </row>
    <row r="861" spans="1:5" x14ac:dyDescent="0.35">
      <c r="A861" s="11">
        <v>49500</v>
      </c>
      <c r="B861" s="12" t="s">
        <v>10</v>
      </c>
      <c r="C861" s="13">
        <v>13.1</v>
      </c>
      <c r="D861" s="14">
        <v>0</v>
      </c>
      <c r="E861" s="18">
        <v>1</v>
      </c>
    </row>
    <row r="862" spans="1:5" x14ac:dyDescent="0.35">
      <c r="A862" s="7">
        <v>49501</v>
      </c>
      <c r="B862" s="8" t="s">
        <v>26</v>
      </c>
      <c r="C862" s="9">
        <v>25.5</v>
      </c>
      <c r="D862" s="10">
        <v>0</v>
      </c>
      <c r="E862" s="18">
        <v>1</v>
      </c>
    </row>
    <row r="863" spans="1:5" x14ac:dyDescent="0.35">
      <c r="A863" s="11">
        <v>49502</v>
      </c>
      <c r="B863" s="12" t="s">
        <v>28</v>
      </c>
      <c r="C863" s="13">
        <v>19.399999999999999</v>
      </c>
      <c r="D863" s="14">
        <v>0.7</v>
      </c>
      <c r="E863" s="18">
        <v>1</v>
      </c>
    </row>
    <row r="864" spans="1:5" x14ac:dyDescent="0.35">
      <c r="A864" s="7">
        <v>49503</v>
      </c>
      <c r="B864" s="8" t="s">
        <v>7</v>
      </c>
      <c r="C864" s="9">
        <v>27.3</v>
      </c>
      <c r="D864" s="10">
        <v>2.6</v>
      </c>
      <c r="E864" s="18">
        <v>1</v>
      </c>
    </row>
    <row r="865" spans="1:5" x14ac:dyDescent="0.35">
      <c r="A865" s="11">
        <v>49504</v>
      </c>
      <c r="B865" s="12" t="s">
        <v>10</v>
      </c>
      <c r="C865" s="13">
        <v>21</v>
      </c>
      <c r="D865" s="14">
        <v>27.8</v>
      </c>
      <c r="E865" s="18">
        <v>1</v>
      </c>
    </row>
    <row r="866" spans="1:5" x14ac:dyDescent="0.35">
      <c r="A866" s="7">
        <v>49505</v>
      </c>
      <c r="B866" s="8" t="s">
        <v>14</v>
      </c>
      <c r="C866" s="9">
        <v>11.5</v>
      </c>
      <c r="D866" s="10">
        <v>0</v>
      </c>
      <c r="E866" s="18">
        <v>1</v>
      </c>
    </row>
    <row r="867" spans="1:5" x14ac:dyDescent="0.35">
      <c r="A867" s="11">
        <v>49506</v>
      </c>
      <c r="B867" s="12" t="s">
        <v>21</v>
      </c>
      <c r="C867" s="13">
        <v>13.6</v>
      </c>
      <c r="D867" s="14">
        <v>2.7</v>
      </c>
      <c r="E867" s="18">
        <v>1</v>
      </c>
    </row>
    <row r="868" spans="1:5" x14ac:dyDescent="0.35">
      <c r="A868" s="7">
        <v>49507</v>
      </c>
      <c r="B868" s="8" t="s">
        <v>8</v>
      </c>
      <c r="C868" s="9">
        <v>17.8</v>
      </c>
      <c r="D868" s="10">
        <v>0.3</v>
      </c>
      <c r="E868" s="18">
        <v>1</v>
      </c>
    </row>
    <row r="869" spans="1:5" x14ac:dyDescent="0.35">
      <c r="A869" s="11">
        <v>49508</v>
      </c>
      <c r="B869" s="12" t="s">
        <v>8</v>
      </c>
      <c r="C869" s="13">
        <v>10.8</v>
      </c>
      <c r="D869" s="14">
        <v>0</v>
      </c>
      <c r="E869" s="18">
        <v>1</v>
      </c>
    </row>
    <row r="870" spans="1:5" x14ac:dyDescent="0.35">
      <c r="A870" s="7">
        <v>49509</v>
      </c>
      <c r="B870" s="8" t="s">
        <v>10</v>
      </c>
      <c r="C870" s="9">
        <v>23</v>
      </c>
      <c r="D870" s="10">
        <v>3.3</v>
      </c>
      <c r="E870" s="18">
        <v>1</v>
      </c>
    </row>
    <row r="871" spans="1:5" x14ac:dyDescent="0.35">
      <c r="A871" s="11">
        <v>49510</v>
      </c>
      <c r="B871" s="12" t="s">
        <v>11</v>
      </c>
      <c r="C871" s="13">
        <v>14</v>
      </c>
      <c r="D871" s="14">
        <v>18.100000000000001</v>
      </c>
      <c r="E871" s="18">
        <v>1</v>
      </c>
    </row>
    <row r="872" spans="1:5" x14ac:dyDescent="0.35">
      <c r="A872" s="7">
        <v>49511</v>
      </c>
      <c r="B872" s="8" t="s">
        <v>26</v>
      </c>
      <c r="C872" s="9">
        <v>10.7</v>
      </c>
      <c r="D872" s="10">
        <v>0.4</v>
      </c>
      <c r="E872" s="18">
        <v>1</v>
      </c>
    </row>
    <row r="873" spans="1:5" x14ac:dyDescent="0.35">
      <c r="A873" s="11">
        <v>49512</v>
      </c>
      <c r="B873" s="12" t="s">
        <v>13</v>
      </c>
      <c r="C873" s="13">
        <v>24.7</v>
      </c>
      <c r="D873" s="14">
        <v>9.1</v>
      </c>
      <c r="E873" s="18">
        <v>1</v>
      </c>
    </row>
    <row r="874" spans="1:5" x14ac:dyDescent="0.35">
      <c r="A874" s="7">
        <v>49513</v>
      </c>
      <c r="B874" s="8" t="s">
        <v>19</v>
      </c>
      <c r="C874" s="9">
        <v>12.2</v>
      </c>
      <c r="D874" s="10">
        <v>18.600000000000001</v>
      </c>
      <c r="E874" s="18">
        <v>1</v>
      </c>
    </row>
    <row r="875" spans="1:5" x14ac:dyDescent="0.35">
      <c r="A875" s="11">
        <v>49514</v>
      </c>
      <c r="B875" s="12" t="s">
        <v>6</v>
      </c>
      <c r="C875" s="13">
        <v>23.8</v>
      </c>
      <c r="D875" s="14">
        <v>7.7</v>
      </c>
      <c r="E875" s="18">
        <v>1</v>
      </c>
    </row>
    <row r="876" spans="1:5" x14ac:dyDescent="0.35">
      <c r="A876" s="7">
        <v>49515</v>
      </c>
      <c r="B876" s="8" t="s">
        <v>12</v>
      </c>
      <c r="C876" s="9">
        <v>18.5</v>
      </c>
      <c r="D876" s="10">
        <v>0</v>
      </c>
      <c r="E876" s="18">
        <v>1</v>
      </c>
    </row>
    <row r="877" spans="1:5" x14ac:dyDescent="0.35">
      <c r="A877" s="11">
        <v>49516</v>
      </c>
      <c r="B877" s="12" t="s">
        <v>17</v>
      </c>
      <c r="C877" s="13">
        <v>24.6</v>
      </c>
      <c r="D877" s="14">
        <v>0.4</v>
      </c>
      <c r="E877" s="18">
        <v>1</v>
      </c>
    </row>
    <row r="878" spans="1:5" x14ac:dyDescent="0.35">
      <c r="A878" s="7">
        <v>49517</v>
      </c>
      <c r="B878" s="8" t="s">
        <v>19</v>
      </c>
      <c r="C878" s="9">
        <v>24.6</v>
      </c>
      <c r="D878" s="10">
        <v>10.4</v>
      </c>
      <c r="E878" s="18">
        <v>1</v>
      </c>
    </row>
    <row r="879" spans="1:5" x14ac:dyDescent="0.35">
      <c r="A879" s="11">
        <v>49518</v>
      </c>
      <c r="B879" s="12" t="s">
        <v>12</v>
      </c>
      <c r="C879" s="13">
        <v>25.4</v>
      </c>
      <c r="D879" s="14">
        <v>11.2</v>
      </c>
      <c r="E879" s="18">
        <v>1</v>
      </c>
    </row>
    <row r="880" spans="1:5" x14ac:dyDescent="0.35">
      <c r="A880" s="7">
        <v>49519</v>
      </c>
      <c r="B880" s="8" t="s">
        <v>11</v>
      </c>
      <c r="C880" s="9">
        <v>13.1</v>
      </c>
      <c r="D880" s="10">
        <v>22.2</v>
      </c>
      <c r="E880" s="18">
        <v>1</v>
      </c>
    </row>
    <row r="881" spans="1:5" x14ac:dyDescent="0.35">
      <c r="A881" s="11">
        <v>49520</v>
      </c>
      <c r="B881" s="12" t="s">
        <v>10</v>
      </c>
      <c r="C881" s="13">
        <v>10.1</v>
      </c>
      <c r="D881" s="14">
        <v>11.6</v>
      </c>
      <c r="E881" s="18">
        <v>1</v>
      </c>
    </row>
    <row r="882" spans="1:5" x14ac:dyDescent="0.35">
      <c r="A882" s="7">
        <v>49521</v>
      </c>
      <c r="B882" s="8" t="s">
        <v>15</v>
      </c>
      <c r="C882" s="9">
        <v>25</v>
      </c>
      <c r="D882" s="10">
        <v>0</v>
      </c>
      <c r="E882" s="18">
        <v>1</v>
      </c>
    </row>
    <row r="883" spans="1:5" x14ac:dyDescent="0.35">
      <c r="A883" s="11">
        <v>49522</v>
      </c>
      <c r="B883" s="12" t="s">
        <v>18</v>
      </c>
      <c r="C883" s="13">
        <v>20.9</v>
      </c>
      <c r="D883" s="14">
        <v>11.4</v>
      </c>
      <c r="E883" s="18">
        <v>1</v>
      </c>
    </row>
    <row r="884" spans="1:5" x14ac:dyDescent="0.35">
      <c r="A884" s="7">
        <v>49523</v>
      </c>
      <c r="B884" s="8" t="s">
        <v>14</v>
      </c>
      <c r="C884" s="9">
        <v>27.6</v>
      </c>
      <c r="D884" s="10">
        <v>2.5</v>
      </c>
      <c r="E884" s="18">
        <v>1</v>
      </c>
    </row>
    <row r="885" spans="1:5" x14ac:dyDescent="0.35">
      <c r="A885" s="11">
        <v>49524</v>
      </c>
      <c r="B885" s="12" t="s">
        <v>10</v>
      </c>
      <c r="C885" s="13">
        <v>22.8</v>
      </c>
      <c r="D885" s="14">
        <v>0</v>
      </c>
      <c r="E885" s="18">
        <v>1</v>
      </c>
    </row>
    <row r="886" spans="1:5" x14ac:dyDescent="0.35">
      <c r="A886" s="7">
        <v>49525</v>
      </c>
      <c r="B886" s="8" t="s">
        <v>9</v>
      </c>
      <c r="C886" s="9">
        <v>12</v>
      </c>
      <c r="D886" s="10">
        <v>0</v>
      </c>
      <c r="E886" s="18">
        <v>1</v>
      </c>
    </row>
    <row r="887" spans="1:5" x14ac:dyDescent="0.35">
      <c r="A887" s="11">
        <v>49526</v>
      </c>
      <c r="B887" s="12" t="s">
        <v>23</v>
      </c>
      <c r="C887" s="13">
        <v>16.8</v>
      </c>
      <c r="D887" s="14">
        <v>4.9000000000000004</v>
      </c>
      <c r="E887" s="18">
        <v>1</v>
      </c>
    </row>
    <row r="888" spans="1:5" x14ac:dyDescent="0.35">
      <c r="A888" s="7">
        <v>49527</v>
      </c>
      <c r="B888" s="8" t="s">
        <v>20</v>
      </c>
      <c r="C888" s="9">
        <v>12.9</v>
      </c>
      <c r="D888" s="10">
        <v>3</v>
      </c>
      <c r="E888" s="18">
        <v>1</v>
      </c>
    </row>
    <row r="889" spans="1:5" x14ac:dyDescent="0.35">
      <c r="A889" s="11">
        <v>49528</v>
      </c>
      <c r="B889" s="12" t="s">
        <v>10</v>
      </c>
      <c r="C889" s="13">
        <v>18</v>
      </c>
      <c r="D889" s="14">
        <v>13.6</v>
      </c>
      <c r="E889" s="18">
        <v>1</v>
      </c>
    </row>
    <row r="890" spans="1:5" x14ac:dyDescent="0.35">
      <c r="A890" s="7">
        <v>49529</v>
      </c>
      <c r="B890" s="8" t="s">
        <v>19</v>
      </c>
      <c r="C890" s="9">
        <v>26</v>
      </c>
      <c r="D890" s="10">
        <v>30.4</v>
      </c>
      <c r="E890" s="18">
        <v>1</v>
      </c>
    </row>
    <row r="891" spans="1:5" x14ac:dyDescent="0.35">
      <c r="A891" s="11">
        <v>49530</v>
      </c>
      <c r="B891" s="12" t="s">
        <v>15</v>
      </c>
      <c r="C891" s="13">
        <v>21.3</v>
      </c>
      <c r="D891" s="14">
        <v>0</v>
      </c>
      <c r="E891" s="18">
        <v>1</v>
      </c>
    </row>
    <row r="892" spans="1:5" x14ac:dyDescent="0.35">
      <c r="A892" s="7">
        <v>49531</v>
      </c>
      <c r="B892" s="8" t="s">
        <v>11</v>
      </c>
      <c r="C892" s="9">
        <v>15.7</v>
      </c>
      <c r="D892" s="10">
        <v>5.9</v>
      </c>
      <c r="E892" s="18">
        <v>1</v>
      </c>
    </row>
    <row r="893" spans="1:5" x14ac:dyDescent="0.35">
      <c r="A893" s="11">
        <v>49532</v>
      </c>
      <c r="B893" s="12" t="s">
        <v>10</v>
      </c>
      <c r="C893" s="13">
        <v>19.100000000000001</v>
      </c>
      <c r="D893" s="14">
        <v>0</v>
      </c>
      <c r="E893" s="18">
        <v>1</v>
      </c>
    </row>
    <row r="894" spans="1:5" x14ac:dyDescent="0.35">
      <c r="A894" s="7">
        <v>49533</v>
      </c>
      <c r="B894" s="8" t="s">
        <v>19</v>
      </c>
      <c r="C894" s="9">
        <v>24.6</v>
      </c>
      <c r="D894" s="10">
        <v>12.3</v>
      </c>
      <c r="E894" s="18">
        <v>1</v>
      </c>
    </row>
    <row r="895" spans="1:5" x14ac:dyDescent="0.35">
      <c r="A895" s="11">
        <v>49534</v>
      </c>
      <c r="B895" s="12" t="s">
        <v>10</v>
      </c>
      <c r="C895" s="13">
        <v>18.7</v>
      </c>
      <c r="D895" s="14">
        <v>17.8</v>
      </c>
      <c r="E895" s="18">
        <v>1</v>
      </c>
    </row>
    <row r="896" spans="1:5" x14ac:dyDescent="0.35">
      <c r="A896" s="7">
        <v>49535</v>
      </c>
      <c r="B896" s="8" t="s">
        <v>9</v>
      </c>
      <c r="C896" s="9">
        <v>13.2</v>
      </c>
      <c r="D896" s="10">
        <v>3.2</v>
      </c>
      <c r="E896" s="18">
        <v>1</v>
      </c>
    </row>
    <row r="897" spans="1:5" x14ac:dyDescent="0.35">
      <c r="A897" s="11">
        <v>49536</v>
      </c>
      <c r="B897" s="12" t="s">
        <v>12</v>
      </c>
      <c r="C897" s="13">
        <v>24.8</v>
      </c>
      <c r="D897" s="14">
        <v>2.2999999999999998</v>
      </c>
      <c r="E897" s="18">
        <v>1</v>
      </c>
    </row>
    <row r="898" spans="1:5" x14ac:dyDescent="0.35">
      <c r="A898" s="7">
        <v>49537</v>
      </c>
      <c r="B898" s="8" t="s">
        <v>15</v>
      </c>
      <c r="C898" s="9">
        <v>19.3</v>
      </c>
      <c r="D898" s="10">
        <v>1.8</v>
      </c>
      <c r="E898" s="18">
        <v>1</v>
      </c>
    </row>
    <row r="899" spans="1:5" x14ac:dyDescent="0.35">
      <c r="A899" s="11">
        <v>49538</v>
      </c>
      <c r="B899" s="12" t="s">
        <v>18</v>
      </c>
      <c r="C899" s="13">
        <v>22.7</v>
      </c>
      <c r="D899" s="14">
        <v>0</v>
      </c>
      <c r="E899" s="18">
        <v>1</v>
      </c>
    </row>
    <row r="900" spans="1:5" x14ac:dyDescent="0.35">
      <c r="A900" s="7">
        <v>49539</v>
      </c>
      <c r="B900" s="8" t="s">
        <v>11</v>
      </c>
      <c r="C900" s="9">
        <v>15.2</v>
      </c>
      <c r="D900" s="10">
        <v>0</v>
      </c>
      <c r="E900" s="18">
        <v>1</v>
      </c>
    </row>
    <row r="901" spans="1:5" x14ac:dyDescent="0.35">
      <c r="A901" s="11">
        <v>49540</v>
      </c>
      <c r="B901" s="12" t="s">
        <v>23</v>
      </c>
      <c r="C901" s="13">
        <v>28.6</v>
      </c>
      <c r="D901" s="14">
        <v>0.2</v>
      </c>
      <c r="E901" s="18">
        <v>1</v>
      </c>
    </row>
    <row r="902" spans="1:5" x14ac:dyDescent="0.35">
      <c r="A902" s="7">
        <v>49541</v>
      </c>
      <c r="B902" s="8" t="s">
        <v>7</v>
      </c>
      <c r="C902" s="9">
        <v>17.899999999999999</v>
      </c>
      <c r="D902" s="10">
        <v>18.600000000000001</v>
      </c>
      <c r="E902" s="18">
        <v>1</v>
      </c>
    </row>
    <row r="903" spans="1:5" x14ac:dyDescent="0.35">
      <c r="A903" s="11">
        <v>49542</v>
      </c>
      <c r="B903" s="12" t="s">
        <v>31</v>
      </c>
      <c r="C903" s="13">
        <v>11.6</v>
      </c>
      <c r="D903" s="14">
        <v>0</v>
      </c>
      <c r="E903" s="18">
        <v>1</v>
      </c>
    </row>
    <row r="904" spans="1:5" x14ac:dyDescent="0.35">
      <c r="A904" s="7">
        <v>49543</v>
      </c>
      <c r="B904" s="8" t="s">
        <v>21</v>
      </c>
      <c r="C904" s="9">
        <v>19</v>
      </c>
      <c r="D904" s="10">
        <v>2.2000000000000002</v>
      </c>
      <c r="E904" s="18">
        <v>1</v>
      </c>
    </row>
    <row r="905" spans="1:5" x14ac:dyDescent="0.35">
      <c r="A905" s="11">
        <v>49544</v>
      </c>
      <c r="B905" s="12" t="s">
        <v>12</v>
      </c>
      <c r="C905" s="13">
        <v>17.600000000000001</v>
      </c>
      <c r="D905" s="14">
        <v>7.2</v>
      </c>
      <c r="E905" s="18">
        <v>1</v>
      </c>
    </row>
    <row r="906" spans="1:5" x14ac:dyDescent="0.35">
      <c r="A906" s="7">
        <v>49545</v>
      </c>
      <c r="B906" s="8" t="s">
        <v>7</v>
      </c>
      <c r="C906" s="9">
        <v>12.1</v>
      </c>
      <c r="D906" s="10">
        <v>7.2</v>
      </c>
      <c r="E906" s="18">
        <v>1</v>
      </c>
    </row>
    <row r="907" spans="1:5" x14ac:dyDescent="0.35">
      <c r="A907" s="11">
        <v>49546</v>
      </c>
      <c r="B907" s="12" t="s">
        <v>13</v>
      </c>
      <c r="C907" s="13">
        <v>28.3</v>
      </c>
      <c r="D907" s="14">
        <v>1.8</v>
      </c>
      <c r="E907" s="18">
        <v>1</v>
      </c>
    </row>
    <row r="908" spans="1:5" x14ac:dyDescent="0.35">
      <c r="A908" s="7">
        <v>49547</v>
      </c>
      <c r="B908" s="8" t="s">
        <v>18</v>
      </c>
      <c r="C908" s="9">
        <v>13.3</v>
      </c>
      <c r="D908" s="10">
        <v>0</v>
      </c>
      <c r="E908" s="18">
        <v>1</v>
      </c>
    </row>
    <row r="909" spans="1:5" x14ac:dyDescent="0.35">
      <c r="A909" s="11">
        <v>49548</v>
      </c>
      <c r="B909" s="12" t="s">
        <v>11</v>
      </c>
      <c r="C909" s="13">
        <v>21</v>
      </c>
      <c r="D909" s="14">
        <v>4.2</v>
      </c>
      <c r="E909" s="18">
        <v>1</v>
      </c>
    </row>
    <row r="910" spans="1:5" x14ac:dyDescent="0.35">
      <c r="A910" s="7">
        <v>49549</v>
      </c>
      <c r="B910" s="8" t="s">
        <v>10</v>
      </c>
      <c r="C910" s="9">
        <v>12</v>
      </c>
      <c r="D910" s="10">
        <v>2.2000000000000002</v>
      </c>
      <c r="E910" s="18">
        <v>1</v>
      </c>
    </row>
    <row r="911" spans="1:5" x14ac:dyDescent="0.35">
      <c r="A911" s="11">
        <v>49550</v>
      </c>
      <c r="B911" s="12" t="s">
        <v>19</v>
      </c>
      <c r="C911" s="13">
        <v>12.1</v>
      </c>
      <c r="D911" s="14">
        <v>0</v>
      </c>
      <c r="E911" s="18">
        <v>1</v>
      </c>
    </row>
    <row r="912" spans="1:5" x14ac:dyDescent="0.35">
      <c r="A912" s="7">
        <v>49551</v>
      </c>
      <c r="B912" s="8" t="s">
        <v>11</v>
      </c>
      <c r="C912" s="9">
        <v>15.8</v>
      </c>
      <c r="D912" s="10">
        <v>17.2</v>
      </c>
      <c r="E912" s="18">
        <v>1</v>
      </c>
    </row>
    <row r="913" spans="1:5" x14ac:dyDescent="0.35">
      <c r="A913" s="11">
        <v>49552</v>
      </c>
      <c r="B913" s="12" t="s">
        <v>12</v>
      </c>
      <c r="C913" s="13">
        <v>25.7</v>
      </c>
      <c r="D913" s="14">
        <v>5.9</v>
      </c>
      <c r="E913" s="18">
        <v>1</v>
      </c>
    </row>
    <row r="914" spans="1:5" x14ac:dyDescent="0.35">
      <c r="A914" s="7">
        <v>49553</v>
      </c>
      <c r="B914" s="8" t="s">
        <v>10</v>
      </c>
      <c r="C914" s="9">
        <v>20.5</v>
      </c>
      <c r="D914" s="10">
        <v>26</v>
      </c>
      <c r="E914" s="18">
        <v>1</v>
      </c>
    </row>
    <row r="915" spans="1:5" x14ac:dyDescent="0.35">
      <c r="A915" s="11">
        <v>49554</v>
      </c>
      <c r="B915" s="12" t="s">
        <v>13</v>
      </c>
      <c r="C915" s="13">
        <v>23.5</v>
      </c>
      <c r="D915" s="14">
        <v>15.3</v>
      </c>
      <c r="E915" s="18">
        <v>1</v>
      </c>
    </row>
    <row r="916" spans="1:5" x14ac:dyDescent="0.35">
      <c r="A916" s="7">
        <v>49555</v>
      </c>
      <c r="B916" s="8" t="s">
        <v>12</v>
      </c>
      <c r="C916" s="9">
        <v>21.7</v>
      </c>
      <c r="D916" s="10">
        <v>1.2</v>
      </c>
      <c r="E916" s="18">
        <v>1</v>
      </c>
    </row>
    <row r="917" spans="1:5" x14ac:dyDescent="0.35">
      <c r="A917" s="11">
        <v>49556</v>
      </c>
      <c r="B917" s="12" t="s">
        <v>10</v>
      </c>
      <c r="C917" s="13">
        <v>29.8</v>
      </c>
      <c r="D917" s="14">
        <v>0</v>
      </c>
      <c r="E917" s="18">
        <v>1</v>
      </c>
    </row>
    <row r="918" spans="1:5" x14ac:dyDescent="0.35">
      <c r="A918" s="7">
        <v>49557</v>
      </c>
      <c r="B918" s="8" t="s">
        <v>7</v>
      </c>
      <c r="C918" s="9">
        <v>27.1</v>
      </c>
      <c r="D918" s="10">
        <v>0</v>
      </c>
      <c r="E918" s="18">
        <v>1</v>
      </c>
    </row>
    <row r="919" spans="1:5" x14ac:dyDescent="0.35">
      <c r="A919" s="11">
        <v>49558</v>
      </c>
      <c r="B919" s="12" t="s">
        <v>12</v>
      </c>
      <c r="C919" s="13">
        <v>27.3</v>
      </c>
      <c r="D919" s="14">
        <v>0</v>
      </c>
      <c r="E919" s="18">
        <v>1</v>
      </c>
    </row>
    <row r="920" spans="1:5" x14ac:dyDescent="0.35">
      <c r="A920" s="7">
        <v>49559</v>
      </c>
      <c r="B920" s="8" t="s">
        <v>19</v>
      </c>
      <c r="C920" s="9">
        <v>15.5</v>
      </c>
      <c r="D920" s="10">
        <v>27.6</v>
      </c>
      <c r="E920" s="18">
        <v>1</v>
      </c>
    </row>
    <row r="921" spans="1:5" x14ac:dyDescent="0.35">
      <c r="A921" s="11">
        <v>49560</v>
      </c>
      <c r="B921" s="12" t="s">
        <v>13</v>
      </c>
      <c r="C921" s="13">
        <v>27.9</v>
      </c>
      <c r="D921" s="14">
        <v>5.0999999999999996</v>
      </c>
      <c r="E921" s="18">
        <v>1</v>
      </c>
    </row>
    <row r="922" spans="1:5" x14ac:dyDescent="0.35">
      <c r="A922" s="7">
        <v>49561</v>
      </c>
      <c r="B922" s="8" t="s">
        <v>10</v>
      </c>
      <c r="C922" s="9">
        <v>19.7</v>
      </c>
      <c r="D922" s="10">
        <v>21.4</v>
      </c>
      <c r="E922" s="18">
        <v>1</v>
      </c>
    </row>
    <row r="923" spans="1:5" x14ac:dyDescent="0.35">
      <c r="A923" s="11">
        <v>49562</v>
      </c>
      <c r="B923" s="12" t="s">
        <v>10</v>
      </c>
      <c r="C923" s="13">
        <v>27.8</v>
      </c>
      <c r="D923" s="14">
        <v>27.6</v>
      </c>
      <c r="E923" s="18">
        <v>1</v>
      </c>
    </row>
    <row r="924" spans="1:5" x14ac:dyDescent="0.35">
      <c r="A924" s="7">
        <v>49563</v>
      </c>
      <c r="B924" s="8" t="s">
        <v>22</v>
      </c>
      <c r="C924" s="9">
        <v>12.3</v>
      </c>
      <c r="D924" s="10">
        <v>2.9</v>
      </c>
      <c r="E924" s="18">
        <v>1</v>
      </c>
    </row>
    <row r="925" spans="1:5" x14ac:dyDescent="0.35">
      <c r="A925" s="11">
        <v>49564</v>
      </c>
      <c r="B925" s="12" t="s">
        <v>18</v>
      </c>
      <c r="C925" s="13">
        <v>12.8</v>
      </c>
      <c r="D925" s="14">
        <v>8.8000000000000007</v>
      </c>
      <c r="E925" s="18">
        <v>1</v>
      </c>
    </row>
    <row r="926" spans="1:5" x14ac:dyDescent="0.35">
      <c r="A926" s="7">
        <v>49565</v>
      </c>
      <c r="B926" s="8" t="s">
        <v>10</v>
      </c>
      <c r="C926" s="9">
        <v>15</v>
      </c>
      <c r="D926" s="10">
        <v>0</v>
      </c>
      <c r="E926" s="18">
        <v>1</v>
      </c>
    </row>
    <row r="927" spans="1:5" x14ac:dyDescent="0.35">
      <c r="A927" s="11">
        <v>49566</v>
      </c>
      <c r="B927" s="12" t="s">
        <v>23</v>
      </c>
      <c r="C927" s="13">
        <v>27.6</v>
      </c>
      <c r="D927" s="14">
        <v>4.7</v>
      </c>
      <c r="E927" s="18">
        <v>1</v>
      </c>
    </row>
    <row r="928" spans="1:5" x14ac:dyDescent="0.35">
      <c r="A928" s="7">
        <v>49567</v>
      </c>
      <c r="B928" s="8" t="s">
        <v>10</v>
      </c>
      <c r="C928" s="9">
        <v>19.600000000000001</v>
      </c>
      <c r="D928" s="10">
        <v>0</v>
      </c>
      <c r="E928" s="18">
        <v>1</v>
      </c>
    </row>
    <row r="929" spans="1:5" x14ac:dyDescent="0.35">
      <c r="A929" s="11">
        <v>49568</v>
      </c>
      <c r="B929" s="12" t="s">
        <v>30</v>
      </c>
      <c r="C929" s="13">
        <v>16</v>
      </c>
      <c r="D929" s="14">
        <v>0.4</v>
      </c>
      <c r="E929" s="18">
        <v>1</v>
      </c>
    </row>
    <row r="930" spans="1:5" x14ac:dyDescent="0.35">
      <c r="A930" s="7">
        <v>49569</v>
      </c>
      <c r="B930" s="8" t="s">
        <v>10</v>
      </c>
      <c r="C930" s="9">
        <v>10.3</v>
      </c>
      <c r="D930" s="10">
        <v>0</v>
      </c>
      <c r="E930" s="18">
        <v>1</v>
      </c>
    </row>
    <row r="931" spans="1:5" x14ac:dyDescent="0.35">
      <c r="A931" s="11">
        <v>49570</v>
      </c>
      <c r="B931" s="12" t="s">
        <v>18</v>
      </c>
      <c r="C931" s="13">
        <v>20.2</v>
      </c>
      <c r="D931" s="14">
        <v>13.9</v>
      </c>
      <c r="E931" s="18">
        <v>1</v>
      </c>
    </row>
    <row r="932" spans="1:5" x14ac:dyDescent="0.35">
      <c r="A932" s="7">
        <v>49571</v>
      </c>
      <c r="B932" s="8" t="s">
        <v>26</v>
      </c>
      <c r="C932" s="9">
        <v>26.4</v>
      </c>
      <c r="D932" s="10">
        <v>6.8</v>
      </c>
      <c r="E932" s="18">
        <v>1</v>
      </c>
    </row>
    <row r="933" spans="1:5" x14ac:dyDescent="0.35">
      <c r="A933" s="11">
        <v>49572</v>
      </c>
      <c r="B933" s="12" t="s">
        <v>17</v>
      </c>
      <c r="C933" s="13">
        <v>20.6</v>
      </c>
      <c r="D933" s="14">
        <v>0</v>
      </c>
      <c r="E933" s="18">
        <v>1</v>
      </c>
    </row>
    <row r="934" spans="1:5" x14ac:dyDescent="0.35">
      <c r="A934" s="7">
        <v>49573</v>
      </c>
      <c r="B934" s="8" t="s">
        <v>19</v>
      </c>
      <c r="C934" s="9">
        <v>12.3</v>
      </c>
      <c r="D934" s="10">
        <v>0.2</v>
      </c>
      <c r="E934" s="18">
        <v>1</v>
      </c>
    </row>
    <row r="935" spans="1:5" x14ac:dyDescent="0.35">
      <c r="A935" s="11">
        <v>49574</v>
      </c>
      <c r="B935" s="12" t="s">
        <v>19</v>
      </c>
      <c r="C935" s="13">
        <v>11.2</v>
      </c>
      <c r="D935" s="14">
        <v>36.200000000000003</v>
      </c>
      <c r="E935" s="18">
        <v>1</v>
      </c>
    </row>
    <row r="936" spans="1:5" x14ac:dyDescent="0.35">
      <c r="A936" s="7">
        <v>49575</v>
      </c>
      <c r="B936" s="8" t="s">
        <v>8</v>
      </c>
      <c r="C936" s="9">
        <v>22.6</v>
      </c>
      <c r="D936" s="10">
        <v>2.4</v>
      </c>
      <c r="E936" s="18">
        <v>1</v>
      </c>
    </row>
    <row r="937" spans="1:5" x14ac:dyDescent="0.35">
      <c r="A937" s="11">
        <v>49576</v>
      </c>
      <c r="B937" s="12" t="s">
        <v>25</v>
      </c>
      <c r="C937" s="13">
        <v>16.399999999999999</v>
      </c>
      <c r="D937" s="14">
        <v>0.1</v>
      </c>
      <c r="E937" s="18">
        <v>1</v>
      </c>
    </row>
    <row r="938" spans="1:5" x14ac:dyDescent="0.35">
      <c r="A938" s="7">
        <v>49577</v>
      </c>
      <c r="B938" s="8" t="s">
        <v>27</v>
      </c>
      <c r="C938" s="9">
        <v>23.4</v>
      </c>
      <c r="D938" s="10">
        <v>0</v>
      </c>
      <c r="E938" s="18">
        <v>1</v>
      </c>
    </row>
    <row r="939" spans="1:5" x14ac:dyDescent="0.35">
      <c r="A939" s="11">
        <v>49578</v>
      </c>
      <c r="B939" s="12" t="s">
        <v>23</v>
      </c>
      <c r="C939" s="13">
        <v>20.2</v>
      </c>
      <c r="D939" s="14">
        <v>0.3</v>
      </c>
      <c r="E939" s="18">
        <v>1</v>
      </c>
    </row>
    <row r="940" spans="1:5" x14ac:dyDescent="0.35">
      <c r="A940" s="7">
        <v>49579</v>
      </c>
      <c r="B940" s="8" t="s">
        <v>11</v>
      </c>
      <c r="C940" s="9">
        <v>17.600000000000001</v>
      </c>
      <c r="D940" s="10">
        <v>15</v>
      </c>
      <c r="E940" s="18">
        <v>1</v>
      </c>
    </row>
    <row r="941" spans="1:5" x14ac:dyDescent="0.35">
      <c r="A941" s="11">
        <v>49580</v>
      </c>
      <c r="B941" s="12" t="s">
        <v>10</v>
      </c>
      <c r="C941" s="13">
        <v>21.7</v>
      </c>
      <c r="D941" s="14">
        <v>33.299999999999997</v>
      </c>
      <c r="E941" s="18">
        <v>1</v>
      </c>
    </row>
    <row r="942" spans="1:5" x14ac:dyDescent="0.35">
      <c r="A942" s="7">
        <v>49581</v>
      </c>
      <c r="B942" s="8" t="s">
        <v>10</v>
      </c>
      <c r="C942" s="9">
        <v>18.399999999999999</v>
      </c>
      <c r="D942" s="10">
        <v>19.3</v>
      </c>
      <c r="E942" s="18">
        <v>1</v>
      </c>
    </row>
    <row r="943" spans="1:5" x14ac:dyDescent="0.35">
      <c r="A943" s="11">
        <v>49582</v>
      </c>
      <c r="B943" s="12" t="s">
        <v>7</v>
      </c>
      <c r="C943" s="13">
        <v>20.100000000000001</v>
      </c>
      <c r="D943" s="14">
        <v>15.4</v>
      </c>
      <c r="E943" s="18">
        <v>1</v>
      </c>
    </row>
    <row r="944" spans="1:5" x14ac:dyDescent="0.35">
      <c r="A944" s="7">
        <v>49583</v>
      </c>
      <c r="B944" s="8" t="s">
        <v>18</v>
      </c>
      <c r="C944" s="9">
        <v>16.5</v>
      </c>
      <c r="D944" s="10">
        <v>14.7</v>
      </c>
      <c r="E944" s="18">
        <v>1</v>
      </c>
    </row>
    <row r="945" spans="1:5" x14ac:dyDescent="0.35">
      <c r="A945" s="11">
        <v>49584</v>
      </c>
      <c r="B945" s="12" t="s">
        <v>10</v>
      </c>
      <c r="C945" s="13">
        <v>12.3</v>
      </c>
      <c r="D945" s="14">
        <v>30.2</v>
      </c>
      <c r="E945" s="18">
        <v>1</v>
      </c>
    </row>
    <row r="946" spans="1:5" x14ac:dyDescent="0.35">
      <c r="A946" s="7">
        <v>49585</v>
      </c>
      <c r="B946" s="8" t="s">
        <v>10</v>
      </c>
      <c r="C946" s="9">
        <v>29.6</v>
      </c>
      <c r="D946" s="10">
        <v>42.8</v>
      </c>
      <c r="E946" s="18">
        <v>1</v>
      </c>
    </row>
    <row r="947" spans="1:5" x14ac:dyDescent="0.35">
      <c r="A947" s="11">
        <v>49586</v>
      </c>
      <c r="B947" s="12" t="s">
        <v>12</v>
      </c>
      <c r="C947" s="13">
        <v>26.6</v>
      </c>
      <c r="D947" s="14">
        <v>9.1999999999999993</v>
      </c>
      <c r="E947" s="18">
        <v>1</v>
      </c>
    </row>
    <row r="948" spans="1:5" x14ac:dyDescent="0.35">
      <c r="A948" s="7">
        <v>49587</v>
      </c>
      <c r="B948" s="8" t="s">
        <v>18</v>
      </c>
      <c r="C948" s="9">
        <v>26.7</v>
      </c>
      <c r="D948" s="10">
        <v>4</v>
      </c>
      <c r="E948" s="18">
        <v>1</v>
      </c>
    </row>
    <row r="949" spans="1:5" x14ac:dyDescent="0.35">
      <c r="A949" s="11">
        <v>49588</v>
      </c>
      <c r="B949" s="12" t="s">
        <v>15</v>
      </c>
      <c r="C949" s="13">
        <v>23.6</v>
      </c>
      <c r="D949" s="14">
        <v>0</v>
      </c>
      <c r="E949" s="18">
        <v>1</v>
      </c>
    </row>
    <row r="950" spans="1:5" x14ac:dyDescent="0.35">
      <c r="A950" s="7">
        <v>49589</v>
      </c>
      <c r="B950" s="8" t="s">
        <v>25</v>
      </c>
      <c r="C950" s="9">
        <v>13.6</v>
      </c>
      <c r="D950" s="10">
        <v>2.8</v>
      </c>
      <c r="E950" s="18">
        <v>1</v>
      </c>
    </row>
    <row r="951" spans="1:5" x14ac:dyDescent="0.35">
      <c r="A951" s="11">
        <v>49590</v>
      </c>
      <c r="B951" s="12" t="s">
        <v>5</v>
      </c>
      <c r="C951" s="13">
        <v>13.8</v>
      </c>
      <c r="D951" s="14">
        <v>6.5</v>
      </c>
      <c r="E951" s="18">
        <v>1</v>
      </c>
    </row>
    <row r="952" spans="1:5" x14ac:dyDescent="0.35">
      <c r="A952" s="7">
        <v>49591</v>
      </c>
      <c r="B952" s="8" t="s">
        <v>6</v>
      </c>
      <c r="C952" s="9">
        <v>12.3</v>
      </c>
      <c r="D952" s="10">
        <v>0</v>
      </c>
      <c r="E952" s="18">
        <v>1</v>
      </c>
    </row>
    <row r="953" spans="1:5" x14ac:dyDescent="0.35">
      <c r="A953" s="11">
        <v>49592</v>
      </c>
      <c r="B953" s="12" t="s">
        <v>7</v>
      </c>
      <c r="C953" s="13">
        <v>12.3</v>
      </c>
      <c r="D953" s="14">
        <v>0</v>
      </c>
      <c r="E953" s="18">
        <v>1</v>
      </c>
    </row>
    <row r="954" spans="1:5" x14ac:dyDescent="0.35">
      <c r="A954" s="7">
        <v>49593</v>
      </c>
      <c r="B954" s="8" t="s">
        <v>18</v>
      </c>
      <c r="C954" s="9">
        <v>22.7</v>
      </c>
      <c r="D954" s="10">
        <v>10.3</v>
      </c>
      <c r="E954" s="18">
        <v>1</v>
      </c>
    </row>
    <row r="955" spans="1:5" x14ac:dyDescent="0.35">
      <c r="A955" s="11">
        <v>49594</v>
      </c>
      <c r="B955" s="12" t="s">
        <v>10</v>
      </c>
      <c r="C955" s="13">
        <v>19</v>
      </c>
      <c r="D955" s="14">
        <v>0</v>
      </c>
      <c r="E955" s="18">
        <v>1</v>
      </c>
    </row>
    <row r="956" spans="1:5" x14ac:dyDescent="0.35">
      <c r="A956" s="7">
        <v>49595</v>
      </c>
      <c r="B956" s="8" t="s">
        <v>8</v>
      </c>
      <c r="C956" s="9">
        <v>23.4</v>
      </c>
      <c r="D956" s="10">
        <v>0</v>
      </c>
      <c r="E956" s="18">
        <v>1</v>
      </c>
    </row>
    <row r="957" spans="1:5" x14ac:dyDescent="0.35">
      <c r="A957" s="11">
        <v>49596</v>
      </c>
      <c r="B957" s="12" t="s">
        <v>15</v>
      </c>
      <c r="C957" s="13">
        <v>28.2</v>
      </c>
      <c r="D957" s="14">
        <v>0</v>
      </c>
      <c r="E957" s="18">
        <v>1</v>
      </c>
    </row>
    <row r="958" spans="1:5" x14ac:dyDescent="0.35">
      <c r="A958" s="7">
        <v>49597</v>
      </c>
      <c r="B958" s="8" t="s">
        <v>15</v>
      </c>
      <c r="C958" s="9">
        <v>20.100000000000001</v>
      </c>
      <c r="D958" s="10">
        <v>9.6999999999999993</v>
      </c>
      <c r="E958" s="18">
        <v>1</v>
      </c>
    </row>
    <row r="959" spans="1:5" x14ac:dyDescent="0.35">
      <c r="A959" s="11">
        <v>49598</v>
      </c>
      <c r="B959" s="12" t="s">
        <v>17</v>
      </c>
      <c r="C959" s="13">
        <v>29.6</v>
      </c>
      <c r="D959" s="14">
        <v>0</v>
      </c>
      <c r="E959" s="18">
        <v>1</v>
      </c>
    </row>
    <row r="960" spans="1:5" x14ac:dyDescent="0.35">
      <c r="A960" s="7">
        <v>49599</v>
      </c>
      <c r="B960" s="8" t="s">
        <v>7</v>
      </c>
      <c r="C960" s="9">
        <v>25.8</v>
      </c>
      <c r="D960" s="10">
        <v>0</v>
      </c>
      <c r="E960" s="18">
        <v>1</v>
      </c>
    </row>
    <row r="961" spans="1:5" x14ac:dyDescent="0.35">
      <c r="A961" s="11">
        <v>49600</v>
      </c>
      <c r="B961" s="12" t="s">
        <v>10</v>
      </c>
      <c r="C961" s="13">
        <v>19.600000000000001</v>
      </c>
      <c r="D961" s="14">
        <v>18.5</v>
      </c>
      <c r="E961" s="18">
        <v>1</v>
      </c>
    </row>
    <row r="962" spans="1:5" x14ac:dyDescent="0.35">
      <c r="A962" s="7">
        <v>49601</v>
      </c>
      <c r="B962" s="8" t="s">
        <v>19</v>
      </c>
      <c r="C962" s="9">
        <v>21.5</v>
      </c>
      <c r="D962" s="10">
        <v>3</v>
      </c>
      <c r="E962" s="18">
        <v>1</v>
      </c>
    </row>
    <row r="963" spans="1:5" x14ac:dyDescent="0.35">
      <c r="A963" s="11">
        <v>49602</v>
      </c>
      <c r="B963" s="12" t="s">
        <v>15</v>
      </c>
      <c r="C963" s="13">
        <v>24.2</v>
      </c>
      <c r="D963" s="14">
        <v>17.399999999999999</v>
      </c>
      <c r="E963" s="18">
        <v>1</v>
      </c>
    </row>
    <row r="964" spans="1:5" x14ac:dyDescent="0.35">
      <c r="A964" s="7">
        <v>49603</v>
      </c>
      <c r="B964" s="8" t="s">
        <v>27</v>
      </c>
      <c r="C964" s="9">
        <v>12</v>
      </c>
      <c r="D964" s="10">
        <v>0</v>
      </c>
      <c r="E964" s="18">
        <v>1</v>
      </c>
    </row>
    <row r="965" spans="1:5" x14ac:dyDescent="0.35">
      <c r="A965" s="11">
        <v>49604</v>
      </c>
      <c r="B965" s="12" t="s">
        <v>33</v>
      </c>
      <c r="C965" s="13">
        <v>23</v>
      </c>
      <c r="D965" s="14">
        <v>0</v>
      </c>
      <c r="E965" s="18">
        <v>1</v>
      </c>
    </row>
    <row r="966" spans="1:5" x14ac:dyDescent="0.35">
      <c r="A966" s="7">
        <v>49605</v>
      </c>
      <c r="B966" s="8" t="s">
        <v>19</v>
      </c>
      <c r="C966" s="9">
        <v>19.8</v>
      </c>
      <c r="D966" s="10">
        <v>29.2</v>
      </c>
      <c r="E966" s="18">
        <v>1</v>
      </c>
    </row>
    <row r="967" spans="1:5" x14ac:dyDescent="0.35">
      <c r="A967" s="11">
        <v>49606</v>
      </c>
      <c r="B967" s="12" t="s">
        <v>5</v>
      </c>
      <c r="C967" s="13">
        <v>14.9</v>
      </c>
      <c r="D967" s="14">
        <v>0.8</v>
      </c>
      <c r="E967" s="18">
        <v>1</v>
      </c>
    </row>
    <row r="968" spans="1:5" x14ac:dyDescent="0.35">
      <c r="A968" s="7">
        <v>49607</v>
      </c>
      <c r="B968" s="8" t="s">
        <v>15</v>
      </c>
      <c r="C968" s="9">
        <v>17.899999999999999</v>
      </c>
      <c r="D968" s="10">
        <v>10.3</v>
      </c>
      <c r="E968" s="18">
        <v>1</v>
      </c>
    </row>
    <row r="969" spans="1:5" x14ac:dyDescent="0.35">
      <c r="A969" s="11">
        <v>49608</v>
      </c>
      <c r="B969" s="12" t="s">
        <v>7</v>
      </c>
      <c r="C969" s="13">
        <v>26</v>
      </c>
      <c r="D969" s="14">
        <v>0</v>
      </c>
      <c r="E969" s="18">
        <v>1</v>
      </c>
    </row>
    <row r="970" spans="1:5" x14ac:dyDescent="0.35">
      <c r="A970" s="7">
        <v>49609</v>
      </c>
      <c r="B970" s="8" t="s">
        <v>12</v>
      </c>
      <c r="C970" s="9">
        <v>21.5</v>
      </c>
      <c r="D970" s="10">
        <v>9.3000000000000007</v>
      </c>
      <c r="E970" s="18">
        <v>1</v>
      </c>
    </row>
    <row r="971" spans="1:5" x14ac:dyDescent="0.35">
      <c r="A971" s="11">
        <v>49610</v>
      </c>
      <c r="B971" s="12" t="s">
        <v>19</v>
      </c>
      <c r="C971" s="13">
        <v>29.9</v>
      </c>
      <c r="D971" s="14">
        <v>2.4</v>
      </c>
      <c r="E971" s="18">
        <v>1</v>
      </c>
    </row>
    <row r="972" spans="1:5" x14ac:dyDescent="0.35">
      <c r="A972" s="7">
        <v>49611</v>
      </c>
      <c r="B972" s="8" t="s">
        <v>10</v>
      </c>
      <c r="C972" s="9">
        <v>12.3</v>
      </c>
      <c r="D972" s="10">
        <v>35.1</v>
      </c>
      <c r="E972" s="18">
        <v>1</v>
      </c>
    </row>
    <row r="973" spans="1:5" x14ac:dyDescent="0.35">
      <c r="A973" s="11">
        <v>49612</v>
      </c>
      <c r="B973" s="12" t="s">
        <v>17</v>
      </c>
      <c r="C973" s="13">
        <v>21.7</v>
      </c>
      <c r="D973" s="14">
        <v>3.9</v>
      </c>
      <c r="E973" s="18">
        <v>1</v>
      </c>
    </row>
    <row r="974" spans="1:5" x14ac:dyDescent="0.35">
      <c r="A974" s="7">
        <v>49613</v>
      </c>
      <c r="B974" s="8" t="s">
        <v>10</v>
      </c>
      <c r="C974" s="9">
        <v>10.7</v>
      </c>
      <c r="D974" s="10">
        <v>0</v>
      </c>
      <c r="E974" s="18">
        <v>1</v>
      </c>
    </row>
    <row r="975" spans="1:5" x14ac:dyDescent="0.35">
      <c r="A975" s="11">
        <v>49614</v>
      </c>
      <c r="B975" s="12" t="s">
        <v>5</v>
      </c>
      <c r="C975" s="13">
        <v>21.5</v>
      </c>
      <c r="D975" s="14">
        <v>0</v>
      </c>
      <c r="E975" s="18">
        <v>1</v>
      </c>
    </row>
    <row r="976" spans="1:5" x14ac:dyDescent="0.35">
      <c r="A976" s="7">
        <v>49615</v>
      </c>
      <c r="B976" s="8" t="s">
        <v>10</v>
      </c>
      <c r="C976" s="9">
        <v>26</v>
      </c>
      <c r="D976" s="10">
        <v>33.799999999999997</v>
      </c>
      <c r="E976" s="18">
        <v>1</v>
      </c>
    </row>
    <row r="977" spans="1:5" x14ac:dyDescent="0.35">
      <c r="A977" s="11">
        <v>49616</v>
      </c>
      <c r="B977" s="12" t="s">
        <v>15</v>
      </c>
      <c r="C977" s="13">
        <v>24.4</v>
      </c>
      <c r="D977" s="14">
        <v>15.4</v>
      </c>
      <c r="E977" s="18">
        <v>1</v>
      </c>
    </row>
    <row r="978" spans="1:5" x14ac:dyDescent="0.35">
      <c r="A978" s="7">
        <v>49617</v>
      </c>
      <c r="B978" s="8" t="s">
        <v>5</v>
      </c>
      <c r="C978" s="9">
        <v>20.8</v>
      </c>
      <c r="D978" s="10">
        <v>0</v>
      </c>
      <c r="E978" s="18">
        <v>1</v>
      </c>
    </row>
    <row r="979" spans="1:5" x14ac:dyDescent="0.35">
      <c r="A979" s="11">
        <v>49618</v>
      </c>
      <c r="B979" s="12" t="s">
        <v>13</v>
      </c>
      <c r="C979" s="13">
        <v>18.2</v>
      </c>
      <c r="D979" s="14">
        <v>15.7</v>
      </c>
      <c r="E979" s="18">
        <v>1</v>
      </c>
    </row>
    <row r="980" spans="1:5" x14ac:dyDescent="0.35">
      <c r="A980" s="7">
        <v>49619</v>
      </c>
      <c r="B980" s="8" t="s">
        <v>17</v>
      </c>
      <c r="C980" s="9">
        <v>25.6</v>
      </c>
      <c r="D980" s="10">
        <v>7</v>
      </c>
      <c r="E980" s="18">
        <v>1</v>
      </c>
    </row>
    <row r="981" spans="1:5" x14ac:dyDescent="0.35">
      <c r="A981" s="11">
        <v>49620</v>
      </c>
      <c r="B981" s="12" t="s">
        <v>11</v>
      </c>
      <c r="C981" s="13">
        <v>25.2</v>
      </c>
      <c r="D981" s="14">
        <v>0</v>
      </c>
      <c r="E981" s="18">
        <v>1</v>
      </c>
    </row>
    <row r="982" spans="1:5" x14ac:dyDescent="0.35">
      <c r="A982" s="7">
        <v>49621</v>
      </c>
      <c r="B982" s="8" t="s">
        <v>12</v>
      </c>
      <c r="C982" s="9">
        <v>19.5</v>
      </c>
      <c r="D982" s="10">
        <v>5.3</v>
      </c>
      <c r="E982" s="18">
        <v>1</v>
      </c>
    </row>
    <row r="983" spans="1:5" x14ac:dyDescent="0.35">
      <c r="A983" s="11">
        <v>49622</v>
      </c>
      <c r="B983" s="12" t="s">
        <v>24</v>
      </c>
      <c r="C983" s="13">
        <v>15.2</v>
      </c>
      <c r="D983" s="14">
        <v>2.1</v>
      </c>
      <c r="E983" s="18">
        <v>1</v>
      </c>
    </row>
    <row r="984" spans="1:5" x14ac:dyDescent="0.35">
      <c r="A984" s="7">
        <v>49623</v>
      </c>
      <c r="B984" s="8" t="s">
        <v>15</v>
      </c>
      <c r="C984" s="9">
        <v>21.3</v>
      </c>
      <c r="D984" s="10">
        <v>11.4</v>
      </c>
      <c r="E984" s="18">
        <v>1</v>
      </c>
    </row>
    <row r="985" spans="1:5" x14ac:dyDescent="0.35">
      <c r="A985" s="11">
        <v>49624</v>
      </c>
      <c r="B985" s="12" t="s">
        <v>15</v>
      </c>
      <c r="C985" s="13">
        <v>21.8</v>
      </c>
      <c r="D985" s="14">
        <v>17.399999999999999</v>
      </c>
      <c r="E985" s="18">
        <v>1</v>
      </c>
    </row>
    <row r="986" spans="1:5" x14ac:dyDescent="0.35">
      <c r="A986" s="7">
        <v>49625</v>
      </c>
      <c r="B986" s="8" t="s">
        <v>16</v>
      </c>
      <c r="C986" s="9">
        <v>27.7</v>
      </c>
      <c r="D986" s="10">
        <v>0.5</v>
      </c>
      <c r="E986" s="18">
        <v>1</v>
      </c>
    </row>
    <row r="987" spans="1:5" x14ac:dyDescent="0.35">
      <c r="A987" s="11">
        <v>49626</v>
      </c>
      <c r="B987" s="12" t="s">
        <v>10</v>
      </c>
      <c r="C987" s="13">
        <v>28.5</v>
      </c>
      <c r="D987" s="14">
        <v>46</v>
      </c>
      <c r="E987" s="18">
        <v>1</v>
      </c>
    </row>
    <row r="988" spans="1:5" x14ac:dyDescent="0.35">
      <c r="A988" s="7">
        <v>49627</v>
      </c>
      <c r="B988" s="8" t="s">
        <v>27</v>
      </c>
      <c r="C988" s="9">
        <v>25.7</v>
      </c>
      <c r="D988" s="10">
        <v>0</v>
      </c>
      <c r="E988" s="18">
        <v>1</v>
      </c>
    </row>
    <row r="989" spans="1:5" x14ac:dyDescent="0.35">
      <c r="A989" s="11">
        <v>49628</v>
      </c>
      <c r="B989" s="12" t="s">
        <v>10</v>
      </c>
      <c r="C989" s="13">
        <v>18</v>
      </c>
      <c r="D989" s="14">
        <v>0.5</v>
      </c>
      <c r="E989" s="18">
        <v>1</v>
      </c>
    </row>
    <row r="990" spans="1:5" x14ac:dyDescent="0.35">
      <c r="A990" s="7">
        <v>49629</v>
      </c>
      <c r="B990" s="8" t="s">
        <v>6</v>
      </c>
      <c r="C990" s="9">
        <v>29.5</v>
      </c>
      <c r="D990" s="10">
        <v>0</v>
      </c>
      <c r="E990" s="18">
        <v>1</v>
      </c>
    </row>
    <row r="991" spans="1:5" x14ac:dyDescent="0.35">
      <c r="A991" s="11">
        <v>49630</v>
      </c>
      <c r="B991" s="12" t="s">
        <v>18</v>
      </c>
      <c r="C991" s="13">
        <v>21</v>
      </c>
      <c r="D991" s="14">
        <v>10.3</v>
      </c>
      <c r="E991" s="18">
        <v>1</v>
      </c>
    </row>
    <row r="992" spans="1:5" x14ac:dyDescent="0.35">
      <c r="A992" s="7">
        <v>49631</v>
      </c>
      <c r="B992" s="8" t="s">
        <v>20</v>
      </c>
      <c r="C992" s="9">
        <v>11.4</v>
      </c>
      <c r="D992" s="10">
        <v>3.2</v>
      </c>
      <c r="E992" s="18">
        <v>1</v>
      </c>
    </row>
    <row r="993" spans="1:5" x14ac:dyDescent="0.35">
      <c r="A993" s="11">
        <v>49632</v>
      </c>
      <c r="B993" s="12" t="s">
        <v>10</v>
      </c>
      <c r="C993" s="13">
        <v>12.7</v>
      </c>
      <c r="D993" s="14">
        <v>0</v>
      </c>
      <c r="E993" s="18">
        <v>1</v>
      </c>
    </row>
    <row r="994" spans="1:5" x14ac:dyDescent="0.35">
      <c r="A994" s="7">
        <v>49633</v>
      </c>
      <c r="B994" s="8" t="s">
        <v>5</v>
      </c>
      <c r="C994" s="9">
        <v>14.1</v>
      </c>
      <c r="D994" s="10">
        <v>6.2</v>
      </c>
      <c r="E994" s="18">
        <v>1</v>
      </c>
    </row>
    <row r="995" spans="1:5" x14ac:dyDescent="0.35">
      <c r="A995" s="11">
        <v>49634</v>
      </c>
      <c r="B995" s="12" t="s">
        <v>10</v>
      </c>
      <c r="C995" s="13">
        <v>29.5</v>
      </c>
      <c r="D995" s="14">
        <v>29.9</v>
      </c>
      <c r="E995" s="18">
        <v>1</v>
      </c>
    </row>
    <row r="996" spans="1:5" x14ac:dyDescent="0.35">
      <c r="A996" s="7">
        <v>49635</v>
      </c>
      <c r="B996" s="8" t="s">
        <v>22</v>
      </c>
      <c r="C996" s="9">
        <v>18.399999999999999</v>
      </c>
      <c r="D996" s="10">
        <v>0</v>
      </c>
      <c r="E996" s="18">
        <v>1</v>
      </c>
    </row>
    <row r="997" spans="1:5" x14ac:dyDescent="0.35">
      <c r="A997" s="11">
        <v>49636</v>
      </c>
      <c r="B997" s="12" t="s">
        <v>10</v>
      </c>
      <c r="C997" s="13">
        <v>29.6</v>
      </c>
      <c r="D997" s="14">
        <v>43.9</v>
      </c>
      <c r="E997" s="18">
        <v>1</v>
      </c>
    </row>
    <row r="998" spans="1:5" x14ac:dyDescent="0.35">
      <c r="A998" s="7">
        <v>49637</v>
      </c>
      <c r="B998" s="8" t="s">
        <v>15</v>
      </c>
      <c r="C998" s="9">
        <v>22.6</v>
      </c>
      <c r="D998" s="10">
        <v>14.6</v>
      </c>
      <c r="E998" s="18">
        <v>1</v>
      </c>
    </row>
    <row r="999" spans="1:5" x14ac:dyDescent="0.35">
      <c r="A999" s="11">
        <v>49638</v>
      </c>
      <c r="B999" s="12" t="s">
        <v>14</v>
      </c>
      <c r="C999" s="13">
        <v>13.2</v>
      </c>
      <c r="D999" s="14">
        <v>6.7</v>
      </c>
      <c r="E999" s="18">
        <v>1</v>
      </c>
    </row>
    <row r="1000" spans="1:5" x14ac:dyDescent="0.35">
      <c r="A1000" s="7">
        <v>49639</v>
      </c>
      <c r="B1000" s="8" t="s">
        <v>6</v>
      </c>
      <c r="C1000" s="9">
        <v>10.4</v>
      </c>
      <c r="D1000" s="10">
        <v>8.5</v>
      </c>
      <c r="E1000" s="18">
        <v>1</v>
      </c>
    </row>
    <row r="1001" spans="1:5" x14ac:dyDescent="0.35">
      <c r="A1001" s="11">
        <v>49640</v>
      </c>
      <c r="B1001" s="12" t="s">
        <v>13</v>
      </c>
      <c r="C1001" s="13">
        <v>16.899999999999999</v>
      </c>
      <c r="D1001" s="14">
        <v>16.399999999999999</v>
      </c>
      <c r="E1001" s="18">
        <v>1</v>
      </c>
    </row>
    <row r="1002" spans="1:5" x14ac:dyDescent="0.35">
      <c r="A1002" s="7">
        <v>49641</v>
      </c>
      <c r="B1002" s="8" t="s">
        <v>15</v>
      </c>
      <c r="C1002" s="9">
        <v>19.399999999999999</v>
      </c>
      <c r="D1002" s="10">
        <v>0</v>
      </c>
      <c r="E1002" s="18">
        <v>1</v>
      </c>
    </row>
    <row r="1003" spans="1:5" x14ac:dyDescent="0.35">
      <c r="A1003" s="11">
        <v>49642</v>
      </c>
      <c r="B1003" s="12" t="s">
        <v>24</v>
      </c>
      <c r="C1003" s="13">
        <v>16.899999999999999</v>
      </c>
      <c r="D1003" s="14">
        <v>1</v>
      </c>
      <c r="E1003" s="18">
        <v>1</v>
      </c>
    </row>
    <row r="1004" spans="1:5" x14ac:dyDescent="0.35">
      <c r="A1004" s="7">
        <v>49643</v>
      </c>
      <c r="B1004" s="8" t="s">
        <v>10</v>
      </c>
      <c r="C1004" s="9">
        <v>18.399999999999999</v>
      </c>
      <c r="D1004" s="10">
        <v>0</v>
      </c>
      <c r="E1004" s="18">
        <v>1</v>
      </c>
    </row>
    <row r="1005" spans="1:5" x14ac:dyDescent="0.35">
      <c r="A1005" s="11">
        <v>49644</v>
      </c>
      <c r="B1005" s="12" t="s">
        <v>15</v>
      </c>
      <c r="C1005" s="13">
        <v>13.4</v>
      </c>
      <c r="D1005" s="14">
        <v>12.8</v>
      </c>
      <c r="E1005" s="18">
        <v>1</v>
      </c>
    </row>
    <row r="1006" spans="1:5" x14ac:dyDescent="0.35">
      <c r="A1006" s="7">
        <v>49645</v>
      </c>
      <c r="B1006" s="8" t="s">
        <v>7</v>
      </c>
      <c r="C1006" s="9">
        <v>28.8</v>
      </c>
      <c r="D1006" s="10">
        <v>0</v>
      </c>
      <c r="E1006" s="18">
        <v>1</v>
      </c>
    </row>
    <row r="1007" spans="1:5" x14ac:dyDescent="0.35">
      <c r="A1007" s="11">
        <v>49646</v>
      </c>
      <c r="B1007" s="12" t="s">
        <v>13</v>
      </c>
      <c r="C1007" s="13">
        <v>19.5</v>
      </c>
      <c r="D1007" s="14">
        <v>1.3</v>
      </c>
      <c r="E1007" s="18">
        <v>1</v>
      </c>
    </row>
    <row r="1008" spans="1:5" x14ac:dyDescent="0.35">
      <c r="A1008" s="7">
        <v>49647</v>
      </c>
      <c r="B1008" s="8" t="s">
        <v>11</v>
      </c>
      <c r="C1008" s="9">
        <v>29</v>
      </c>
      <c r="D1008" s="10">
        <v>14</v>
      </c>
      <c r="E1008" s="18">
        <v>1</v>
      </c>
    </row>
    <row r="1009" spans="1:5" x14ac:dyDescent="0.35">
      <c r="A1009" s="11">
        <v>49648</v>
      </c>
      <c r="B1009" s="12" t="s">
        <v>10</v>
      </c>
      <c r="C1009" s="13">
        <v>29.6</v>
      </c>
      <c r="D1009" s="14">
        <v>28.7</v>
      </c>
      <c r="E1009" s="18">
        <v>1</v>
      </c>
    </row>
    <row r="1010" spans="1:5" x14ac:dyDescent="0.35">
      <c r="A1010" s="7">
        <v>49649</v>
      </c>
      <c r="B1010" s="8" t="s">
        <v>6</v>
      </c>
      <c r="C1010" s="9">
        <v>26.5</v>
      </c>
      <c r="D1010" s="10">
        <v>0</v>
      </c>
      <c r="E1010" s="18">
        <v>1</v>
      </c>
    </row>
    <row r="1011" spans="1:5" x14ac:dyDescent="0.35">
      <c r="A1011" s="11">
        <v>49650</v>
      </c>
      <c r="B1011" s="12" t="s">
        <v>18</v>
      </c>
      <c r="C1011" s="13">
        <v>24.8</v>
      </c>
      <c r="D1011" s="14">
        <v>12.1</v>
      </c>
      <c r="E1011" s="18">
        <v>1</v>
      </c>
    </row>
    <row r="1012" spans="1:5" x14ac:dyDescent="0.35">
      <c r="A1012" s="7">
        <v>49651</v>
      </c>
      <c r="B1012" s="8" t="s">
        <v>10</v>
      </c>
      <c r="C1012" s="9">
        <v>20</v>
      </c>
      <c r="D1012" s="10">
        <v>14.7</v>
      </c>
      <c r="E1012" s="18">
        <v>1</v>
      </c>
    </row>
    <row r="1013" spans="1:5" x14ac:dyDescent="0.35">
      <c r="A1013" s="11">
        <v>49652</v>
      </c>
      <c r="B1013" s="12" t="s">
        <v>19</v>
      </c>
      <c r="C1013" s="13">
        <v>16.899999999999999</v>
      </c>
      <c r="D1013" s="14">
        <v>38.299999999999997</v>
      </c>
      <c r="E1013" s="18">
        <v>1</v>
      </c>
    </row>
    <row r="1014" spans="1:5" x14ac:dyDescent="0.35">
      <c r="A1014" s="7">
        <v>49653</v>
      </c>
      <c r="B1014" s="8" t="s">
        <v>10</v>
      </c>
      <c r="C1014" s="9">
        <v>11.5</v>
      </c>
      <c r="D1014" s="10">
        <v>24.7</v>
      </c>
      <c r="E1014" s="18">
        <v>1</v>
      </c>
    </row>
    <row r="1015" spans="1:5" x14ac:dyDescent="0.35">
      <c r="A1015" s="11">
        <v>49654</v>
      </c>
      <c r="B1015" s="12" t="s">
        <v>13</v>
      </c>
      <c r="C1015" s="13">
        <v>11.4</v>
      </c>
      <c r="D1015" s="14">
        <v>0</v>
      </c>
      <c r="E1015" s="18">
        <v>1</v>
      </c>
    </row>
    <row r="1016" spans="1:5" x14ac:dyDescent="0.35">
      <c r="A1016" s="7">
        <v>49655</v>
      </c>
      <c r="B1016" s="8" t="s">
        <v>6</v>
      </c>
      <c r="C1016" s="9">
        <v>28.5</v>
      </c>
      <c r="D1016" s="10">
        <v>0</v>
      </c>
      <c r="E1016" s="18">
        <v>1</v>
      </c>
    </row>
    <row r="1017" spans="1:5" x14ac:dyDescent="0.35">
      <c r="A1017" s="11">
        <v>49656</v>
      </c>
      <c r="B1017" s="12" t="s">
        <v>22</v>
      </c>
      <c r="C1017" s="13">
        <v>27.9</v>
      </c>
      <c r="D1017" s="14">
        <v>0.7</v>
      </c>
      <c r="E1017" s="18">
        <v>1</v>
      </c>
    </row>
    <row r="1018" spans="1:5" x14ac:dyDescent="0.35">
      <c r="A1018" s="7">
        <v>49657</v>
      </c>
      <c r="B1018" s="8" t="s">
        <v>7</v>
      </c>
      <c r="C1018" s="9">
        <v>26.7</v>
      </c>
      <c r="D1018" s="10">
        <v>15.5</v>
      </c>
      <c r="E1018" s="18">
        <v>1</v>
      </c>
    </row>
    <row r="1019" spans="1:5" x14ac:dyDescent="0.35">
      <c r="A1019" s="11">
        <v>49658</v>
      </c>
      <c r="B1019" s="12" t="s">
        <v>18</v>
      </c>
      <c r="C1019" s="13">
        <v>28.3</v>
      </c>
      <c r="D1019" s="14">
        <v>6.8</v>
      </c>
      <c r="E1019" s="18">
        <v>1</v>
      </c>
    </row>
    <row r="1020" spans="1:5" x14ac:dyDescent="0.35">
      <c r="A1020" s="7">
        <v>49659</v>
      </c>
      <c r="B1020" s="8" t="s">
        <v>10</v>
      </c>
      <c r="C1020" s="9">
        <v>28.9</v>
      </c>
      <c r="D1020" s="10">
        <v>0</v>
      </c>
      <c r="E1020" s="18">
        <v>1</v>
      </c>
    </row>
    <row r="1021" spans="1:5" x14ac:dyDescent="0.35">
      <c r="A1021" s="11">
        <v>49660</v>
      </c>
      <c r="B1021" s="12" t="s">
        <v>20</v>
      </c>
      <c r="C1021" s="13">
        <v>21.6</v>
      </c>
      <c r="D1021" s="14">
        <v>4</v>
      </c>
      <c r="E1021" s="18">
        <v>1</v>
      </c>
    </row>
    <row r="1022" spans="1:5" x14ac:dyDescent="0.35">
      <c r="A1022" s="7">
        <v>49661</v>
      </c>
      <c r="B1022" s="8" t="s">
        <v>23</v>
      </c>
      <c r="C1022" s="9">
        <v>16.5</v>
      </c>
      <c r="D1022" s="10">
        <v>4.2</v>
      </c>
      <c r="E1022" s="18">
        <v>1</v>
      </c>
    </row>
    <row r="1023" spans="1:5" x14ac:dyDescent="0.35">
      <c r="A1023" s="11">
        <v>49662</v>
      </c>
      <c r="B1023" s="12" t="s">
        <v>13</v>
      </c>
      <c r="C1023" s="13">
        <v>24.6</v>
      </c>
      <c r="D1023" s="14">
        <v>10.6</v>
      </c>
      <c r="E1023" s="18">
        <v>1</v>
      </c>
    </row>
    <row r="1024" spans="1:5" x14ac:dyDescent="0.35">
      <c r="A1024" s="7">
        <v>49663</v>
      </c>
      <c r="B1024" s="8" t="s">
        <v>10</v>
      </c>
      <c r="C1024" s="9">
        <v>28.9</v>
      </c>
      <c r="D1024" s="10">
        <v>40.799999999999997</v>
      </c>
      <c r="E1024" s="18">
        <v>1</v>
      </c>
    </row>
    <row r="1025" spans="1:5" x14ac:dyDescent="0.35">
      <c r="A1025" s="11">
        <v>49664</v>
      </c>
      <c r="B1025" s="12" t="s">
        <v>10</v>
      </c>
      <c r="C1025" s="13">
        <v>22.1</v>
      </c>
      <c r="D1025" s="14">
        <v>10</v>
      </c>
      <c r="E1025" s="18">
        <v>1</v>
      </c>
    </row>
    <row r="1026" spans="1:5" x14ac:dyDescent="0.35">
      <c r="A1026" s="7">
        <v>49665</v>
      </c>
      <c r="B1026" s="8" t="s">
        <v>21</v>
      </c>
      <c r="C1026" s="9">
        <v>29.3</v>
      </c>
      <c r="D1026" s="10">
        <v>0</v>
      </c>
      <c r="E1026" s="18">
        <v>1</v>
      </c>
    </row>
    <row r="1027" spans="1:5" x14ac:dyDescent="0.35">
      <c r="A1027" s="11">
        <v>49666</v>
      </c>
      <c r="B1027" s="12" t="s">
        <v>18</v>
      </c>
      <c r="C1027" s="13">
        <v>18.8</v>
      </c>
      <c r="D1027" s="14">
        <v>4.7</v>
      </c>
      <c r="E1027" s="18">
        <v>1</v>
      </c>
    </row>
    <row r="1028" spans="1:5" x14ac:dyDescent="0.35">
      <c r="A1028" s="7">
        <v>49667</v>
      </c>
      <c r="B1028" s="8" t="s">
        <v>19</v>
      </c>
      <c r="C1028" s="9">
        <v>26.5</v>
      </c>
      <c r="D1028" s="10">
        <v>7.3</v>
      </c>
      <c r="E1028" s="18">
        <v>1</v>
      </c>
    </row>
    <row r="1029" spans="1:5" x14ac:dyDescent="0.35">
      <c r="A1029" s="11">
        <v>49668</v>
      </c>
      <c r="B1029" s="12" t="s">
        <v>11</v>
      </c>
      <c r="C1029" s="13">
        <v>24</v>
      </c>
      <c r="D1029" s="14">
        <v>0</v>
      </c>
      <c r="E1029" s="18">
        <v>1</v>
      </c>
    </row>
    <row r="1030" spans="1:5" x14ac:dyDescent="0.35">
      <c r="A1030" s="7">
        <v>49669</v>
      </c>
      <c r="B1030" s="8" t="s">
        <v>19</v>
      </c>
      <c r="C1030" s="9">
        <v>21</v>
      </c>
      <c r="D1030" s="10">
        <v>12.2</v>
      </c>
      <c r="E1030" s="18">
        <v>1</v>
      </c>
    </row>
    <row r="1031" spans="1:5" x14ac:dyDescent="0.35">
      <c r="A1031" s="11">
        <v>49670</v>
      </c>
      <c r="B1031" s="12" t="s">
        <v>17</v>
      </c>
      <c r="C1031" s="13">
        <v>28.1</v>
      </c>
      <c r="D1031" s="14">
        <v>6.7</v>
      </c>
      <c r="E1031" s="18">
        <v>1</v>
      </c>
    </row>
    <row r="1032" spans="1:5" x14ac:dyDescent="0.35">
      <c r="A1032" s="7">
        <v>49671</v>
      </c>
      <c r="B1032" s="8" t="s">
        <v>14</v>
      </c>
      <c r="C1032" s="9">
        <v>23.3</v>
      </c>
      <c r="D1032" s="10">
        <v>4.8</v>
      </c>
      <c r="E1032" s="18">
        <v>1</v>
      </c>
    </row>
    <row r="1033" spans="1:5" x14ac:dyDescent="0.35">
      <c r="A1033" s="11">
        <v>49672</v>
      </c>
      <c r="B1033" s="12" t="s">
        <v>17</v>
      </c>
      <c r="C1033" s="13">
        <v>14.3</v>
      </c>
      <c r="D1033" s="14">
        <v>1.5</v>
      </c>
      <c r="E1033" s="18">
        <v>1</v>
      </c>
    </row>
    <row r="1034" spans="1:5" x14ac:dyDescent="0.35">
      <c r="A1034" s="7">
        <v>49673</v>
      </c>
      <c r="B1034" s="8" t="s">
        <v>25</v>
      </c>
      <c r="C1034" s="9">
        <v>12.6</v>
      </c>
      <c r="D1034" s="10">
        <v>1.1000000000000001</v>
      </c>
      <c r="E1034" s="18">
        <v>1</v>
      </c>
    </row>
    <row r="1035" spans="1:5" x14ac:dyDescent="0.35">
      <c r="A1035" s="11">
        <v>49674</v>
      </c>
      <c r="B1035" s="12" t="s">
        <v>19</v>
      </c>
      <c r="C1035" s="13">
        <v>18.100000000000001</v>
      </c>
      <c r="D1035" s="14">
        <v>0</v>
      </c>
      <c r="E1035" s="18">
        <v>1</v>
      </c>
    </row>
    <row r="1036" spans="1:5" x14ac:dyDescent="0.35">
      <c r="A1036" s="7">
        <v>49675</v>
      </c>
      <c r="B1036" s="8" t="s">
        <v>15</v>
      </c>
      <c r="C1036" s="9">
        <v>19</v>
      </c>
      <c r="D1036" s="10">
        <v>11</v>
      </c>
      <c r="E1036" s="18">
        <v>1</v>
      </c>
    </row>
    <row r="1037" spans="1:5" x14ac:dyDescent="0.35">
      <c r="A1037" s="11">
        <v>49676</v>
      </c>
      <c r="B1037" s="12" t="s">
        <v>14</v>
      </c>
      <c r="C1037" s="13">
        <v>13.1</v>
      </c>
      <c r="D1037" s="14">
        <v>0</v>
      </c>
      <c r="E1037" s="18">
        <v>1</v>
      </c>
    </row>
    <row r="1038" spans="1:5" x14ac:dyDescent="0.35">
      <c r="A1038" s="7">
        <v>49677</v>
      </c>
      <c r="B1038" s="8" t="s">
        <v>13</v>
      </c>
      <c r="C1038" s="9">
        <v>17.3</v>
      </c>
      <c r="D1038" s="10">
        <v>1.1000000000000001</v>
      </c>
      <c r="E1038" s="18">
        <v>1</v>
      </c>
    </row>
    <row r="1039" spans="1:5" x14ac:dyDescent="0.35">
      <c r="A1039" s="11">
        <v>49678</v>
      </c>
      <c r="B1039" s="12" t="s">
        <v>17</v>
      </c>
      <c r="C1039" s="13">
        <v>23.7</v>
      </c>
      <c r="D1039" s="14">
        <v>5.9</v>
      </c>
      <c r="E1039" s="18">
        <v>1</v>
      </c>
    </row>
    <row r="1040" spans="1:5" x14ac:dyDescent="0.35">
      <c r="A1040" s="7">
        <v>49679</v>
      </c>
      <c r="B1040" s="8" t="s">
        <v>33</v>
      </c>
      <c r="C1040" s="9">
        <v>26.3</v>
      </c>
      <c r="D1040" s="10">
        <v>0</v>
      </c>
      <c r="E1040" s="18">
        <v>1</v>
      </c>
    </row>
    <row r="1041" spans="1:5" x14ac:dyDescent="0.35">
      <c r="A1041" s="11">
        <v>49680</v>
      </c>
      <c r="B1041" s="12" t="s">
        <v>15</v>
      </c>
      <c r="C1041" s="13">
        <v>16.399999999999999</v>
      </c>
      <c r="D1041" s="14">
        <v>0</v>
      </c>
      <c r="E1041" s="18">
        <v>1</v>
      </c>
    </row>
    <row r="1042" spans="1:5" x14ac:dyDescent="0.35">
      <c r="A1042" s="7">
        <v>49681</v>
      </c>
      <c r="B1042" s="8" t="s">
        <v>9</v>
      </c>
      <c r="C1042" s="9">
        <v>13</v>
      </c>
      <c r="D1042" s="10">
        <v>0</v>
      </c>
      <c r="E1042" s="18">
        <v>1</v>
      </c>
    </row>
    <row r="1043" spans="1:5" x14ac:dyDescent="0.35">
      <c r="A1043" s="11">
        <v>49682</v>
      </c>
      <c r="B1043" s="12" t="s">
        <v>11</v>
      </c>
      <c r="C1043" s="13">
        <v>28.6</v>
      </c>
      <c r="D1043" s="14">
        <v>1</v>
      </c>
      <c r="E1043" s="18">
        <v>1</v>
      </c>
    </row>
    <row r="1044" spans="1:5" x14ac:dyDescent="0.35">
      <c r="A1044" s="7">
        <v>49683</v>
      </c>
      <c r="B1044" s="8" t="s">
        <v>10</v>
      </c>
      <c r="C1044" s="9">
        <v>11.1</v>
      </c>
      <c r="D1044" s="10">
        <v>2.4</v>
      </c>
      <c r="E1044" s="18">
        <v>1</v>
      </c>
    </row>
    <row r="1045" spans="1:5" x14ac:dyDescent="0.35">
      <c r="A1045" s="11">
        <v>49684</v>
      </c>
      <c r="B1045" s="12" t="s">
        <v>24</v>
      </c>
      <c r="C1045" s="13">
        <v>12.9</v>
      </c>
      <c r="D1045" s="14">
        <v>2.9</v>
      </c>
      <c r="E1045" s="18">
        <v>1</v>
      </c>
    </row>
    <row r="1046" spans="1:5" x14ac:dyDescent="0.35">
      <c r="A1046" s="7">
        <v>49685</v>
      </c>
      <c r="B1046" s="8" t="s">
        <v>30</v>
      </c>
      <c r="C1046" s="9">
        <v>28.4</v>
      </c>
      <c r="D1046" s="10">
        <v>0.9</v>
      </c>
      <c r="E1046" s="18">
        <v>1</v>
      </c>
    </row>
    <row r="1047" spans="1:5" x14ac:dyDescent="0.35">
      <c r="A1047" s="11">
        <v>49686</v>
      </c>
      <c r="B1047" s="12" t="s">
        <v>19</v>
      </c>
      <c r="C1047" s="13">
        <v>21.8</v>
      </c>
      <c r="D1047" s="14">
        <v>3.4</v>
      </c>
      <c r="E1047" s="18">
        <v>1</v>
      </c>
    </row>
    <row r="1048" spans="1:5" x14ac:dyDescent="0.35">
      <c r="A1048" s="7">
        <v>49687</v>
      </c>
      <c r="B1048" s="8" t="s">
        <v>6</v>
      </c>
      <c r="C1048" s="9">
        <v>20.8</v>
      </c>
      <c r="D1048" s="10">
        <v>11.8</v>
      </c>
      <c r="E1048" s="18">
        <v>1</v>
      </c>
    </row>
    <row r="1049" spans="1:5" x14ac:dyDescent="0.35">
      <c r="A1049" s="11">
        <v>49688</v>
      </c>
      <c r="B1049" s="12" t="s">
        <v>13</v>
      </c>
      <c r="C1049" s="13">
        <v>17.399999999999999</v>
      </c>
      <c r="D1049" s="14">
        <v>0</v>
      </c>
      <c r="E1049" s="18">
        <v>1</v>
      </c>
    </row>
    <row r="1050" spans="1:5" x14ac:dyDescent="0.35">
      <c r="A1050" s="7">
        <v>49689</v>
      </c>
      <c r="B1050" s="8" t="s">
        <v>6</v>
      </c>
      <c r="C1050" s="9">
        <v>24.8</v>
      </c>
      <c r="D1050" s="10">
        <v>0</v>
      </c>
      <c r="E1050" s="18">
        <v>1</v>
      </c>
    </row>
    <row r="1051" spans="1:5" x14ac:dyDescent="0.35">
      <c r="A1051" s="11">
        <v>49690</v>
      </c>
      <c r="B1051" s="12" t="s">
        <v>9</v>
      </c>
      <c r="C1051" s="13">
        <v>12.9</v>
      </c>
      <c r="D1051" s="14">
        <v>0</v>
      </c>
      <c r="E1051" s="18">
        <v>1</v>
      </c>
    </row>
    <row r="1052" spans="1:5" x14ac:dyDescent="0.35">
      <c r="A1052" s="7">
        <v>49691</v>
      </c>
      <c r="B1052" s="8" t="s">
        <v>17</v>
      </c>
      <c r="C1052" s="9">
        <v>25.9</v>
      </c>
      <c r="D1052" s="10">
        <v>0</v>
      </c>
      <c r="E1052" s="18">
        <v>1</v>
      </c>
    </row>
    <row r="1053" spans="1:5" x14ac:dyDescent="0.35">
      <c r="A1053" s="11">
        <v>49692</v>
      </c>
      <c r="B1053" s="12" t="s">
        <v>10</v>
      </c>
      <c r="C1053" s="13">
        <v>11.5</v>
      </c>
      <c r="D1053" s="14">
        <v>23.2</v>
      </c>
      <c r="E1053" s="18">
        <v>1</v>
      </c>
    </row>
    <row r="1054" spans="1:5" x14ac:dyDescent="0.35">
      <c r="A1054" s="7">
        <v>49693</v>
      </c>
      <c r="B1054" s="8" t="s">
        <v>20</v>
      </c>
      <c r="C1054" s="9">
        <v>25.5</v>
      </c>
      <c r="D1054" s="10">
        <v>0</v>
      </c>
      <c r="E1054" s="18">
        <v>1</v>
      </c>
    </row>
    <row r="1055" spans="1:5" x14ac:dyDescent="0.35">
      <c r="A1055" s="11">
        <v>49694</v>
      </c>
      <c r="B1055" s="12" t="s">
        <v>33</v>
      </c>
      <c r="C1055" s="13">
        <v>22.6</v>
      </c>
      <c r="D1055" s="14">
        <v>2.2000000000000002</v>
      </c>
      <c r="E1055" s="18">
        <v>1</v>
      </c>
    </row>
    <row r="1056" spans="1:5" x14ac:dyDescent="0.35">
      <c r="A1056" s="7">
        <v>49695</v>
      </c>
      <c r="B1056" s="8" t="s">
        <v>10</v>
      </c>
      <c r="C1056" s="9">
        <v>14.2</v>
      </c>
      <c r="D1056" s="10">
        <v>0</v>
      </c>
      <c r="E1056" s="18">
        <v>1</v>
      </c>
    </row>
    <row r="1057" spans="1:5" x14ac:dyDescent="0.35">
      <c r="A1057" s="11">
        <v>49696</v>
      </c>
      <c r="B1057" s="12" t="s">
        <v>13</v>
      </c>
      <c r="C1057" s="13">
        <v>26.9</v>
      </c>
      <c r="D1057" s="14">
        <v>9.1999999999999993</v>
      </c>
      <c r="E1057" s="18">
        <v>1</v>
      </c>
    </row>
    <row r="1058" spans="1:5" x14ac:dyDescent="0.35">
      <c r="A1058" s="7">
        <v>49697</v>
      </c>
      <c r="B1058" s="8" t="s">
        <v>19</v>
      </c>
      <c r="C1058" s="9">
        <v>30</v>
      </c>
      <c r="D1058" s="10">
        <v>32.299999999999997</v>
      </c>
      <c r="E1058" s="18">
        <v>1</v>
      </c>
    </row>
    <row r="1059" spans="1:5" x14ac:dyDescent="0.35">
      <c r="A1059" s="11">
        <v>49698</v>
      </c>
      <c r="B1059" s="12" t="s">
        <v>27</v>
      </c>
      <c r="C1059" s="13">
        <v>16.2</v>
      </c>
      <c r="D1059" s="14">
        <v>5.2</v>
      </c>
      <c r="E1059" s="18">
        <v>1</v>
      </c>
    </row>
    <row r="1060" spans="1:5" x14ac:dyDescent="0.35">
      <c r="A1060" s="7">
        <v>49699</v>
      </c>
      <c r="B1060" s="8" t="s">
        <v>11</v>
      </c>
      <c r="C1060" s="9">
        <v>12.2</v>
      </c>
      <c r="D1060" s="10">
        <v>0</v>
      </c>
      <c r="E1060" s="18">
        <v>1</v>
      </c>
    </row>
    <row r="1061" spans="1:5" x14ac:dyDescent="0.35">
      <c r="A1061" s="11">
        <v>49700</v>
      </c>
      <c r="B1061" s="12" t="s">
        <v>15</v>
      </c>
      <c r="C1061" s="13">
        <v>28.7</v>
      </c>
      <c r="D1061" s="14">
        <v>0.5</v>
      </c>
      <c r="E1061" s="18">
        <v>1</v>
      </c>
    </row>
    <row r="1062" spans="1:5" x14ac:dyDescent="0.35">
      <c r="A1062" s="7">
        <v>49701</v>
      </c>
      <c r="B1062" s="8" t="s">
        <v>6</v>
      </c>
      <c r="C1062" s="9">
        <v>23.3</v>
      </c>
      <c r="D1062" s="10">
        <v>11.1</v>
      </c>
      <c r="E1062" s="18">
        <v>1</v>
      </c>
    </row>
    <row r="1063" spans="1:5" x14ac:dyDescent="0.35">
      <c r="A1063" s="11">
        <v>49702</v>
      </c>
      <c r="B1063" s="12" t="s">
        <v>15</v>
      </c>
      <c r="C1063" s="13">
        <v>30</v>
      </c>
      <c r="D1063" s="14">
        <v>16.100000000000001</v>
      </c>
      <c r="E1063" s="18">
        <v>1</v>
      </c>
    </row>
    <row r="1064" spans="1:5" x14ac:dyDescent="0.35">
      <c r="A1064" s="7">
        <v>49703</v>
      </c>
      <c r="B1064" s="8" t="s">
        <v>18</v>
      </c>
      <c r="C1064" s="9">
        <v>16</v>
      </c>
      <c r="D1064" s="10">
        <v>9.8000000000000007</v>
      </c>
      <c r="E1064" s="18">
        <v>1</v>
      </c>
    </row>
    <row r="1065" spans="1:5" x14ac:dyDescent="0.35">
      <c r="A1065" s="11">
        <v>49704</v>
      </c>
      <c r="B1065" s="12" t="s">
        <v>20</v>
      </c>
      <c r="C1065" s="13">
        <v>21.6</v>
      </c>
      <c r="D1065" s="14">
        <v>3.4</v>
      </c>
      <c r="E1065" s="18">
        <v>1</v>
      </c>
    </row>
    <row r="1066" spans="1:5" x14ac:dyDescent="0.35">
      <c r="A1066" s="7">
        <v>49705</v>
      </c>
      <c r="B1066" s="8" t="s">
        <v>19</v>
      </c>
      <c r="C1066" s="9">
        <v>27.9</v>
      </c>
      <c r="D1066" s="10">
        <v>4.8</v>
      </c>
      <c r="E1066" s="18">
        <v>1</v>
      </c>
    </row>
    <row r="1067" spans="1:5" x14ac:dyDescent="0.35">
      <c r="A1067" s="11">
        <v>49706</v>
      </c>
      <c r="B1067" s="12" t="s">
        <v>13</v>
      </c>
      <c r="C1067" s="13">
        <v>17.5</v>
      </c>
      <c r="D1067" s="14">
        <v>14.7</v>
      </c>
      <c r="E1067" s="18">
        <v>1</v>
      </c>
    </row>
    <row r="1068" spans="1:5" x14ac:dyDescent="0.35">
      <c r="A1068" s="7">
        <v>49707</v>
      </c>
      <c r="B1068" s="8" t="s">
        <v>7</v>
      </c>
      <c r="C1068" s="9">
        <v>20.7</v>
      </c>
      <c r="D1068" s="10">
        <v>0</v>
      </c>
      <c r="E1068" s="18">
        <v>1</v>
      </c>
    </row>
    <row r="1069" spans="1:5" x14ac:dyDescent="0.35">
      <c r="A1069" s="11">
        <v>49708</v>
      </c>
      <c r="B1069" s="12" t="s">
        <v>10</v>
      </c>
      <c r="C1069" s="13">
        <v>10.8</v>
      </c>
      <c r="D1069" s="14">
        <v>36.4</v>
      </c>
      <c r="E1069" s="18">
        <v>1</v>
      </c>
    </row>
    <row r="1070" spans="1:5" x14ac:dyDescent="0.35">
      <c r="A1070" s="7">
        <v>49709</v>
      </c>
      <c r="B1070" s="8" t="s">
        <v>19</v>
      </c>
      <c r="C1070" s="9">
        <v>27.6</v>
      </c>
      <c r="D1070" s="10">
        <v>32.799999999999997</v>
      </c>
      <c r="E1070" s="18">
        <v>1</v>
      </c>
    </row>
    <row r="1071" spans="1:5" x14ac:dyDescent="0.35">
      <c r="A1071" s="11">
        <v>49710</v>
      </c>
      <c r="B1071" s="12" t="s">
        <v>11</v>
      </c>
      <c r="C1071" s="13">
        <v>10.8</v>
      </c>
      <c r="D1071" s="14">
        <v>11.6</v>
      </c>
      <c r="E1071" s="18">
        <v>1</v>
      </c>
    </row>
    <row r="1072" spans="1:5" x14ac:dyDescent="0.35">
      <c r="A1072" s="7">
        <v>49711</v>
      </c>
      <c r="B1072" s="8" t="s">
        <v>17</v>
      </c>
      <c r="C1072" s="9">
        <v>13.7</v>
      </c>
      <c r="D1072" s="10">
        <v>0</v>
      </c>
      <c r="E1072" s="18">
        <v>1</v>
      </c>
    </row>
    <row r="1073" spans="1:5" x14ac:dyDescent="0.35">
      <c r="A1073" s="11">
        <v>49712</v>
      </c>
      <c r="B1073" s="12" t="s">
        <v>18</v>
      </c>
      <c r="C1073" s="13">
        <v>19.5</v>
      </c>
      <c r="D1073" s="14">
        <v>0</v>
      </c>
      <c r="E1073" s="18">
        <v>1</v>
      </c>
    </row>
    <row r="1074" spans="1:5" x14ac:dyDescent="0.35">
      <c r="A1074" s="7">
        <v>49713</v>
      </c>
      <c r="B1074" s="8" t="s">
        <v>9</v>
      </c>
      <c r="C1074" s="9">
        <v>21.6</v>
      </c>
      <c r="D1074" s="10">
        <v>11.6</v>
      </c>
      <c r="E1074" s="18">
        <v>1</v>
      </c>
    </row>
    <row r="1075" spans="1:5" x14ac:dyDescent="0.35">
      <c r="A1075" s="11">
        <v>49714</v>
      </c>
      <c r="B1075" s="12" t="s">
        <v>17</v>
      </c>
      <c r="C1075" s="13">
        <v>21.6</v>
      </c>
      <c r="D1075" s="14">
        <v>2.7</v>
      </c>
      <c r="E1075" s="18">
        <v>1</v>
      </c>
    </row>
    <row r="1076" spans="1:5" x14ac:dyDescent="0.35">
      <c r="A1076" s="7">
        <v>49715</v>
      </c>
      <c r="B1076" s="8" t="s">
        <v>24</v>
      </c>
      <c r="C1076" s="9">
        <v>16.100000000000001</v>
      </c>
      <c r="D1076" s="10">
        <v>0</v>
      </c>
      <c r="E1076" s="18">
        <v>1</v>
      </c>
    </row>
    <row r="1077" spans="1:5" x14ac:dyDescent="0.35">
      <c r="A1077" s="11">
        <v>49716</v>
      </c>
      <c r="B1077" s="12" t="s">
        <v>6</v>
      </c>
      <c r="C1077" s="13">
        <v>29.4</v>
      </c>
      <c r="D1077" s="14">
        <v>12.5</v>
      </c>
      <c r="E1077" s="18">
        <v>1</v>
      </c>
    </row>
    <row r="1078" spans="1:5" x14ac:dyDescent="0.35">
      <c r="A1078" s="7">
        <v>49717</v>
      </c>
      <c r="B1078" s="8" t="s">
        <v>26</v>
      </c>
      <c r="C1078" s="9">
        <v>17.8</v>
      </c>
      <c r="D1078" s="10">
        <v>5.9</v>
      </c>
      <c r="E1078" s="18">
        <v>1</v>
      </c>
    </row>
    <row r="1079" spans="1:5" x14ac:dyDescent="0.35">
      <c r="A1079" s="11">
        <v>49718</v>
      </c>
      <c r="B1079" s="12" t="s">
        <v>19</v>
      </c>
      <c r="C1079" s="13">
        <v>26.1</v>
      </c>
      <c r="D1079" s="14">
        <v>14.8</v>
      </c>
      <c r="E1079" s="18">
        <v>1</v>
      </c>
    </row>
    <row r="1080" spans="1:5" x14ac:dyDescent="0.35">
      <c r="A1080" s="7">
        <v>49719</v>
      </c>
      <c r="B1080" s="8" t="s">
        <v>10</v>
      </c>
      <c r="C1080" s="9">
        <v>13.8</v>
      </c>
      <c r="D1080" s="10">
        <v>0</v>
      </c>
      <c r="E1080" s="18">
        <v>1</v>
      </c>
    </row>
    <row r="1081" spans="1:5" x14ac:dyDescent="0.35">
      <c r="A1081" s="11">
        <v>49720</v>
      </c>
      <c r="B1081" s="12" t="s">
        <v>12</v>
      </c>
      <c r="C1081" s="13">
        <v>16.100000000000001</v>
      </c>
      <c r="D1081" s="14">
        <v>6.2</v>
      </c>
      <c r="E1081" s="18">
        <v>1</v>
      </c>
    </row>
    <row r="1082" spans="1:5" x14ac:dyDescent="0.35">
      <c r="A1082" s="7">
        <v>49721</v>
      </c>
      <c r="B1082" s="8" t="s">
        <v>10</v>
      </c>
      <c r="C1082" s="9">
        <v>23.2</v>
      </c>
      <c r="D1082" s="10">
        <v>45.8</v>
      </c>
      <c r="E1082" s="18">
        <v>1</v>
      </c>
    </row>
    <row r="1083" spans="1:5" x14ac:dyDescent="0.35">
      <c r="A1083" s="11">
        <v>49722</v>
      </c>
      <c r="B1083" s="12" t="s">
        <v>12</v>
      </c>
      <c r="C1083" s="13">
        <v>18.899999999999999</v>
      </c>
      <c r="D1083" s="14">
        <v>0</v>
      </c>
      <c r="E1083" s="18">
        <v>1</v>
      </c>
    </row>
    <row r="1084" spans="1:5" x14ac:dyDescent="0.35">
      <c r="A1084" s="7">
        <v>49723</v>
      </c>
      <c r="B1084" s="8" t="s">
        <v>19</v>
      </c>
      <c r="C1084" s="9">
        <v>28.9</v>
      </c>
      <c r="D1084" s="10">
        <v>34.1</v>
      </c>
      <c r="E1084" s="18">
        <v>1</v>
      </c>
    </row>
    <row r="1085" spans="1:5" x14ac:dyDescent="0.35">
      <c r="A1085" s="11">
        <v>49724</v>
      </c>
      <c r="B1085" s="12" t="s">
        <v>10</v>
      </c>
      <c r="C1085" s="13">
        <v>19.3</v>
      </c>
      <c r="D1085" s="14">
        <v>49.6</v>
      </c>
      <c r="E1085" s="18">
        <v>1</v>
      </c>
    </row>
    <row r="1086" spans="1:5" x14ac:dyDescent="0.35">
      <c r="A1086" s="7">
        <v>49725</v>
      </c>
      <c r="B1086" s="8" t="s">
        <v>18</v>
      </c>
      <c r="C1086" s="9">
        <v>23.9</v>
      </c>
      <c r="D1086" s="10">
        <v>11.7</v>
      </c>
      <c r="E1086" s="18">
        <v>1</v>
      </c>
    </row>
    <row r="1087" spans="1:5" x14ac:dyDescent="0.35">
      <c r="A1087" s="11">
        <v>49726</v>
      </c>
      <c r="B1087" s="12" t="s">
        <v>13</v>
      </c>
      <c r="C1087" s="13">
        <v>28.6</v>
      </c>
      <c r="D1087" s="14">
        <v>11.5</v>
      </c>
      <c r="E1087" s="18">
        <v>1</v>
      </c>
    </row>
    <row r="1088" spans="1:5" x14ac:dyDescent="0.35">
      <c r="A1088" s="7">
        <v>49727</v>
      </c>
      <c r="B1088" s="8" t="s">
        <v>26</v>
      </c>
      <c r="C1088" s="9">
        <v>14.5</v>
      </c>
      <c r="D1088" s="10">
        <v>0.3</v>
      </c>
      <c r="E1088" s="18">
        <v>1</v>
      </c>
    </row>
    <row r="1089" spans="1:5" x14ac:dyDescent="0.35">
      <c r="A1089" s="11">
        <v>49728</v>
      </c>
      <c r="B1089" s="12" t="s">
        <v>10</v>
      </c>
      <c r="C1089" s="13">
        <v>13</v>
      </c>
      <c r="D1089" s="14">
        <v>0</v>
      </c>
      <c r="E1089" s="18">
        <v>1</v>
      </c>
    </row>
    <row r="1090" spans="1:5" x14ac:dyDescent="0.35">
      <c r="A1090" s="7">
        <v>49729</v>
      </c>
      <c r="B1090" s="8" t="s">
        <v>19</v>
      </c>
      <c r="C1090" s="9">
        <v>16.2</v>
      </c>
      <c r="D1090" s="10">
        <v>9.1999999999999993</v>
      </c>
      <c r="E1090" s="18">
        <v>1</v>
      </c>
    </row>
    <row r="1091" spans="1:5" x14ac:dyDescent="0.35">
      <c r="A1091" s="11">
        <v>49730</v>
      </c>
      <c r="B1091" s="12" t="s">
        <v>15</v>
      </c>
      <c r="C1091" s="13">
        <v>27.1</v>
      </c>
      <c r="D1091" s="14">
        <v>6.3</v>
      </c>
      <c r="E1091" s="18">
        <v>1</v>
      </c>
    </row>
    <row r="1092" spans="1:5" x14ac:dyDescent="0.35">
      <c r="A1092" s="7">
        <v>49731</v>
      </c>
      <c r="B1092" s="8" t="s">
        <v>10</v>
      </c>
      <c r="C1092" s="9">
        <v>15.6</v>
      </c>
      <c r="D1092" s="10">
        <v>28</v>
      </c>
      <c r="E1092" s="18">
        <v>1</v>
      </c>
    </row>
    <row r="1093" spans="1:5" x14ac:dyDescent="0.35">
      <c r="A1093" s="11">
        <v>49732</v>
      </c>
      <c r="B1093" s="12" t="s">
        <v>26</v>
      </c>
      <c r="C1093" s="13">
        <v>28.9</v>
      </c>
      <c r="D1093" s="14">
        <v>6.8</v>
      </c>
      <c r="E1093" s="18">
        <v>1</v>
      </c>
    </row>
    <row r="1094" spans="1:5" x14ac:dyDescent="0.35">
      <c r="A1094" s="7">
        <v>49733</v>
      </c>
      <c r="B1094" s="8" t="s">
        <v>6</v>
      </c>
      <c r="C1094" s="9">
        <v>13.8</v>
      </c>
      <c r="D1094" s="10">
        <v>11.9</v>
      </c>
      <c r="E1094" s="18">
        <v>1</v>
      </c>
    </row>
    <row r="1095" spans="1:5" x14ac:dyDescent="0.35">
      <c r="A1095" s="11">
        <v>49734</v>
      </c>
      <c r="B1095" s="12" t="s">
        <v>6</v>
      </c>
      <c r="C1095" s="13">
        <v>17.8</v>
      </c>
      <c r="D1095" s="14">
        <v>1.5</v>
      </c>
      <c r="E1095" s="18">
        <v>1</v>
      </c>
    </row>
    <row r="1096" spans="1:5" x14ac:dyDescent="0.35">
      <c r="A1096" s="7">
        <v>49735</v>
      </c>
      <c r="B1096" s="8" t="s">
        <v>22</v>
      </c>
      <c r="C1096" s="9">
        <v>25.1</v>
      </c>
      <c r="D1096" s="10">
        <v>0</v>
      </c>
      <c r="E1096" s="18">
        <v>1</v>
      </c>
    </row>
    <row r="1097" spans="1:5" x14ac:dyDescent="0.35">
      <c r="A1097" s="11">
        <v>49736</v>
      </c>
      <c r="B1097" s="12" t="s">
        <v>22</v>
      </c>
      <c r="C1097" s="13">
        <v>29.5</v>
      </c>
      <c r="D1097" s="14">
        <v>0</v>
      </c>
      <c r="E1097" s="18">
        <v>1</v>
      </c>
    </row>
    <row r="1098" spans="1:5" x14ac:dyDescent="0.35">
      <c r="A1098" s="7">
        <v>49737</v>
      </c>
      <c r="B1098" s="8" t="s">
        <v>26</v>
      </c>
      <c r="C1098" s="9">
        <v>16.100000000000001</v>
      </c>
      <c r="D1098" s="10">
        <v>7.1</v>
      </c>
      <c r="E1098" s="18">
        <v>1</v>
      </c>
    </row>
    <row r="1099" spans="1:5" x14ac:dyDescent="0.35">
      <c r="A1099" s="11">
        <v>49738</v>
      </c>
      <c r="B1099" s="12" t="s">
        <v>9</v>
      </c>
      <c r="C1099" s="13">
        <v>18</v>
      </c>
      <c r="D1099" s="14">
        <v>12</v>
      </c>
      <c r="E1099" s="18">
        <v>1</v>
      </c>
    </row>
    <row r="1100" spans="1:5" x14ac:dyDescent="0.35">
      <c r="A1100" s="7">
        <v>49739</v>
      </c>
      <c r="B1100" s="8" t="s">
        <v>10</v>
      </c>
      <c r="C1100" s="9">
        <v>12.2</v>
      </c>
      <c r="D1100" s="10">
        <v>26.8</v>
      </c>
      <c r="E1100" s="18">
        <v>1</v>
      </c>
    </row>
    <row r="1101" spans="1:5" x14ac:dyDescent="0.35">
      <c r="A1101" s="11">
        <v>49740</v>
      </c>
      <c r="B1101" s="12" t="s">
        <v>14</v>
      </c>
      <c r="C1101" s="13">
        <v>20.7</v>
      </c>
      <c r="D1101" s="14">
        <v>4.7</v>
      </c>
      <c r="E1101" s="18">
        <v>1</v>
      </c>
    </row>
    <row r="1102" spans="1:5" x14ac:dyDescent="0.35">
      <c r="A1102" s="7">
        <v>49741</v>
      </c>
      <c r="B1102" s="8" t="s">
        <v>10</v>
      </c>
      <c r="C1102" s="9">
        <v>20.100000000000001</v>
      </c>
      <c r="D1102" s="10">
        <v>47.4</v>
      </c>
      <c r="E1102" s="18">
        <v>1</v>
      </c>
    </row>
    <row r="1103" spans="1:5" x14ac:dyDescent="0.35">
      <c r="A1103" s="11">
        <v>49742</v>
      </c>
      <c r="B1103" s="12" t="s">
        <v>10</v>
      </c>
      <c r="C1103" s="13">
        <v>14.9</v>
      </c>
      <c r="D1103" s="14">
        <v>43.8</v>
      </c>
      <c r="E1103" s="18">
        <v>1</v>
      </c>
    </row>
    <row r="1104" spans="1:5" x14ac:dyDescent="0.35">
      <c r="A1104" s="7">
        <v>49743</v>
      </c>
      <c r="B1104" s="8" t="s">
        <v>10</v>
      </c>
      <c r="C1104" s="9">
        <v>19</v>
      </c>
      <c r="D1104" s="10">
        <v>0</v>
      </c>
      <c r="E1104" s="18">
        <v>1</v>
      </c>
    </row>
    <row r="1105" spans="1:5" x14ac:dyDescent="0.35">
      <c r="A1105" s="11">
        <v>49744</v>
      </c>
      <c r="B1105" s="12" t="s">
        <v>6</v>
      </c>
      <c r="C1105" s="13">
        <v>12.5</v>
      </c>
      <c r="D1105" s="14">
        <v>0</v>
      </c>
      <c r="E1105" s="18">
        <v>1</v>
      </c>
    </row>
    <row r="1106" spans="1:5" x14ac:dyDescent="0.35">
      <c r="A1106" s="7">
        <v>49745</v>
      </c>
      <c r="B1106" s="8" t="s">
        <v>13</v>
      </c>
      <c r="C1106" s="9">
        <v>15.2</v>
      </c>
      <c r="D1106" s="10">
        <v>13.9</v>
      </c>
      <c r="E1106" s="18">
        <v>1</v>
      </c>
    </row>
    <row r="1107" spans="1:5" x14ac:dyDescent="0.35">
      <c r="A1107" s="11">
        <v>49746</v>
      </c>
      <c r="B1107" s="12" t="s">
        <v>19</v>
      </c>
      <c r="C1107" s="13">
        <v>29.2</v>
      </c>
      <c r="D1107" s="14">
        <v>26.8</v>
      </c>
      <c r="E1107" s="18">
        <v>1</v>
      </c>
    </row>
    <row r="1108" spans="1:5" x14ac:dyDescent="0.35">
      <c r="A1108" s="7">
        <v>49747</v>
      </c>
      <c r="B1108" s="8" t="s">
        <v>6</v>
      </c>
      <c r="C1108" s="9">
        <v>13.9</v>
      </c>
      <c r="D1108" s="10">
        <v>1.1000000000000001</v>
      </c>
      <c r="E1108" s="18">
        <v>1</v>
      </c>
    </row>
    <row r="1109" spans="1:5" x14ac:dyDescent="0.35">
      <c r="A1109" s="11">
        <v>49748</v>
      </c>
      <c r="B1109" s="12" t="s">
        <v>15</v>
      </c>
      <c r="C1109" s="13">
        <v>11.4</v>
      </c>
      <c r="D1109" s="14">
        <v>0</v>
      </c>
      <c r="E1109" s="18">
        <v>1</v>
      </c>
    </row>
    <row r="1110" spans="1:5" x14ac:dyDescent="0.35">
      <c r="A1110" s="7">
        <v>49749</v>
      </c>
      <c r="B1110" s="8" t="s">
        <v>9</v>
      </c>
      <c r="C1110" s="9">
        <v>15.8</v>
      </c>
      <c r="D1110" s="10">
        <v>7</v>
      </c>
      <c r="E1110" s="18">
        <v>1</v>
      </c>
    </row>
    <row r="1111" spans="1:5" x14ac:dyDescent="0.35">
      <c r="A1111" s="11">
        <v>49750</v>
      </c>
      <c r="B1111" s="12" t="s">
        <v>10</v>
      </c>
      <c r="C1111" s="13">
        <v>10.199999999999999</v>
      </c>
      <c r="D1111" s="14">
        <v>43.3</v>
      </c>
      <c r="E1111" s="18">
        <v>1</v>
      </c>
    </row>
    <row r="1112" spans="1:5" x14ac:dyDescent="0.35">
      <c r="A1112" s="7">
        <v>49751</v>
      </c>
      <c r="B1112" s="8" t="s">
        <v>13</v>
      </c>
      <c r="C1112" s="9">
        <v>19.600000000000001</v>
      </c>
      <c r="D1112" s="10">
        <v>8.9</v>
      </c>
      <c r="E1112" s="18">
        <v>1</v>
      </c>
    </row>
    <row r="1113" spans="1:5" x14ac:dyDescent="0.35">
      <c r="A1113" s="11">
        <v>49752</v>
      </c>
      <c r="B1113" s="12" t="s">
        <v>6</v>
      </c>
      <c r="C1113" s="13">
        <v>15.5</v>
      </c>
      <c r="D1113" s="14">
        <v>10.1</v>
      </c>
      <c r="E1113" s="18">
        <v>1</v>
      </c>
    </row>
    <row r="1114" spans="1:5" x14ac:dyDescent="0.35">
      <c r="A1114" s="7">
        <v>49753</v>
      </c>
      <c r="B1114" s="8" t="s">
        <v>15</v>
      </c>
      <c r="C1114" s="9">
        <v>19.899999999999999</v>
      </c>
      <c r="D1114" s="10">
        <v>16.2</v>
      </c>
      <c r="E1114" s="18">
        <v>1</v>
      </c>
    </row>
    <row r="1115" spans="1:5" x14ac:dyDescent="0.35">
      <c r="A1115" s="11">
        <v>49754</v>
      </c>
      <c r="B1115" s="12" t="s">
        <v>18</v>
      </c>
      <c r="C1115" s="13">
        <v>10.7</v>
      </c>
      <c r="D1115" s="14">
        <v>2.8</v>
      </c>
      <c r="E1115" s="18">
        <v>1</v>
      </c>
    </row>
    <row r="1116" spans="1:5" x14ac:dyDescent="0.35">
      <c r="A1116" s="7">
        <v>49755</v>
      </c>
      <c r="B1116" s="8" t="s">
        <v>26</v>
      </c>
      <c r="C1116" s="9">
        <v>11.5</v>
      </c>
      <c r="D1116" s="10">
        <v>5.9</v>
      </c>
      <c r="E1116" s="18">
        <v>1</v>
      </c>
    </row>
    <row r="1117" spans="1:5" x14ac:dyDescent="0.35">
      <c r="A1117" s="11">
        <v>49756</v>
      </c>
      <c r="B1117" s="12" t="s">
        <v>14</v>
      </c>
      <c r="C1117" s="13">
        <v>28.4</v>
      </c>
      <c r="D1117" s="14">
        <v>1</v>
      </c>
      <c r="E1117" s="18">
        <v>1</v>
      </c>
    </row>
    <row r="1118" spans="1:5" x14ac:dyDescent="0.35">
      <c r="A1118" s="7">
        <v>49757</v>
      </c>
      <c r="B1118" s="8" t="s">
        <v>19</v>
      </c>
      <c r="C1118" s="9">
        <v>22.3</v>
      </c>
      <c r="D1118" s="10">
        <v>5.0999999999999996</v>
      </c>
      <c r="E1118" s="18">
        <v>1</v>
      </c>
    </row>
    <row r="1119" spans="1:5" x14ac:dyDescent="0.35">
      <c r="A1119" s="11">
        <v>49758</v>
      </c>
      <c r="B1119" s="12" t="s">
        <v>13</v>
      </c>
      <c r="C1119" s="13">
        <v>28.7</v>
      </c>
      <c r="D1119" s="14">
        <v>11.5</v>
      </c>
      <c r="E1119" s="18">
        <v>1</v>
      </c>
    </row>
    <row r="1120" spans="1:5" x14ac:dyDescent="0.35">
      <c r="A1120" s="7">
        <v>49759</v>
      </c>
      <c r="B1120" s="8" t="s">
        <v>6</v>
      </c>
      <c r="C1120" s="9">
        <v>19.100000000000001</v>
      </c>
      <c r="D1120" s="10">
        <v>0</v>
      </c>
      <c r="E1120" s="18">
        <v>1</v>
      </c>
    </row>
    <row r="1121" spans="1:5" x14ac:dyDescent="0.35">
      <c r="A1121" s="11">
        <v>49760</v>
      </c>
      <c r="B1121" s="12" t="s">
        <v>10</v>
      </c>
      <c r="C1121" s="13">
        <v>10.199999999999999</v>
      </c>
      <c r="D1121" s="14">
        <v>7.6</v>
      </c>
      <c r="E1121" s="18">
        <v>1</v>
      </c>
    </row>
    <row r="1122" spans="1:5" x14ac:dyDescent="0.35">
      <c r="A1122" s="7">
        <v>49761</v>
      </c>
      <c r="B1122" s="8" t="s">
        <v>10</v>
      </c>
      <c r="C1122" s="9">
        <v>18.399999999999999</v>
      </c>
      <c r="D1122" s="10">
        <v>0</v>
      </c>
      <c r="E1122" s="18">
        <v>1</v>
      </c>
    </row>
    <row r="1123" spans="1:5" x14ac:dyDescent="0.35">
      <c r="A1123" s="11">
        <v>49762</v>
      </c>
      <c r="B1123" s="12" t="s">
        <v>19</v>
      </c>
      <c r="C1123" s="13">
        <v>29.3</v>
      </c>
      <c r="D1123" s="14">
        <v>0</v>
      </c>
      <c r="E1123" s="18">
        <v>1</v>
      </c>
    </row>
    <row r="1124" spans="1:5" x14ac:dyDescent="0.35">
      <c r="A1124" s="7">
        <v>49763</v>
      </c>
      <c r="B1124" s="8" t="s">
        <v>17</v>
      </c>
      <c r="C1124" s="9">
        <v>26.7</v>
      </c>
      <c r="D1124" s="10">
        <v>5.7</v>
      </c>
      <c r="E1124" s="18">
        <v>1</v>
      </c>
    </row>
    <row r="1125" spans="1:5" x14ac:dyDescent="0.35">
      <c r="A1125" s="11">
        <v>49764</v>
      </c>
      <c r="B1125" s="12" t="s">
        <v>8</v>
      </c>
      <c r="C1125" s="13">
        <v>22.2</v>
      </c>
      <c r="D1125" s="14">
        <v>0.9</v>
      </c>
      <c r="E1125" s="18">
        <v>1</v>
      </c>
    </row>
    <row r="1126" spans="1:5" x14ac:dyDescent="0.35">
      <c r="A1126" s="7">
        <v>49765</v>
      </c>
      <c r="B1126" s="8" t="s">
        <v>13</v>
      </c>
      <c r="C1126" s="9">
        <v>25.5</v>
      </c>
      <c r="D1126" s="10">
        <v>5.8</v>
      </c>
      <c r="E1126" s="18">
        <v>1</v>
      </c>
    </row>
    <row r="1127" spans="1:5" x14ac:dyDescent="0.35">
      <c r="A1127" s="11">
        <v>49766</v>
      </c>
      <c r="B1127" s="12" t="s">
        <v>19</v>
      </c>
      <c r="C1127" s="13">
        <v>23.5</v>
      </c>
      <c r="D1127" s="14">
        <v>32</v>
      </c>
      <c r="E1127" s="18">
        <v>1</v>
      </c>
    </row>
    <row r="1128" spans="1:5" x14ac:dyDescent="0.35">
      <c r="A1128" s="7">
        <v>49767</v>
      </c>
      <c r="B1128" s="8" t="s">
        <v>5</v>
      </c>
      <c r="C1128" s="9">
        <v>28.4</v>
      </c>
      <c r="D1128" s="10">
        <v>5.7</v>
      </c>
      <c r="E1128" s="18">
        <v>1</v>
      </c>
    </row>
    <row r="1129" spans="1:5" x14ac:dyDescent="0.35">
      <c r="A1129" s="11">
        <v>49768</v>
      </c>
      <c r="B1129" s="12" t="s">
        <v>22</v>
      </c>
      <c r="C1129" s="13">
        <v>13.7</v>
      </c>
      <c r="D1129" s="14">
        <v>6</v>
      </c>
      <c r="E1129" s="18">
        <v>1</v>
      </c>
    </row>
    <row r="1130" spans="1:5" x14ac:dyDescent="0.35">
      <c r="A1130" s="7">
        <v>49769</v>
      </c>
      <c r="B1130" s="8" t="s">
        <v>9</v>
      </c>
      <c r="C1130" s="9">
        <v>22.1</v>
      </c>
      <c r="D1130" s="10">
        <v>11.7</v>
      </c>
      <c r="E1130" s="18">
        <v>1</v>
      </c>
    </row>
    <row r="1131" spans="1:5" x14ac:dyDescent="0.35">
      <c r="A1131" s="11">
        <v>49770</v>
      </c>
      <c r="B1131" s="12" t="s">
        <v>11</v>
      </c>
      <c r="C1131" s="13">
        <v>16.899999999999999</v>
      </c>
      <c r="D1131" s="14">
        <v>18.2</v>
      </c>
      <c r="E1131" s="18">
        <v>1</v>
      </c>
    </row>
    <row r="1132" spans="1:5" x14ac:dyDescent="0.35">
      <c r="A1132" s="7">
        <v>49771</v>
      </c>
      <c r="B1132" s="8" t="s">
        <v>22</v>
      </c>
      <c r="C1132" s="9">
        <v>28</v>
      </c>
      <c r="D1132" s="10">
        <v>0</v>
      </c>
      <c r="E1132" s="18">
        <v>1</v>
      </c>
    </row>
    <row r="1133" spans="1:5" x14ac:dyDescent="0.35">
      <c r="A1133" s="11">
        <v>49772</v>
      </c>
      <c r="B1133" s="12" t="s">
        <v>10</v>
      </c>
      <c r="C1133" s="13">
        <v>13.5</v>
      </c>
      <c r="D1133" s="14">
        <v>3.7</v>
      </c>
      <c r="E1133" s="18">
        <v>1</v>
      </c>
    </row>
    <row r="1134" spans="1:5" x14ac:dyDescent="0.35">
      <c r="A1134" s="7">
        <v>49773</v>
      </c>
      <c r="B1134" s="8" t="s">
        <v>19</v>
      </c>
      <c r="C1134" s="9">
        <v>13.4</v>
      </c>
      <c r="D1134" s="10">
        <v>22.5</v>
      </c>
      <c r="E1134" s="18">
        <v>1</v>
      </c>
    </row>
    <row r="1135" spans="1:5" x14ac:dyDescent="0.35">
      <c r="A1135" s="11">
        <v>49774</v>
      </c>
      <c r="B1135" s="12" t="s">
        <v>6</v>
      </c>
      <c r="C1135" s="13">
        <v>19.899999999999999</v>
      </c>
      <c r="D1135" s="14">
        <v>11.6</v>
      </c>
      <c r="E1135" s="18">
        <v>1</v>
      </c>
    </row>
    <row r="1136" spans="1:5" x14ac:dyDescent="0.35">
      <c r="A1136" s="7">
        <v>49775</v>
      </c>
      <c r="B1136" s="8" t="s">
        <v>7</v>
      </c>
      <c r="C1136" s="9">
        <v>24.2</v>
      </c>
      <c r="D1136" s="10">
        <v>11</v>
      </c>
      <c r="E1136" s="18">
        <v>1</v>
      </c>
    </row>
    <row r="1137" spans="1:5" x14ac:dyDescent="0.35">
      <c r="A1137" s="11">
        <v>49776</v>
      </c>
      <c r="B1137" s="12" t="s">
        <v>27</v>
      </c>
      <c r="C1137" s="13">
        <v>20.399999999999999</v>
      </c>
      <c r="D1137" s="14">
        <v>0</v>
      </c>
      <c r="E1137" s="18">
        <v>1</v>
      </c>
    </row>
    <row r="1138" spans="1:5" x14ac:dyDescent="0.35">
      <c r="A1138" s="7">
        <v>49777</v>
      </c>
      <c r="B1138" s="8" t="s">
        <v>27</v>
      </c>
      <c r="C1138" s="9">
        <v>16.600000000000001</v>
      </c>
      <c r="D1138" s="10">
        <v>3.9</v>
      </c>
      <c r="E1138" s="18">
        <v>1</v>
      </c>
    </row>
    <row r="1139" spans="1:5" x14ac:dyDescent="0.35">
      <c r="A1139" s="11">
        <v>49778</v>
      </c>
      <c r="B1139" s="12" t="s">
        <v>33</v>
      </c>
      <c r="C1139" s="13">
        <v>14.3</v>
      </c>
      <c r="D1139" s="14">
        <v>0</v>
      </c>
      <c r="E1139" s="18">
        <v>1</v>
      </c>
    </row>
    <row r="1140" spans="1:5" x14ac:dyDescent="0.35">
      <c r="A1140" s="7">
        <v>49779</v>
      </c>
      <c r="B1140" s="8" t="s">
        <v>26</v>
      </c>
      <c r="C1140" s="9">
        <v>24.4</v>
      </c>
      <c r="D1140" s="10">
        <v>4.4000000000000004</v>
      </c>
      <c r="E1140" s="18">
        <v>1</v>
      </c>
    </row>
    <row r="1141" spans="1:5" x14ac:dyDescent="0.35">
      <c r="A1141" s="11">
        <v>49780</v>
      </c>
      <c r="B1141" s="12" t="s">
        <v>10</v>
      </c>
      <c r="C1141" s="13">
        <v>26.7</v>
      </c>
      <c r="D1141" s="14">
        <v>30.4</v>
      </c>
      <c r="E1141" s="18">
        <v>1</v>
      </c>
    </row>
    <row r="1142" spans="1:5" x14ac:dyDescent="0.35">
      <c r="A1142" s="7">
        <v>49781</v>
      </c>
      <c r="B1142" s="8" t="s">
        <v>13</v>
      </c>
      <c r="C1142" s="9">
        <v>20.100000000000001</v>
      </c>
      <c r="D1142" s="10">
        <v>3.1</v>
      </c>
      <c r="E1142" s="18">
        <v>1</v>
      </c>
    </row>
    <row r="1143" spans="1:5" x14ac:dyDescent="0.35">
      <c r="A1143" s="11">
        <v>49782</v>
      </c>
      <c r="B1143" s="12" t="s">
        <v>6</v>
      </c>
      <c r="C1143" s="13">
        <v>13.5</v>
      </c>
      <c r="D1143" s="14">
        <v>6.9</v>
      </c>
      <c r="E1143" s="18">
        <v>1</v>
      </c>
    </row>
    <row r="1144" spans="1:5" x14ac:dyDescent="0.35">
      <c r="A1144" s="7">
        <v>49783</v>
      </c>
      <c r="B1144" s="8" t="s">
        <v>7</v>
      </c>
      <c r="C1144" s="9">
        <v>18.8</v>
      </c>
      <c r="D1144" s="10">
        <v>21.5</v>
      </c>
      <c r="E1144" s="18">
        <v>1</v>
      </c>
    </row>
    <row r="1145" spans="1:5" x14ac:dyDescent="0.35">
      <c r="A1145" s="11">
        <v>49784</v>
      </c>
      <c r="B1145" s="12" t="s">
        <v>19</v>
      </c>
      <c r="C1145" s="13">
        <v>18</v>
      </c>
      <c r="D1145" s="14">
        <v>13.9</v>
      </c>
      <c r="E1145" s="18">
        <v>1</v>
      </c>
    </row>
    <row r="1146" spans="1:5" x14ac:dyDescent="0.35">
      <c r="A1146" s="7">
        <v>49785</v>
      </c>
      <c r="B1146" s="8" t="s">
        <v>27</v>
      </c>
      <c r="C1146" s="9">
        <v>16.899999999999999</v>
      </c>
      <c r="D1146" s="10">
        <v>1.8</v>
      </c>
      <c r="E1146" s="18">
        <v>1</v>
      </c>
    </row>
    <row r="1147" spans="1:5" x14ac:dyDescent="0.35">
      <c r="A1147" s="11">
        <v>49786</v>
      </c>
      <c r="B1147" s="12" t="s">
        <v>6</v>
      </c>
      <c r="C1147" s="13">
        <v>23.7</v>
      </c>
      <c r="D1147" s="14">
        <v>13</v>
      </c>
      <c r="E1147" s="18">
        <v>1</v>
      </c>
    </row>
    <row r="1148" spans="1:5" x14ac:dyDescent="0.35">
      <c r="A1148" s="7">
        <v>49787</v>
      </c>
      <c r="B1148" s="8" t="s">
        <v>32</v>
      </c>
      <c r="C1148" s="9">
        <v>17.600000000000001</v>
      </c>
      <c r="D1148" s="10">
        <v>0.6</v>
      </c>
      <c r="E1148" s="18">
        <v>1</v>
      </c>
    </row>
    <row r="1149" spans="1:5" x14ac:dyDescent="0.35">
      <c r="A1149" s="11">
        <v>49788</v>
      </c>
      <c r="B1149" s="12" t="s">
        <v>7</v>
      </c>
      <c r="C1149" s="13">
        <v>29.1</v>
      </c>
      <c r="D1149" s="14">
        <v>8.3000000000000007</v>
      </c>
      <c r="E1149" s="18">
        <v>1</v>
      </c>
    </row>
    <row r="1150" spans="1:5" x14ac:dyDescent="0.35">
      <c r="A1150" s="7">
        <v>49789</v>
      </c>
      <c r="B1150" s="8" t="s">
        <v>9</v>
      </c>
      <c r="C1150" s="9">
        <v>26.8</v>
      </c>
      <c r="D1150" s="10">
        <v>11.2</v>
      </c>
      <c r="E1150" s="18">
        <v>1</v>
      </c>
    </row>
    <row r="1151" spans="1:5" x14ac:dyDescent="0.35">
      <c r="A1151" s="11">
        <v>49790</v>
      </c>
      <c r="B1151" s="12" t="s">
        <v>18</v>
      </c>
      <c r="C1151" s="13">
        <v>10.5</v>
      </c>
      <c r="D1151" s="14">
        <v>0</v>
      </c>
      <c r="E1151" s="18">
        <v>1</v>
      </c>
    </row>
    <row r="1152" spans="1:5" x14ac:dyDescent="0.35">
      <c r="A1152" s="7">
        <v>49791</v>
      </c>
      <c r="B1152" s="8" t="s">
        <v>11</v>
      </c>
      <c r="C1152" s="9">
        <v>13.5</v>
      </c>
      <c r="D1152" s="10">
        <v>0</v>
      </c>
      <c r="E1152" s="18">
        <v>1</v>
      </c>
    </row>
    <row r="1153" spans="1:5" x14ac:dyDescent="0.35">
      <c r="A1153" s="11">
        <v>49792</v>
      </c>
      <c r="B1153" s="12" t="s">
        <v>10</v>
      </c>
      <c r="C1153" s="13">
        <v>14</v>
      </c>
      <c r="D1153" s="14">
        <v>22</v>
      </c>
      <c r="E1153" s="18">
        <v>1</v>
      </c>
    </row>
    <row r="1154" spans="1:5" x14ac:dyDescent="0.35">
      <c r="A1154" s="7">
        <v>49793</v>
      </c>
      <c r="B1154" s="8" t="s">
        <v>11</v>
      </c>
      <c r="C1154" s="9">
        <v>26.7</v>
      </c>
      <c r="D1154" s="10">
        <v>8</v>
      </c>
      <c r="E1154" s="18">
        <v>1</v>
      </c>
    </row>
    <row r="1155" spans="1:5" x14ac:dyDescent="0.35">
      <c r="A1155" s="11">
        <v>49794</v>
      </c>
      <c r="B1155" s="12" t="s">
        <v>26</v>
      </c>
      <c r="C1155" s="13">
        <v>11.2</v>
      </c>
      <c r="D1155" s="14">
        <v>6.1</v>
      </c>
      <c r="E1155" s="18">
        <v>1</v>
      </c>
    </row>
    <row r="1156" spans="1:5" x14ac:dyDescent="0.35">
      <c r="A1156" s="7">
        <v>49795</v>
      </c>
      <c r="B1156" s="8" t="s">
        <v>27</v>
      </c>
      <c r="C1156" s="9">
        <v>24.7</v>
      </c>
      <c r="D1156" s="10">
        <v>0</v>
      </c>
      <c r="E1156" s="18">
        <v>1</v>
      </c>
    </row>
    <row r="1157" spans="1:5" x14ac:dyDescent="0.35">
      <c r="A1157" s="11">
        <v>49796</v>
      </c>
      <c r="B1157" s="12" t="s">
        <v>29</v>
      </c>
      <c r="C1157" s="13">
        <v>27.2</v>
      </c>
      <c r="D1157" s="14">
        <v>0.3</v>
      </c>
      <c r="E1157" s="18">
        <v>1</v>
      </c>
    </row>
    <row r="1158" spans="1:5" x14ac:dyDescent="0.35">
      <c r="A1158" s="7">
        <v>49797</v>
      </c>
      <c r="B1158" s="8" t="s">
        <v>30</v>
      </c>
      <c r="C1158" s="9">
        <v>11</v>
      </c>
      <c r="D1158" s="10">
        <v>0</v>
      </c>
      <c r="E1158" s="18">
        <v>1</v>
      </c>
    </row>
    <row r="1159" spans="1:5" x14ac:dyDescent="0.35">
      <c r="A1159" s="11">
        <v>49798</v>
      </c>
      <c r="B1159" s="12" t="s">
        <v>12</v>
      </c>
      <c r="C1159" s="13">
        <v>10.9</v>
      </c>
      <c r="D1159" s="14">
        <v>4.4000000000000004</v>
      </c>
      <c r="E1159" s="18">
        <v>1</v>
      </c>
    </row>
    <row r="1160" spans="1:5" x14ac:dyDescent="0.35">
      <c r="A1160" s="7">
        <v>49799</v>
      </c>
      <c r="B1160" s="8" t="s">
        <v>7</v>
      </c>
      <c r="C1160" s="9">
        <v>27.4</v>
      </c>
      <c r="D1160" s="10">
        <v>6</v>
      </c>
      <c r="E1160" s="18">
        <v>1</v>
      </c>
    </row>
    <row r="1161" spans="1:5" x14ac:dyDescent="0.35">
      <c r="A1161" s="11">
        <v>49800</v>
      </c>
      <c r="B1161" s="12" t="s">
        <v>6</v>
      </c>
      <c r="C1161" s="13">
        <v>20</v>
      </c>
      <c r="D1161" s="14">
        <v>7.6</v>
      </c>
      <c r="E1161" s="18">
        <v>1</v>
      </c>
    </row>
    <row r="1162" spans="1:5" x14ac:dyDescent="0.35">
      <c r="A1162" s="7">
        <v>49801</v>
      </c>
      <c r="B1162" s="8" t="s">
        <v>18</v>
      </c>
      <c r="C1162" s="9">
        <v>23.5</v>
      </c>
      <c r="D1162" s="10">
        <v>2.5</v>
      </c>
      <c r="E1162" s="18">
        <v>1</v>
      </c>
    </row>
    <row r="1163" spans="1:5" x14ac:dyDescent="0.35">
      <c r="A1163" s="11">
        <v>49802</v>
      </c>
      <c r="B1163" s="12" t="s">
        <v>11</v>
      </c>
      <c r="C1163" s="13">
        <v>28.5</v>
      </c>
      <c r="D1163" s="14">
        <v>0</v>
      </c>
      <c r="E1163" s="18">
        <v>1</v>
      </c>
    </row>
    <row r="1164" spans="1:5" x14ac:dyDescent="0.35">
      <c r="A1164" s="7">
        <v>49803</v>
      </c>
      <c r="B1164" s="8" t="s">
        <v>27</v>
      </c>
      <c r="C1164" s="9">
        <v>10.8</v>
      </c>
      <c r="D1164" s="10">
        <v>5.8</v>
      </c>
      <c r="E1164" s="18">
        <v>1</v>
      </c>
    </row>
    <row r="1165" spans="1:5" x14ac:dyDescent="0.35">
      <c r="A1165" s="11">
        <v>49804</v>
      </c>
      <c r="B1165" s="12" t="s">
        <v>15</v>
      </c>
      <c r="C1165" s="13">
        <v>18.899999999999999</v>
      </c>
      <c r="D1165" s="14">
        <v>9.5</v>
      </c>
      <c r="E1165" s="18">
        <v>1</v>
      </c>
    </row>
    <row r="1166" spans="1:5" x14ac:dyDescent="0.35">
      <c r="A1166" s="7">
        <v>49805</v>
      </c>
      <c r="B1166" s="8" t="s">
        <v>13</v>
      </c>
      <c r="C1166" s="9">
        <v>24</v>
      </c>
      <c r="D1166" s="10">
        <v>4</v>
      </c>
      <c r="E1166" s="18">
        <v>1</v>
      </c>
    </row>
    <row r="1167" spans="1:5" x14ac:dyDescent="0.35">
      <c r="A1167" s="11">
        <v>49806</v>
      </c>
      <c r="B1167" s="12" t="s">
        <v>12</v>
      </c>
      <c r="C1167" s="13">
        <v>12.7</v>
      </c>
      <c r="D1167" s="14">
        <v>3</v>
      </c>
      <c r="E1167" s="18">
        <v>1</v>
      </c>
    </row>
    <row r="1168" spans="1:5" x14ac:dyDescent="0.35">
      <c r="A1168" s="7">
        <v>49807</v>
      </c>
      <c r="B1168" s="8" t="s">
        <v>7</v>
      </c>
      <c r="C1168" s="9">
        <v>13.4</v>
      </c>
      <c r="D1168" s="10">
        <v>6.2</v>
      </c>
      <c r="E1168" s="18">
        <v>1</v>
      </c>
    </row>
    <row r="1169" spans="1:5" x14ac:dyDescent="0.35">
      <c r="A1169" s="11">
        <v>49808</v>
      </c>
      <c r="B1169" s="12" t="s">
        <v>10</v>
      </c>
      <c r="C1169" s="13">
        <v>15.9</v>
      </c>
      <c r="D1169" s="14">
        <v>0</v>
      </c>
      <c r="E1169" s="18">
        <v>1</v>
      </c>
    </row>
    <row r="1170" spans="1:5" x14ac:dyDescent="0.35">
      <c r="A1170" s="7">
        <v>49809</v>
      </c>
      <c r="B1170" s="8" t="s">
        <v>11</v>
      </c>
      <c r="C1170" s="9">
        <v>19.399999999999999</v>
      </c>
      <c r="D1170" s="10">
        <v>21.2</v>
      </c>
      <c r="E1170" s="18">
        <v>1</v>
      </c>
    </row>
    <row r="1171" spans="1:5" x14ac:dyDescent="0.35">
      <c r="A1171" s="11">
        <v>49810</v>
      </c>
      <c r="B1171" s="12" t="s">
        <v>15</v>
      </c>
      <c r="C1171" s="13">
        <v>16.3</v>
      </c>
      <c r="D1171" s="14">
        <v>17.600000000000001</v>
      </c>
      <c r="E1171" s="18">
        <v>1</v>
      </c>
    </row>
    <row r="1172" spans="1:5" x14ac:dyDescent="0.35">
      <c r="A1172" s="7">
        <v>49811</v>
      </c>
      <c r="B1172" s="8" t="s">
        <v>11</v>
      </c>
      <c r="C1172" s="9">
        <v>28</v>
      </c>
      <c r="D1172" s="10">
        <v>20.399999999999999</v>
      </c>
      <c r="E1172" s="18">
        <v>1</v>
      </c>
    </row>
    <row r="1173" spans="1:5" x14ac:dyDescent="0.35">
      <c r="A1173" s="11">
        <v>49812</v>
      </c>
      <c r="B1173" s="12" t="s">
        <v>12</v>
      </c>
      <c r="C1173" s="13">
        <v>19</v>
      </c>
      <c r="D1173" s="14">
        <v>5.2</v>
      </c>
      <c r="E1173" s="18">
        <v>1</v>
      </c>
    </row>
    <row r="1174" spans="1:5" x14ac:dyDescent="0.35">
      <c r="A1174" s="7">
        <v>49813</v>
      </c>
      <c r="B1174" s="8" t="s">
        <v>27</v>
      </c>
      <c r="C1174" s="9">
        <v>24.1</v>
      </c>
      <c r="D1174" s="10">
        <v>4.8</v>
      </c>
      <c r="E1174" s="18">
        <v>1</v>
      </c>
    </row>
    <row r="1175" spans="1:5" x14ac:dyDescent="0.35">
      <c r="A1175" s="11">
        <v>49814</v>
      </c>
      <c r="B1175" s="12" t="s">
        <v>10</v>
      </c>
      <c r="C1175" s="13">
        <v>15.2</v>
      </c>
      <c r="D1175" s="14">
        <v>25.7</v>
      </c>
      <c r="E1175" s="18">
        <v>1</v>
      </c>
    </row>
    <row r="1176" spans="1:5" x14ac:dyDescent="0.35">
      <c r="A1176" s="7">
        <v>49815</v>
      </c>
      <c r="B1176" s="8" t="s">
        <v>11</v>
      </c>
      <c r="C1176" s="9">
        <v>16.3</v>
      </c>
      <c r="D1176" s="10">
        <v>21</v>
      </c>
      <c r="E1176" s="18">
        <v>1</v>
      </c>
    </row>
    <row r="1177" spans="1:5" x14ac:dyDescent="0.35">
      <c r="A1177" s="11">
        <v>49816</v>
      </c>
      <c r="B1177" s="12" t="s">
        <v>7</v>
      </c>
      <c r="C1177" s="13">
        <v>26.9</v>
      </c>
      <c r="D1177" s="14">
        <v>0</v>
      </c>
      <c r="E1177" s="18">
        <v>1</v>
      </c>
    </row>
    <row r="1178" spans="1:5" x14ac:dyDescent="0.35">
      <c r="A1178" s="7">
        <v>49817</v>
      </c>
      <c r="B1178" s="8" t="s">
        <v>9</v>
      </c>
      <c r="C1178" s="9">
        <v>25</v>
      </c>
      <c r="D1178" s="10">
        <v>0.5</v>
      </c>
      <c r="E1178" s="18">
        <v>1</v>
      </c>
    </row>
    <row r="1179" spans="1:5" x14ac:dyDescent="0.35">
      <c r="A1179" s="11">
        <v>49818</v>
      </c>
      <c r="B1179" s="12" t="s">
        <v>17</v>
      </c>
      <c r="C1179" s="13">
        <v>25.1</v>
      </c>
      <c r="D1179" s="14">
        <v>5.2</v>
      </c>
      <c r="E1179" s="18">
        <v>1</v>
      </c>
    </row>
    <row r="1180" spans="1:5" x14ac:dyDescent="0.35">
      <c r="A1180" s="7">
        <v>49819</v>
      </c>
      <c r="B1180" s="8" t="s">
        <v>12</v>
      </c>
      <c r="C1180" s="9">
        <v>29.2</v>
      </c>
      <c r="D1180" s="10">
        <v>7.1</v>
      </c>
      <c r="E1180" s="18">
        <v>1</v>
      </c>
    </row>
    <row r="1181" spans="1:5" x14ac:dyDescent="0.35">
      <c r="A1181" s="11">
        <v>49820</v>
      </c>
      <c r="B1181" s="12" t="s">
        <v>13</v>
      </c>
      <c r="C1181" s="13">
        <v>18.100000000000001</v>
      </c>
      <c r="D1181" s="14">
        <v>5.0999999999999996</v>
      </c>
      <c r="E1181" s="18">
        <v>1</v>
      </c>
    </row>
    <row r="1182" spans="1:5" x14ac:dyDescent="0.35">
      <c r="A1182" s="7">
        <v>49821</v>
      </c>
      <c r="B1182" s="8" t="s">
        <v>11</v>
      </c>
      <c r="C1182" s="9">
        <v>12.5</v>
      </c>
      <c r="D1182" s="10">
        <v>0</v>
      </c>
      <c r="E1182" s="18">
        <v>1</v>
      </c>
    </row>
    <row r="1183" spans="1:5" x14ac:dyDescent="0.35">
      <c r="A1183" s="11">
        <v>49822</v>
      </c>
      <c r="B1183" s="12" t="s">
        <v>11</v>
      </c>
      <c r="C1183" s="13">
        <v>19.100000000000001</v>
      </c>
      <c r="D1183" s="14">
        <v>0.3</v>
      </c>
      <c r="E1183" s="18">
        <v>1</v>
      </c>
    </row>
    <row r="1184" spans="1:5" x14ac:dyDescent="0.35">
      <c r="A1184" s="7">
        <v>49823</v>
      </c>
      <c r="B1184" s="8" t="s">
        <v>19</v>
      </c>
      <c r="C1184" s="9">
        <v>27.4</v>
      </c>
      <c r="D1184" s="10">
        <v>0</v>
      </c>
      <c r="E1184" s="18">
        <v>1</v>
      </c>
    </row>
    <row r="1185" spans="1:5" x14ac:dyDescent="0.35">
      <c r="A1185" s="11">
        <v>49824</v>
      </c>
      <c r="B1185" s="12" t="s">
        <v>7</v>
      </c>
      <c r="C1185" s="13">
        <v>21.1</v>
      </c>
      <c r="D1185" s="14">
        <v>10.4</v>
      </c>
      <c r="E1185" s="18">
        <v>1</v>
      </c>
    </row>
    <row r="1186" spans="1:5" x14ac:dyDescent="0.35">
      <c r="A1186" s="7">
        <v>49825</v>
      </c>
      <c r="B1186" s="8" t="s">
        <v>27</v>
      </c>
      <c r="C1186" s="9">
        <v>13.4</v>
      </c>
      <c r="D1186" s="10">
        <v>0</v>
      </c>
      <c r="E1186" s="18">
        <v>1</v>
      </c>
    </row>
    <row r="1187" spans="1:5" x14ac:dyDescent="0.35">
      <c r="A1187" s="11">
        <v>49826</v>
      </c>
      <c r="B1187" s="12" t="s">
        <v>5</v>
      </c>
      <c r="C1187" s="13">
        <v>11.9</v>
      </c>
      <c r="D1187" s="14">
        <v>7.3</v>
      </c>
      <c r="E1187" s="18">
        <v>1</v>
      </c>
    </row>
    <row r="1188" spans="1:5" x14ac:dyDescent="0.35">
      <c r="A1188" s="7">
        <v>49827</v>
      </c>
      <c r="B1188" s="8" t="s">
        <v>13</v>
      </c>
      <c r="C1188" s="9">
        <v>20.399999999999999</v>
      </c>
      <c r="D1188" s="10">
        <v>4.3</v>
      </c>
      <c r="E1188" s="18">
        <v>1</v>
      </c>
    </row>
    <row r="1189" spans="1:5" x14ac:dyDescent="0.35">
      <c r="A1189" s="11">
        <v>49828</v>
      </c>
      <c r="B1189" s="12" t="s">
        <v>7</v>
      </c>
      <c r="C1189" s="13">
        <v>29.5</v>
      </c>
      <c r="D1189" s="14">
        <v>18.600000000000001</v>
      </c>
      <c r="E1189" s="18">
        <v>1</v>
      </c>
    </row>
    <row r="1190" spans="1:5" x14ac:dyDescent="0.35">
      <c r="A1190" s="7">
        <v>49829</v>
      </c>
      <c r="B1190" s="8" t="s">
        <v>12</v>
      </c>
      <c r="C1190" s="9">
        <v>24.1</v>
      </c>
      <c r="D1190" s="10">
        <v>5</v>
      </c>
      <c r="E1190" s="18">
        <v>1</v>
      </c>
    </row>
    <row r="1191" spans="1:5" x14ac:dyDescent="0.35">
      <c r="A1191" s="11">
        <v>49830</v>
      </c>
      <c r="B1191" s="12" t="s">
        <v>14</v>
      </c>
      <c r="C1191" s="13">
        <v>11.5</v>
      </c>
      <c r="D1191" s="14">
        <v>3.6</v>
      </c>
      <c r="E1191" s="18">
        <v>1</v>
      </c>
    </row>
    <row r="1192" spans="1:5" x14ac:dyDescent="0.35">
      <c r="A1192" s="7">
        <v>49831</v>
      </c>
      <c r="B1192" s="8" t="s">
        <v>25</v>
      </c>
      <c r="C1192" s="9">
        <v>21.2</v>
      </c>
      <c r="D1192" s="10">
        <v>1.8</v>
      </c>
      <c r="E1192" s="18">
        <v>1</v>
      </c>
    </row>
    <row r="1193" spans="1:5" x14ac:dyDescent="0.35">
      <c r="A1193" s="11">
        <v>49832</v>
      </c>
      <c r="B1193" s="12" t="s">
        <v>10</v>
      </c>
      <c r="C1193" s="13">
        <v>22.2</v>
      </c>
      <c r="D1193" s="14">
        <v>40.299999999999997</v>
      </c>
      <c r="E1193" s="18">
        <v>1</v>
      </c>
    </row>
    <row r="1194" spans="1:5" x14ac:dyDescent="0.35">
      <c r="A1194" s="7">
        <v>49833</v>
      </c>
      <c r="B1194" s="8" t="s">
        <v>10</v>
      </c>
      <c r="C1194" s="9">
        <v>14.6</v>
      </c>
      <c r="D1194" s="10">
        <v>2.6</v>
      </c>
      <c r="E1194" s="18">
        <v>1</v>
      </c>
    </row>
    <row r="1195" spans="1:5" x14ac:dyDescent="0.35">
      <c r="A1195" s="11">
        <v>49834</v>
      </c>
      <c r="B1195" s="12" t="s">
        <v>13</v>
      </c>
      <c r="C1195" s="13">
        <v>23.3</v>
      </c>
      <c r="D1195" s="14">
        <v>8.1</v>
      </c>
      <c r="E1195" s="18">
        <v>1</v>
      </c>
    </row>
    <row r="1196" spans="1:5" x14ac:dyDescent="0.35">
      <c r="A1196" s="7">
        <v>49835</v>
      </c>
      <c r="B1196" s="8" t="s">
        <v>13</v>
      </c>
      <c r="C1196" s="9">
        <v>16.2</v>
      </c>
      <c r="D1196" s="10">
        <v>10.4</v>
      </c>
      <c r="E1196" s="18">
        <v>1</v>
      </c>
    </row>
    <row r="1197" spans="1:5" x14ac:dyDescent="0.35">
      <c r="A1197" s="11">
        <v>49836</v>
      </c>
      <c r="B1197" s="12" t="s">
        <v>10</v>
      </c>
      <c r="C1197" s="13">
        <v>25.9</v>
      </c>
      <c r="D1197" s="14">
        <v>0</v>
      </c>
      <c r="E1197" s="18">
        <v>1</v>
      </c>
    </row>
    <row r="1198" spans="1:5" x14ac:dyDescent="0.35">
      <c r="A1198" s="7">
        <v>49837</v>
      </c>
      <c r="B1198" s="8" t="s">
        <v>5</v>
      </c>
      <c r="C1198" s="9">
        <v>14.6</v>
      </c>
      <c r="D1198" s="10">
        <v>7</v>
      </c>
      <c r="E1198" s="18">
        <v>1</v>
      </c>
    </row>
    <row r="1199" spans="1:5" x14ac:dyDescent="0.35">
      <c r="A1199" s="11">
        <v>49838</v>
      </c>
      <c r="B1199" s="12" t="s">
        <v>18</v>
      </c>
      <c r="C1199" s="13">
        <v>15.1</v>
      </c>
      <c r="D1199" s="14">
        <v>11.7</v>
      </c>
      <c r="E1199" s="18">
        <v>1</v>
      </c>
    </row>
    <row r="1200" spans="1:5" x14ac:dyDescent="0.35">
      <c r="A1200" s="7">
        <v>49839</v>
      </c>
      <c r="B1200" s="8" t="s">
        <v>19</v>
      </c>
      <c r="C1200" s="9">
        <v>14.1</v>
      </c>
      <c r="D1200" s="10">
        <v>6.5</v>
      </c>
      <c r="E1200" s="18">
        <v>1</v>
      </c>
    </row>
    <row r="1201" spans="1:5" x14ac:dyDescent="0.35">
      <c r="A1201" s="11">
        <v>49840</v>
      </c>
      <c r="B1201" s="12" t="s">
        <v>27</v>
      </c>
      <c r="C1201" s="13">
        <v>22.1</v>
      </c>
      <c r="D1201" s="14">
        <v>1.8</v>
      </c>
      <c r="E1201" s="18">
        <v>1</v>
      </c>
    </row>
    <row r="1202" spans="1:5" x14ac:dyDescent="0.35">
      <c r="A1202" s="7">
        <v>49841</v>
      </c>
      <c r="B1202" s="8" t="s">
        <v>11</v>
      </c>
      <c r="C1202" s="9">
        <v>27.2</v>
      </c>
      <c r="D1202" s="10">
        <v>21.9</v>
      </c>
      <c r="E1202" s="18">
        <v>1</v>
      </c>
    </row>
    <row r="1203" spans="1:5" x14ac:dyDescent="0.35">
      <c r="A1203" s="11">
        <v>49842</v>
      </c>
      <c r="B1203" s="12" t="s">
        <v>6</v>
      </c>
      <c r="C1203" s="13">
        <v>10.8</v>
      </c>
      <c r="D1203" s="14">
        <v>0</v>
      </c>
      <c r="E1203" s="18">
        <v>1</v>
      </c>
    </row>
    <row r="1204" spans="1:5" x14ac:dyDescent="0.35">
      <c r="A1204" s="7">
        <v>49843</v>
      </c>
      <c r="B1204" s="8" t="s">
        <v>7</v>
      </c>
      <c r="C1204" s="9">
        <v>24.6</v>
      </c>
      <c r="D1204" s="10">
        <v>0</v>
      </c>
      <c r="E1204" s="18">
        <v>1</v>
      </c>
    </row>
    <row r="1205" spans="1:5" x14ac:dyDescent="0.35">
      <c r="A1205" s="11">
        <v>49844</v>
      </c>
      <c r="B1205" s="12" t="s">
        <v>10</v>
      </c>
      <c r="C1205" s="13">
        <v>27.8</v>
      </c>
      <c r="D1205" s="14">
        <v>26.3</v>
      </c>
      <c r="E1205" s="18">
        <v>1</v>
      </c>
    </row>
    <row r="1206" spans="1:5" x14ac:dyDescent="0.35">
      <c r="A1206" s="7">
        <v>49845</v>
      </c>
      <c r="B1206" s="8" t="s">
        <v>14</v>
      </c>
      <c r="C1206" s="9">
        <v>12.9</v>
      </c>
      <c r="D1206" s="10">
        <v>2.8</v>
      </c>
      <c r="E1206" s="18">
        <v>1</v>
      </c>
    </row>
    <row r="1207" spans="1:5" x14ac:dyDescent="0.35">
      <c r="A1207" s="11">
        <v>49846</v>
      </c>
      <c r="B1207" s="12" t="s">
        <v>13</v>
      </c>
      <c r="C1207" s="13">
        <v>13.9</v>
      </c>
      <c r="D1207" s="14">
        <v>0.6</v>
      </c>
      <c r="E1207" s="18">
        <v>1</v>
      </c>
    </row>
    <row r="1208" spans="1:5" x14ac:dyDescent="0.35">
      <c r="A1208" s="7">
        <v>49847</v>
      </c>
      <c r="B1208" s="8" t="s">
        <v>29</v>
      </c>
      <c r="C1208" s="9">
        <v>27.6</v>
      </c>
      <c r="D1208" s="10">
        <v>0.6</v>
      </c>
      <c r="E1208" s="18">
        <v>1</v>
      </c>
    </row>
    <row r="1209" spans="1:5" x14ac:dyDescent="0.35">
      <c r="A1209" s="11">
        <v>49848</v>
      </c>
      <c r="B1209" s="12" t="s">
        <v>11</v>
      </c>
      <c r="C1209" s="13">
        <v>18.600000000000001</v>
      </c>
      <c r="D1209" s="14">
        <v>21.5</v>
      </c>
      <c r="E1209" s="18">
        <v>1</v>
      </c>
    </row>
    <row r="1210" spans="1:5" x14ac:dyDescent="0.35">
      <c r="A1210" s="7">
        <v>49849</v>
      </c>
      <c r="B1210" s="8" t="s">
        <v>6</v>
      </c>
      <c r="C1210" s="9">
        <v>17.8</v>
      </c>
      <c r="D1210" s="10">
        <v>0</v>
      </c>
      <c r="E1210" s="18">
        <v>1</v>
      </c>
    </row>
    <row r="1211" spans="1:5" x14ac:dyDescent="0.35">
      <c r="A1211" s="11">
        <v>49850</v>
      </c>
      <c r="B1211" s="12" t="s">
        <v>15</v>
      </c>
      <c r="C1211" s="13">
        <v>20.8</v>
      </c>
      <c r="D1211" s="14">
        <v>8.5</v>
      </c>
      <c r="E1211" s="18">
        <v>1</v>
      </c>
    </row>
    <row r="1212" spans="1:5" x14ac:dyDescent="0.35">
      <c r="A1212" s="7">
        <v>49851</v>
      </c>
      <c r="B1212" s="8" t="s">
        <v>22</v>
      </c>
      <c r="C1212" s="9">
        <v>16.399999999999999</v>
      </c>
      <c r="D1212" s="10">
        <v>6.8</v>
      </c>
      <c r="E1212" s="18">
        <v>1</v>
      </c>
    </row>
    <row r="1213" spans="1:5" x14ac:dyDescent="0.35">
      <c r="A1213" s="11">
        <v>49852</v>
      </c>
      <c r="B1213" s="12" t="s">
        <v>27</v>
      </c>
      <c r="C1213" s="13">
        <v>14.6</v>
      </c>
      <c r="D1213" s="14">
        <v>0</v>
      </c>
      <c r="E1213" s="18">
        <v>1</v>
      </c>
    </row>
    <row r="1214" spans="1:5" x14ac:dyDescent="0.35">
      <c r="A1214" s="7">
        <v>49853</v>
      </c>
      <c r="B1214" s="8" t="s">
        <v>9</v>
      </c>
      <c r="C1214" s="9">
        <v>27.1</v>
      </c>
      <c r="D1214" s="10">
        <v>1.2</v>
      </c>
      <c r="E1214" s="18">
        <v>1</v>
      </c>
    </row>
    <row r="1215" spans="1:5" x14ac:dyDescent="0.35">
      <c r="A1215" s="11">
        <v>49854</v>
      </c>
      <c r="B1215" s="12" t="s">
        <v>10</v>
      </c>
      <c r="C1215" s="13">
        <v>18.3</v>
      </c>
      <c r="D1215" s="14">
        <v>3.7</v>
      </c>
      <c r="E1215" s="18">
        <v>1</v>
      </c>
    </row>
    <row r="1216" spans="1:5" x14ac:dyDescent="0.35">
      <c r="A1216" s="7">
        <v>49855</v>
      </c>
      <c r="B1216" s="8" t="s">
        <v>29</v>
      </c>
      <c r="C1216" s="9">
        <v>27.1</v>
      </c>
      <c r="D1216" s="10">
        <v>0.2</v>
      </c>
      <c r="E1216" s="18">
        <v>1</v>
      </c>
    </row>
    <row r="1217" spans="1:5" x14ac:dyDescent="0.35">
      <c r="A1217" s="11">
        <v>49856</v>
      </c>
      <c r="B1217" s="12" t="s">
        <v>15</v>
      </c>
      <c r="C1217" s="13">
        <v>12.9</v>
      </c>
      <c r="D1217" s="14">
        <v>10.199999999999999</v>
      </c>
      <c r="E1217" s="18">
        <v>1</v>
      </c>
    </row>
    <row r="1218" spans="1:5" x14ac:dyDescent="0.35">
      <c r="A1218" s="7">
        <v>49857</v>
      </c>
      <c r="B1218" s="8" t="s">
        <v>19</v>
      </c>
      <c r="C1218" s="9">
        <v>19.100000000000001</v>
      </c>
      <c r="D1218" s="10">
        <v>19.600000000000001</v>
      </c>
      <c r="E1218" s="18">
        <v>1</v>
      </c>
    </row>
    <row r="1219" spans="1:5" x14ac:dyDescent="0.35">
      <c r="A1219" s="11">
        <v>49858</v>
      </c>
      <c r="B1219" s="12" t="s">
        <v>6</v>
      </c>
      <c r="C1219" s="13">
        <v>19.2</v>
      </c>
      <c r="D1219" s="14">
        <v>3.6</v>
      </c>
      <c r="E1219" s="18">
        <v>1</v>
      </c>
    </row>
    <row r="1220" spans="1:5" x14ac:dyDescent="0.35">
      <c r="A1220" s="7">
        <v>49859</v>
      </c>
      <c r="B1220" s="8" t="s">
        <v>9</v>
      </c>
      <c r="C1220" s="9">
        <v>25.2</v>
      </c>
      <c r="D1220" s="10">
        <v>0</v>
      </c>
      <c r="E1220" s="18">
        <v>1</v>
      </c>
    </row>
    <row r="1221" spans="1:5" x14ac:dyDescent="0.35">
      <c r="A1221" s="11">
        <v>49860</v>
      </c>
      <c r="B1221" s="12" t="s">
        <v>15</v>
      </c>
      <c r="C1221" s="13">
        <v>13.5</v>
      </c>
      <c r="D1221" s="14">
        <v>6.3</v>
      </c>
      <c r="E1221" s="18">
        <v>1</v>
      </c>
    </row>
    <row r="1222" spans="1:5" x14ac:dyDescent="0.35">
      <c r="A1222" s="7">
        <v>49861</v>
      </c>
      <c r="B1222" s="8" t="s">
        <v>12</v>
      </c>
      <c r="C1222" s="9">
        <v>19.2</v>
      </c>
      <c r="D1222" s="10">
        <v>7.7</v>
      </c>
      <c r="E1222" s="18">
        <v>1</v>
      </c>
    </row>
    <row r="1223" spans="1:5" x14ac:dyDescent="0.35">
      <c r="A1223" s="11">
        <v>49862</v>
      </c>
      <c r="B1223" s="12" t="s">
        <v>14</v>
      </c>
      <c r="C1223" s="13">
        <v>24.1</v>
      </c>
      <c r="D1223" s="14">
        <v>7.8</v>
      </c>
      <c r="E1223" s="18">
        <v>1</v>
      </c>
    </row>
    <row r="1224" spans="1:5" x14ac:dyDescent="0.35">
      <c r="A1224" s="7">
        <v>49863</v>
      </c>
      <c r="B1224" s="8" t="s">
        <v>10</v>
      </c>
      <c r="C1224" s="9">
        <v>17.8</v>
      </c>
      <c r="D1224" s="10">
        <v>13.4</v>
      </c>
      <c r="E1224" s="18">
        <v>1</v>
      </c>
    </row>
    <row r="1225" spans="1:5" x14ac:dyDescent="0.35">
      <c r="A1225" s="11">
        <v>49864</v>
      </c>
      <c r="B1225" s="12" t="s">
        <v>7</v>
      </c>
      <c r="C1225" s="13">
        <v>24.7</v>
      </c>
      <c r="D1225" s="14">
        <v>21.1</v>
      </c>
      <c r="E1225" s="18">
        <v>1</v>
      </c>
    </row>
    <row r="1226" spans="1:5" x14ac:dyDescent="0.35">
      <c r="A1226" s="7">
        <v>49865</v>
      </c>
      <c r="B1226" s="8" t="s">
        <v>20</v>
      </c>
      <c r="C1226" s="9">
        <v>16.8</v>
      </c>
      <c r="D1226" s="10">
        <v>0</v>
      </c>
      <c r="E1226" s="18">
        <v>1</v>
      </c>
    </row>
    <row r="1227" spans="1:5" x14ac:dyDescent="0.35">
      <c r="A1227" s="11">
        <v>49866</v>
      </c>
      <c r="B1227" s="12" t="s">
        <v>5</v>
      </c>
      <c r="C1227" s="13">
        <v>10.7</v>
      </c>
      <c r="D1227" s="14">
        <v>3</v>
      </c>
      <c r="E1227" s="18">
        <v>1</v>
      </c>
    </row>
    <row r="1228" spans="1:5" x14ac:dyDescent="0.35">
      <c r="A1228" s="7">
        <v>49867</v>
      </c>
      <c r="B1228" s="8" t="s">
        <v>6</v>
      </c>
      <c r="C1228" s="9">
        <v>29.3</v>
      </c>
      <c r="D1228" s="10">
        <v>8.3000000000000007</v>
      </c>
      <c r="E1228" s="18">
        <v>1</v>
      </c>
    </row>
    <row r="1229" spans="1:5" x14ac:dyDescent="0.35">
      <c r="A1229" s="11">
        <v>49868</v>
      </c>
      <c r="B1229" s="12" t="s">
        <v>25</v>
      </c>
      <c r="C1229" s="13">
        <v>28.2</v>
      </c>
      <c r="D1229" s="14">
        <v>0</v>
      </c>
      <c r="E1229" s="18">
        <v>1</v>
      </c>
    </row>
    <row r="1230" spans="1:5" x14ac:dyDescent="0.35">
      <c r="A1230" s="7">
        <v>49869</v>
      </c>
      <c r="B1230" s="8" t="s">
        <v>10</v>
      </c>
      <c r="C1230" s="9">
        <v>17.3</v>
      </c>
      <c r="D1230" s="10">
        <v>33.6</v>
      </c>
      <c r="E1230" s="18">
        <v>1</v>
      </c>
    </row>
    <row r="1231" spans="1:5" x14ac:dyDescent="0.35">
      <c r="A1231" s="11">
        <v>49870</v>
      </c>
      <c r="B1231" s="12" t="s">
        <v>6</v>
      </c>
      <c r="C1231" s="13">
        <v>24.6</v>
      </c>
      <c r="D1231" s="14">
        <v>0</v>
      </c>
      <c r="E1231" s="18">
        <v>1</v>
      </c>
    </row>
    <row r="1232" spans="1:5" x14ac:dyDescent="0.35">
      <c r="A1232" s="7">
        <v>49871</v>
      </c>
      <c r="B1232" s="8" t="s">
        <v>12</v>
      </c>
      <c r="C1232" s="9">
        <v>12.6</v>
      </c>
      <c r="D1232" s="10">
        <v>0.6</v>
      </c>
      <c r="E1232" s="18">
        <v>1</v>
      </c>
    </row>
    <row r="1233" spans="1:5" x14ac:dyDescent="0.35">
      <c r="A1233" s="11">
        <v>49872</v>
      </c>
      <c r="B1233" s="12" t="s">
        <v>19</v>
      </c>
      <c r="C1233" s="13">
        <v>27.3</v>
      </c>
      <c r="D1233" s="14">
        <v>0</v>
      </c>
      <c r="E1233" s="18">
        <v>1</v>
      </c>
    </row>
    <row r="1234" spans="1:5" x14ac:dyDescent="0.35">
      <c r="A1234" s="7">
        <v>49873</v>
      </c>
      <c r="B1234" s="8" t="s">
        <v>8</v>
      </c>
      <c r="C1234" s="9">
        <v>14.4</v>
      </c>
      <c r="D1234" s="10">
        <v>2</v>
      </c>
      <c r="E1234" s="18">
        <v>1</v>
      </c>
    </row>
    <row r="1235" spans="1:5" x14ac:dyDescent="0.35">
      <c r="A1235" s="11">
        <v>49874</v>
      </c>
      <c r="B1235" s="12" t="s">
        <v>10</v>
      </c>
      <c r="C1235" s="13">
        <v>11.2</v>
      </c>
      <c r="D1235" s="14">
        <v>32.6</v>
      </c>
      <c r="E1235" s="18">
        <v>1</v>
      </c>
    </row>
    <row r="1236" spans="1:5" x14ac:dyDescent="0.35">
      <c r="A1236" s="7">
        <v>49875</v>
      </c>
      <c r="B1236" s="8" t="s">
        <v>19</v>
      </c>
      <c r="C1236" s="9">
        <v>11.4</v>
      </c>
      <c r="D1236" s="10">
        <v>5.5</v>
      </c>
      <c r="E1236" s="18">
        <v>1</v>
      </c>
    </row>
    <row r="1237" spans="1:5" x14ac:dyDescent="0.35">
      <c r="A1237" s="11">
        <v>49876</v>
      </c>
      <c r="B1237" s="12" t="s">
        <v>14</v>
      </c>
      <c r="C1237" s="13">
        <v>22.9</v>
      </c>
      <c r="D1237" s="14">
        <v>0</v>
      </c>
      <c r="E1237" s="18">
        <v>1</v>
      </c>
    </row>
    <row r="1238" spans="1:5" x14ac:dyDescent="0.35">
      <c r="A1238" s="7">
        <v>49877</v>
      </c>
      <c r="B1238" s="8" t="s">
        <v>7</v>
      </c>
      <c r="C1238" s="9">
        <v>14.3</v>
      </c>
      <c r="D1238" s="10">
        <v>13.2</v>
      </c>
      <c r="E1238" s="18">
        <v>1</v>
      </c>
    </row>
    <row r="1239" spans="1:5" x14ac:dyDescent="0.35">
      <c r="A1239" s="11">
        <v>49878</v>
      </c>
      <c r="B1239" s="12" t="s">
        <v>10</v>
      </c>
      <c r="C1239" s="13">
        <v>22.9</v>
      </c>
      <c r="D1239" s="14">
        <v>22.9</v>
      </c>
      <c r="E1239" s="18">
        <v>1</v>
      </c>
    </row>
    <row r="1240" spans="1:5" x14ac:dyDescent="0.35">
      <c r="A1240" s="7">
        <v>49879</v>
      </c>
      <c r="B1240" s="8" t="s">
        <v>11</v>
      </c>
      <c r="C1240" s="9">
        <v>11.8</v>
      </c>
      <c r="D1240" s="10">
        <v>0</v>
      </c>
      <c r="E1240" s="18">
        <v>1</v>
      </c>
    </row>
    <row r="1241" spans="1:5" x14ac:dyDescent="0.35">
      <c r="A1241" s="11">
        <v>49880</v>
      </c>
      <c r="B1241" s="12" t="s">
        <v>18</v>
      </c>
      <c r="C1241" s="13">
        <v>24.5</v>
      </c>
      <c r="D1241" s="14">
        <v>0</v>
      </c>
      <c r="E1241" s="18">
        <v>1</v>
      </c>
    </row>
    <row r="1242" spans="1:5" x14ac:dyDescent="0.35">
      <c r="A1242" s="7">
        <v>49881</v>
      </c>
      <c r="B1242" s="8" t="s">
        <v>15</v>
      </c>
      <c r="C1242" s="9">
        <v>25.5</v>
      </c>
      <c r="D1242" s="10">
        <v>19.3</v>
      </c>
      <c r="E1242" s="18">
        <v>1</v>
      </c>
    </row>
    <row r="1243" spans="1:5" x14ac:dyDescent="0.35">
      <c r="A1243" s="11">
        <v>49882</v>
      </c>
      <c r="B1243" s="12" t="s">
        <v>19</v>
      </c>
      <c r="C1243" s="13">
        <v>14.7</v>
      </c>
      <c r="D1243" s="14">
        <v>18.3</v>
      </c>
      <c r="E1243" s="18">
        <v>1</v>
      </c>
    </row>
    <row r="1244" spans="1:5" x14ac:dyDescent="0.35">
      <c r="A1244" s="7">
        <v>49883</v>
      </c>
      <c r="B1244" s="8" t="s">
        <v>15</v>
      </c>
      <c r="C1244" s="9">
        <v>28.7</v>
      </c>
      <c r="D1244" s="10">
        <v>0</v>
      </c>
      <c r="E1244" s="18">
        <v>1</v>
      </c>
    </row>
    <row r="1245" spans="1:5" x14ac:dyDescent="0.35">
      <c r="A1245" s="11">
        <v>49884</v>
      </c>
      <c r="B1245" s="12" t="s">
        <v>10</v>
      </c>
      <c r="C1245" s="13">
        <v>16.7</v>
      </c>
      <c r="D1245" s="14">
        <v>0</v>
      </c>
      <c r="E1245" s="18">
        <v>1</v>
      </c>
    </row>
    <row r="1246" spans="1:5" x14ac:dyDescent="0.35">
      <c r="A1246" s="7">
        <v>49885</v>
      </c>
      <c r="B1246" s="8" t="s">
        <v>15</v>
      </c>
      <c r="C1246" s="9">
        <v>17.399999999999999</v>
      </c>
      <c r="D1246" s="10">
        <v>13.7</v>
      </c>
      <c r="E1246" s="18">
        <v>1</v>
      </c>
    </row>
    <row r="1247" spans="1:5" x14ac:dyDescent="0.35">
      <c r="A1247" s="11">
        <v>49886</v>
      </c>
      <c r="B1247" s="12" t="s">
        <v>10</v>
      </c>
      <c r="C1247" s="13">
        <v>15.6</v>
      </c>
      <c r="D1247" s="14">
        <v>0</v>
      </c>
      <c r="E1247" s="18">
        <v>1</v>
      </c>
    </row>
    <row r="1248" spans="1:5" x14ac:dyDescent="0.35">
      <c r="A1248" s="7">
        <v>49887</v>
      </c>
      <c r="B1248" s="8" t="s">
        <v>19</v>
      </c>
      <c r="C1248" s="9">
        <v>21.7</v>
      </c>
      <c r="D1248" s="10">
        <v>0</v>
      </c>
      <c r="E1248" s="18">
        <v>1</v>
      </c>
    </row>
    <row r="1249" spans="1:5" x14ac:dyDescent="0.35">
      <c r="A1249" s="11">
        <v>49888</v>
      </c>
      <c r="B1249" s="12" t="s">
        <v>7</v>
      </c>
      <c r="C1249" s="13">
        <v>26</v>
      </c>
      <c r="D1249" s="14">
        <v>0</v>
      </c>
      <c r="E1249" s="18">
        <v>1</v>
      </c>
    </row>
    <row r="1250" spans="1:5" x14ac:dyDescent="0.35">
      <c r="A1250" s="7">
        <v>49889</v>
      </c>
      <c r="B1250" s="8" t="s">
        <v>22</v>
      </c>
      <c r="C1250" s="9">
        <v>24.5</v>
      </c>
      <c r="D1250" s="10">
        <v>9</v>
      </c>
      <c r="E1250" s="18">
        <v>1</v>
      </c>
    </row>
    <row r="1251" spans="1:5" x14ac:dyDescent="0.35">
      <c r="A1251" s="11">
        <v>49890</v>
      </c>
      <c r="B1251" s="12" t="s">
        <v>17</v>
      </c>
      <c r="C1251" s="13">
        <v>23.2</v>
      </c>
      <c r="D1251" s="14">
        <v>0</v>
      </c>
      <c r="E1251" s="18">
        <v>1</v>
      </c>
    </row>
    <row r="1252" spans="1:5" x14ac:dyDescent="0.35">
      <c r="A1252" s="7">
        <v>49891</v>
      </c>
      <c r="B1252" s="8" t="s">
        <v>24</v>
      </c>
      <c r="C1252" s="9">
        <v>17.600000000000001</v>
      </c>
      <c r="D1252" s="10">
        <v>0.8</v>
      </c>
      <c r="E1252" s="18">
        <v>1</v>
      </c>
    </row>
    <row r="1253" spans="1:5" x14ac:dyDescent="0.35">
      <c r="A1253" s="11">
        <v>49892</v>
      </c>
      <c r="B1253" s="12" t="s">
        <v>7</v>
      </c>
      <c r="C1253" s="13">
        <v>13.9</v>
      </c>
      <c r="D1253" s="14">
        <v>8.8000000000000007</v>
      </c>
      <c r="E1253" s="18">
        <v>1</v>
      </c>
    </row>
    <row r="1254" spans="1:5" x14ac:dyDescent="0.35">
      <c r="A1254" s="7">
        <v>49893</v>
      </c>
      <c r="B1254" s="8" t="s">
        <v>27</v>
      </c>
      <c r="C1254" s="9">
        <v>20.7</v>
      </c>
      <c r="D1254" s="10">
        <v>4.3</v>
      </c>
      <c r="E1254" s="18">
        <v>1</v>
      </c>
    </row>
    <row r="1255" spans="1:5" x14ac:dyDescent="0.35">
      <c r="A1255" s="11">
        <v>49894</v>
      </c>
      <c r="B1255" s="12" t="s">
        <v>5</v>
      </c>
      <c r="C1255" s="13">
        <v>10.1</v>
      </c>
      <c r="D1255" s="14">
        <v>1.7</v>
      </c>
      <c r="E1255" s="18">
        <v>1</v>
      </c>
    </row>
    <row r="1256" spans="1:5" x14ac:dyDescent="0.35">
      <c r="A1256" s="7">
        <v>49895</v>
      </c>
      <c r="B1256" s="8" t="s">
        <v>7</v>
      </c>
      <c r="C1256" s="9">
        <v>26.2</v>
      </c>
      <c r="D1256" s="10">
        <v>22.7</v>
      </c>
      <c r="E1256" s="18">
        <v>1</v>
      </c>
    </row>
    <row r="1257" spans="1:5" x14ac:dyDescent="0.35">
      <c r="A1257" s="11">
        <v>49896</v>
      </c>
      <c r="B1257" s="12" t="s">
        <v>19</v>
      </c>
      <c r="C1257" s="13">
        <v>27.6</v>
      </c>
      <c r="D1257" s="14">
        <v>13.8</v>
      </c>
      <c r="E1257" s="18">
        <v>1</v>
      </c>
    </row>
    <row r="1258" spans="1:5" x14ac:dyDescent="0.35">
      <c r="A1258" s="7">
        <v>49897</v>
      </c>
      <c r="B1258" s="8" t="s">
        <v>6</v>
      </c>
      <c r="C1258" s="9">
        <v>20.6</v>
      </c>
      <c r="D1258" s="10">
        <v>4.7</v>
      </c>
      <c r="E1258" s="18">
        <v>1</v>
      </c>
    </row>
    <row r="1259" spans="1:5" x14ac:dyDescent="0.35">
      <c r="A1259" s="11">
        <v>49898</v>
      </c>
      <c r="B1259" s="12" t="s">
        <v>9</v>
      </c>
      <c r="C1259" s="13">
        <v>21.4</v>
      </c>
      <c r="D1259" s="14">
        <v>5</v>
      </c>
      <c r="E1259" s="18">
        <v>1</v>
      </c>
    </row>
    <row r="1260" spans="1:5" x14ac:dyDescent="0.35">
      <c r="A1260" s="7">
        <v>49899</v>
      </c>
      <c r="B1260" s="8" t="s">
        <v>6</v>
      </c>
      <c r="C1260" s="9">
        <v>17.100000000000001</v>
      </c>
      <c r="D1260" s="10">
        <v>0</v>
      </c>
      <c r="E1260" s="18">
        <v>1</v>
      </c>
    </row>
    <row r="1261" spans="1:5" x14ac:dyDescent="0.35">
      <c r="A1261" s="11">
        <v>49900</v>
      </c>
      <c r="B1261" s="12" t="s">
        <v>10</v>
      </c>
      <c r="C1261" s="13">
        <v>19.5</v>
      </c>
      <c r="D1261" s="14">
        <v>20.5</v>
      </c>
      <c r="E1261" s="18">
        <v>1</v>
      </c>
    </row>
    <row r="1262" spans="1:5" x14ac:dyDescent="0.35">
      <c r="A1262" s="7">
        <v>49901</v>
      </c>
      <c r="B1262" s="8" t="s">
        <v>13</v>
      </c>
      <c r="C1262" s="9">
        <v>15.9</v>
      </c>
      <c r="D1262" s="10">
        <v>0</v>
      </c>
      <c r="E1262" s="18">
        <v>1</v>
      </c>
    </row>
    <row r="1263" spans="1:5" x14ac:dyDescent="0.35">
      <c r="A1263" s="11">
        <v>49902</v>
      </c>
      <c r="B1263" s="12" t="s">
        <v>10</v>
      </c>
      <c r="C1263" s="13">
        <v>21.1</v>
      </c>
      <c r="D1263" s="14">
        <v>46.8</v>
      </c>
      <c r="E1263" s="18">
        <v>1</v>
      </c>
    </row>
    <row r="1264" spans="1:5" x14ac:dyDescent="0.35">
      <c r="A1264" s="7">
        <v>49903</v>
      </c>
      <c r="B1264" s="8" t="s">
        <v>19</v>
      </c>
      <c r="C1264" s="9">
        <v>20.2</v>
      </c>
      <c r="D1264" s="10">
        <v>36.6</v>
      </c>
      <c r="E1264" s="18">
        <v>1</v>
      </c>
    </row>
    <row r="1265" spans="1:5" x14ac:dyDescent="0.35">
      <c r="A1265" s="11">
        <v>49904</v>
      </c>
      <c r="B1265" s="12" t="s">
        <v>12</v>
      </c>
      <c r="C1265" s="13">
        <v>25</v>
      </c>
      <c r="D1265" s="14">
        <v>7.8</v>
      </c>
      <c r="E1265" s="18">
        <v>1</v>
      </c>
    </row>
    <row r="1266" spans="1:5" x14ac:dyDescent="0.35">
      <c r="A1266" s="7">
        <v>49905</v>
      </c>
      <c r="B1266" s="8" t="s">
        <v>10</v>
      </c>
      <c r="C1266" s="9">
        <v>22.1</v>
      </c>
      <c r="D1266" s="10">
        <v>8.8000000000000007</v>
      </c>
      <c r="E1266" s="18">
        <v>1</v>
      </c>
    </row>
    <row r="1267" spans="1:5" x14ac:dyDescent="0.35">
      <c r="A1267" s="11">
        <v>49906</v>
      </c>
      <c r="B1267" s="12" t="s">
        <v>33</v>
      </c>
      <c r="C1267" s="13">
        <v>28.9</v>
      </c>
      <c r="D1267" s="14">
        <v>0.5</v>
      </c>
      <c r="E1267" s="18">
        <v>1</v>
      </c>
    </row>
    <row r="1268" spans="1:5" x14ac:dyDescent="0.35">
      <c r="A1268" s="7">
        <v>49907</v>
      </c>
      <c r="B1268" s="8" t="s">
        <v>11</v>
      </c>
      <c r="C1268" s="9">
        <v>19.600000000000001</v>
      </c>
      <c r="D1268" s="10">
        <v>0</v>
      </c>
      <c r="E1268" s="18">
        <v>1</v>
      </c>
    </row>
    <row r="1269" spans="1:5" x14ac:dyDescent="0.35">
      <c r="A1269" s="11">
        <v>49908</v>
      </c>
      <c r="B1269" s="12" t="s">
        <v>7</v>
      </c>
      <c r="C1269" s="13">
        <v>18</v>
      </c>
      <c r="D1269" s="14">
        <v>13.2</v>
      </c>
      <c r="E1269" s="18">
        <v>1</v>
      </c>
    </row>
    <row r="1270" spans="1:5" x14ac:dyDescent="0.35">
      <c r="A1270" s="7">
        <v>49909</v>
      </c>
      <c r="B1270" s="8" t="s">
        <v>12</v>
      </c>
      <c r="C1270" s="9">
        <v>28.3</v>
      </c>
      <c r="D1270" s="10">
        <v>0</v>
      </c>
      <c r="E1270" s="18">
        <v>1</v>
      </c>
    </row>
    <row r="1271" spans="1:5" x14ac:dyDescent="0.35">
      <c r="A1271" s="11">
        <v>49910</v>
      </c>
      <c r="B1271" s="12" t="s">
        <v>6</v>
      </c>
      <c r="C1271" s="13">
        <v>25.2</v>
      </c>
      <c r="D1271" s="14">
        <v>0</v>
      </c>
      <c r="E1271" s="18">
        <v>1</v>
      </c>
    </row>
    <row r="1272" spans="1:5" x14ac:dyDescent="0.35">
      <c r="A1272" s="7">
        <v>49911</v>
      </c>
      <c r="B1272" s="8" t="s">
        <v>10</v>
      </c>
      <c r="C1272" s="9">
        <v>22.5</v>
      </c>
      <c r="D1272" s="10">
        <v>0</v>
      </c>
      <c r="E1272" s="18">
        <v>1</v>
      </c>
    </row>
    <row r="1273" spans="1:5" x14ac:dyDescent="0.35">
      <c r="A1273" s="11">
        <v>49912</v>
      </c>
      <c r="B1273" s="12" t="s">
        <v>13</v>
      </c>
      <c r="C1273" s="13">
        <v>19.899999999999999</v>
      </c>
      <c r="D1273" s="14">
        <v>6.7</v>
      </c>
      <c r="E1273" s="18">
        <v>1</v>
      </c>
    </row>
    <row r="1274" spans="1:5" x14ac:dyDescent="0.35">
      <c r="A1274" s="7">
        <v>49913</v>
      </c>
      <c r="B1274" s="8" t="s">
        <v>11</v>
      </c>
      <c r="C1274" s="9">
        <v>10.8</v>
      </c>
      <c r="D1274" s="10">
        <v>19.600000000000001</v>
      </c>
      <c r="E1274" s="18">
        <v>1</v>
      </c>
    </row>
    <row r="1275" spans="1:5" x14ac:dyDescent="0.35">
      <c r="A1275" s="11">
        <v>49914</v>
      </c>
      <c r="B1275" s="12" t="s">
        <v>19</v>
      </c>
      <c r="C1275" s="13">
        <v>18.399999999999999</v>
      </c>
      <c r="D1275" s="14">
        <v>0.6</v>
      </c>
      <c r="E1275" s="18">
        <v>1</v>
      </c>
    </row>
    <row r="1276" spans="1:5" x14ac:dyDescent="0.35">
      <c r="A1276" s="7">
        <v>49915</v>
      </c>
      <c r="B1276" s="8" t="s">
        <v>26</v>
      </c>
      <c r="C1276" s="9">
        <v>27.6</v>
      </c>
      <c r="D1276" s="10">
        <v>3.7</v>
      </c>
      <c r="E1276" s="18">
        <v>1</v>
      </c>
    </row>
    <row r="1277" spans="1:5" x14ac:dyDescent="0.35">
      <c r="A1277" s="11">
        <v>49916</v>
      </c>
      <c r="B1277" s="12" t="s">
        <v>26</v>
      </c>
      <c r="C1277" s="13">
        <v>11.3</v>
      </c>
      <c r="D1277" s="14">
        <v>1.9</v>
      </c>
      <c r="E1277" s="18">
        <v>1</v>
      </c>
    </row>
    <row r="1278" spans="1:5" x14ac:dyDescent="0.35">
      <c r="A1278" s="7">
        <v>49917</v>
      </c>
      <c r="B1278" s="8" t="s">
        <v>26</v>
      </c>
      <c r="C1278" s="9">
        <v>28.7</v>
      </c>
      <c r="D1278" s="10">
        <v>0</v>
      </c>
      <c r="E1278" s="18">
        <v>1</v>
      </c>
    </row>
    <row r="1279" spans="1:5" x14ac:dyDescent="0.35">
      <c r="A1279" s="11">
        <v>49918</v>
      </c>
      <c r="B1279" s="12" t="s">
        <v>21</v>
      </c>
      <c r="C1279" s="13">
        <v>15</v>
      </c>
      <c r="D1279" s="14">
        <v>1.7</v>
      </c>
      <c r="E1279" s="18">
        <v>1</v>
      </c>
    </row>
    <row r="1280" spans="1:5" x14ac:dyDescent="0.35">
      <c r="A1280" s="7">
        <v>49919</v>
      </c>
      <c r="B1280" s="8" t="s">
        <v>7</v>
      </c>
      <c r="C1280" s="9">
        <v>15.1</v>
      </c>
      <c r="D1280" s="10">
        <v>13.5</v>
      </c>
      <c r="E1280" s="18">
        <v>1</v>
      </c>
    </row>
    <row r="1281" spans="1:5" x14ac:dyDescent="0.35">
      <c r="A1281" s="11">
        <v>49920</v>
      </c>
      <c r="B1281" s="12" t="s">
        <v>19</v>
      </c>
      <c r="C1281" s="13">
        <v>19.399999999999999</v>
      </c>
      <c r="D1281" s="14">
        <v>29.6</v>
      </c>
      <c r="E1281" s="18">
        <v>1</v>
      </c>
    </row>
    <row r="1282" spans="1:5" x14ac:dyDescent="0.35">
      <c r="A1282" s="7">
        <v>49921</v>
      </c>
      <c r="B1282" s="8" t="s">
        <v>7</v>
      </c>
      <c r="C1282" s="9">
        <v>21.9</v>
      </c>
      <c r="D1282" s="10">
        <v>1.6</v>
      </c>
      <c r="E1282" s="18">
        <v>1</v>
      </c>
    </row>
    <row r="1283" spans="1:5" x14ac:dyDescent="0.35">
      <c r="A1283" s="11">
        <v>49922</v>
      </c>
      <c r="B1283" s="12" t="s">
        <v>18</v>
      </c>
      <c r="C1283" s="13">
        <v>19.399999999999999</v>
      </c>
      <c r="D1283" s="14">
        <v>9.8000000000000007</v>
      </c>
      <c r="E1283" s="18">
        <v>1</v>
      </c>
    </row>
    <row r="1284" spans="1:5" x14ac:dyDescent="0.35">
      <c r="A1284" s="7">
        <v>49923</v>
      </c>
      <c r="B1284" s="8" t="s">
        <v>7</v>
      </c>
      <c r="C1284" s="9">
        <v>21.8</v>
      </c>
      <c r="D1284" s="10">
        <v>18.5</v>
      </c>
      <c r="E1284" s="18">
        <v>1</v>
      </c>
    </row>
    <row r="1285" spans="1:5" x14ac:dyDescent="0.35">
      <c r="A1285" s="11">
        <v>49924</v>
      </c>
      <c r="B1285" s="12" t="s">
        <v>17</v>
      </c>
      <c r="C1285" s="13">
        <v>29.3</v>
      </c>
      <c r="D1285" s="14">
        <v>2.8</v>
      </c>
      <c r="E1285" s="18">
        <v>1</v>
      </c>
    </row>
    <row r="1286" spans="1:5" x14ac:dyDescent="0.35">
      <c r="A1286" s="7">
        <v>49925</v>
      </c>
      <c r="B1286" s="8" t="s">
        <v>19</v>
      </c>
      <c r="C1286" s="9">
        <v>14.4</v>
      </c>
      <c r="D1286" s="10">
        <v>0</v>
      </c>
      <c r="E1286" s="18">
        <v>1</v>
      </c>
    </row>
    <row r="1287" spans="1:5" x14ac:dyDescent="0.35">
      <c r="A1287" s="11">
        <v>49926</v>
      </c>
      <c r="B1287" s="12" t="s">
        <v>10</v>
      </c>
      <c r="C1287" s="13">
        <v>14.5</v>
      </c>
      <c r="D1287" s="14">
        <v>0</v>
      </c>
      <c r="E1287" s="18">
        <v>1</v>
      </c>
    </row>
    <row r="1288" spans="1:5" x14ac:dyDescent="0.35">
      <c r="A1288" s="7">
        <v>49927</v>
      </c>
      <c r="B1288" s="8" t="s">
        <v>15</v>
      </c>
      <c r="C1288" s="9">
        <v>18.399999999999999</v>
      </c>
      <c r="D1288" s="10">
        <v>10.1</v>
      </c>
      <c r="E1288" s="18">
        <v>1</v>
      </c>
    </row>
    <row r="1289" spans="1:5" x14ac:dyDescent="0.35">
      <c r="A1289" s="11">
        <v>49928</v>
      </c>
      <c r="B1289" s="12" t="s">
        <v>18</v>
      </c>
      <c r="C1289" s="13">
        <v>29.8</v>
      </c>
      <c r="D1289" s="14">
        <v>0</v>
      </c>
      <c r="E1289" s="18">
        <v>1</v>
      </c>
    </row>
    <row r="1290" spans="1:5" x14ac:dyDescent="0.35">
      <c r="A1290" s="7">
        <v>49929</v>
      </c>
      <c r="B1290" s="8" t="s">
        <v>7</v>
      </c>
      <c r="C1290" s="9">
        <v>27.3</v>
      </c>
      <c r="D1290" s="10">
        <v>18.600000000000001</v>
      </c>
      <c r="E1290" s="18">
        <v>1</v>
      </c>
    </row>
    <row r="1291" spans="1:5" x14ac:dyDescent="0.35">
      <c r="A1291" s="11">
        <v>49930</v>
      </c>
      <c r="B1291" s="12" t="s">
        <v>9</v>
      </c>
      <c r="C1291" s="13">
        <v>22.7</v>
      </c>
      <c r="D1291" s="14">
        <v>0</v>
      </c>
      <c r="E1291" s="18">
        <v>1</v>
      </c>
    </row>
    <row r="1292" spans="1:5" x14ac:dyDescent="0.35">
      <c r="A1292" s="7">
        <v>49931</v>
      </c>
      <c r="B1292" s="8" t="s">
        <v>10</v>
      </c>
      <c r="C1292" s="9">
        <v>27.3</v>
      </c>
      <c r="D1292" s="10">
        <v>18.399999999999999</v>
      </c>
      <c r="E1292" s="18">
        <v>1</v>
      </c>
    </row>
    <row r="1293" spans="1:5" x14ac:dyDescent="0.35">
      <c r="A1293" s="11">
        <v>49932</v>
      </c>
      <c r="B1293" s="12" t="s">
        <v>18</v>
      </c>
      <c r="C1293" s="13">
        <v>12.9</v>
      </c>
      <c r="D1293" s="14">
        <v>0</v>
      </c>
      <c r="E1293" s="18">
        <v>1</v>
      </c>
    </row>
    <row r="1294" spans="1:5" x14ac:dyDescent="0.35">
      <c r="A1294" s="7">
        <v>49933</v>
      </c>
      <c r="B1294" s="8" t="s">
        <v>19</v>
      </c>
      <c r="C1294" s="9">
        <v>24.3</v>
      </c>
      <c r="D1294" s="10">
        <v>1.9</v>
      </c>
      <c r="E1294" s="18">
        <v>1</v>
      </c>
    </row>
    <row r="1295" spans="1:5" x14ac:dyDescent="0.35">
      <c r="A1295" s="11">
        <v>49934</v>
      </c>
      <c r="B1295" s="12" t="s">
        <v>18</v>
      </c>
      <c r="C1295" s="13">
        <v>20.6</v>
      </c>
      <c r="D1295" s="14">
        <v>14.6</v>
      </c>
      <c r="E1295" s="18">
        <v>1</v>
      </c>
    </row>
    <row r="1296" spans="1:5" x14ac:dyDescent="0.35">
      <c r="A1296" s="7">
        <v>49935</v>
      </c>
      <c r="B1296" s="8" t="s">
        <v>5</v>
      </c>
      <c r="C1296" s="9">
        <v>24.2</v>
      </c>
      <c r="D1296" s="10">
        <v>0</v>
      </c>
      <c r="E1296" s="18">
        <v>1</v>
      </c>
    </row>
    <row r="1297" spans="1:5" x14ac:dyDescent="0.35">
      <c r="A1297" s="11">
        <v>49936</v>
      </c>
      <c r="B1297" s="12" t="s">
        <v>10</v>
      </c>
      <c r="C1297" s="13">
        <v>15.2</v>
      </c>
      <c r="D1297" s="14">
        <v>0</v>
      </c>
      <c r="E1297" s="18">
        <v>1</v>
      </c>
    </row>
    <row r="1298" spans="1:5" x14ac:dyDescent="0.35">
      <c r="A1298" s="7">
        <v>49937</v>
      </c>
      <c r="B1298" s="8" t="s">
        <v>25</v>
      </c>
      <c r="C1298" s="9">
        <v>27.3</v>
      </c>
      <c r="D1298" s="10">
        <v>2.5</v>
      </c>
      <c r="E1298" s="18">
        <v>1</v>
      </c>
    </row>
    <row r="1299" spans="1:5" x14ac:dyDescent="0.35">
      <c r="A1299" s="11">
        <v>49938</v>
      </c>
      <c r="B1299" s="12" t="s">
        <v>25</v>
      </c>
      <c r="C1299" s="13">
        <v>28</v>
      </c>
      <c r="D1299" s="14">
        <v>0</v>
      </c>
      <c r="E1299" s="18">
        <v>1</v>
      </c>
    </row>
    <row r="1300" spans="1:5" x14ac:dyDescent="0.35">
      <c r="A1300" s="7">
        <v>49939</v>
      </c>
      <c r="B1300" s="8" t="s">
        <v>31</v>
      </c>
      <c r="C1300" s="9">
        <v>16.100000000000001</v>
      </c>
      <c r="D1300" s="10">
        <v>0</v>
      </c>
      <c r="E1300" s="18">
        <v>1</v>
      </c>
    </row>
    <row r="1301" spans="1:5" x14ac:dyDescent="0.35">
      <c r="A1301" s="11">
        <v>49940</v>
      </c>
      <c r="B1301" s="12" t="s">
        <v>19</v>
      </c>
      <c r="C1301" s="13">
        <v>18.8</v>
      </c>
      <c r="D1301" s="14">
        <v>16.899999999999999</v>
      </c>
      <c r="E1301" s="18">
        <v>1</v>
      </c>
    </row>
    <row r="1302" spans="1:5" x14ac:dyDescent="0.35">
      <c r="A1302" s="7">
        <v>49941</v>
      </c>
      <c r="B1302" s="8" t="s">
        <v>10</v>
      </c>
      <c r="C1302" s="9">
        <v>13.2</v>
      </c>
      <c r="D1302" s="10">
        <v>10.4</v>
      </c>
      <c r="E1302" s="18">
        <v>1</v>
      </c>
    </row>
    <row r="1303" spans="1:5" x14ac:dyDescent="0.35">
      <c r="A1303" s="11">
        <v>49942</v>
      </c>
      <c r="B1303" s="12" t="s">
        <v>5</v>
      </c>
      <c r="C1303" s="13">
        <v>17.899999999999999</v>
      </c>
      <c r="D1303" s="14">
        <v>3.5</v>
      </c>
      <c r="E1303" s="18">
        <v>1</v>
      </c>
    </row>
    <row r="1304" spans="1:5" x14ac:dyDescent="0.35">
      <c r="A1304" s="7">
        <v>49943</v>
      </c>
      <c r="B1304" s="8" t="s">
        <v>7</v>
      </c>
      <c r="C1304" s="9">
        <v>18.3</v>
      </c>
      <c r="D1304" s="10">
        <v>16.7</v>
      </c>
      <c r="E1304" s="18">
        <v>1</v>
      </c>
    </row>
    <row r="1305" spans="1:5" x14ac:dyDescent="0.35">
      <c r="A1305" s="11">
        <v>49944</v>
      </c>
      <c r="B1305" s="12" t="s">
        <v>17</v>
      </c>
      <c r="C1305" s="13">
        <v>25.7</v>
      </c>
      <c r="D1305" s="14">
        <v>2</v>
      </c>
      <c r="E1305" s="18">
        <v>1</v>
      </c>
    </row>
    <row r="1306" spans="1:5" x14ac:dyDescent="0.35">
      <c r="A1306" s="7">
        <v>49945</v>
      </c>
      <c r="B1306" s="8" t="s">
        <v>10</v>
      </c>
      <c r="C1306" s="9">
        <v>29.2</v>
      </c>
      <c r="D1306" s="10">
        <v>31.5</v>
      </c>
      <c r="E1306" s="18">
        <v>1</v>
      </c>
    </row>
    <row r="1307" spans="1:5" x14ac:dyDescent="0.35">
      <c r="A1307" s="11">
        <v>49946</v>
      </c>
      <c r="B1307" s="12" t="s">
        <v>7</v>
      </c>
      <c r="C1307" s="13">
        <v>21.5</v>
      </c>
      <c r="D1307" s="14">
        <v>0</v>
      </c>
      <c r="E1307" s="18">
        <v>1</v>
      </c>
    </row>
    <row r="1308" spans="1:5" x14ac:dyDescent="0.35">
      <c r="A1308" s="7">
        <v>49947</v>
      </c>
      <c r="B1308" s="8" t="s">
        <v>11</v>
      </c>
      <c r="C1308" s="9">
        <v>29.5</v>
      </c>
      <c r="D1308" s="10">
        <v>12.2</v>
      </c>
      <c r="E1308" s="18">
        <v>1</v>
      </c>
    </row>
    <row r="1309" spans="1:5" x14ac:dyDescent="0.35">
      <c r="A1309" s="11">
        <v>49948</v>
      </c>
      <c r="B1309" s="12" t="s">
        <v>7</v>
      </c>
      <c r="C1309" s="13">
        <v>17.7</v>
      </c>
      <c r="D1309" s="14">
        <v>10.1</v>
      </c>
      <c r="E1309" s="18">
        <v>1</v>
      </c>
    </row>
    <row r="1310" spans="1:5" x14ac:dyDescent="0.35">
      <c r="A1310" s="7">
        <v>49949</v>
      </c>
      <c r="B1310" s="8" t="s">
        <v>19</v>
      </c>
      <c r="C1310" s="9">
        <v>26.7</v>
      </c>
      <c r="D1310" s="10">
        <v>1.2</v>
      </c>
      <c r="E1310" s="18">
        <v>1</v>
      </c>
    </row>
    <row r="1311" spans="1:5" x14ac:dyDescent="0.35">
      <c r="A1311" s="11">
        <v>49950</v>
      </c>
      <c r="B1311" s="12" t="s">
        <v>10</v>
      </c>
      <c r="C1311" s="13">
        <v>13.3</v>
      </c>
      <c r="D1311" s="14">
        <v>0.5</v>
      </c>
      <c r="E1311" s="18">
        <v>1</v>
      </c>
    </row>
    <row r="1312" spans="1:5" x14ac:dyDescent="0.35">
      <c r="A1312" s="7">
        <v>49951</v>
      </c>
      <c r="B1312" s="8" t="s">
        <v>7</v>
      </c>
      <c r="C1312" s="9">
        <v>13.4</v>
      </c>
      <c r="D1312" s="10">
        <v>23.4</v>
      </c>
      <c r="E1312" s="18">
        <v>1</v>
      </c>
    </row>
    <row r="1313" spans="1:5" x14ac:dyDescent="0.35">
      <c r="A1313" s="11">
        <v>49952</v>
      </c>
      <c r="B1313" s="12" t="s">
        <v>11</v>
      </c>
      <c r="C1313" s="13">
        <v>22.1</v>
      </c>
      <c r="D1313" s="14">
        <v>17.7</v>
      </c>
      <c r="E1313" s="18">
        <v>1</v>
      </c>
    </row>
    <row r="1314" spans="1:5" x14ac:dyDescent="0.35">
      <c r="A1314" s="7">
        <v>49953</v>
      </c>
      <c r="B1314" s="8" t="s">
        <v>22</v>
      </c>
      <c r="C1314" s="9">
        <v>11.4</v>
      </c>
      <c r="D1314" s="10">
        <v>0</v>
      </c>
      <c r="E1314" s="18">
        <v>1</v>
      </c>
    </row>
    <row r="1315" spans="1:5" x14ac:dyDescent="0.35">
      <c r="A1315" s="11">
        <v>49954</v>
      </c>
      <c r="B1315" s="12" t="s">
        <v>15</v>
      </c>
      <c r="C1315" s="13">
        <v>26</v>
      </c>
      <c r="D1315" s="14">
        <v>4.9000000000000004</v>
      </c>
      <c r="E1315" s="18">
        <v>1</v>
      </c>
    </row>
    <row r="1316" spans="1:5" x14ac:dyDescent="0.35">
      <c r="A1316" s="7">
        <v>49955</v>
      </c>
      <c r="B1316" s="8" t="s">
        <v>15</v>
      </c>
      <c r="C1316" s="9">
        <v>27.8</v>
      </c>
      <c r="D1316" s="10">
        <v>6.7</v>
      </c>
      <c r="E1316" s="18">
        <v>1</v>
      </c>
    </row>
    <row r="1317" spans="1:5" x14ac:dyDescent="0.35">
      <c r="A1317" s="11">
        <v>49956</v>
      </c>
      <c r="B1317" s="12" t="s">
        <v>7</v>
      </c>
      <c r="C1317" s="13">
        <v>29.3</v>
      </c>
      <c r="D1317" s="14">
        <v>1.7</v>
      </c>
      <c r="E1317" s="18">
        <v>1</v>
      </c>
    </row>
    <row r="1318" spans="1:5" x14ac:dyDescent="0.35">
      <c r="A1318" s="7">
        <v>49957</v>
      </c>
      <c r="B1318" s="8" t="s">
        <v>23</v>
      </c>
      <c r="C1318" s="9">
        <v>24.7</v>
      </c>
      <c r="D1318" s="10">
        <v>2.5</v>
      </c>
      <c r="E1318" s="18">
        <v>1</v>
      </c>
    </row>
    <row r="1319" spans="1:5" x14ac:dyDescent="0.35">
      <c r="A1319" s="11">
        <v>49958</v>
      </c>
      <c r="B1319" s="12" t="s">
        <v>4</v>
      </c>
      <c r="C1319" s="13">
        <v>16.600000000000001</v>
      </c>
      <c r="D1319" s="14">
        <v>0.1</v>
      </c>
      <c r="E1319" s="18">
        <v>1</v>
      </c>
    </row>
    <row r="1320" spans="1:5" x14ac:dyDescent="0.35">
      <c r="A1320" s="7">
        <v>49959</v>
      </c>
      <c r="B1320" s="8" t="s">
        <v>18</v>
      </c>
      <c r="C1320" s="9">
        <v>27.5</v>
      </c>
      <c r="D1320" s="10">
        <v>0</v>
      </c>
      <c r="E1320" s="18">
        <v>1</v>
      </c>
    </row>
    <row r="1321" spans="1:5" x14ac:dyDescent="0.35">
      <c r="A1321" s="11">
        <v>49960</v>
      </c>
      <c r="B1321" s="12" t="s">
        <v>15</v>
      </c>
      <c r="C1321" s="13">
        <v>22.7</v>
      </c>
      <c r="D1321" s="14">
        <v>0</v>
      </c>
      <c r="E1321" s="18">
        <v>1</v>
      </c>
    </row>
    <row r="1322" spans="1:5" x14ac:dyDescent="0.35">
      <c r="A1322" s="7">
        <v>49961</v>
      </c>
      <c r="B1322" s="8" t="s">
        <v>12</v>
      </c>
      <c r="C1322" s="9">
        <v>20.100000000000001</v>
      </c>
      <c r="D1322" s="10">
        <v>10.5</v>
      </c>
      <c r="E1322" s="18">
        <v>1</v>
      </c>
    </row>
    <row r="1323" spans="1:5" x14ac:dyDescent="0.35">
      <c r="A1323" s="11">
        <v>49962</v>
      </c>
      <c r="B1323" s="12" t="s">
        <v>7</v>
      </c>
      <c r="C1323" s="13">
        <v>16.100000000000001</v>
      </c>
      <c r="D1323" s="14">
        <v>8.1</v>
      </c>
      <c r="E1323" s="18">
        <v>1</v>
      </c>
    </row>
    <row r="1324" spans="1:5" x14ac:dyDescent="0.35">
      <c r="A1324" s="7">
        <v>49963</v>
      </c>
      <c r="B1324" s="8" t="s">
        <v>7</v>
      </c>
      <c r="C1324" s="9">
        <v>13.9</v>
      </c>
      <c r="D1324" s="10">
        <v>0</v>
      </c>
      <c r="E1324" s="18">
        <v>1</v>
      </c>
    </row>
    <row r="1325" spans="1:5" x14ac:dyDescent="0.35">
      <c r="A1325" s="11">
        <v>49964</v>
      </c>
      <c r="B1325" s="12" t="s">
        <v>12</v>
      </c>
      <c r="C1325" s="13">
        <v>22.3</v>
      </c>
      <c r="D1325" s="14">
        <v>0</v>
      </c>
      <c r="E1325" s="18">
        <v>1</v>
      </c>
    </row>
    <row r="1326" spans="1:5" x14ac:dyDescent="0.35">
      <c r="A1326" s="7">
        <v>49965</v>
      </c>
      <c r="B1326" s="8" t="s">
        <v>26</v>
      </c>
      <c r="C1326" s="9">
        <v>13</v>
      </c>
      <c r="D1326" s="10">
        <v>0</v>
      </c>
      <c r="E1326" s="18">
        <v>1</v>
      </c>
    </row>
    <row r="1327" spans="1:5" x14ac:dyDescent="0.35">
      <c r="A1327" s="11">
        <v>49966</v>
      </c>
      <c r="B1327" s="12" t="s">
        <v>11</v>
      </c>
      <c r="C1327" s="13">
        <v>16.2</v>
      </c>
      <c r="D1327" s="14">
        <v>0</v>
      </c>
      <c r="E1327" s="18">
        <v>1</v>
      </c>
    </row>
    <row r="1328" spans="1:5" x14ac:dyDescent="0.35">
      <c r="A1328" s="7">
        <v>49967</v>
      </c>
      <c r="B1328" s="8" t="s">
        <v>14</v>
      </c>
      <c r="C1328" s="9">
        <v>24.8</v>
      </c>
      <c r="D1328" s="10">
        <v>0</v>
      </c>
      <c r="E1328" s="18">
        <v>1</v>
      </c>
    </row>
    <row r="1329" spans="1:5" x14ac:dyDescent="0.35">
      <c r="A1329" s="11">
        <v>49968</v>
      </c>
      <c r="B1329" s="12" t="s">
        <v>13</v>
      </c>
      <c r="C1329" s="13">
        <v>29.7</v>
      </c>
      <c r="D1329" s="14">
        <v>0</v>
      </c>
      <c r="E1329" s="18">
        <v>1</v>
      </c>
    </row>
    <row r="1330" spans="1:5" x14ac:dyDescent="0.35">
      <c r="A1330" s="7">
        <v>49969</v>
      </c>
      <c r="B1330" s="8" t="s">
        <v>10</v>
      </c>
      <c r="C1330" s="9">
        <v>17.600000000000001</v>
      </c>
      <c r="D1330" s="10">
        <v>14.7</v>
      </c>
      <c r="E1330" s="18">
        <v>1</v>
      </c>
    </row>
    <row r="1331" spans="1:5" x14ac:dyDescent="0.35">
      <c r="A1331" s="11">
        <v>49970</v>
      </c>
      <c r="B1331" s="12" t="s">
        <v>10</v>
      </c>
      <c r="C1331" s="13">
        <v>10.4</v>
      </c>
      <c r="D1331" s="14">
        <v>27.7</v>
      </c>
      <c r="E1331" s="18">
        <v>1</v>
      </c>
    </row>
    <row r="1332" spans="1:5" x14ac:dyDescent="0.35">
      <c r="A1332" s="7">
        <v>49971</v>
      </c>
      <c r="B1332" s="8" t="s">
        <v>15</v>
      </c>
      <c r="C1332" s="9">
        <v>17</v>
      </c>
      <c r="D1332" s="10">
        <v>1.1000000000000001</v>
      </c>
      <c r="E1332" s="18">
        <v>1</v>
      </c>
    </row>
    <row r="1333" spans="1:5" x14ac:dyDescent="0.35">
      <c r="A1333" s="11">
        <v>49972</v>
      </c>
      <c r="B1333" s="12" t="s">
        <v>18</v>
      </c>
      <c r="C1333" s="13">
        <v>15.7</v>
      </c>
      <c r="D1333" s="14">
        <v>5.9</v>
      </c>
      <c r="E1333" s="18">
        <v>1</v>
      </c>
    </row>
    <row r="1334" spans="1:5" x14ac:dyDescent="0.35">
      <c r="A1334" s="7">
        <v>49973</v>
      </c>
      <c r="B1334" s="8" t="s">
        <v>19</v>
      </c>
      <c r="C1334" s="9">
        <v>23.8</v>
      </c>
      <c r="D1334" s="10">
        <v>4.3</v>
      </c>
      <c r="E1334" s="18">
        <v>1</v>
      </c>
    </row>
    <row r="1335" spans="1:5" x14ac:dyDescent="0.35">
      <c r="A1335" s="11">
        <v>49974</v>
      </c>
      <c r="B1335" s="12" t="s">
        <v>11</v>
      </c>
      <c r="C1335" s="13">
        <v>16.2</v>
      </c>
      <c r="D1335" s="14">
        <v>8.6999999999999993</v>
      </c>
      <c r="E1335" s="18">
        <v>1</v>
      </c>
    </row>
    <row r="1336" spans="1:5" x14ac:dyDescent="0.35">
      <c r="A1336" s="7">
        <v>49975</v>
      </c>
      <c r="B1336" s="8" t="s">
        <v>5</v>
      </c>
      <c r="C1336" s="9">
        <v>23.3</v>
      </c>
      <c r="D1336" s="10">
        <v>5.8</v>
      </c>
      <c r="E1336" s="18">
        <v>1</v>
      </c>
    </row>
    <row r="1337" spans="1:5" x14ac:dyDescent="0.35">
      <c r="A1337" s="11">
        <v>49976</v>
      </c>
      <c r="B1337" s="12" t="s">
        <v>7</v>
      </c>
      <c r="C1337" s="13">
        <v>18.7</v>
      </c>
      <c r="D1337" s="14">
        <v>1.1000000000000001</v>
      </c>
      <c r="E1337" s="18">
        <v>1</v>
      </c>
    </row>
    <row r="1338" spans="1:5" x14ac:dyDescent="0.35">
      <c r="A1338" s="7">
        <v>49977</v>
      </c>
      <c r="B1338" s="8" t="s">
        <v>17</v>
      </c>
      <c r="C1338" s="9">
        <v>27.9</v>
      </c>
      <c r="D1338" s="10">
        <v>2.6</v>
      </c>
      <c r="E1338" s="18">
        <v>1</v>
      </c>
    </row>
    <row r="1339" spans="1:5" x14ac:dyDescent="0.35">
      <c r="A1339" s="11">
        <v>49978</v>
      </c>
      <c r="B1339" s="12" t="s">
        <v>18</v>
      </c>
      <c r="C1339" s="13">
        <v>19.8</v>
      </c>
      <c r="D1339" s="14">
        <v>0</v>
      </c>
      <c r="E1339" s="18">
        <v>1</v>
      </c>
    </row>
    <row r="1340" spans="1:5" x14ac:dyDescent="0.35">
      <c r="A1340" s="7">
        <v>49979</v>
      </c>
      <c r="B1340" s="8" t="s">
        <v>11</v>
      </c>
      <c r="C1340" s="9">
        <v>16.7</v>
      </c>
      <c r="D1340" s="10">
        <v>3.5</v>
      </c>
      <c r="E1340" s="18">
        <v>1</v>
      </c>
    </row>
    <row r="1341" spans="1:5" x14ac:dyDescent="0.35">
      <c r="A1341" s="11">
        <v>49980</v>
      </c>
      <c r="B1341" s="12" t="s">
        <v>23</v>
      </c>
      <c r="C1341" s="13">
        <v>28.6</v>
      </c>
      <c r="D1341" s="14">
        <v>0</v>
      </c>
      <c r="E1341" s="18">
        <v>1</v>
      </c>
    </row>
    <row r="1342" spans="1:5" x14ac:dyDescent="0.35">
      <c r="A1342" s="7">
        <v>49981</v>
      </c>
      <c r="B1342" s="8" t="s">
        <v>10</v>
      </c>
      <c r="C1342" s="9">
        <v>10.8</v>
      </c>
      <c r="D1342" s="10">
        <v>32.9</v>
      </c>
      <c r="E1342" s="18">
        <v>1</v>
      </c>
    </row>
    <row r="1343" spans="1:5" x14ac:dyDescent="0.35">
      <c r="A1343" s="11">
        <v>49982</v>
      </c>
      <c r="B1343" s="12" t="s">
        <v>18</v>
      </c>
      <c r="C1343" s="13">
        <v>12.8</v>
      </c>
      <c r="D1343" s="14">
        <v>0</v>
      </c>
      <c r="E1343" s="18">
        <v>1</v>
      </c>
    </row>
    <row r="1344" spans="1:5" x14ac:dyDescent="0.35">
      <c r="A1344" s="7">
        <v>49983</v>
      </c>
      <c r="B1344" s="8" t="s">
        <v>26</v>
      </c>
      <c r="C1344" s="9">
        <v>17.600000000000001</v>
      </c>
      <c r="D1344" s="10">
        <v>0</v>
      </c>
      <c r="E1344" s="18">
        <v>1</v>
      </c>
    </row>
    <row r="1345" spans="1:5" x14ac:dyDescent="0.35">
      <c r="A1345" s="11">
        <v>49984</v>
      </c>
      <c r="B1345" s="12" t="s">
        <v>22</v>
      </c>
      <c r="C1345" s="13">
        <v>24.1</v>
      </c>
      <c r="D1345" s="14">
        <v>0</v>
      </c>
      <c r="E1345" s="18">
        <v>1</v>
      </c>
    </row>
    <row r="1346" spans="1:5" x14ac:dyDescent="0.35">
      <c r="A1346" s="7">
        <v>49985</v>
      </c>
      <c r="B1346" s="8" t="s">
        <v>11</v>
      </c>
      <c r="C1346" s="9">
        <v>11.4</v>
      </c>
      <c r="D1346" s="10">
        <v>18.2</v>
      </c>
      <c r="E1346" s="18">
        <v>1</v>
      </c>
    </row>
    <row r="1347" spans="1:5" x14ac:dyDescent="0.35">
      <c r="A1347" s="11">
        <v>49986</v>
      </c>
      <c r="B1347" s="12" t="s">
        <v>9</v>
      </c>
      <c r="C1347" s="13">
        <v>21.9</v>
      </c>
      <c r="D1347" s="14">
        <v>5.4</v>
      </c>
      <c r="E1347" s="18">
        <v>1</v>
      </c>
    </row>
    <row r="1348" spans="1:5" x14ac:dyDescent="0.35">
      <c r="A1348" s="7">
        <v>49987</v>
      </c>
      <c r="B1348" s="8" t="s">
        <v>26</v>
      </c>
      <c r="C1348" s="9">
        <v>16.8</v>
      </c>
      <c r="D1348" s="10">
        <v>1.6</v>
      </c>
      <c r="E1348" s="18">
        <v>1</v>
      </c>
    </row>
    <row r="1349" spans="1:5" x14ac:dyDescent="0.35">
      <c r="A1349" s="11">
        <v>49988</v>
      </c>
      <c r="B1349" s="12" t="s">
        <v>6</v>
      </c>
      <c r="C1349" s="13">
        <v>26</v>
      </c>
      <c r="D1349" s="14">
        <v>0</v>
      </c>
      <c r="E1349" s="18">
        <v>1</v>
      </c>
    </row>
    <row r="1350" spans="1:5" x14ac:dyDescent="0.35">
      <c r="A1350" s="7">
        <v>49989</v>
      </c>
      <c r="B1350" s="8" t="s">
        <v>11</v>
      </c>
      <c r="C1350" s="9">
        <v>20.2</v>
      </c>
      <c r="D1350" s="10">
        <v>10</v>
      </c>
      <c r="E1350" s="18">
        <v>1</v>
      </c>
    </row>
    <row r="1351" spans="1:5" x14ac:dyDescent="0.35">
      <c r="A1351" s="11">
        <v>49990</v>
      </c>
      <c r="B1351" s="12" t="s">
        <v>19</v>
      </c>
      <c r="C1351" s="13">
        <v>20.3</v>
      </c>
      <c r="D1351" s="14">
        <v>37.799999999999997</v>
      </c>
      <c r="E1351" s="18">
        <v>1</v>
      </c>
    </row>
    <row r="1352" spans="1:5" x14ac:dyDescent="0.35">
      <c r="A1352" s="7">
        <v>49991</v>
      </c>
      <c r="B1352" s="8" t="s">
        <v>7</v>
      </c>
      <c r="C1352" s="9">
        <v>27.5</v>
      </c>
      <c r="D1352" s="10">
        <v>20.8</v>
      </c>
      <c r="E1352" s="18">
        <v>1</v>
      </c>
    </row>
    <row r="1353" spans="1:5" x14ac:dyDescent="0.35">
      <c r="A1353" s="11">
        <v>49992</v>
      </c>
      <c r="B1353" s="12" t="s">
        <v>19</v>
      </c>
      <c r="C1353" s="13">
        <v>24.2</v>
      </c>
      <c r="D1353" s="14">
        <v>2.9</v>
      </c>
      <c r="E1353" s="18">
        <v>1</v>
      </c>
    </row>
    <row r="1354" spans="1:5" x14ac:dyDescent="0.35">
      <c r="A1354" s="7">
        <v>49993</v>
      </c>
      <c r="B1354" s="8" t="s">
        <v>11</v>
      </c>
      <c r="C1354" s="9">
        <v>10.7</v>
      </c>
      <c r="D1354" s="10">
        <v>14.3</v>
      </c>
      <c r="E1354" s="18">
        <v>1</v>
      </c>
    </row>
    <row r="1355" spans="1:5" x14ac:dyDescent="0.35">
      <c r="A1355" s="11">
        <v>49994</v>
      </c>
      <c r="B1355" s="12" t="s">
        <v>19</v>
      </c>
      <c r="C1355" s="13">
        <v>17.3</v>
      </c>
      <c r="D1355" s="14">
        <v>0</v>
      </c>
      <c r="E1355" s="18">
        <v>1</v>
      </c>
    </row>
    <row r="1356" spans="1:5" x14ac:dyDescent="0.35">
      <c r="A1356" s="7">
        <v>49995</v>
      </c>
      <c r="B1356" s="8" t="s">
        <v>11</v>
      </c>
      <c r="C1356" s="9">
        <v>13.5</v>
      </c>
      <c r="D1356" s="10">
        <v>21.1</v>
      </c>
      <c r="E1356" s="18">
        <v>1</v>
      </c>
    </row>
    <row r="1357" spans="1:5" x14ac:dyDescent="0.35">
      <c r="A1357" s="11">
        <v>49996</v>
      </c>
      <c r="B1357" s="12" t="s">
        <v>6</v>
      </c>
      <c r="C1357" s="13">
        <v>13.6</v>
      </c>
      <c r="D1357" s="14">
        <v>6</v>
      </c>
      <c r="E1357" s="18">
        <v>1</v>
      </c>
    </row>
    <row r="1358" spans="1:5" x14ac:dyDescent="0.35">
      <c r="A1358" s="7">
        <v>49997</v>
      </c>
      <c r="B1358" s="8" t="s">
        <v>5</v>
      </c>
      <c r="C1358" s="9">
        <v>19.899999999999999</v>
      </c>
      <c r="D1358" s="10">
        <v>0</v>
      </c>
      <c r="E1358" s="18">
        <v>1</v>
      </c>
    </row>
    <row r="1359" spans="1:5" x14ac:dyDescent="0.35">
      <c r="A1359" s="11">
        <v>49998</v>
      </c>
      <c r="B1359" s="12" t="s">
        <v>18</v>
      </c>
      <c r="C1359" s="13">
        <v>13.1</v>
      </c>
      <c r="D1359" s="14">
        <v>10.199999999999999</v>
      </c>
      <c r="E1359" s="18">
        <v>1</v>
      </c>
    </row>
    <row r="1360" spans="1:5" x14ac:dyDescent="0.35">
      <c r="A1360" s="7">
        <v>49999</v>
      </c>
      <c r="B1360" s="8" t="s">
        <v>21</v>
      </c>
      <c r="C1360" s="9">
        <v>29.8</v>
      </c>
      <c r="D1360" s="10">
        <v>1.9</v>
      </c>
      <c r="E1360" s="18">
        <v>1</v>
      </c>
    </row>
    <row r="1361" spans="1:5" x14ac:dyDescent="0.35">
      <c r="A1361" s="11">
        <v>50000</v>
      </c>
      <c r="B1361" s="12" t="s">
        <v>28</v>
      </c>
      <c r="C1361" s="13">
        <v>23.7</v>
      </c>
      <c r="D1361" s="14">
        <v>0.3</v>
      </c>
      <c r="E1361" s="18">
        <v>1</v>
      </c>
    </row>
    <row r="1362" spans="1:5" x14ac:dyDescent="0.35">
      <c r="A1362" s="7">
        <v>50001</v>
      </c>
      <c r="B1362" s="8" t="s">
        <v>19</v>
      </c>
      <c r="C1362" s="9">
        <v>14</v>
      </c>
      <c r="D1362" s="10">
        <v>0</v>
      </c>
      <c r="E1362" s="18">
        <v>1</v>
      </c>
    </row>
    <row r="1363" spans="1:5" x14ac:dyDescent="0.35">
      <c r="A1363" s="11">
        <v>50002</v>
      </c>
      <c r="B1363" s="12" t="s">
        <v>30</v>
      </c>
      <c r="C1363" s="13">
        <v>19</v>
      </c>
      <c r="D1363" s="14">
        <v>0.5</v>
      </c>
      <c r="E1363" s="18">
        <v>1</v>
      </c>
    </row>
    <row r="1364" spans="1:5" x14ac:dyDescent="0.35">
      <c r="A1364" s="7">
        <v>50003</v>
      </c>
      <c r="B1364" s="8" t="s">
        <v>32</v>
      </c>
      <c r="C1364" s="9">
        <v>23.9</v>
      </c>
      <c r="D1364" s="10">
        <v>0.5</v>
      </c>
      <c r="E1364" s="18">
        <v>1</v>
      </c>
    </row>
    <row r="1365" spans="1:5" x14ac:dyDescent="0.35">
      <c r="A1365" s="11">
        <v>50004</v>
      </c>
      <c r="B1365" s="12" t="s">
        <v>19</v>
      </c>
      <c r="C1365" s="13">
        <v>12.8</v>
      </c>
      <c r="D1365" s="14">
        <v>26.7</v>
      </c>
      <c r="E1365" s="18">
        <v>1</v>
      </c>
    </row>
    <row r="1366" spans="1:5" x14ac:dyDescent="0.35">
      <c r="A1366" s="7">
        <v>50005</v>
      </c>
      <c r="B1366" s="8" t="s">
        <v>7</v>
      </c>
      <c r="C1366" s="9">
        <v>26.9</v>
      </c>
      <c r="D1366" s="10">
        <v>4.5</v>
      </c>
      <c r="E1366" s="18">
        <v>1</v>
      </c>
    </row>
    <row r="1367" spans="1:5" x14ac:dyDescent="0.35">
      <c r="A1367" s="11">
        <v>50006</v>
      </c>
      <c r="B1367" s="12" t="s">
        <v>26</v>
      </c>
      <c r="C1367" s="13">
        <v>10.6</v>
      </c>
      <c r="D1367" s="14">
        <v>0</v>
      </c>
      <c r="E1367" s="18">
        <v>1</v>
      </c>
    </row>
    <row r="1368" spans="1:5" x14ac:dyDescent="0.35">
      <c r="A1368" s="7">
        <v>50007</v>
      </c>
      <c r="B1368" s="8" t="s">
        <v>11</v>
      </c>
      <c r="C1368" s="9">
        <v>21.1</v>
      </c>
      <c r="D1368" s="10">
        <v>10.6</v>
      </c>
      <c r="E1368" s="18">
        <v>1</v>
      </c>
    </row>
    <row r="1369" spans="1:5" x14ac:dyDescent="0.35">
      <c r="A1369" s="11">
        <v>50008</v>
      </c>
      <c r="B1369" s="12" t="s">
        <v>6</v>
      </c>
      <c r="C1369" s="13">
        <v>11.7</v>
      </c>
      <c r="D1369" s="14">
        <v>9.9</v>
      </c>
      <c r="E1369" s="18">
        <v>1</v>
      </c>
    </row>
    <row r="1370" spans="1:5" x14ac:dyDescent="0.35">
      <c r="A1370" s="7">
        <v>50009</v>
      </c>
      <c r="B1370" s="8" t="s">
        <v>8</v>
      </c>
      <c r="C1370" s="9">
        <v>20.5</v>
      </c>
      <c r="D1370" s="10">
        <v>3.7</v>
      </c>
      <c r="E1370" s="18">
        <v>1</v>
      </c>
    </row>
    <row r="1371" spans="1:5" x14ac:dyDescent="0.35">
      <c r="A1371" s="11">
        <v>50010</v>
      </c>
      <c r="B1371" s="12" t="s">
        <v>19</v>
      </c>
      <c r="C1371" s="13">
        <v>27.4</v>
      </c>
      <c r="D1371" s="14">
        <v>10.4</v>
      </c>
      <c r="E1371" s="18">
        <v>1</v>
      </c>
    </row>
    <row r="1372" spans="1:5" x14ac:dyDescent="0.35">
      <c r="A1372" s="7">
        <v>50011</v>
      </c>
      <c r="B1372" s="8" t="s">
        <v>10</v>
      </c>
      <c r="C1372" s="9">
        <v>15.8</v>
      </c>
      <c r="D1372" s="10">
        <v>10.199999999999999</v>
      </c>
      <c r="E1372" s="18">
        <v>1</v>
      </c>
    </row>
    <row r="1373" spans="1:5" x14ac:dyDescent="0.35">
      <c r="A1373" s="11">
        <v>50012</v>
      </c>
      <c r="B1373" s="12" t="s">
        <v>19</v>
      </c>
      <c r="C1373" s="13">
        <v>19.600000000000001</v>
      </c>
      <c r="D1373" s="14">
        <v>0</v>
      </c>
      <c r="E1373" s="18">
        <v>1</v>
      </c>
    </row>
    <row r="1374" spans="1:5" x14ac:dyDescent="0.35">
      <c r="A1374" s="7">
        <v>50013</v>
      </c>
      <c r="B1374" s="8" t="s">
        <v>10</v>
      </c>
      <c r="C1374" s="9">
        <v>16.899999999999999</v>
      </c>
      <c r="D1374" s="10">
        <v>48.4</v>
      </c>
      <c r="E1374" s="18">
        <v>1</v>
      </c>
    </row>
    <row r="1375" spans="1:5" x14ac:dyDescent="0.35">
      <c r="A1375" s="11">
        <v>50014</v>
      </c>
      <c r="B1375" s="12" t="s">
        <v>19</v>
      </c>
      <c r="C1375" s="13">
        <v>12.2</v>
      </c>
      <c r="D1375" s="14">
        <v>0</v>
      </c>
      <c r="E1375" s="18">
        <v>1</v>
      </c>
    </row>
    <row r="1376" spans="1:5" x14ac:dyDescent="0.35">
      <c r="A1376" s="7">
        <v>50015</v>
      </c>
      <c r="B1376" s="8" t="s">
        <v>10</v>
      </c>
      <c r="C1376" s="9">
        <v>16.600000000000001</v>
      </c>
      <c r="D1376" s="10">
        <v>14.1</v>
      </c>
      <c r="E1376" s="18">
        <v>1</v>
      </c>
    </row>
    <row r="1377" spans="1:5" x14ac:dyDescent="0.35">
      <c r="A1377" s="11">
        <v>50016</v>
      </c>
      <c r="B1377" s="12" t="s">
        <v>11</v>
      </c>
      <c r="C1377" s="13">
        <v>27.6</v>
      </c>
      <c r="D1377" s="14">
        <v>0</v>
      </c>
      <c r="E1377" s="18">
        <v>1</v>
      </c>
    </row>
    <row r="1378" spans="1:5" x14ac:dyDescent="0.35">
      <c r="A1378" s="7">
        <v>50017</v>
      </c>
      <c r="B1378" s="8" t="s">
        <v>15</v>
      </c>
      <c r="C1378" s="9">
        <v>24.8</v>
      </c>
      <c r="D1378" s="10">
        <v>0</v>
      </c>
      <c r="E1378" s="18">
        <v>1</v>
      </c>
    </row>
    <row r="1379" spans="1:5" x14ac:dyDescent="0.35">
      <c r="A1379" s="11">
        <v>50018</v>
      </c>
      <c r="B1379" s="12" t="s">
        <v>10</v>
      </c>
      <c r="C1379" s="13">
        <v>23.1</v>
      </c>
      <c r="D1379" s="14">
        <v>29.8</v>
      </c>
      <c r="E1379" s="18">
        <v>1</v>
      </c>
    </row>
    <row r="1380" spans="1:5" x14ac:dyDescent="0.35">
      <c r="A1380" s="7">
        <v>50019</v>
      </c>
      <c r="B1380" s="8" t="s">
        <v>27</v>
      </c>
      <c r="C1380" s="9">
        <v>12.4</v>
      </c>
      <c r="D1380" s="10">
        <v>6.1</v>
      </c>
      <c r="E1380" s="18">
        <v>1</v>
      </c>
    </row>
    <row r="1381" spans="1:5" x14ac:dyDescent="0.35">
      <c r="A1381" s="11">
        <v>50020</v>
      </c>
      <c r="B1381" s="12" t="s">
        <v>19</v>
      </c>
      <c r="C1381" s="13">
        <v>13.9</v>
      </c>
      <c r="D1381" s="14">
        <v>21.5</v>
      </c>
      <c r="E1381" s="18">
        <v>1</v>
      </c>
    </row>
    <row r="1382" spans="1:5" x14ac:dyDescent="0.35">
      <c r="A1382" s="7">
        <v>50021</v>
      </c>
      <c r="B1382" s="8" t="s">
        <v>20</v>
      </c>
      <c r="C1382" s="9">
        <v>16.600000000000001</v>
      </c>
      <c r="D1382" s="10">
        <v>4.7</v>
      </c>
      <c r="E1382" s="18">
        <v>1</v>
      </c>
    </row>
    <row r="1383" spans="1:5" x14ac:dyDescent="0.35">
      <c r="A1383" s="11">
        <v>50022</v>
      </c>
      <c r="B1383" s="12" t="s">
        <v>13</v>
      </c>
      <c r="C1383" s="13">
        <v>17.7</v>
      </c>
      <c r="D1383" s="14">
        <v>14</v>
      </c>
      <c r="E1383" s="18">
        <v>1</v>
      </c>
    </row>
    <row r="1384" spans="1:5" x14ac:dyDescent="0.35">
      <c r="A1384" s="7">
        <v>50023</v>
      </c>
      <c r="B1384" s="8" t="s">
        <v>11</v>
      </c>
      <c r="C1384" s="9">
        <v>19</v>
      </c>
      <c r="D1384" s="10">
        <v>1.7</v>
      </c>
      <c r="E1384" s="18">
        <v>1</v>
      </c>
    </row>
    <row r="1385" spans="1:5" x14ac:dyDescent="0.35">
      <c r="A1385" s="11">
        <v>50024</v>
      </c>
      <c r="B1385" s="12" t="s">
        <v>7</v>
      </c>
      <c r="C1385" s="13">
        <v>29.9</v>
      </c>
      <c r="D1385" s="14">
        <v>0</v>
      </c>
      <c r="E1385" s="18">
        <v>1</v>
      </c>
    </row>
    <row r="1386" spans="1:5" x14ac:dyDescent="0.35">
      <c r="A1386" s="7">
        <v>50025</v>
      </c>
      <c r="B1386" s="8" t="s">
        <v>19</v>
      </c>
      <c r="C1386" s="9">
        <v>23.7</v>
      </c>
      <c r="D1386" s="10">
        <v>31.4</v>
      </c>
      <c r="E1386" s="18">
        <v>1</v>
      </c>
    </row>
    <row r="1387" spans="1:5" x14ac:dyDescent="0.35">
      <c r="A1387" s="11">
        <v>50026</v>
      </c>
      <c r="B1387" s="12" t="s">
        <v>10</v>
      </c>
      <c r="C1387" s="13">
        <v>25.4</v>
      </c>
      <c r="D1387" s="14">
        <v>0</v>
      </c>
      <c r="E1387" s="18">
        <v>1</v>
      </c>
    </row>
    <row r="1388" spans="1:5" x14ac:dyDescent="0.35">
      <c r="A1388" s="7">
        <v>50027</v>
      </c>
      <c r="B1388" s="8" t="s">
        <v>18</v>
      </c>
      <c r="C1388" s="9">
        <v>24.3</v>
      </c>
      <c r="D1388" s="10">
        <v>15.8</v>
      </c>
      <c r="E1388" s="18">
        <v>1</v>
      </c>
    </row>
    <row r="1389" spans="1:5" x14ac:dyDescent="0.35">
      <c r="A1389" s="11">
        <v>50028</v>
      </c>
      <c r="B1389" s="12" t="s">
        <v>7</v>
      </c>
      <c r="C1389" s="13">
        <v>10.8</v>
      </c>
      <c r="D1389" s="14">
        <v>0</v>
      </c>
      <c r="E1389" s="18">
        <v>1</v>
      </c>
    </row>
    <row r="1390" spans="1:5" x14ac:dyDescent="0.35">
      <c r="A1390" s="7">
        <v>50029</v>
      </c>
      <c r="B1390" s="8" t="s">
        <v>10</v>
      </c>
      <c r="C1390" s="9">
        <v>19</v>
      </c>
      <c r="D1390" s="10">
        <v>9.1</v>
      </c>
      <c r="E1390" s="18">
        <v>1</v>
      </c>
    </row>
    <row r="1391" spans="1:5" x14ac:dyDescent="0.35">
      <c r="A1391" s="11">
        <v>50030</v>
      </c>
      <c r="B1391" s="12" t="s">
        <v>15</v>
      </c>
      <c r="C1391" s="13">
        <v>27.8</v>
      </c>
      <c r="D1391" s="14">
        <v>15.2</v>
      </c>
      <c r="E1391" s="18">
        <v>1</v>
      </c>
    </row>
    <row r="1392" spans="1:5" x14ac:dyDescent="0.35">
      <c r="A1392" s="7">
        <v>50031</v>
      </c>
      <c r="B1392" s="8" t="s">
        <v>7</v>
      </c>
      <c r="C1392" s="9">
        <v>28.8</v>
      </c>
      <c r="D1392" s="10">
        <v>0</v>
      </c>
      <c r="E1392" s="18">
        <v>1</v>
      </c>
    </row>
    <row r="1393" spans="1:5" x14ac:dyDescent="0.35">
      <c r="A1393" s="11">
        <v>50032</v>
      </c>
      <c r="B1393" s="12" t="s">
        <v>5</v>
      </c>
      <c r="C1393" s="13">
        <v>12.6</v>
      </c>
      <c r="D1393" s="14">
        <v>0.8</v>
      </c>
      <c r="E1393" s="18">
        <v>1</v>
      </c>
    </row>
    <row r="1394" spans="1:5" x14ac:dyDescent="0.35">
      <c r="A1394" s="7">
        <v>50033</v>
      </c>
      <c r="B1394" s="8" t="s">
        <v>5</v>
      </c>
      <c r="C1394" s="9">
        <v>20.7</v>
      </c>
      <c r="D1394" s="10">
        <v>0</v>
      </c>
      <c r="E1394" s="18">
        <v>1</v>
      </c>
    </row>
    <row r="1395" spans="1:5" x14ac:dyDescent="0.35">
      <c r="A1395" s="11">
        <v>50034</v>
      </c>
      <c r="B1395" s="12" t="s">
        <v>19</v>
      </c>
      <c r="C1395" s="13">
        <v>19.399999999999999</v>
      </c>
      <c r="D1395" s="14">
        <v>19.3</v>
      </c>
      <c r="E1395" s="18">
        <v>1</v>
      </c>
    </row>
    <row r="1396" spans="1:5" x14ac:dyDescent="0.35">
      <c r="A1396" s="7">
        <v>50035</v>
      </c>
      <c r="B1396" s="8" t="s">
        <v>10</v>
      </c>
      <c r="C1396" s="9">
        <v>24.3</v>
      </c>
      <c r="D1396" s="10">
        <v>8.8000000000000007</v>
      </c>
      <c r="E1396" s="18">
        <v>1</v>
      </c>
    </row>
    <row r="1397" spans="1:5" x14ac:dyDescent="0.35">
      <c r="A1397" s="11">
        <v>50036</v>
      </c>
      <c r="B1397" s="12" t="s">
        <v>19</v>
      </c>
      <c r="C1397" s="13">
        <v>21.2</v>
      </c>
      <c r="D1397" s="14">
        <v>36</v>
      </c>
      <c r="E1397" s="18">
        <v>1</v>
      </c>
    </row>
    <row r="1398" spans="1:5" x14ac:dyDescent="0.35">
      <c r="A1398" s="7">
        <v>50037</v>
      </c>
      <c r="B1398" s="8" t="s">
        <v>5</v>
      </c>
      <c r="C1398" s="9">
        <v>28.4</v>
      </c>
      <c r="D1398" s="10">
        <v>0</v>
      </c>
      <c r="E1398" s="18">
        <v>1</v>
      </c>
    </row>
    <row r="1399" spans="1:5" x14ac:dyDescent="0.35">
      <c r="A1399" s="11">
        <v>50038</v>
      </c>
      <c r="B1399" s="12" t="s">
        <v>27</v>
      </c>
      <c r="C1399" s="13">
        <v>17.100000000000001</v>
      </c>
      <c r="D1399" s="14">
        <v>5.4</v>
      </c>
      <c r="E1399" s="18">
        <v>1</v>
      </c>
    </row>
    <row r="1400" spans="1:5" x14ac:dyDescent="0.35">
      <c r="A1400" s="7">
        <v>50039</v>
      </c>
      <c r="B1400" s="8" t="s">
        <v>10</v>
      </c>
      <c r="C1400" s="9">
        <v>24.4</v>
      </c>
      <c r="D1400" s="10">
        <v>23.8</v>
      </c>
      <c r="E1400" s="18">
        <v>1</v>
      </c>
    </row>
    <row r="1401" spans="1:5" x14ac:dyDescent="0.35">
      <c r="A1401" s="11">
        <v>50040</v>
      </c>
      <c r="B1401" s="12" t="s">
        <v>18</v>
      </c>
      <c r="C1401" s="13">
        <v>18.5</v>
      </c>
      <c r="D1401" s="14">
        <v>6</v>
      </c>
      <c r="E1401" s="18">
        <v>1</v>
      </c>
    </row>
    <row r="1402" spans="1:5" x14ac:dyDescent="0.35">
      <c r="A1402" s="7">
        <v>50041</v>
      </c>
      <c r="B1402" s="8" t="s">
        <v>19</v>
      </c>
      <c r="C1402" s="9">
        <v>24.1</v>
      </c>
      <c r="D1402" s="10">
        <v>21.5</v>
      </c>
      <c r="E1402" s="18">
        <v>1</v>
      </c>
    </row>
    <row r="1403" spans="1:5" x14ac:dyDescent="0.35">
      <c r="A1403" s="11">
        <v>50042</v>
      </c>
      <c r="B1403" s="12" t="s">
        <v>22</v>
      </c>
      <c r="C1403" s="13">
        <v>17.899999999999999</v>
      </c>
      <c r="D1403" s="14">
        <v>5.4</v>
      </c>
      <c r="E1403" s="18">
        <v>1</v>
      </c>
    </row>
    <row r="1404" spans="1:5" x14ac:dyDescent="0.35">
      <c r="A1404" s="7">
        <v>50043</v>
      </c>
      <c r="B1404" s="8" t="s">
        <v>22</v>
      </c>
      <c r="C1404" s="9">
        <v>15.8</v>
      </c>
      <c r="D1404" s="10">
        <v>7.4</v>
      </c>
      <c r="E1404" s="18">
        <v>1</v>
      </c>
    </row>
    <row r="1405" spans="1:5" x14ac:dyDescent="0.35">
      <c r="A1405" s="11">
        <v>50044</v>
      </c>
      <c r="B1405" s="12" t="s">
        <v>30</v>
      </c>
      <c r="C1405" s="13">
        <v>19.600000000000001</v>
      </c>
      <c r="D1405" s="14">
        <v>0.3</v>
      </c>
      <c r="E1405" s="18">
        <v>1</v>
      </c>
    </row>
    <row r="1406" spans="1:5" x14ac:dyDescent="0.35">
      <c r="A1406" s="7">
        <v>50045</v>
      </c>
      <c r="B1406" s="8" t="s">
        <v>19</v>
      </c>
      <c r="C1406" s="9">
        <v>17.7</v>
      </c>
      <c r="D1406" s="10">
        <v>0</v>
      </c>
      <c r="E1406" s="18">
        <v>1</v>
      </c>
    </row>
    <row r="1407" spans="1:5" x14ac:dyDescent="0.35">
      <c r="A1407" s="11">
        <v>50046</v>
      </c>
      <c r="B1407" s="12" t="s">
        <v>27</v>
      </c>
      <c r="C1407" s="13">
        <v>19.899999999999999</v>
      </c>
      <c r="D1407" s="14">
        <v>4.7</v>
      </c>
      <c r="E1407" s="18">
        <v>1</v>
      </c>
    </row>
    <row r="1408" spans="1:5" x14ac:dyDescent="0.35">
      <c r="A1408" s="7">
        <v>50047</v>
      </c>
      <c r="B1408" s="8" t="s">
        <v>5</v>
      </c>
      <c r="C1408" s="9">
        <v>10.6</v>
      </c>
      <c r="D1408" s="10">
        <v>4.8</v>
      </c>
      <c r="E1408" s="18">
        <v>1</v>
      </c>
    </row>
    <row r="1409" spans="1:5" x14ac:dyDescent="0.35">
      <c r="A1409" s="11">
        <v>50048</v>
      </c>
      <c r="B1409" s="12" t="s">
        <v>19</v>
      </c>
      <c r="C1409" s="13">
        <v>25.6</v>
      </c>
      <c r="D1409" s="14">
        <v>17.399999999999999</v>
      </c>
      <c r="E1409" s="18">
        <v>1</v>
      </c>
    </row>
    <row r="1410" spans="1:5" x14ac:dyDescent="0.35">
      <c r="A1410" s="7">
        <v>50049</v>
      </c>
      <c r="B1410" s="8" t="s">
        <v>9</v>
      </c>
      <c r="C1410" s="9">
        <v>22.4</v>
      </c>
      <c r="D1410" s="10">
        <v>7.7</v>
      </c>
      <c r="E1410" s="18">
        <v>1</v>
      </c>
    </row>
    <row r="1411" spans="1:5" x14ac:dyDescent="0.35">
      <c r="A1411" s="11">
        <v>50050</v>
      </c>
      <c r="B1411" s="12" t="s">
        <v>8</v>
      </c>
      <c r="C1411" s="13">
        <v>14.5</v>
      </c>
      <c r="D1411" s="14">
        <v>3.8</v>
      </c>
      <c r="E1411" s="18">
        <v>1</v>
      </c>
    </row>
    <row r="1412" spans="1:5" x14ac:dyDescent="0.35">
      <c r="A1412" s="7">
        <v>50051</v>
      </c>
      <c r="B1412" s="8" t="s">
        <v>9</v>
      </c>
      <c r="C1412" s="9">
        <v>15</v>
      </c>
      <c r="D1412" s="10">
        <v>4.2</v>
      </c>
      <c r="E1412" s="18">
        <v>1</v>
      </c>
    </row>
    <row r="1413" spans="1:5" x14ac:dyDescent="0.35">
      <c r="A1413" s="11">
        <v>50052</v>
      </c>
      <c r="B1413" s="12" t="s">
        <v>13</v>
      </c>
      <c r="C1413" s="13">
        <v>24</v>
      </c>
      <c r="D1413" s="14">
        <v>11.5</v>
      </c>
      <c r="E1413" s="18">
        <v>1</v>
      </c>
    </row>
    <row r="1414" spans="1:5" x14ac:dyDescent="0.35">
      <c r="A1414" s="7">
        <v>50053</v>
      </c>
      <c r="B1414" s="8" t="s">
        <v>23</v>
      </c>
      <c r="C1414" s="9">
        <v>20.7</v>
      </c>
      <c r="D1414" s="10">
        <v>2.9</v>
      </c>
      <c r="E1414" s="18">
        <v>1</v>
      </c>
    </row>
    <row r="1415" spans="1:5" x14ac:dyDescent="0.35">
      <c r="A1415" s="11">
        <v>50054</v>
      </c>
      <c r="B1415" s="12" t="s">
        <v>28</v>
      </c>
      <c r="C1415" s="13">
        <v>13.5</v>
      </c>
      <c r="D1415" s="14">
        <v>0.7</v>
      </c>
      <c r="E1415" s="18">
        <v>1</v>
      </c>
    </row>
    <row r="1416" spans="1:5" x14ac:dyDescent="0.35">
      <c r="A1416" s="7">
        <v>50055</v>
      </c>
      <c r="B1416" s="8" t="s">
        <v>19</v>
      </c>
      <c r="C1416" s="9">
        <v>23.7</v>
      </c>
      <c r="D1416" s="10">
        <v>13.1</v>
      </c>
      <c r="E1416" s="18">
        <v>1</v>
      </c>
    </row>
    <row r="1417" spans="1:5" x14ac:dyDescent="0.35">
      <c r="A1417" s="11">
        <v>50056</v>
      </c>
      <c r="B1417" s="12" t="s">
        <v>10</v>
      </c>
      <c r="C1417" s="13">
        <v>12.1</v>
      </c>
      <c r="D1417" s="14">
        <v>36</v>
      </c>
      <c r="E1417" s="18">
        <v>1</v>
      </c>
    </row>
    <row r="1418" spans="1:5" x14ac:dyDescent="0.35">
      <c r="A1418" s="7">
        <v>50057</v>
      </c>
      <c r="B1418" s="8" t="s">
        <v>13</v>
      </c>
      <c r="C1418" s="9">
        <v>21.8</v>
      </c>
      <c r="D1418" s="10">
        <v>10.9</v>
      </c>
      <c r="E1418" s="18">
        <v>1</v>
      </c>
    </row>
    <row r="1419" spans="1:5" x14ac:dyDescent="0.35">
      <c r="A1419" s="11">
        <v>50058</v>
      </c>
      <c r="B1419" s="12" t="s">
        <v>22</v>
      </c>
      <c r="C1419" s="13">
        <v>17.399999999999999</v>
      </c>
      <c r="D1419" s="14">
        <v>0</v>
      </c>
      <c r="E1419" s="18">
        <v>1</v>
      </c>
    </row>
    <row r="1420" spans="1:5" x14ac:dyDescent="0.35">
      <c r="A1420" s="7">
        <v>50059</v>
      </c>
      <c r="B1420" s="8" t="s">
        <v>6</v>
      </c>
      <c r="C1420" s="9">
        <v>15.6</v>
      </c>
      <c r="D1420" s="10">
        <v>0</v>
      </c>
      <c r="E1420" s="18">
        <v>1</v>
      </c>
    </row>
    <row r="1421" spans="1:5" x14ac:dyDescent="0.35">
      <c r="A1421" s="11">
        <v>50060</v>
      </c>
      <c r="B1421" s="12" t="s">
        <v>13</v>
      </c>
      <c r="C1421" s="13">
        <v>13.7</v>
      </c>
      <c r="D1421" s="14">
        <v>0</v>
      </c>
      <c r="E1421" s="18">
        <v>1</v>
      </c>
    </row>
    <row r="1422" spans="1:5" x14ac:dyDescent="0.35">
      <c r="A1422" s="7">
        <v>50061</v>
      </c>
      <c r="B1422" s="8" t="s">
        <v>10</v>
      </c>
      <c r="C1422" s="9">
        <v>24.7</v>
      </c>
      <c r="D1422" s="10">
        <v>16.2</v>
      </c>
      <c r="E1422" s="18">
        <v>1</v>
      </c>
    </row>
    <row r="1423" spans="1:5" x14ac:dyDescent="0.35">
      <c r="A1423" s="11">
        <v>50062</v>
      </c>
      <c r="B1423" s="12" t="s">
        <v>15</v>
      </c>
      <c r="C1423" s="13">
        <v>25.3</v>
      </c>
      <c r="D1423" s="14">
        <v>14.2</v>
      </c>
      <c r="E1423" s="18">
        <v>1</v>
      </c>
    </row>
    <row r="1424" spans="1:5" x14ac:dyDescent="0.35">
      <c r="A1424" s="7">
        <v>50063</v>
      </c>
      <c r="B1424" s="8" t="s">
        <v>15</v>
      </c>
      <c r="C1424" s="9">
        <v>18.399999999999999</v>
      </c>
      <c r="D1424" s="10">
        <v>0</v>
      </c>
      <c r="E1424" s="18">
        <v>1</v>
      </c>
    </row>
    <row r="1425" spans="1:5" x14ac:dyDescent="0.35">
      <c r="A1425" s="11">
        <v>50064</v>
      </c>
      <c r="B1425" s="12" t="s">
        <v>14</v>
      </c>
      <c r="C1425" s="13">
        <v>10.199999999999999</v>
      </c>
      <c r="D1425" s="14">
        <v>0</v>
      </c>
      <c r="E1425" s="18">
        <v>1</v>
      </c>
    </row>
    <row r="1426" spans="1:5" x14ac:dyDescent="0.35">
      <c r="A1426" s="7">
        <v>50065</v>
      </c>
      <c r="B1426" s="8" t="s">
        <v>33</v>
      </c>
      <c r="C1426" s="9">
        <v>26.9</v>
      </c>
      <c r="D1426" s="10">
        <v>0</v>
      </c>
      <c r="E1426" s="18">
        <v>1</v>
      </c>
    </row>
    <row r="1427" spans="1:5" x14ac:dyDescent="0.35">
      <c r="A1427" s="11">
        <v>50066</v>
      </c>
      <c r="B1427" s="12" t="s">
        <v>8</v>
      </c>
      <c r="C1427" s="13">
        <v>28.2</v>
      </c>
      <c r="D1427" s="14">
        <v>0</v>
      </c>
      <c r="E1427" s="18">
        <v>1</v>
      </c>
    </row>
    <row r="1428" spans="1:5" x14ac:dyDescent="0.35">
      <c r="A1428" s="7">
        <v>50067</v>
      </c>
      <c r="B1428" s="8" t="s">
        <v>7</v>
      </c>
      <c r="C1428" s="9">
        <v>15.9</v>
      </c>
      <c r="D1428" s="10">
        <v>0</v>
      </c>
      <c r="E1428" s="18">
        <v>1</v>
      </c>
    </row>
    <row r="1429" spans="1:5" x14ac:dyDescent="0.35">
      <c r="A1429" s="11">
        <v>50068</v>
      </c>
      <c r="B1429" s="12" t="s">
        <v>10</v>
      </c>
      <c r="C1429" s="13">
        <v>19.7</v>
      </c>
      <c r="D1429" s="14">
        <v>0</v>
      </c>
      <c r="E1429" s="18">
        <v>1</v>
      </c>
    </row>
    <row r="1430" spans="1:5" x14ac:dyDescent="0.35">
      <c r="A1430" s="7">
        <v>50069</v>
      </c>
      <c r="B1430" s="8" t="s">
        <v>7</v>
      </c>
      <c r="C1430" s="9">
        <v>16</v>
      </c>
      <c r="D1430" s="10">
        <v>0</v>
      </c>
      <c r="E1430" s="18">
        <v>1</v>
      </c>
    </row>
    <row r="1431" spans="1:5" x14ac:dyDescent="0.35">
      <c r="A1431" s="11">
        <v>50070</v>
      </c>
      <c r="B1431" s="12" t="s">
        <v>6</v>
      </c>
      <c r="C1431" s="13">
        <v>20.8</v>
      </c>
      <c r="D1431" s="14">
        <v>0</v>
      </c>
      <c r="E1431" s="18">
        <v>1</v>
      </c>
    </row>
    <row r="1432" spans="1:5" x14ac:dyDescent="0.35">
      <c r="A1432" s="7">
        <v>50071</v>
      </c>
      <c r="B1432" s="8" t="s">
        <v>23</v>
      </c>
      <c r="C1432" s="9">
        <v>12.5</v>
      </c>
      <c r="D1432" s="10">
        <v>0</v>
      </c>
      <c r="E1432" s="18">
        <v>1</v>
      </c>
    </row>
    <row r="1433" spans="1:5" x14ac:dyDescent="0.35">
      <c r="A1433" s="11">
        <v>50072</v>
      </c>
      <c r="B1433" s="12" t="s">
        <v>15</v>
      </c>
      <c r="C1433" s="13">
        <v>12.7</v>
      </c>
      <c r="D1433" s="14">
        <v>2.4</v>
      </c>
      <c r="E1433" s="18">
        <v>1</v>
      </c>
    </row>
    <row r="1434" spans="1:5" x14ac:dyDescent="0.35">
      <c r="A1434" s="7">
        <v>50073</v>
      </c>
      <c r="B1434" s="8" t="s">
        <v>18</v>
      </c>
      <c r="C1434" s="9">
        <v>23.5</v>
      </c>
      <c r="D1434" s="10">
        <v>11.5</v>
      </c>
      <c r="E1434" s="18">
        <v>1</v>
      </c>
    </row>
    <row r="1435" spans="1:5" x14ac:dyDescent="0.35">
      <c r="A1435" s="11">
        <v>50074</v>
      </c>
      <c r="B1435" s="12" t="s">
        <v>14</v>
      </c>
      <c r="C1435" s="13">
        <v>17.8</v>
      </c>
      <c r="D1435" s="14">
        <v>1.8</v>
      </c>
      <c r="E1435" s="18">
        <v>1</v>
      </c>
    </row>
    <row r="1436" spans="1:5" x14ac:dyDescent="0.35">
      <c r="A1436" s="7">
        <v>50075</v>
      </c>
      <c r="B1436" s="8" t="s">
        <v>11</v>
      </c>
      <c r="C1436" s="9">
        <v>11</v>
      </c>
      <c r="D1436" s="10">
        <v>0</v>
      </c>
      <c r="E1436" s="18">
        <v>1</v>
      </c>
    </row>
    <row r="1437" spans="1:5" x14ac:dyDescent="0.35">
      <c r="A1437" s="11">
        <v>50076</v>
      </c>
      <c r="B1437" s="12" t="s">
        <v>12</v>
      </c>
      <c r="C1437" s="13">
        <v>21.3</v>
      </c>
      <c r="D1437" s="14">
        <v>5.2</v>
      </c>
      <c r="E1437" s="18">
        <v>1</v>
      </c>
    </row>
    <row r="1438" spans="1:5" x14ac:dyDescent="0.35">
      <c r="A1438" s="7">
        <v>50077</v>
      </c>
      <c r="B1438" s="8" t="s">
        <v>7</v>
      </c>
      <c r="C1438" s="9">
        <v>19.600000000000001</v>
      </c>
      <c r="D1438" s="10">
        <v>8.1</v>
      </c>
      <c r="E1438" s="18">
        <v>1</v>
      </c>
    </row>
    <row r="1439" spans="1:5" x14ac:dyDescent="0.35">
      <c r="A1439" s="11">
        <v>50078</v>
      </c>
      <c r="B1439" s="12" t="s">
        <v>11</v>
      </c>
      <c r="C1439" s="13">
        <v>25.7</v>
      </c>
      <c r="D1439" s="14">
        <v>4.2</v>
      </c>
      <c r="E1439" s="18">
        <v>1</v>
      </c>
    </row>
    <row r="1440" spans="1:5" x14ac:dyDescent="0.35">
      <c r="A1440" s="7">
        <v>50079</v>
      </c>
      <c r="B1440" s="8" t="s">
        <v>10</v>
      </c>
      <c r="C1440" s="9">
        <v>20.9</v>
      </c>
      <c r="D1440" s="10">
        <v>28.6</v>
      </c>
      <c r="E1440" s="18">
        <v>1</v>
      </c>
    </row>
    <row r="1441" spans="1:5" x14ac:dyDescent="0.35">
      <c r="A1441" s="11">
        <v>50080</v>
      </c>
      <c r="B1441" s="12" t="s">
        <v>19</v>
      </c>
      <c r="C1441" s="13">
        <v>26.4</v>
      </c>
      <c r="D1441" s="14">
        <v>3.2</v>
      </c>
      <c r="E1441" s="18">
        <v>1</v>
      </c>
    </row>
    <row r="1442" spans="1:5" x14ac:dyDescent="0.35">
      <c r="A1442" s="7">
        <v>50081</v>
      </c>
      <c r="B1442" s="8" t="s">
        <v>19</v>
      </c>
      <c r="C1442" s="9">
        <v>26.5</v>
      </c>
      <c r="D1442" s="10">
        <v>13.1</v>
      </c>
      <c r="E1442" s="18">
        <v>1</v>
      </c>
    </row>
    <row r="1443" spans="1:5" x14ac:dyDescent="0.35">
      <c r="A1443" s="11">
        <v>50082</v>
      </c>
      <c r="B1443" s="12" t="s">
        <v>8</v>
      </c>
      <c r="C1443" s="13">
        <v>11.7</v>
      </c>
      <c r="D1443" s="14">
        <v>0</v>
      </c>
      <c r="E1443" s="18">
        <v>1</v>
      </c>
    </row>
    <row r="1444" spans="1:5" x14ac:dyDescent="0.35">
      <c r="A1444" s="7">
        <v>50083</v>
      </c>
      <c r="B1444" s="8" t="s">
        <v>12</v>
      </c>
      <c r="C1444" s="9">
        <v>24.7</v>
      </c>
      <c r="D1444" s="10">
        <v>0.3</v>
      </c>
      <c r="E1444" s="18">
        <v>1</v>
      </c>
    </row>
    <row r="1445" spans="1:5" x14ac:dyDescent="0.35">
      <c r="A1445" s="11">
        <v>50084</v>
      </c>
      <c r="B1445" s="12" t="s">
        <v>9</v>
      </c>
      <c r="C1445" s="13">
        <v>24.4</v>
      </c>
      <c r="D1445" s="14">
        <v>9.6</v>
      </c>
      <c r="E1445" s="18">
        <v>1</v>
      </c>
    </row>
    <row r="1446" spans="1:5" x14ac:dyDescent="0.35">
      <c r="A1446" s="7">
        <v>50085</v>
      </c>
      <c r="B1446" s="8" t="s">
        <v>19</v>
      </c>
      <c r="C1446" s="9">
        <v>19</v>
      </c>
      <c r="D1446" s="10">
        <v>28.8</v>
      </c>
      <c r="E1446" s="18">
        <v>1</v>
      </c>
    </row>
    <row r="1447" spans="1:5" x14ac:dyDescent="0.35">
      <c r="A1447" s="11">
        <v>50086</v>
      </c>
      <c r="B1447" s="12" t="s">
        <v>10</v>
      </c>
      <c r="C1447" s="13">
        <v>13.7</v>
      </c>
      <c r="D1447" s="14">
        <v>19.3</v>
      </c>
      <c r="E1447" s="18">
        <v>1</v>
      </c>
    </row>
    <row r="1448" spans="1:5" x14ac:dyDescent="0.35">
      <c r="A1448" s="7">
        <v>50087</v>
      </c>
      <c r="B1448" s="8" t="s">
        <v>10</v>
      </c>
      <c r="C1448" s="9">
        <v>28.9</v>
      </c>
      <c r="D1448" s="10">
        <v>20.399999999999999</v>
      </c>
      <c r="E1448" s="18">
        <v>1</v>
      </c>
    </row>
    <row r="1449" spans="1:5" x14ac:dyDescent="0.35">
      <c r="A1449" s="11">
        <v>50088</v>
      </c>
      <c r="B1449" s="12" t="s">
        <v>20</v>
      </c>
      <c r="C1449" s="13">
        <v>25.2</v>
      </c>
      <c r="D1449" s="14">
        <v>0</v>
      </c>
      <c r="E1449" s="18">
        <v>1</v>
      </c>
    </row>
    <row r="1450" spans="1:5" x14ac:dyDescent="0.35">
      <c r="A1450" s="7">
        <v>50089</v>
      </c>
      <c r="B1450" s="8" t="s">
        <v>11</v>
      </c>
      <c r="C1450" s="9">
        <v>15.4</v>
      </c>
      <c r="D1450" s="10">
        <v>9</v>
      </c>
      <c r="E1450" s="18">
        <v>1</v>
      </c>
    </row>
    <row r="1451" spans="1:5" x14ac:dyDescent="0.35">
      <c r="A1451" s="11">
        <v>50090</v>
      </c>
      <c r="B1451" s="12" t="s">
        <v>16</v>
      </c>
      <c r="C1451" s="13">
        <v>24.1</v>
      </c>
      <c r="D1451" s="14">
        <v>0.3</v>
      </c>
      <c r="E1451" s="18">
        <v>1</v>
      </c>
    </row>
    <row r="1452" spans="1:5" x14ac:dyDescent="0.35">
      <c r="A1452" s="7">
        <v>50091</v>
      </c>
      <c r="B1452" s="8" t="s">
        <v>22</v>
      </c>
      <c r="C1452" s="9">
        <v>27.7</v>
      </c>
      <c r="D1452" s="10">
        <v>0</v>
      </c>
      <c r="E1452" s="18">
        <v>1</v>
      </c>
    </row>
    <row r="1453" spans="1:5" x14ac:dyDescent="0.35">
      <c r="A1453" s="11">
        <v>50092</v>
      </c>
      <c r="B1453" s="12" t="s">
        <v>11</v>
      </c>
      <c r="C1453" s="13">
        <v>19.600000000000001</v>
      </c>
      <c r="D1453" s="14">
        <v>21.1</v>
      </c>
      <c r="E1453" s="18">
        <v>1</v>
      </c>
    </row>
    <row r="1454" spans="1:5" x14ac:dyDescent="0.35">
      <c r="A1454" s="7">
        <v>50093</v>
      </c>
      <c r="B1454" s="8" t="s">
        <v>23</v>
      </c>
      <c r="C1454" s="9">
        <v>29</v>
      </c>
      <c r="D1454" s="10">
        <v>3.2</v>
      </c>
      <c r="E1454" s="18">
        <v>1</v>
      </c>
    </row>
    <row r="1455" spans="1:5" x14ac:dyDescent="0.35">
      <c r="A1455" s="11">
        <v>50094</v>
      </c>
      <c r="B1455" s="12" t="s">
        <v>31</v>
      </c>
      <c r="C1455" s="13">
        <v>10.3</v>
      </c>
      <c r="D1455" s="14">
        <v>0.7</v>
      </c>
      <c r="E1455" s="18">
        <v>1</v>
      </c>
    </row>
    <row r="1456" spans="1:5" x14ac:dyDescent="0.35">
      <c r="A1456" s="7">
        <v>50095</v>
      </c>
      <c r="B1456" s="8" t="s">
        <v>10</v>
      </c>
      <c r="C1456" s="9">
        <v>11</v>
      </c>
      <c r="D1456" s="10">
        <v>40.200000000000003</v>
      </c>
      <c r="E1456" s="18">
        <v>1</v>
      </c>
    </row>
    <row r="1457" spans="1:5" x14ac:dyDescent="0.35">
      <c r="A1457" s="11">
        <v>50096</v>
      </c>
      <c r="B1457" s="12" t="s">
        <v>11</v>
      </c>
      <c r="C1457" s="13">
        <v>28.6</v>
      </c>
      <c r="D1457" s="14">
        <v>0.6</v>
      </c>
      <c r="E1457" s="18">
        <v>1</v>
      </c>
    </row>
    <row r="1458" spans="1:5" x14ac:dyDescent="0.35">
      <c r="A1458" s="7">
        <v>50097</v>
      </c>
      <c r="B1458" s="8" t="s">
        <v>17</v>
      </c>
      <c r="C1458" s="9">
        <v>22.5</v>
      </c>
      <c r="D1458" s="10">
        <v>1</v>
      </c>
      <c r="E1458" s="18">
        <v>1</v>
      </c>
    </row>
    <row r="1459" spans="1:5" x14ac:dyDescent="0.35">
      <c r="A1459" s="11">
        <v>50098</v>
      </c>
      <c r="B1459" s="12" t="s">
        <v>12</v>
      </c>
      <c r="C1459" s="13">
        <v>19.600000000000001</v>
      </c>
      <c r="D1459" s="14">
        <v>0</v>
      </c>
      <c r="E1459" s="18">
        <v>1</v>
      </c>
    </row>
    <row r="1460" spans="1:5" x14ac:dyDescent="0.35">
      <c r="A1460" s="7">
        <v>50099</v>
      </c>
      <c r="B1460" s="8" t="s">
        <v>28</v>
      </c>
      <c r="C1460" s="9">
        <v>19.899999999999999</v>
      </c>
      <c r="D1460" s="10">
        <v>0</v>
      </c>
      <c r="E1460" s="18">
        <v>1</v>
      </c>
    </row>
    <row r="1461" spans="1:5" x14ac:dyDescent="0.35">
      <c r="A1461" s="11">
        <v>50100</v>
      </c>
      <c r="B1461" s="12" t="s">
        <v>6</v>
      </c>
      <c r="C1461" s="13">
        <v>21.7</v>
      </c>
      <c r="D1461" s="14">
        <v>9.4</v>
      </c>
      <c r="E1461" s="18">
        <v>1</v>
      </c>
    </row>
    <row r="1462" spans="1:5" x14ac:dyDescent="0.35">
      <c r="A1462" s="7">
        <v>50101</v>
      </c>
      <c r="B1462" s="8" t="s">
        <v>12</v>
      </c>
      <c r="C1462" s="9">
        <v>15.3</v>
      </c>
      <c r="D1462" s="10">
        <v>0</v>
      </c>
      <c r="E1462" s="18">
        <v>1</v>
      </c>
    </row>
    <row r="1463" spans="1:5" x14ac:dyDescent="0.35">
      <c r="A1463" s="11">
        <v>50102</v>
      </c>
      <c r="B1463" s="12" t="s">
        <v>15</v>
      </c>
      <c r="C1463" s="13">
        <v>20.9</v>
      </c>
      <c r="D1463" s="14">
        <v>12.4</v>
      </c>
      <c r="E1463" s="18">
        <v>1</v>
      </c>
    </row>
    <row r="1464" spans="1:5" x14ac:dyDescent="0.35">
      <c r="A1464" s="7">
        <v>50103</v>
      </c>
      <c r="B1464" s="8" t="s">
        <v>5</v>
      </c>
      <c r="C1464" s="9">
        <v>17</v>
      </c>
      <c r="D1464" s="10">
        <v>0</v>
      </c>
      <c r="E1464" s="18">
        <v>1</v>
      </c>
    </row>
    <row r="1465" spans="1:5" x14ac:dyDescent="0.35">
      <c r="A1465" s="11">
        <v>50104</v>
      </c>
      <c r="B1465" s="12" t="s">
        <v>6</v>
      </c>
      <c r="C1465" s="13">
        <v>25.8</v>
      </c>
      <c r="D1465" s="14">
        <v>1.4</v>
      </c>
      <c r="E1465" s="18">
        <v>1</v>
      </c>
    </row>
    <row r="1466" spans="1:5" x14ac:dyDescent="0.35">
      <c r="A1466" s="7">
        <v>50105</v>
      </c>
      <c r="B1466" s="8" t="s">
        <v>27</v>
      </c>
      <c r="C1466" s="9">
        <v>19.100000000000001</v>
      </c>
      <c r="D1466" s="10">
        <v>2.5</v>
      </c>
      <c r="E1466" s="18">
        <v>1</v>
      </c>
    </row>
    <row r="1467" spans="1:5" x14ac:dyDescent="0.35">
      <c r="A1467" s="11">
        <v>50106</v>
      </c>
      <c r="B1467" s="12" t="s">
        <v>13</v>
      </c>
      <c r="C1467" s="13">
        <v>24.6</v>
      </c>
      <c r="D1467" s="14">
        <v>12.5</v>
      </c>
      <c r="E1467" s="18">
        <v>1</v>
      </c>
    </row>
    <row r="1468" spans="1:5" x14ac:dyDescent="0.35">
      <c r="A1468" s="7">
        <v>50107</v>
      </c>
      <c r="B1468" s="8" t="s">
        <v>15</v>
      </c>
      <c r="C1468" s="9">
        <v>22.6</v>
      </c>
      <c r="D1468" s="10">
        <v>15.4</v>
      </c>
      <c r="E1468" s="18">
        <v>1</v>
      </c>
    </row>
    <row r="1469" spans="1:5" x14ac:dyDescent="0.35">
      <c r="A1469" s="11">
        <v>50108</v>
      </c>
      <c r="B1469" s="12" t="s">
        <v>9</v>
      </c>
      <c r="C1469" s="13">
        <v>18.3</v>
      </c>
      <c r="D1469" s="14">
        <v>4.7</v>
      </c>
      <c r="E1469" s="18">
        <v>1</v>
      </c>
    </row>
    <row r="1470" spans="1:5" x14ac:dyDescent="0.35">
      <c r="A1470" s="7">
        <v>50109</v>
      </c>
      <c r="B1470" s="8" t="s">
        <v>7</v>
      </c>
      <c r="C1470" s="9">
        <v>25.5</v>
      </c>
      <c r="D1470" s="10">
        <v>0</v>
      </c>
      <c r="E1470" s="18">
        <v>1</v>
      </c>
    </row>
    <row r="1471" spans="1:5" x14ac:dyDescent="0.35">
      <c r="A1471" s="11">
        <v>50110</v>
      </c>
      <c r="B1471" s="12" t="s">
        <v>18</v>
      </c>
      <c r="C1471" s="13">
        <v>26.6</v>
      </c>
      <c r="D1471" s="14">
        <v>0</v>
      </c>
      <c r="E1471" s="18">
        <v>1</v>
      </c>
    </row>
    <row r="1472" spans="1:5" x14ac:dyDescent="0.35">
      <c r="A1472" s="7">
        <v>50111</v>
      </c>
      <c r="B1472" s="8" t="s">
        <v>7</v>
      </c>
      <c r="C1472" s="9">
        <v>19.8</v>
      </c>
      <c r="D1472" s="10">
        <v>14.9</v>
      </c>
      <c r="E1472" s="18">
        <v>1</v>
      </c>
    </row>
    <row r="1473" spans="1:5" x14ac:dyDescent="0.35">
      <c r="A1473" s="11">
        <v>50112</v>
      </c>
      <c r="B1473" s="12" t="s">
        <v>26</v>
      </c>
      <c r="C1473" s="13">
        <v>23.7</v>
      </c>
      <c r="D1473" s="14">
        <v>0.9</v>
      </c>
      <c r="E1473" s="18">
        <v>1</v>
      </c>
    </row>
    <row r="1474" spans="1:5" x14ac:dyDescent="0.35">
      <c r="A1474" s="7">
        <v>50113</v>
      </c>
      <c r="B1474" s="8" t="s">
        <v>24</v>
      </c>
      <c r="C1474" s="9">
        <v>23.5</v>
      </c>
      <c r="D1474" s="10">
        <v>1</v>
      </c>
      <c r="E1474" s="18">
        <v>1</v>
      </c>
    </row>
    <row r="1475" spans="1:5" x14ac:dyDescent="0.35">
      <c r="A1475" s="11">
        <v>50114</v>
      </c>
      <c r="B1475" s="12" t="s">
        <v>5</v>
      </c>
      <c r="C1475" s="13">
        <v>18.8</v>
      </c>
      <c r="D1475" s="14">
        <v>7.8</v>
      </c>
      <c r="E1475" s="18">
        <v>1</v>
      </c>
    </row>
    <row r="1476" spans="1:5" x14ac:dyDescent="0.35">
      <c r="A1476" s="7">
        <v>50115</v>
      </c>
      <c r="B1476" s="8" t="s">
        <v>6</v>
      </c>
      <c r="C1476" s="9">
        <v>18.7</v>
      </c>
      <c r="D1476" s="10">
        <v>10</v>
      </c>
      <c r="E1476" s="18">
        <v>1</v>
      </c>
    </row>
    <row r="1477" spans="1:5" x14ac:dyDescent="0.35">
      <c r="A1477" s="11">
        <v>50116</v>
      </c>
      <c r="B1477" s="12" t="s">
        <v>19</v>
      </c>
      <c r="C1477" s="13">
        <v>28.3</v>
      </c>
      <c r="D1477" s="14">
        <v>21.8</v>
      </c>
      <c r="E1477" s="18">
        <v>1</v>
      </c>
    </row>
    <row r="1478" spans="1:5" x14ac:dyDescent="0.35">
      <c r="A1478" s="7">
        <v>50117</v>
      </c>
      <c r="B1478" s="8" t="s">
        <v>22</v>
      </c>
      <c r="C1478" s="9">
        <v>10.6</v>
      </c>
      <c r="D1478" s="10">
        <v>6.4</v>
      </c>
      <c r="E1478" s="18">
        <v>1</v>
      </c>
    </row>
    <row r="1479" spans="1:5" x14ac:dyDescent="0.35">
      <c r="A1479" s="11">
        <v>50118</v>
      </c>
      <c r="B1479" s="12" t="s">
        <v>10</v>
      </c>
      <c r="C1479" s="13">
        <v>26.2</v>
      </c>
      <c r="D1479" s="14">
        <v>19.2</v>
      </c>
      <c r="E1479" s="18">
        <v>1</v>
      </c>
    </row>
    <row r="1480" spans="1:5" x14ac:dyDescent="0.35">
      <c r="A1480" s="7">
        <v>50119</v>
      </c>
      <c r="B1480" s="8" t="s">
        <v>13</v>
      </c>
      <c r="C1480" s="9">
        <v>25.3</v>
      </c>
      <c r="D1480" s="10">
        <v>8.6999999999999993</v>
      </c>
      <c r="E1480" s="18">
        <v>1</v>
      </c>
    </row>
    <row r="1481" spans="1:5" x14ac:dyDescent="0.35">
      <c r="A1481" s="11">
        <v>50120</v>
      </c>
      <c r="B1481" s="12" t="s">
        <v>22</v>
      </c>
      <c r="C1481" s="13">
        <v>21.6</v>
      </c>
      <c r="D1481" s="14">
        <v>1</v>
      </c>
      <c r="E1481" s="18">
        <v>1</v>
      </c>
    </row>
    <row r="1482" spans="1:5" x14ac:dyDescent="0.35">
      <c r="A1482" s="7">
        <v>50121</v>
      </c>
      <c r="B1482" s="8" t="s">
        <v>19</v>
      </c>
      <c r="C1482" s="9">
        <v>24.9</v>
      </c>
      <c r="D1482" s="10">
        <v>23.5</v>
      </c>
      <c r="E1482" s="18">
        <v>1</v>
      </c>
    </row>
    <row r="1483" spans="1:5" x14ac:dyDescent="0.35">
      <c r="A1483" s="11">
        <v>50122</v>
      </c>
      <c r="B1483" s="12" t="s">
        <v>15</v>
      </c>
      <c r="C1483" s="13">
        <v>27.7</v>
      </c>
      <c r="D1483" s="14">
        <v>11.5</v>
      </c>
      <c r="E1483" s="18">
        <v>1</v>
      </c>
    </row>
    <row r="1484" spans="1:5" x14ac:dyDescent="0.35">
      <c r="A1484" s="7">
        <v>50123</v>
      </c>
      <c r="B1484" s="8" t="s">
        <v>19</v>
      </c>
      <c r="C1484" s="9">
        <v>12.3</v>
      </c>
      <c r="D1484" s="10">
        <v>0</v>
      </c>
      <c r="E1484" s="18">
        <v>1</v>
      </c>
    </row>
    <row r="1485" spans="1:5" x14ac:dyDescent="0.35">
      <c r="A1485" s="11">
        <v>50124</v>
      </c>
      <c r="B1485" s="12" t="s">
        <v>20</v>
      </c>
      <c r="C1485" s="13">
        <v>10.199999999999999</v>
      </c>
      <c r="D1485" s="14">
        <v>0.8</v>
      </c>
      <c r="E1485" s="18">
        <v>1</v>
      </c>
    </row>
    <row r="1486" spans="1:5" x14ac:dyDescent="0.35">
      <c r="A1486" s="7">
        <v>50125</v>
      </c>
      <c r="B1486" s="8" t="s">
        <v>10</v>
      </c>
      <c r="C1486" s="9">
        <v>23.1</v>
      </c>
      <c r="D1486" s="10">
        <v>0</v>
      </c>
      <c r="E1486" s="18">
        <v>1</v>
      </c>
    </row>
    <row r="1487" spans="1:5" x14ac:dyDescent="0.35">
      <c r="A1487" s="11">
        <v>50126</v>
      </c>
      <c r="B1487" s="12" t="s">
        <v>18</v>
      </c>
      <c r="C1487" s="13">
        <v>11.3</v>
      </c>
      <c r="D1487" s="14">
        <v>0</v>
      </c>
      <c r="E1487" s="18">
        <v>1</v>
      </c>
    </row>
    <row r="1488" spans="1:5" x14ac:dyDescent="0.35">
      <c r="A1488" s="7">
        <v>50127</v>
      </c>
      <c r="B1488" s="8" t="s">
        <v>19</v>
      </c>
      <c r="C1488" s="9">
        <v>29.5</v>
      </c>
      <c r="D1488" s="10">
        <v>10.4</v>
      </c>
      <c r="E1488" s="18">
        <v>1</v>
      </c>
    </row>
    <row r="1489" spans="1:5" x14ac:dyDescent="0.35">
      <c r="A1489" s="11">
        <v>50128</v>
      </c>
      <c r="B1489" s="12" t="s">
        <v>15</v>
      </c>
      <c r="C1489" s="13">
        <v>19.7</v>
      </c>
      <c r="D1489" s="14">
        <v>0</v>
      </c>
      <c r="E1489" s="18">
        <v>1</v>
      </c>
    </row>
    <row r="1490" spans="1:5" x14ac:dyDescent="0.35">
      <c r="A1490" s="7">
        <v>50129</v>
      </c>
      <c r="B1490" s="8" t="s">
        <v>5</v>
      </c>
      <c r="C1490" s="9">
        <v>27.9</v>
      </c>
      <c r="D1490" s="10">
        <v>3.4</v>
      </c>
      <c r="E1490" s="18">
        <v>1</v>
      </c>
    </row>
    <row r="1491" spans="1:5" x14ac:dyDescent="0.35">
      <c r="A1491" s="11">
        <v>50130</v>
      </c>
      <c r="B1491" s="12" t="s">
        <v>10</v>
      </c>
      <c r="C1491" s="13">
        <v>17.399999999999999</v>
      </c>
      <c r="D1491" s="14">
        <v>34.200000000000003</v>
      </c>
      <c r="E1491" s="18">
        <v>1</v>
      </c>
    </row>
    <row r="1492" spans="1:5" x14ac:dyDescent="0.35">
      <c r="A1492" s="7">
        <v>50131</v>
      </c>
      <c r="B1492" s="8" t="s">
        <v>17</v>
      </c>
      <c r="C1492" s="9">
        <v>23</v>
      </c>
      <c r="D1492" s="10">
        <v>0</v>
      </c>
      <c r="E1492" s="18">
        <v>1</v>
      </c>
    </row>
    <row r="1493" spans="1:5" x14ac:dyDescent="0.35">
      <c r="A1493" s="11">
        <v>50132</v>
      </c>
      <c r="B1493" s="12" t="s">
        <v>21</v>
      </c>
      <c r="C1493" s="13">
        <v>27.6</v>
      </c>
      <c r="D1493" s="14">
        <v>0</v>
      </c>
      <c r="E1493" s="18">
        <v>1</v>
      </c>
    </row>
    <row r="1494" spans="1:5" x14ac:dyDescent="0.35">
      <c r="A1494" s="7">
        <v>50133</v>
      </c>
      <c r="B1494" s="8" t="s">
        <v>22</v>
      </c>
      <c r="C1494" s="9">
        <v>11.6</v>
      </c>
      <c r="D1494" s="10">
        <v>0</v>
      </c>
      <c r="E1494" s="18">
        <v>1</v>
      </c>
    </row>
    <row r="1495" spans="1:5" x14ac:dyDescent="0.35">
      <c r="A1495" s="11">
        <v>50134</v>
      </c>
      <c r="B1495" s="12" t="s">
        <v>20</v>
      </c>
      <c r="C1495" s="13">
        <v>24.2</v>
      </c>
      <c r="D1495" s="14">
        <v>5</v>
      </c>
      <c r="E1495" s="18">
        <v>1</v>
      </c>
    </row>
    <row r="1496" spans="1:5" x14ac:dyDescent="0.35">
      <c r="A1496" s="7">
        <v>50135</v>
      </c>
      <c r="B1496" s="8" t="s">
        <v>6</v>
      </c>
      <c r="C1496" s="9">
        <v>13.2</v>
      </c>
      <c r="D1496" s="10">
        <v>2.2999999999999998</v>
      </c>
      <c r="E1496" s="18">
        <v>1</v>
      </c>
    </row>
    <row r="1497" spans="1:5" x14ac:dyDescent="0.35">
      <c r="A1497" s="11">
        <v>50136</v>
      </c>
      <c r="B1497" s="12" t="s">
        <v>7</v>
      </c>
      <c r="C1497" s="13">
        <v>27</v>
      </c>
      <c r="D1497" s="14">
        <v>0.7</v>
      </c>
      <c r="E1497" s="18">
        <v>1</v>
      </c>
    </row>
    <row r="1498" spans="1:5" x14ac:dyDescent="0.35">
      <c r="A1498" s="7">
        <v>50137</v>
      </c>
      <c r="B1498" s="8" t="s">
        <v>6</v>
      </c>
      <c r="C1498" s="9">
        <v>23.9</v>
      </c>
      <c r="D1498" s="10">
        <v>6.2</v>
      </c>
      <c r="E1498" s="18">
        <v>1</v>
      </c>
    </row>
    <row r="1499" spans="1:5" x14ac:dyDescent="0.35">
      <c r="A1499" s="11">
        <v>50138</v>
      </c>
      <c r="B1499" s="12" t="s">
        <v>19</v>
      </c>
      <c r="C1499" s="13">
        <v>16.8</v>
      </c>
      <c r="D1499" s="14">
        <v>17.600000000000001</v>
      </c>
      <c r="E1499" s="18">
        <v>1</v>
      </c>
    </row>
    <row r="1500" spans="1:5" x14ac:dyDescent="0.35">
      <c r="A1500" s="7">
        <v>50139</v>
      </c>
      <c r="B1500" s="8" t="s">
        <v>19</v>
      </c>
      <c r="C1500" s="9">
        <v>28.5</v>
      </c>
      <c r="D1500" s="10">
        <v>15.2</v>
      </c>
      <c r="E1500" s="18">
        <v>1</v>
      </c>
    </row>
    <row r="1501" spans="1:5" x14ac:dyDescent="0.35">
      <c r="A1501" s="11">
        <v>50140</v>
      </c>
      <c r="B1501" s="12" t="s">
        <v>33</v>
      </c>
      <c r="C1501" s="13">
        <v>25.2</v>
      </c>
      <c r="D1501" s="14">
        <v>1.9</v>
      </c>
      <c r="E1501" s="18">
        <v>1</v>
      </c>
    </row>
    <row r="1502" spans="1:5" x14ac:dyDescent="0.35">
      <c r="A1502" s="7">
        <v>50141</v>
      </c>
      <c r="B1502" s="8" t="s">
        <v>10</v>
      </c>
      <c r="C1502" s="9">
        <v>24.9</v>
      </c>
      <c r="D1502" s="10">
        <v>6.8</v>
      </c>
      <c r="E1502" s="18">
        <v>1</v>
      </c>
    </row>
    <row r="1503" spans="1:5" x14ac:dyDescent="0.35">
      <c r="A1503" s="11">
        <v>50142</v>
      </c>
      <c r="B1503" s="12" t="s">
        <v>12</v>
      </c>
      <c r="C1503" s="13">
        <v>14.7</v>
      </c>
      <c r="D1503" s="14">
        <v>5.7</v>
      </c>
      <c r="E1503" s="18">
        <v>1</v>
      </c>
    </row>
    <row r="1504" spans="1:5" x14ac:dyDescent="0.35">
      <c r="A1504" s="7">
        <v>50143</v>
      </c>
      <c r="B1504" s="8" t="s">
        <v>10</v>
      </c>
      <c r="C1504" s="9">
        <v>12.2</v>
      </c>
      <c r="D1504" s="10">
        <v>14.1</v>
      </c>
      <c r="E1504" s="18">
        <v>1</v>
      </c>
    </row>
    <row r="1505" spans="1:5" x14ac:dyDescent="0.35">
      <c r="A1505" s="11">
        <v>50144</v>
      </c>
      <c r="B1505" s="12" t="s">
        <v>9</v>
      </c>
      <c r="C1505" s="13">
        <v>24.2</v>
      </c>
      <c r="D1505" s="14">
        <v>8</v>
      </c>
      <c r="E1505" s="18">
        <v>1</v>
      </c>
    </row>
    <row r="1506" spans="1:5" x14ac:dyDescent="0.35">
      <c r="A1506" s="7">
        <v>50145</v>
      </c>
      <c r="B1506" s="8" t="s">
        <v>22</v>
      </c>
      <c r="C1506" s="9">
        <v>28.7</v>
      </c>
      <c r="D1506" s="10">
        <v>0</v>
      </c>
      <c r="E1506" s="18">
        <v>1</v>
      </c>
    </row>
    <row r="1507" spans="1:5" x14ac:dyDescent="0.35">
      <c r="A1507" s="11">
        <v>50146</v>
      </c>
      <c r="B1507" s="12" t="s">
        <v>10</v>
      </c>
      <c r="C1507" s="13">
        <v>28.5</v>
      </c>
      <c r="D1507" s="14">
        <v>0</v>
      </c>
      <c r="E1507" s="18">
        <v>1</v>
      </c>
    </row>
    <row r="1508" spans="1:5" x14ac:dyDescent="0.35">
      <c r="A1508" s="7">
        <v>50147</v>
      </c>
      <c r="B1508" s="8" t="s">
        <v>7</v>
      </c>
      <c r="C1508" s="9">
        <v>29.3</v>
      </c>
      <c r="D1508" s="10">
        <v>23.3</v>
      </c>
      <c r="E1508" s="18">
        <v>1</v>
      </c>
    </row>
    <row r="1509" spans="1:5" x14ac:dyDescent="0.35">
      <c r="A1509" s="11">
        <v>50148</v>
      </c>
      <c r="B1509" s="12" t="s">
        <v>10</v>
      </c>
      <c r="C1509" s="13">
        <v>13.3</v>
      </c>
      <c r="D1509" s="14">
        <v>4.9000000000000004</v>
      </c>
      <c r="E1509" s="18">
        <v>1</v>
      </c>
    </row>
    <row r="1510" spans="1:5" x14ac:dyDescent="0.35">
      <c r="A1510" s="7">
        <v>50149</v>
      </c>
      <c r="B1510" s="8" t="s">
        <v>10</v>
      </c>
      <c r="C1510" s="9">
        <v>22.6</v>
      </c>
      <c r="D1510" s="10">
        <v>0.7</v>
      </c>
      <c r="E1510" s="18">
        <v>1</v>
      </c>
    </row>
    <row r="1511" spans="1:5" x14ac:dyDescent="0.35">
      <c r="A1511" s="11">
        <v>50150</v>
      </c>
      <c r="B1511" s="12" t="s">
        <v>20</v>
      </c>
      <c r="C1511" s="13">
        <v>19.3</v>
      </c>
      <c r="D1511" s="14">
        <v>3</v>
      </c>
      <c r="E1511" s="18">
        <v>1</v>
      </c>
    </row>
    <row r="1512" spans="1:5" x14ac:dyDescent="0.35">
      <c r="A1512" s="7">
        <v>50151</v>
      </c>
      <c r="B1512" s="8" t="s">
        <v>8</v>
      </c>
      <c r="C1512" s="9">
        <v>17.899999999999999</v>
      </c>
      <c r="D1512" s="10">
        <v>5.0999999999999996</v>
      </c>
      <c r="E1512" s="18">
        <v>1</v>
      </c>
    </row>
    <row r="1513" spans="1:5" x14ac:dyDescent="0.35">
      <c r="A1513" s="11">
        <v>50152</v>
      </c>
      <c r="B1513" s="12" t="s">
        <v>20</v>
      </c>
      <c r="C1513" s="13">
        <v>16.7</v>
      </c>
      <c r="D1513" s="14">
        <v>0.3</v>
      </c>
      <c r="E1513" s="18">
        <v>1</v>
      </c>
    </row>
    <row r="1514" spans="1:5" x14ac:dyDescent="0.35">
      <c r="A1514" s="7">
        <v>50153</v>
      </c>
      <c r="B1514" s="8" t="s">
        <v>20</v>
      </c>
      <c r="C1514" s="9">
        <v>22</v>
      </c>
      <c r="D1514" s="10">
        <v>0</v>
      </c>
      <c r="E1514" s="18">
        <v>1</v>
      </c>
    </row>
    <row r="1515" spans="1:5" x14ac:dyDescent="0.35">
      <c r="A1515" s="11">
        <v>50154</v>
      </c>
      <c r="B1515" s="12" t="s">
        <v>9</v>
      </c>
      <c r="C1515" s="13">
        <v>21.2</v>
      </c>
      <c r="D1515" s="14">
        <v>5.9</v>
      </c>
      <c r="E1515" s="18">
        <v>1</v>
      </c>
    </row>
    <row r="1516" spans="1:5" x14ac:dyDescent="0.35">
      <c r="A1516" s="7">
        <v>50155</v>
      </c>
      <c r="B1516" s="8" t="s">
        <v>11</v>
      </c>
      <c r="C1516" s="9">
        <v>20.6</v>
      </c>
      <c r="D1516" s="10">
        <v>4.5999999999999996</v>
      </c>
      <c r="E1516" s="18">
        <v>1</v>
      </c>
    </row>
    <row r="1517" spans="1:5" x14ac:dyDescent="0.35">
      <c r="A1517" s="11">
        <v>50156</v>
      </c>
      <c r="B1517" s="12" t="s">
        <v>19</v>
      </c>
      <c r="C1517" s="13">
        <v>29.4</v>
      </c>
      <c r="D1517" s="14">
        <v>9.1999999999999993</v>
      </c>
      <c r="E1517" s="18">
        <v>1</v>
      </c>
    </row>
    <row r="1518" spans="1:5" x14ac:dyDescent="0.35">
      <c r="A1518" s="7">
        <v>50157</v>
      </c>
      <c r="B1518" s="8" t="s">
        <v>7</v>
      </c>
      <c r="C1518" s="9">
        <v>21.3</v>
      </c>
      <c r="D1518" s="10">
        <v>0</v>
      </c>
      <c r="E1518" s="18">
        <v>1</v>
      </c>
    </row>
    <row r="1519" spans="1:5" x14ac:dyDescent="0.35">
      <c r="A1519" s="11">
        <v>50158</v>
      </c>
      <c r="B1519" s="12" t="s">
        <v>9</v>
      </c>
      <c r="C1519" s="13">
        <v>20.100000000000001</v>
      </c>
      <c r="D1519" s="14">
        <v>2.2000000000000002</v>
      </c>
      <c r="E1519" s="18">
        <v>1</v>
      </c>
    </row>
    <row r="1520" spans="1:5" x14ac:dyDescent="0.35">
      <c r="A1520" s="7">
        <v>50159</v>
      </c>
      <c r="B1520" s="8" t="s">
        <v>10</v>
      </c>
      <c r="C1520" s="9">
        <v>12.7</v>
      </c>
      <c r="D1520" s="10">
        <v>5.6</v>
      </c>
      <c r="E1520" s="18">
        <v>1</v>
      </c>
    </row>
    <row r="1521" spans="1:5" x14ac:dyDescent="0.35">
      <c r="A1521" s="11">
        <v>50160</v>
      </c>
      <c r="B1521" s="12" t="s">
        <v>11</v>
      </c>
      <c r="C1521" s="13">
        <v>28.9</v>
      </c>
      <c r="D1521" s="14">
        <v>0</v>
      </c>
      <c r="E1521" s="18">
        <v>1</v>
      </c>
    </row>
    <row r="1522" spans="1:5" x14ac:dyDescent="0.35">
      <c r="A1522" s="7">
        <v>50161</v>
      </c>
      <c r="B1522" s="8" t="s">
        <v>19</v>
      </c>
      <c r="C1522" s="9">
        <v>24.4</v>
      </c>
      <c r="D1522" s="10">
        <v>28.7</v>
      </c>
      <c r="E1522" s="18">
        <v>1</v>
      </c>
    </row>
    <row r="1523" spans="1:5" x14ac:dyDescent="0.35">
      <c r="A1523" s="11">
        <v>50162</v>
      </c>
      <c r="B1523" s="12" t="s">
        <v>10</v>
      </c>
      <c r="C1523" s="13">
        <v>10.8</v>
      </c>
      <c r="D1523" s="14">
        <v>0</v>
      </c>
      <c r="E1523" s="18">
        <v>1</v>
      </c>
    </row>
    <row r="1524" spans="1:5" x14ac:dyDescent="0.35">
      <c r="A1524" s="7">
        <v>50163</v>
      </c>
      <c r="B1524" s="8" t="s">
        <v>10</v>
      </c>
      <c r="C1524" s="9">
        <v>18.399999999999999</v>
      </c>
      <c r="D1524" s="10">
        <v>0</v>
      </c>
      <c r="E1524" s="18">
        <v>1</v>
      </c>
    </row>
    <row r="1525" spans="1:5" x14ac:dyDescent="0.35">
      <c r="A1525" s="11">
        <v>50164</v>
      </c>
      <c r="B1525" s="12" t="s">
        <v>19</v>
      </c>
      <c r="C1525" s="13">
        <v>23.3</v>
      </c>
      <c r="D1525" s="14">
        <v>10.7</v>
      </c>
      <c r="E1525" s="18">
        <v>1</v>
      </c>
    </row>
    <row r="1526" spans="1:5" x14ac:dyDescent="0.35">
      <c r="A1526" s="7">
        <v>50165</v>
      </c>
      <c r="B1526" s="8" t="s">
        <v>15</v>
      </c>
      <c r="C1526" s="9">
        <v>27.9</v>
      </c>
      <c r="D1526" s="10">
        <v>14.8</v>
      </c>
      <c r="E1526" s="18">
        <v>1</v>
      </c>
    </row>
    <row r="1527" spans="1:5" x14ac:dyDescent="0.35">
      <c r="A1527" s="11">
        <v>50166</v>
      </c>
      <c r="B1527" s="12" t="s">
        <v>12</v>
      </c>
      <c r="C1527" s="13">
        <v>24.7</v>
      </c>
      <c r="D1527" s="14">
        <v>9</v>
      </c>
      <c r="E1527" s="18">
        <v>1</v>
      </c>
    </row>
    <row r="1528" spans="1:5" x14ac:dyDescent="0.35">
      <c r="A1528" s="7">
        <v>50167</v>
      </c>
      <c r="B1528" s="8" t="s">
        <v>19</v>
      </c>
      <c r="C1528" s="9">
        <v>14.3</v>
      </c>
      <c r="D1528" s="10">
        <v>22</v>
      </c>
      <c r="E1528" s="18">
        <v>1</v>
      </c>
    </row>
    <row r="1529" spans="1:5" x14ac:dyDescent="0.35">
      <c r="A1529" s="11">
        <v>50168</v>
      </c>
      <c r="B1529" s="12" t="s">
        <v>33</v>
      </c>
      <c r="C1529" s="13">
        <v>26.2</v>
      </c>
      <c r="D1529" s="14">
        <v>2</v>
      </c>
      <c r="E1529" s="18">
        <v>1</v>
      </c>
    </row>
    <row r="1530" spans="1:5" x14ac:dyDescent="0.35">
      <c r="A1530" s="7">
        <v>50169</v>
      </c>
      <c r="B1530" s="8" t="s">
        <v>16</v>
      </c>
      <c r="C1530" s="9">
        <v>21.5</v>
      </c>
      <c r="D1530" s="10">
        <v>0.4</v>
      </c>
      <c r="E1530" s="18">
        <v>1</v>
      </c>
    </row>
    <row r="1531" spans="1:5" x14ac:dyDescent="0.35">
      <c r="A1531" s="11">
        <v>50170</v>
      </c>
      <c r="B1531" s="12" t="s">
        <v>10</v>
      </c>
      <c r="C1531" s="13">
        <v>12.8</v>
      </c>
      <c r="D1531" s="14">
        <v>0</v>
      </c>
      <c r="E1531" s="18">
        <v>1</v>
      </c>
    </row>
    <row r="1532" spans="1:5" x14ac:dyDescent="0.35">
      <c r="A1532" s="7">
        <v>50171</v>
      </c>
      <c r="B1532" s="8" t="s">
        <v>9</v>
      </c>
      <c r="C1532" s="9">
        <v>24.6</v>
      </c>
      <c r="D1532" s="10">
        <v>3</v>
      </c>
      <c r="E1532" s="18">
        <v>1</v>
      </c>
    </row>
    <row r="1533" spans="1:5" x14ac:dyDescent="0.35">
      <c r="A1533" s="11">
        <v>50172</v>
      </c>
      <c r="B1533" s="12" t="s">
        <v>27</v>
      </c>
      <c r="C1533" s="13">
        <v>22.6</v>
      </c>
      <c r="D1533" s="14">
        <v>1.6</v>
      </c>
      <c r="E1533" s="18">
        <v>1</v>
      </c>
    </row>
    <row r="1534" spans="1:5" x14ac:dyDescent="0.35">
      <c r="A1534" s="7">
        <v>50173</v>
      </c>
      <c r="B1534" s="8" t="s">
        <v>13</v>
      </c>
      <c r="C1534" s="9">
        <v>27.3</v>
      </c>
      <c r="D1534" s="10">
        <v>9.3000000000000007</v>
      </c>
      <c r="E1534" s="18">
        <v>1</v>
      </c>
    </row>
    <row r="1535" spans="1:5" x14ac:dyDescent="0.35">
      <c r="A1535" s="11">
        <v>50174</v>
      </c>
      <c r="B1535" s="12" t="s">
        <v>19</v>
      </c>
      <c r="C1535" s="13">
        <v>10.8</v>
      </c>
      <c r="D1535" s="14">
        <v>22.2</v>
      </c>
      <c r="E1535" s="18">
        <v>1</v>
      </c>
    </row>
    <row r="1536" spans="1:5" x14ac:dyDescent="0.35">
      <c r="A1536" s="7">
        <v>50175</v>
      </c>
      <c r="B1536" s="8" t="s">
        <v>17</v>
      </c>
      <c r="C1536" s="9">
        <v>12</v>
      </c>
      <c r="D1536" s="10">
        <v>5.3</v>
      </c>
      <c r="E1536" s="18">
        <v>1</v>
      </c>
    </row>
    <row r="1537" spans="1:5" x14ac:dyDescent="0.35">
      <c r="A1537" s="11">
        <v>50176</v>
      </c>
      <c r="B1537" s="12" t="s">
        <v>7</v>
      </c>
      <c r="C1537" s="13">
        <v>28.1</v>
      </c>
      <c r="D1537" s="14">
        <v>0</v>
      </c>
      <c r="E1537" s="18">
        <v>1</v>
      </c>
    </row>
    <row r="1538" spans="1:5" x14ac:dyDescent="0.35">
      <c r="A1538" s="7">
        <v>50177</v>
      </c>
      <c r="B1538" s="8" t="s">
        <v>11</v>
      </c>
      <c r="C1538" s="9">
        <v>16.100000000000001</v>
      </c>
      <c r="D1538" s="10">
        <v>9</v>
      </c>
      <c r="E1538" s="18">
        <v>1</v>
      </c>
    </row>
    <row r="1539" spans="1:5" x14ac:dyDescent="0.35">
      <c r="A1539" s="11">
        <v>50178</v>
      </c>
      <c r="B1539" s="12" t="s">
        <v>18</v>
      </c>
      <c r="C1539" s="13">
        <v>29</v>
      </c>
      <c r="D1539" s="14">
        <v>1.6</v>
      </c>
      <c r="E1539" s="18">
        <v>1</v>
      </c>
    </row>
    <row r="1540" spans="1:5" x14ac:dyDescent="0.35">
      <c r="A1540" s="7">
        <v>50179</v>
      </c>
      <c r="B1540" s="8" t="s">
        <v>11</v>
      </c>
      <c r="C1540" s="9">
        <v>23.6</v>
      </c>
      <c r="D1540" s="10">
        <v>16</v>
      </c>
      <c r="E1540" s="18">
        <v>1</v>
      </c>
    </row>
    <row r="1541" spans="1:5" x14ac:dyDescent="0.35">
      <c r="A1541" s="11">
        <v>50180</v>
      </c>
      <c r="B1541" s="12" t="s">
        <v>19</v>
      </c>
      <c r="C1541" s="13">
        <v>11.6</v>
      </c>
      <c r="D1541" s="14">
        <v>32</v>
      </c>
      <c r="E1541" s="18">
        <v>1</v>
      </c>
    </row>
    <row r="1542" spans="1:5" x14ac:dyDescent="0.35">
      <c r="A1542" s="7">
        <v>50181</v>
      </c>
      <c r="B1542" s="8" t="s">
        <v>15</v>
      </c>
      <c r="C1542" s="9">
        <v>15.9</v>
      </c>
      <c r="D1542" s="10">
        <v>5.5</v>
      </c>
      <c r="E1542" s="18">
        <v>1</v>
      </c>
    </row>
    <row r="1543" spans="1:5" x14ac:dyDescent="0.35">
      <c r="A1543" s="11">
        <v>50182</v>
      </c>
      <c r="B1543" s="12" t="s">
        <v>26</v>
      </c>
      <c r="C1543" s="13">
        <v>28.3</v>
      </c>
      <c r="D1543" s="14">
        <v>6</v>
      </c>
      <c r="E1543" s="18">
        <v>1</v>
      </c>
    </row>
    <row r="1544" spans="1:5" x14ac:dyDescent="0.35">
      <c r="A1544" s="7">
        <v>50183</v>
      </c>
      <c r="B1544" s="8" t="s">
        <v>12</v>
      </c>
      <c r="C1544" s="9">
        <v>16.600000000000001</v>
      </c>
      <c r="D1544" s="10">
        <v>11.3</v>
      </c>
      <c r="E1544" s="18">
        <v>1</v>
      </c>
    </row>
    <row r="1545" spans="1:5" x14ac:dyDescent="0.35">
      <c r="A1545" s="11">
        <v>50184</v>
      </c>
      <c r="B1545" s="12" t="s">
        <v>22</v>
      </c>
      <c r="C1545" s="13">
        <v>25.2</v>
      </c>
      <c r="D1545" s="14">
        <v>6.4</v>
      </c>
      <c r="E1545" s="18">
        <v>1</v>
      </c>
    </row>
    <row r="1546" spans="1:5" x14ac:dyDescent="0.35">
      <c r="A1546" s="7">
        <v>50185</v>
      </c>
      <c r="B1546" s="8" t="s">
        <v>10</v>
      </c>
      <c r="C1546" s="9">
        <v>29.5</v>
      </c>
      <c r="D1546" s="10">
        <v>26.1</v>
      </c>
      <c r="E1546" s="18">
        <v>1</v>
      </c>
    </row>
    <row r="1547" spans="1:5" x14ac:dyDescent="0.35">
      <c r="A1547" s="11">
        <v>50186</v>
      </c>
      <c r="B1547" s="12" t="s">
        <v>18</v>
      </c>
      <c r="C1547" s="13">
        <v>13.3</v>
      </c>
      <c r="D1547" s="14">
        <v>7.3</v>
      </c>
      <c r="E1547" s="18">
        <v>1</v>
      </c>
    </row>
    <row r="1548" spans="1:5" x14ac:dyDescent="0.35">
      <c r="A1548" s="7">
        <v>50187</v>
      </c>
      <c r="B1548" s="8" t="s">
        <v>17</v>
      </c>
      <c r="C1548" s="9">
        <v>19.5</v>
      </c>
      <c r="D1548" s="10">
        <v>3.4</v>
      </c>
      <c r="E1548" s="18">
        <v>1</v>
      </c>
    </row>
    <row r="1549" spans="1:5" x14ac:dyDescent="0.35">
      <c r="A1549" s="11">
        <v>50188</v>
      </c>
      <c r="B1549" s="12" t="s">
        <v>25</v>
      </c>
      <c r="C1549" s="13">
        <v>11.9</v>
      </c>
      <c r="D1549" s="14">
        <v>1.7</v>
      </c>
      <c r="E1549" s="18">
        <v>1</v>
      </c>
    </row>
    <row r="1550" spans="1:5" x14ac:dyDescent="0.35">
      <c r="A1550" s="7">
        <v>50189</v>
      </c>
      <c r="B1550" s="8" t="s">
        <v>14</v>
      </c>
      <c r="C1550" s="9">
        <v>29.5</v>
      </c>
      <c r="D1550" s="10">
        <v>5.0999999999999996</v>
      </c>
      <c r="E1550" s="18">
        <v>1</v>
      </c>
    </row>
    <row r="1551" spans="1:5" x14ac:dyDescent="0.35">
      <c r="A1551" s="11">
        <v>50190</v>
      </c>
      <c r="B1551" s="12" t="s">
        <v>19</v>
      </c>
      <c r="C1551" s="13">
        <v>25.1</v>
      </c>
      <c r="D1551" s="14">
        <v>0</v>
      </c>
      <c r="E1551" s="18">
        <v>1</v>
      </c>
    </row>
    <row r="1552" spans="1:5" x14ac:dyDescent="0.35">
      <c r="A1552" s="7">
        <v>50191</v>
      </c>
      <c r="B1552" s="8" t="s">
        <v>22</v>
      </c>
      <c r="C1552" s="9">
        <v>15.1</v>
      </c>
      <c r="D1552" s="10">
        <v>0</v>
      </c>
      <c r="E1552" s="18">
        <v>1</v>
      </c>
    </row>
    <row r="1553" spans="1:5" x14ac:dyDescent="0.35">
      <c r="A1553" s="11">
        <v>50192</v>
      </c>
      <c r="B1553" s="12" t="s">
        <v>33</v>
      </c>
      <c r="C1553" s="13">
        <v>19.7</v>
      </c>
      <c r="D1553" s="14">
        <v>1.7</v>
      </c>
      <c r="E1553" s="18">
        <v>1</v>
      </c>
    </row>
    <row r="1554" spans="1:5" x14ac:dyDescent="0.35">
      <c r="A1554" s="7">
        <v>50193</v>
      </c>
      <c r="B1554" s="8" t="s">
        <v>19</v>
      </c>
      <c r="C1554" s="9">
        <v>25.6</v>
      </c>
      <c r="D1554" s="10">
        <v>0</v>
      </c>
      <c r="E1554" s="18">
        <v>1</v>
      </c>
    </row>
    <row r="1555" spans="1:5" x14ac:dyDescent="0.35">
      <c r="A1555" s="11">
        <v>50194</v>
      </c>
      <c r="B1555" s="12" t="s">
        <v>11</v>
      </c>
      <c r="C1555" s="13">
        <v>25</v>
      </c>
      <c r="D1555" s="14">
        <v>18.8</v>
      </c>
      <c r="E1555" s="18">
        <v>1</v>
      </c>
    </row>
    <row r="1556" spans="1:5" x14ac:dyDescent="0.35">
      <c r="A1556" s="7">
        <v>50195</v>
      </c>
      <c r="B1556" s="8" t="s">
        <v>23</v>
      </c>
      <c r="C1556" s="9">
        <v>11.5</v>
      </c>
      <c r="D1556" s="10">
        <v>0</v>
      </c>
      <c r="E1556" s="18">
        <v>1</v>
      </c>
    </row>
    <row r="1557" spans="1:5" x14ac:dyDescent="0.35">
      <c r="A1557" s="11">
        <v>50196</v>
      </c>
      <c r="B1557" s="12" t="s">
        <v>10</v>
      </c>
      <c r="C1557" s="13">
        <v>23.8</v>
      </c>
      <c r="D1557" s="14">
        <v>7.3</v>
      </c>
      <c r="E1557" s="18">
        <v>1</v>
      </c>
    </row>
    <row r="1558" spans="1:5" x14ac:dyDescent="0.35">
      <c r="A1558" s="7">
        <v>50197</v>
      </c>
      <c r="B1558" s="8" t="s">
        <v>19</v>
      </c>
      <c r="C1558" s="9">
        <v>25.3</v>
      </c>
      <c r="D1558" s="10">
        <v>14.7</v>
      </c>
      <c r="E1558" s="18">
        <v>1</v>
      </c>
    </row>
    <row r="1559" spans="1:5" x14ac:dyDescent="0.35">
      <c r="A1559" s="11">
        <v>50198</v>
      </c>
      <c r="B1559" s="12" t="s">
        <v>10</v>
      </c>
      <c r="C1559" s="13">
        <v>22.6</v>
      </c>
      <c r="D1559" s="14">
        <v>42.2</v>
      </c>
      <c r="E1559" s="18">
        <v>1</v>
      </c>
    </row>
    <row r="1560" spans="1:5" x14ac:dyDescent="0.35">
      <c r="A1560" s="7">
        <v>50199</v>
      </c>
      <c r="B1560" s="8" t="s">
        <v>14</v>
      </c>
      <c r="C1560" s="9">
        <v>18.100000000000001</v>
      </c>
      <c r="D1560" s="10">
        <v>3.3</v>
      </c>
      <c r="E1560" s="18">
        <v>1</v>
      </c>
    </row>
    <row r="1561" spans="1:5" x14ac:dyDescent="0.35">
      <c r="A1561" s="11">
        <v>50200</v>
      </c>
      <c r="B1561" s="12" t="s">
        <v>19</v>
      </c>
      <c r="C1561" s="13">
        <v>17.8</v>
      </c>
      <c r="D1561" s="14">
        <v>0</v>
      </c>
      <c r="E1561" s="18">
        <v>1</v>
      </c>
    </row>
    <row r="1562" spans="1:5" x14ac:dyDescent="0.35">
      <c r="A1562" s="7">
        <v>50201</v>
      </c>
      <c r="B1562" s="8" t="s">
        <v>10</v>
      </c>
      <c r="C1562" s="9">
        <v>25.1</v>
      </c>
      <c r="D1562" s="10">
        <v>25.5</v>
      </c>
      <c r="E1562" s="18">
        <v>1</v>
      </c>
    </row>
    <row r="1563" spans="1:5" x14ac:dyDescent="0.35">
      <c r="A1563" s="11">
        <v>50202</v>
      </c>
      <c r="B1563" s="12" t="s">
        <v>18</v>
      </c>
      <c r="C1563" s="13">
        <v>12</v>
      </c>
      <c r="D1563" s="14">
        <v>0</v>
      </c>
      <c r="E1563" s="18">
        <v>1</v>
      </c>
    </row>
    <row r="1564" spans="1:5" x14ac:dyDescent="0.35">
      <c r="A1564" s="7">
        <v>50203</v>
      </c>
      <c r="B1564" s="8" t="s">
        <v>10</v>
      </c>
      <c r="C1564" s="9">
        <v>23.2</v>
      </c>
      <c r="D1564" s="10">
        <v>0</v>
      </c>
      <c r="E1564" s="18">
        <v>1</v>
      </c>
    </row>
    <row r="1565" spans="1:5" x14ac:dyDescent="0.35">
      <c r="A1565" s="11">
        <v>50204</v>
      </c>
      <c r="B1565" s="12" t="s">
        <v>6</v>
      </c>
      <c r="C1565" s="13">
        <v>16</v>
      </c>
      <c r="D1565" s="14">
        <v>7.9</v>
      </c>
      <c r="E1565" s="18">
        <v>1</v>
      </c>
    </row>
    <row r="1566" spans="1:5" x14ac:dyDescent="0.35">
      <c r="A1566" s="7">
        <v>50205</v>
      </c>
      <c r="B1566" s="8" t="s">
        <v>15</v>
      </c>
      <c r="C1566" s="9">
        <v>26.5</v>
      </c>
      <c r="D1566" s="10">
        <v>20.2</v>
      </c>
      <c r="E1566" s="18">
        <v>1</v>
      </c>
    </row>
    <row r="1567" spans="1:5" x14ac:dyDescent="0.35">
      <c r="A1567" s="11">
        <v>50206</v>
      </c>
      <c r="B1567" s="12" t="s">
        <v>29</v>
      </c>
      <c r="C1567" s="13">
        <v>28.9</v>
      </c>
      <c r="D1567" s="14">
        <v>0.3</v>
      </c>
      <c r="E1567" s="18">
        <v>1</v>
      </c>
    </row>
    <row r="1568" spans="1:5" x14ac:dyDescent="0.35">
      <c r="A1568" s="7">
        <v>50207</v>
      </c>
      <c r="B1568" s="8" t="s">
        <v>10</v>
      </c>
      <c r="C1568" s="9">
        <v>26.6</v>
      </c>
      <c r="D1568" s="10">
        <v>0</v>
      </c>
      <c r="E1568" s="18">
        <v>1</v>
      </c>
    </row>
    <row r="1569" spans="1:5" x14ac:dyDescent="0.35">
      <c r="A1569" s="11">
        <v>50208</v>
      </c>
      <c r="B1569" s="12" t="s">
        <v>7</v>
      </c>
      <c r="C1569" s="13">
        <v>13.1</v>
      </c>
      <c r="D1569" s="14">
        <v>19.899999999999999</v>
      </c>
      <c r="E1569" s="18">
        <v>1</v>
      </c>
    </row>
    <row r="1570" spans="1:5" x14ac:dyDescent="0.35">
      <c r="A1570" s="7">
        <v>50209</v>
      </c>
      <c r="B1570" s="8" t="s">
        <v>10</v>
      </c>
      <c r="C1570" s="9">
        <v>21.5</v>
      </c>
      <c r="D1570" s="10">
        <v>33.4</v>
      </c>
      <c r="E1570" s="18">
        <v>1</v>
      </c>
    </row>
    <row r="1571" spans="1:5" x14ac:dyDescent="0.35">
      <c r="A1571" s="11">
        <v>50210</v>
      </c>
      <c r="B1571" s="12" t="s">
        <v>31</v>
      </c>
      <c r="C1571" s="13">
        <v>25.7</v>
      </c>
      <c r="D1571" s="14">
        <v>0</v>
      </c>
      <c r="E1571" s="18">
        <v>1</v>
      </c>
    </row>
    <row r="1572" spans="1:5" x14ac:dyDescent="0.35">
      <c r="A1572" s="7">
        <v>50211</v>
      </c>
      <c r="B1572" s="8" t="s">
        <v>19</v>
      </c>
      <c r="C1572" s="9">
        <v>11.8</v>
      </c>
      <c r="D1572" s="10">
        <v>23</v>
      </c>
      <c r="E1572" s="18">
        <v>1</v>
      </c>
    </row>
    <row r="1573" spans="1:5" x14ac:dyDescent="0.35">
      <c r="A1573" s="11">
        <v>50212</v>
      </c>
      <c r="B1573" s="12" t="s">
        <v>25</v>
      </c>
      <c r="C1573" s="13">
        <v>12.6</v>
      </c>
      <c r="D1573" s="14">
        <v>0.7</v>
      </c>
      <c r="E1573" s="18">
        <v>1</v>
      </c>
    </row>
    <row r="1574" spans="1:5" x14ac:dyDescent="0.35">
      <c r="A1574" s="7">
        <v>50213</v>
      </c>
      <c r="B1574" s="8" t="s">
        <v>27</v>
      </c>
      <c r="C1574" s="9">
        <v>26.2</v>
      </c>
      <c r="D1574" s="10">
        <v>0.3</v>
      </c>
      <c r="E1574" s="18">
        <v>1</v>
      </c>
    </row>
    <row r="1575" spans="1:5" x14ac:dyDescent="0.35">
      <c r="A1575" s="11">
        <v>50214</v>
      </c>
      <c r="B1575" s="12" t="s">
        <v>8</v>
      </c>
      <c r="C1575" s="13">
        <v>29.1</v>
      </c>
      <c r="D1575" s="14">
        <v>5</v>
      </c>
      <c r="E1575" s="18">
        <v>1</v>
      </c>
    </row>
    <row r="1576" spans="1:5" x14ac:dyDescent="0.35">
      <c r="A1576" s="7">
        <v>50215</v>
      </c>
      <c r="B1576" s="8" t="s">
        <v>22</v>
      </c>
      <c r="C1576" s="9">
        <v>18.899999999999999</v>
      </c>
      <c r="D1576" s="10">
        <v>7.5</v>
      </c>
      <c r="E1576" s="18">
        <v>1</v>
      </c>
    </row>
    <row r="1577" spans="1:5" x14ac:dyDescent="0.35">
      <c r="A1577" s="11">
        <v>50216</v>
      </c>
      <c r="B1577" s="12" t="s">
        <v>11</v>
      </c>
      <c r="C1577" s="13">
        <v>10.5</v>
      </c>
      <c r="D1577" s="14">
        <v>7.3</v>
      </c>
      <c r="E1577" s="18">
        <v>1</v>
      </c>
    </row>
    <row r="1578" spans="1:5" x14ac:dyDescent="0.35">
      <c r="A1578" s="7">
        <v>50217</v>
      </c>
      <c r="B1578" s="8" t="s">
        <v>23</v>
      </c>
      <c r="C1578" s="9">
        <v>15.1</v>
      </c>
      <c r="D1578" s="10">
        <v>6</v>
      </c>
      <c r="E1578" s="18">
        <v>1</v>
      </c>
    </row>
    <row r="1579" spans="1:5" x14ac:dyDescent="0.35">
      <c r="A1579" s="11">
        <v>50218</v>
      </c>
      <c r="B1579" s="12" t="s">
        <v>7</v>
      </c>
      <c r="C1579" s="13">
        <v>27.8</v>
      </c>
      <c r="D1579" s="14">
        <v>8.3000000000000007</v>
      </c>
      <c r="E1579" s="18">
        <v>1</v>
      </c>
    </row>
    <row r="1580" spans="1:5" x14ac:dyDescent="0.35">
      <c r="A1580" s="7">
        <v>50219</v>
      </c>
      <c r="B1580" s="8" t="s">
        <v>16</v>
      </c>
      <c r="C1580" s="9">
        <v>11.7</v>
      </c>
      <c r="D1580" s="10">
        <v>0.4</v>
      </c>
      <c r="E1580" s="18">
        <v>1</v>
      </c>
    </row>
    <row r="1581" spans="1:5" x14ac:dyDescent="0.35">
      <c r="A1581" s="11">
        <v>50220</v>
      </c>
      <c r="B1581" s="12" t="s">
        <v>10</v>
      </c>
      <c r="C1581" s="13">
        <v>10.5</v>
      </c>
      <c r="D1581" s="14">
        <v>36.9</v>
      </c>
      <c r="E1581" s="18">
        <v>1</v>
      </c>
    </row>
    <row r="1582" spans="1:5" x14ac:dyDescent="0.35">
      <c r="A1582" s="7">
        <v>50221</v>
      </c>
      <c r="B1582" s="8" t="s">
        <v>5</v>
      </c>
      <c r="C1582" s="9">
        <v>21</v>
      </c>
      <c r="D1582" s="10">
        <v>7.1</v>
      </c>
      <c r="E1582" s="18">
        <v>1</v>
      </c>
    </row>
    <row r="1583" spans="1:5" x14ac:dyDescent="0.35">
      <c r="A1583" s="11">
        <v>50222</v>
      </c>
      <c r="B1583" s="12" t="s">
        <v>24</v>
      </c>
      <c r="C1583" s="13">
        <v>17.399999999999999</v>
      </c>
      <c r="D1583" s="14">
        <v>3.7</v>
      </c>
      <c r="E1583" s="18">
        <v>1</v>
      </c>
    </row>
    <row r="1584" spans="1:5" x14ac:dyDescent="0.35">
      <c r="A1584" s="7">
        <v>50223</v>
      </c>
      <c r="B1584" s="8" t="s">
        <v>18</v>
      </c>
      <c r="C1584" s="9">
        <v>21.9</v>
      </c>
      <c r="D1584" s="10">
        <v>7.6</v>
      </c>
      <c r="E1584" s="18">
        <v>1</v>
      </c>
    </row>
    <row r="1585" spans="1:5" x14ac:dyDescent="0.35">
      <c r="A1585" s="11">
        <v>50224</v>
      </c>
      <c r="B1585" s="12" t="s">
        <v>18</v>
      </c>
      <c r="C1585" s="13">
        <v>26</v>
      </c>
      <c r="D1585" s="14">
        <v>4.5999999999999996</v>
      </c>
      <c r="E1585" s="18">
        <v>1</v>
      </c>
    </row>
    <row r="1586" spans="1:5" x14ac:dyDescent="0.35">
      <c r="A1586" s="7">
        <v>50225</v>
      </c>
      <c r="B1586" s="8" t="s">
        <v>19</v>
      </c>
      <c r="C1586" s="9">
        <v>12.2</v>
      </c>
      <c r="D1586" s="10">
        <v>19.3</v>
      </c>
      <c r="E1586" s="18">
        <v>1</v>
      </c>
    </row>
    <row r="1587" spans="1:5" x14ac:dyDescent="0.35">
      <c r="A1587" s="11">
        <v>50226</v>
      </c>
      <c r="B1587" s="12" t="s">
        <v>8</v>
      </c>
      <c r="C1587" s="13">
        <v>22.4</v>
      </c>
      <c r="D1587" s="14">
        <v>0.3</v>
      </c>
      <c r="E1587" s="18">
        <v>1</v>
      </c>
    </row>
    <row r="1588" spans="1:5" x14ac:dyDescent="0.35">
      <c r="A1588" s="7">
        <v>50227</v>
      </c>
      <c r="B1588" s="8" t="s">
        <v>22</v>
      </c>
      <c r="C1588" s="9">
        <v>18.600000000000001</v>
      </c>
      <c r="D1588" s="10">
        <v>7.2</v>
      </c>
      <c r="E1588" s="18">
        <v>1</v>
      </c>
    </row>
    <row r="1589" spans="1:5" x14ac:dyDescent="0.35">
      <c r="A1589" s="11">
        <v>50228</v>
      </c>
      <c r="B1589" s="12" t="s">
        <v>10</v>
      </c>
      <c r="C1589" s="13">
        <v>17.100000000000001</v>
      </c>
      <c r="D1589" s="14">
        <v>0</v>
      </c>
      <c r="E1589" s="18">
        <v>1</v>
      </c>
    </row>
    <row r="1590" spans="1:5" x14ac:dyDescent="0.35">
      <c r="A1590" s="7">
        <v>50229</v>
      </c>
      <c r="B1590" s="8" t="s">
        <v>19</v>
      </c>
      <c r="C1590" s="9">
        <v>25.1</v>
      </c>
      <c r="D1590" s="10">
        <v>24.3</v>
      </c>
      <c r="E1590" s="18">
        <v>1</v>
      </c>
    </row>
    <row r="1591" spans="1:5" x14ac:dyDescent="0.35">
      <c r="A1591" s="11">
        <v>50230</v>
      </c>
      <c r="B1591" s="12" t="s">
        <v>11</v>
      </c>
      <c r="C1591" s="13">
        <v>10.4</v>
      </c>
      <c r="D1591" s="14">
        <v>22.2</v>
      </c>
      <c r="E1591" s="18">
        <v>1</v>
      </c>
    </row>
    <row r="1592" spans="1:5" x14ac:dyDescent="0.35">
      <c r="A1592" s="7">
        <v>50231</v>
      </c>
      <c r="B1592" s="8" t="s">
        <v>18</v>
      </c>
      <c r="C1592" s="9">
        <v>28.9</v>
      </c>
      <c r="D1592" s="10">
        <v>0</v>
      </c>
      <c r="E1592" s="18">
        <v>1</v>
      </c>
    </row>
    <row r="1593" spans="1:5" x14ac:dyDescent="0.35">
      <c r="A1593" s="11">
        <v>50232</v>
      </c>
      <c r="B1593" s="12" t="s">
        <v>31</v>
      </c>
      <c r="C1593" s="13">
        <v>24.1</v>
      </c>
      <c r="D1593" s="14">
        <v>0</v>
      </c>
      <c r="E1593" s="18">
        <v>1</v>
      </c>
    </row>
    <row r="1594" spans="1:5" x14ac:dyDescent="0.35">
      <c r="A1594" s="7">
        <v>50233</v>
      </c>
      <c r="B1594" s="8" t="s">
        <v>19</v>
      </c>
      <c r="C1594" s="9">
        <v>23.2</v>
      </c>
      <c r="D1594" s="10">
        <v>22.1</v>
      </c>
      <c r="E1594" s="18">
        <v>1</v>
      </c>
    </row>
    <row r="1595" spans="1:5" x14ac:dyDescent="0.35">
      <c r="A1595" s="11">
        <v>50234</v>
      </c>
      <c r="B1595" s="12" t="s">
        <v>13</v>
      </c>
      <c r="C1595" s="13">
        <v>24.1</v>
      </c>
      <c r="D1595" s="14">
        <v>9.3000000000000007</v>
      </c>
      <c r="E1595" s="18">
        <v>1</v>
      </c>
    </row>
    <row r="1596" spans="1:5" x14ac:dyDescent="0.35">
      <c r="A1596" s="7">
        <v>50235</v>
      </c>
      <c r="B1596" s="8" t="s">
        <v>10</v>
      </c>
      <c r="C1596" s="9">
        <v>14.6</v>
      </c>
      <c r="D1596" s="10">
        <v>0</v>
      </c>
      <c r="E1596" s="18">
        <v>1</v>
      </c>
    </row>
    <row r="1597" spans="1:5" x14ac:dyDescent="0.35">
      <c r="A1597" s="11">
        <v>50236</v>
      </c>
      <c r="B1597" s="12" t="s">
        <v>20</v>
      </c>
      <c r="C1597" s="13">
        <v>17.7</v>
      </c>
      <c r="D1597" s="14">
        <v>0</v>
      </c>
      <c r="E1597" s="18">
        <v>1</v>
      </c>
    </row>
    <row r="1598" spans="1:5" x14ac:dyDescent="0.35">
      <c r="A1598" s="7">
        <v>50237</v>
      </c>
      <c r="B1598" s="8" t="s">
        <v>6</v>
      </c>
      <c r="C1598" s="9">
        <v>20.100000000000001</v>
      </c>
      <c r="D1598" s="10">
        <v>11.5</v>
      </c>
      <c r="E1598" s="18">
        <v>1</v>
      </c>
    </row>
    <row r="1599" spans="1:5" x14ac:dyDescent="0.35">
      <c r="A1599" s="11">
        <v>50238</v>
      </c>
      <c r="B1599" s="12" t="s">
        <v>8</v>
      </c>
      <c r="C1599" s="13">
        <v>27.5</v>
      </c>
      <c r="D1599" s="14">
        <v>0</v>
      </c>
      <c r="E1599" s="18">
        <v>1</v>
      </c>
    </row>
    <row r="1600" spans="1:5" x14ac:dyDescent="0.35">
      <c r="A1600" s="7">
        <v>50239</v>
      </c>
      <c r="B1600" s="8" t="s">
        <v>7</v>
      </c>
      <c r="C1600" s="9">
        <v>10.9</v>
      </c>
      <c r="D1600" s="10">
        <v>9</v>
      </c>
      <c r="E1600" s="18">
        <v>1</v>
      </c>
    </row>
    <row r="1601" spans="1:5" x14ac:dyDescent="0.35">
      <c r="A1601" s="11">
        <v>50240</v>
      </c>
      <c r="B1601" s="12" t="s">
        <v>24</v>
      </c>
      <c r="C1601" s="13">
        <v>27.6</v>
      </c>
      <c r="D1601" s="14">
        <v>3.2</v>
      </c>
      <c r="E1601" s="18">
        <v>1</v>
      </c>
    </row>
    <row r="1602" spans="1:5" x14ac:dyDescent="0.35">
      <c r="A1602" s="7">
        <v>50241</v>
      </c>
      <c r="B1602" s="8" t="s">
        <v>19</v>
      </c>
      <c r="C1602" s="9">
        <v>24.5</v>
      </c>
      <c r="D1602" s="10">
        <v>15.3</v>
      </c>
      <c r="E1602" s="18">
        <v>1</v>
      </c>
    </row>
    <row r="1603" spans="1:5" x14ac:dyDescent="0.35">
      <c r="A1603" s="11">
        <v>50242</v>
      </c>
      <c r="B1603" s="12" t="s">
        <v>17</v>
      </c>
      <c r="C1603" s="13">
        <v>10.8</v>
      </c>
      <c r="D1603" s="14">
        <v>0</v>
      </c>
      <c r="E1603" s="18">
        <v>1</v>
      </c>
    </row>
    <row r="1604" spans="1:5" x14ac:dyDescent="0.35">
      <c r="A1604" s="7">
        <v>50243</v>
      </c>
      <c r="B1604" s="8" t="s">
        <v>19</v>
      </c>
      <c r="C1604" s="9">
        <v>28.7</v>
      </c>
      <c r="D1604" s="10">
        <v>27.2</v>
      </c>
      <c r="E1604" s="18">
        <v>1</v>
      </c>
    </row>
    <row r="1605" spans="1:5" x14ac:dyDescent="0.35">
      <c r="A1605" s="11">
        <v>50244</v>
      </c>
      <c r="B1605" s="12" t="s">
        <v>9</v>
      </c>
      <c r="C1605" s="13">
        <v>21.5</v>
      </c>
      <c r="D1605" s="14">
        <v>0.6</v>
      </c>
      <c r="E1605" s="18">
        <v>1</v>
      </c>
    </row>
    <row r="1606" spans="1:5" x14ac:dyDescent="0.35">
      <c r="A1606" s="7">
        <v>50245</v>
      </c>
      <c r="B1606" s="8" t="s">
        <v>24</v>
      </c>
      <c r="C1606" s="9">
        <v>20.100000000000001</v>
      </c>
      <c r="D1606" s="10">
        <v>0.8</v>
      </c>
      <c r="E1606" s="18">
        <v>1</v>
      </c>
    </row>
    <row r="1607" spans="1:5" x14ac:dyDescent="0.35">
      <c r="A1607" s="11">
        <v>50246</v>
      </c>
      <c r="B1607" s="12" t="s">
        <v>19</v>
      </c>
      <c r="C1607" s="13">
        <v>21.3</v>
      </c>
      <c r="D1607" s="14">
        <v>14.6</v>
      </c>
      <c r="E1607" s="18">
        <v>1</v>
      </c>
    </row>
    <row r="1608" spans="1:5" x14ac:dyDescent="0.35">
      <c r="A1608" s="7">
        <v>50247</v>
      </c>
      <c r="B1608" s="8" t="s">
        <v>27</v>
      </c>
      <c r="C1608" s="9">
        <v>20.2</v>
      </c>
      <c r="D1608" s="10">
        <v>6.9</v>
      </c>
      <c r="E1608" s="18">
        <v>1</v>
      </c>
    </row>
    <row r="1609" spans="1:5" x14ac:dyDescent="0.35">
      <c r="A1609" s="11">
        <v>50248</v>
      </c>
      <c r="B1609" s="12" t="s">
        <v>13</v>
      </c>
      <c r="C1609" s="13">
        <v>16.8</v>
      </c>
      <c r="D1609" s="14">
        <v>7.6</v>
      </c>
      <c r="E1609" s="18">
        <v>1</v>
      </c>
    </row>
    <row r="1610" spans="1:5" x14ac:dyDescent="0.35">
      <c r="A1610" s="7">
        <v>50249</v>
      </c>
      <c r="B1610" s="8" t="s">
        <v>6</v>
      </c>
      <c r="C1610" s="9">
        <v>26.5</v>
      </c>
      <c r="D1610" s="10">
        <v>2.5</v>
      </c>
      <c r="E1610" s="18">
        <v>1</v>
      </c>
    </row>
    <row r="1611" spans="1:5" x14ac:dyDescent="0.35">
      <c r="A1611" s="11">
        <v>50250</v>
      </c>
      <c r="B1611" s="12" t="s">
        <v>7</v>
      </c>
      <c r="C1611" s="13">
        <v>18.899999999999999</v>
      </c>
      <c r="D1611" s="14">
        <v>0</v>
      </c>
      <c r="E1611" s="18">
        <v>1</v>
      </c>
    </row>
    <row r="1612" spans="1:5" x14ac:dyDescent="0.35">
      <c r="A1612" s="7">
        <v>50251</v>
      </c>
      <c r="B1612" s="8" t="s">
        <v>20</v>
      </c>
      <c r="C1612" s="9">
        <v>22.9</v>
      </c>
      <c r="D1612" s="10">
        <v>1.2</v>
      </c>
      <c r="E1612" s="18">
        <v>1</v>
      </c>
    </row>
    <row r="1613" spans="1:5" x14ac:dyDescent="0.35">
      <c r="A1613" s="11">
        <v>50252</v>
      </c>
      <c r="B1613" s="12" t="s">
        <v>19</v>
      </c>
      <c r="C1613" s="13">
        <v>11.3</v>
      </c>
      <c r="D1613" s="14">
        <v>32.700000000000003</v>
      </c>
      <c r="E1613" s="18">
        <v>1</v>
      </c>
    </row>
    <row r="1614" spans="1:5" x14ac:dyDescent="0.35">
      <c r="A1614" s="7">
        <v>50253</v>
      </c>
      <c r="B1614" s="8" t="s">
        <v>13</v>
      </c>
      <c r="C1614" s="9">
        <v>13</v>
      </c>
      <c r="D1614" s="10">
        <v>1.7</v>
      </c>
      <c r="E1614" s="18">
        <v>1</v>
      </c>
    </row>
    <row r="1615" spans="1:5" x14ac:dyDescent="0.35">
      <c r="A1615" s="11">
        <v>50254</v>
      </c>
      <c r="B1615" s="12" t="s">
        <v>8</v>
      </c>
      <c r="C1615" s="13">
        <v>18.3</v>
      </c>
      <c r="D1615" s="14">
        <v>2.5</v>
      </c>
      <c r="E1615" s="18">
        <v>1</v>
      </c>
    </row>
    <row r="1616" spans="1:5" x14ac:dyDescent="0.35">
      <c r="A1616" s="7">
        <v>50255</v>
      </c>
      <c r="B1616" s="8" t="s">
        <v>7</v>
      </c>
      <c r="C1616" s="9">
        <v>10.199999999999999</v>
      </c>
      <c r="D1616" s="10">
        <v>14.3</v>
      </c>
      <c r="E1616" s="18">
        <v>1</v>
      </c>
    </row>
    <row r="1617" spans="1:5" x14ac:dyDescent="0.35">
      <c r="A1617" s="11">
        <v>50256</v>
      </c>
      <c r="B1617" s="12" t="s">
        <v>11</v>
      </c>
      <c r="C1617" s="13">
        <v>14.5</v>
      </c>
      <c r="D1617" s="14">
        <v>10.5</v>
      </c>
      <c r="E1617" s="18">
        <v>1</v>
      </c>
    </row>
    <row r="1618" spans="1:5" x14ac:dyDescent="0.35">
      <c r="A1618" s="7">
        <v>50257</v>
      </c>
      <c r="B1618" s="8" t="s">
        <v>14</v>
      </c>
      <c r="C1618" s="9">
        <v>12.3</v>
      </c>
      <c r="D1618" s="10">
        <v>7.4</v>
      </c>
      <c r="E1618" s="18">
        <v>1</v>
      </c>
    </row>
    <row r="1619" spans="1:5" x14ac:dyDescent="0.35">
      <c r="A1619" s="11">
        <v>50258</v>
      </c>
      <c r="B1619" s="12" t="s">
        <v>13</v>
      </c>
      <c r="C1619" s="13">
        <v>17</v>
      </c>
      <c r="D1619" s="14">
        <v>16.899999999999999</v>
      </c>
      <c r="E1619" s="18">
        <v>1</v>
      </c>
    </row>
    <row r="1620" spans="1:5" x14ac:dyDescent="0.35">
      <c r="A1620" s="7">
        <v>50259</v>
      </c>
      <c r="B1620" s="8" t="s">
        <v>5</v>
      </c>
      <c r="C1620" s="9">
        <v>17.5</v>
      </c>
      <c r="D1620" s="10">
        <v>0</v>
      </c>
      <c r="E1620" s="18">
        <v>1</v>
      </c>
    </row>
    <row r="1621" spans="1:5" x14ac:dyDescent="0.35">
      <c r="A1621" s="11">
        <v>50260</v>
      </c>
      <c r="B1621" s="12" t="s">
        <v>4</v>
      </c>
      <c r="C1621" s="13">
        <v>28.4</v>
      </c>
      <c r="D1621" s="14">
        <v>0</v>
      </c>
      <c r="E1621" s="18">
        <v>1</v>
      </c>
    </row>
    <row r="1622" spans="1:5" x14ac:dyDescent="0.35">
      <c r="A1622" s="7">
        <v>50261</v>
      </c>
      <c r="B1622" s="8" t="s">
        <v>19</v>
      </c>
      <c r="C1622" s="9">
        <v>13.1</v>
      </c>
      <c r="D1622" s="10">
        <v>36.6</v>
      </c>
      <c r="E1622" s="18">
        <v>1</v>
      </c>
    </row>
    <row r="1623" spans="1:5" x14ac:dyDescent="0.35">
      <c r="A1623" s="11">
        <v>50262</v>
      </c>
      <c r="B1623" s="12" t="s">
        <v>7</v>
      </c>
      <c r="C1623" s="13">
        <v>16.600000000000001</v>
      </c>
      <c r="D1623" s="14">
        <v>6.6</v>
      </c>
      <c r="E1623" s="18">
        <v>1</v>
      </c>
    </row>
    <row r="1624" spans="1:5" x14ac:dyDescent="0.35">
      <c r="A1624" s="7">
        <v>50263</v>
      </c>
      <c r="B1624" s="8" t="s">
        <v>19</v>
      </c>
      <c r="C1624" s="9">
        <v>20.2</v>
      </c>
      <c r="D1624" s="10">
        <v>0</v>
      </c>
      <c r="E1624" s="18">
        <v>1</v>
      </c>
    </row>
    <row r="1625" spans="1:5" x14ac:dyDescent="0.35">
      <c r="A1625" s="11">
        <v>50264</v>
      </c>
      <c r="B1625" s="12" t="s">
        <v>7</v>
      </c>
      <c r="C1625" s="13">
        <v>26.4</v>
      </c>
      <c r="D1625" s="14">
        <v>11.9</v>
      </c>
      <c r="E1625" s="18">
        <v>1</v>
      </c>
    </row>
    <row r="1626" spans="1:5" x14ac:dyDescent="0.35">
      <c r="A1626" s="7">
        <v>50265</v>
      </c>
      <c r="B1626" s="8" t="s">
        <v>10</v>
      </c>
      <c r="C1626" s="9">
        <v>11.8</v>
      </c>
      <c r="D1626" s="10">
        <v>0</v>
      </c>
      <c r="E1626" s="18">
        <v>1</v>
      </c>
    </row>
    <row r="1627" spans="1:5" x14ac:dyDescent="0.35">
      <c r="A1627" s="11">
        <v>50266</v>
      </c>
      <c r="B1627" s="12" t="s">
        <v>17</v>
      </c>
      <c r="C1627" s="13">
        <v>19.5</v>
      </c>
      <c r="D1627" s="14">
        <v>6.4</v>
      </c>
      <c r="E1627" s="18">
        <v>1</v>
      </c>
    </row>
    <row r="1628" spans="1:5" x14ac:dyDescent="0.35">
      <c r="A1628" s="7">
        <v>50267</v>
      </c>
      <c r="B1628" s="8" t="s">
        <v>19</v>
      </c>
      <c r="C1628" s="9">
        <v>12</v>
      </c>
      <c r="D1628" s="10">
        <v>13.3</v>
      </c>
      <c r="E1628" s="18">
        <v>1</v>
      </c>
    </row>
    <row r="1629" spans="1:5" x14ac:dyDescent="0.35">
      <c r="A1629" s="11">
        <v>50268</v>
      </c>
      <c r="B1629" s="12" t="s">
        <v>22</v>
      </c>
      <c r="C1629" s="13">
        <v>16.3</v>
      </c>
      <c r="D1629" s="14">
        <v>7.5</v>
      </c>
      <c r="E1629" s="18">
        <v>1</v>
      </c>
    </row>
    <row r="1630" spans="1:5" x14ac:dyDescent="0.35">
      <c r="A1630" s="7">
        <v>50269</v>
      </c>
      <c r="B1630" s="8" t="s">
        <v>17</v>
      </c>
      <c r="C1630" s="9">
        <v>22.8</v>
      </c>
      <c r="D1630" s="10">
        <v>2.7</v>
      </c>
      <c r="E1630" s="18">
        <v>1</v>
      </c>
    </row>
    <row r="1631" spans="1:5" x14ac:dyDescent="0.35">
      <c r="A1631" s="11">
        <v>50270</v>
      </c>
      <c r="B1631" s="12" t="s">
        <v>10</v>
      </c>
      <c r="C1631" s="13">
        <v>16.2</v>
      </c>
      <c r="D1631" s="14">
        <v>43.3</v>
      </c>
      <c r="E1631" s="18">
        <v>1</v>
      </c>
    </row>
    <row r="1632" spans="1:5" x14ac:dyDescent="0.35">
      <c r="A1632" s="7">
        <v>50271</v>
      </c>
      <c r="B1632" s="8" t="s">
        <v>24</v>
      </c>
      <c r="C1632" s="9">
        <v>11.5</v>
      </c>
      <c r="D1632" s="10">
        <v>3.1</v>
      </c>
      <c r="E1632" s="18">
        <v>1</v>
      </c>
    </row>
    <row r="1633" spans="1:5" x14ac:dyDescent="0.35">
      <c r="A1633" s="11">
        <v>50272</v>
      </c>
      <c r="B1633" s="12" t="s">
        <v>13</v>
      </c>
      <c r="C1633" s="13">
        <v>13.5</v>
      </c>
      <c r="D1633" s="14">
        <v>0</v>
      </c>
      <c r="E1633" s="18">
        <v>1</v>
      </c>
    </row>
    <row r="1634" spans="1:5" x14ac:dyDescent="0.35">
      <c r="A1634" s="7">
        <v>50273</v>
      </c>
      <c r="B1634" s="8" t="s">
        <v>17</v>
      </c>
      <c r="C1634" s="9">
        <v>16.2</v>
      </c>
      <c r="D1634" s="10">
        <v>6.4</v>
      </c>
      <c r="E1634" s="18">
        <v>1</v>
      </c>
    </row>
    <row r="1635" spans="1:5" x14ac:dyDescent="0.35">
      <c r="A1635" s="11">
        <v>50274</v>
      </c>
      <c r="B1635" s="12" t="s">
        <v>10</v>
      </c>
      <c r="C1635" s="13">
        <v>18.5</v>
      </c>
      <c r="D1635" s="14">
        <v>24.9</v>
      </c>
      <c r="E1635" s="18">
        <v>1</v>
      </c>
    </row>
    <row r="1636" spans="1:5" x14ac:dyDescent="0.35">
      <c r="A1636" s="7">
        <v>50275</v>
      </c>
      <c r="B1636" s="8" t="s">
        <v>19</v>
      </c>
      <c r="C1636" s="9">
        <v>10.9</v>
      </c>
      <c r="D1636" s="10">
        <v>0</v>
      </c>
      <c r="E1636" s="18">
        <v>1</v>
      </c>
    </row>
    <row r="1637" spans="1:5" x14ac:dyDescent="0.35">
      <c r="A1637" s="11">
        <v>50276</v>
      </c>
      <c r="B1637" s="12" t="s">
        <v>17</v>
      </c>
      <c r="C1637" s="13">
        <v>23.9</v>
      </c>
      <c r="D1637" s="14">
        <v>4.5</v>
      </c>
      <c r="E1637" s="18">
        <v>1</v>
      </c>
    </row>
    <row r="1638" spans="1:5" x14ac:dyDescent="0.35">
      <c r="A1638" s="7">
        <v>50277</v>
      </c>
      <c r="B1638" s="8" t="s">
        <v>11</v>
      </c>
      <c r="C1638" s="9">
        <v>20.2</v>
      </c>
      <c r="D1638" s="10">
        <v>0</v>
      </c>
      <c r="E1638" s="18">
        <v>1</v>
      </c>
    </row>
    <row r="1639" spans="1:5" x14ac:dyDescent="0.35">
      <c r="A1639" s="11">
        <v>50278</v>
      </c>
      <c r="B1639" s="12" t="s">
        <v>7</v>
      </c>
      <c r="C1639" s="13">
        <v>23.3</v>
      </c>
      <c r="D1639" s="14">
        <v>0</v>
      </c>
      <c r="E1639" s="18">
        <v>1</v>
      </c>
    </row>
    <row r="1640" spans="1:5" x14ac:dyDescent="0.35">
      <c r="A1640" s="7">
        <v>50279</v>
      </c>
      <c r="B1640" s="8" t="s">
        <v>13</v>
      </c>
      <c r="C1640" s="9">
        <v>26.3</v>
      </c>
      <c r="D1640" s="10">
        <v>2.2000000000000002</v>
      </c>
      <c r="E1640" s="18">
        <v>1</v>
      </c>
    </row>
    <row r="1641" spans="1:5" x14ac:dyDescent="0.35">
      <c r="A1641" s="11">
        <v>50280</v>
      </c>
      <c r="B1641" s="12" t="s">
        <v>13</v>
      </c>
      <c r="C1641" s="13">
        <v>20.3</v>
      </c>
      <c r="D1641" s="14">
        <v>16.600000000000001</v>
      </c>
      <c r="E1641" s="18">
        <v>1</v>
      </c>
    </row>
    <row r="1642" spans="1:5" x14ac:dyDescent="0.35">
      <c r="A1642" s="7">
        <v>50281</v>
      </c>
      <c r="B1642" s="8" t="s">
        <v>10</v>
      </c>
      <c r="C1642" s="9">
        <v>11.1</v>
      </c>
      <c r="D1642" s="10">
        <v>38</v>
      </c>
      <c r="E1642" s="18">
        <v>1</v>
      </c>
    </row>
    <row r="1643" spans="1:5" x14ac:dyDescent="0.35">
      <c r="A1643" s="11">
        <v>50282</v>
      </c>
      <c r="B1643" s="12" t="s">
        <v>5</v>
      </c>
      <c r="C1643" s="13">
        <v>10.7</v>
      </c>
      <c r="D1643" s="14">
        <v>1.2</v>
      </c>
      <c r="E1643" s="18">
        <v>1</v>
      </c>
    </row>
    <row r="1644" spans="1:5" x14ac:dyDescent="0.35">
      <c r="A1644" s="7">
        <v>50283</v>
      </c>
      <c r="B1644" s="8" t="s">
        <v>21</v>
      </c>
      <c r="C1644" s="9">
        <v>21.8</v>
      </c>
      <c r="D1644" s="10">
        <v>0</v>
      </c>
      <c r="E1644" s="18">
        <v>1</v>
      </c>
    </row>
    <row r="1645" spans="1:5" x14ac:dyDescent="0.35">
      <c r="A1645" s="11">
        <v>50284</v>
      </c>
      <c r="B1645" s="12" t="s">
        <v>7</v>
      </c>
      <c r="C1645" s="13">
        <v>29.7</v>
      </c>
      <c r="D1645" s="14">
        <v>2.5</v>
      </c>
      <c r="E1645" s="18">
        <v>1</v>
      </c>
    </row>
    <row r="1646" spans="1:5" x14ac:dyDescent="0.35">
      <c r="A1646" s="7">
        <v>50285</v>
      </c>
      <c r="B1646" s="8" t="s">
        <v>10</v>
      </c>
      <c r="C1646" s="9">
        <v>21.7</v>
      </c>
      <c r="D1646" s="10">
        <v>16.100000000000001</v>
      </c>
      <c r="E1646" s="18">
        <v>1</v>
      </c>
    </row>
    <row r="1647" spans="1:5" x14ac:dyDescent="0.35">
      <c r="A1647" s="11">
        <v>50286</v>
      </c>
      <c r="B1647" s="12" t="s">
        <v>10</v>
      </c>
      <c r="C1647" s="13">
        <v>26</v>
      </c>
      <c r="D1647" s="14">
        <v>47.6</v>
      </c>
      <c r="E1647" s="18">
        <v>1</v>
      </c>
    </row>
    <row r="1648" spans="1:5" x14ac:dyDescent="0.35">
      <c r="A1648" s="7">
        <v>50287</v>
      </c>
      <c r="B1648" s="8" t="s">
        <v>7</v>
      </c>
      <c r="C1648" s="9">
        <v>18</v>
      </c>
      <c r="D1648" s="10">
        <v>5.3</v>
      </c>
      <c r="E1648" s="18">
        <v>1</v>
      </c>
    </row>
    <row r="1649" spans="1:5" x14ac:dyDescent="0.35">
      <c r="A1649" s="11">
        <v>50288</v>
      </c>
      <c r="B1649" s="12" t="s">
        <v>24</v>
      </c>
      <c r="C1649" s="13">
        <v>15.8</v>
      </c>
      <c r="D1649" s="14">
        <v>3.6</v>
      </c>
      <c r="E1649" s="18">
        <v>1</v>
      </c>
    </row>
    <row r="1650" spans="1:5" x14ac:dyDescent="0.35">
      <c r="A1650" s="7">
        <v>50289</v>
      </c>
      <c r="B1650" s="8" t="s">
        <v>26</v>
      </c>
      <c r="C1650" s="9">
        <v>14.1</v>
      </c>
      <c r="D1650" s="10">
        <v>6.8</v>
      </c>
      <c r="E1650" s="18">
        <v>1</v>
      </c>
    </row>
    <row r="1651" spans="1:5" x14ac:dyDescent="0.35">
      <c r="A1651" s="11">
        <v>50290</v>
      </c>
      <c r="B1651" s="12" t="s">
        <v>24</v>
      </c>
      <c r="C1651" s="13">
        <v>22.3</v>
      </c>
      <c r="D1651" s="14">
        <v>1.8</v>
      </c>
      <c r="E1651" s="18">
        <v>1</v>
      </c>
    </row>
    <row r="1652" spans="1:5" x14ac:dyDescent="0.35">
      <c r="A1652" s="7">
        <v>50291</v>
      </c>
      <c r="B1652" s="8" t="s">
        <v>19</v>
      </c>
      <c r="C1652" s="9">
        <v>22.2</v>
      </c>
      <c r="D1652" s="10">
        <v>0</v>
      </c>
      <c r="E1652" s="18">
        <v>1</v>
      </c>
    </row>
    <row r="1653" spans="1:5" x14ac:dyDescent="0.35">
      <c r="A1653" s="11">
        <v>50292</v>
      </c>
      <c r="B1653" s="12" t="s">
        <v>6</v>
      </c>
      <c r="C1653" s="13">
        <v>23.8</v>
      </c>
      <c r="D1653" s="14">
        <v>0</v>
      </c>
      <c r="E1653" s="18">
        <v>1</v>
      </c>
    </row>
    <row r="1654" spans="1:5" x14ac:dyDescent="0.35">
      <c r="A1654" s="7">
        <v>50293</v>
      </c>
      <c r="B1654" s="8" t="s">
        <v>14</v>
      </c>
      <c r="C1654" s="9">
        <v>10</v>
      </c>
      <c r="D1654" s="10">
        <v>8.1</v>
      </c>
      <c r="E1654" s="18">
        <v>1</v>
      </c>
    </row>
    <row r="1655" spans="1:5" x14ac:dyDescent="0.35">
      <c r="A1655" s="11">
        <v>50294</v>
      </c>
      <c r="B1655" s="12" t="s">
        <v>24</v>
      </c>
      <c r="C1655" s="13">
        <v>23.8</v>
      </c>
      <c r="D1655" s="14">
        <v>0</v>
      </c>
      <c r="E1655" s="18">
        <v>1</v>
      </c>
    </row>
    <row r="1656" spans="1:5" x14ac:dyDescent="0.35">
      <c r="A1656" s="7">
        <v>50295</v>
      </c>
      <c r="B1656" s="8" t="s">
        <v>23</v>
      </c>
      <c r="C1656" s="9">
        <v>13.4</v>
      </c>
      <c r="D1656" s="10">
        <v>2.6</v>
      </c>
      <c r="E1656" s="18">
        <v>1</v>
      </c>
    </row>
    <row r="1657" spans="1:5" x14ac:dyDescent="0.35">
      <c r="A1657" s="11">
        <v>50296</v>
      </c>
      <c r="B1657" s="12" t="s">
        <v>24</v>
      </c>
      <c r="C1657" s="13">
        <v>17</v>
      </c>
      <c r="D1657" s="14">
        <v>1.5</v>
      </c>
      <c r="E1657" s="18">
        <v>1</v>
      </c>
    </row>
    <row r="1658" spans="1:5" x14ac:dyDescent="0.35">
      <c r="A1658" s="7">
        <v>50297</v>
      </c>
      <c r="B1658" s="8" t="s">
        <v>6</v>
      </c>
      <c r="C1658" s="9">
        <v>25.5</v>
      </c>
      <c r="D1658" s="10">
        <v>0</v>
      </c>
      <c r="E1658" s="18">
        <v>1</v>
      </c>
    </row>
    <row r="1659" spans="1:5" x14ac:dyDescent="0.35">
      <c r="A1659" s="11">
        <v>50298</v>
      </c>
      <c r="B1659" s="12" t="s">
        <v>14</v>
      </c>
      <c r="C1659" s="13">
        <v>19.7</v>
      </c>
      <c r="D1659" s="14">
        <v>0</v>
      </c>
      <c r="E1659" s="18">
        <v>1</v>
      </c>
    </row>
    <row r="1660" spans="1:5" x14ac:dyDescent="0.35">
      <c r="A1660" s="7">
        <v>50299</v>
      </c>
      <c r="B1660" s="8" t="s">
        <v>10</v>
      </c>
      <c r="C1660" s="9">
        <v>22.8</v>
      </c>
      <c r="D1660" s="10">
        <v>10.7</v>
      </c>
      <c r="E1660" s="18">
        <v>1</v>
      </c>
    </row>
    <row r="1661" spans="1:5" x14ac:dyDescent="0.35">
      <c r="A1661" s="11">
        <v>50300</v>
      </c>
      <c r="B1661" s="12" t="s">
        <v>16</v>
      </c>
      <c r="C1661" s="13">
        <v>25.5</v>
      </c>
      <c r="D1661" s="14">
        <v>0</v>
      </c>
      <c r="E1661" s="18">
        <v>1</v>
      </c>
    </row>
    <row r="1662" spans="1:5" x14ac:dyDescent="0.35">
      <c r="A1662" s="7">
        <v>50301</v>
      </c>
      <c r="B1662" s="8" t="s">
        <v>10</v>
      </c>
      <c r="C1662" s="9">
        <v>16.8</v>
      </c>
      <c r="D1662" s="10">
        <v>2.2000000000000002</v>
      </c>
      <c r="E1662" s="18">
        <v>1</v>
      </c>
    </row>
    <row r="1663" spans="1:5" x14ac:dyDescent="0.35">
      <c r="A1663" s="11">
        <v>50302</v>
      </c>
      <c r="B1663" s="12" t="s">
        <v>23</v>
      </c>
      <c r="C1663" s="13">
        <v>25.3</v>
      </c>
      <c r="D1663" s="14">
        <v>2.5</v>
      </c>
      <c r="E1663" s="18">
        <v>1</v>
      </c>
    </row>
    <row r="1664" spans="1:5" x14ac:dyDescent="0.35">
      <c r="A1664" s="7">
        <v>50303</v>
      </c>
      <c r="B1664" s="8" t="s">
        <v>25</v>
      </c>
      <c r="C1664" s="9">
        <v>26.3</v>
      </c>
      <c r="D1664" s="10">
        <v>0.4</v>
      </c>
      <c r="E1664" s="18">
        <v>1</v>
      </c>
    </row>
    <row r="1665" spans="1:5" x14ac:dyDescent="0.35">
      <c r="A1665" s="11">
        <v>50304</v>
      </c>
      <c r="B1665" s="12" t="s">
        <v>13</v>
      </c>
      <c r="C1665" s="13">
        <v>21.9</v>
      </c>
      <c r="D1665" s="14">
        <v>7</v>
      </c>
      <c r="E1665" s="18">
        <v>1</v>
      </c>
    </row>
    <row r="1666" spans="1:5" x14ac:dyDescent="0.35">
      <c r="A1666" s="7">
        <v>50305</v>
      </c>
      <c r="B1666" s="8" t="s">
        <v>13</v>
      </c>
      <c r="C1666" s="9">
        <v>11.2</v>
      </c>
      <c r="D1666" s="10">
        <v>0</v>
      </c>
      <c r="E1666" s="18">
        <v>1</v>
      </c>
    </row>
    <row r="1667" spans="1:5" x14ac:dyDescent="0.35">
      <c r="A1667" s="11">
        <v>50306</v>
      </c>
      <c r="B1667" s="12" t="s">
        <v>15</v>
      </c>
      <c r="C1667" s="13">
        <v>10.6</v>
      </c>
      <c r="D1667" s="14">
        <v>5.2</v>
      </c>
      <c r="E1667" s="18">
        <v>1</v>
      </c>
    </row>
    <row r="1668" spans="1:5" x14ac:dyDescent="0.35">
      <c r="A1668" s="7">
        <v>50307</v>
      </c>
      <c r="B1668" s="8" t="s">
        <v>12</v>
      </c>
      <c r="C1668" s="9">
        <v>17.7</v>
      </c>
      <c r="D1668" s="10">
        <v>1</v>
      </c>
      <c r="E1668" s="18">
        <v>1</v>
      </c>
    </row>
    <row r="1669" spans="1:5" x14ac:dyDescent="0.35">
      <c r="A1669" s="11">
        <v>50308</v>
      </c>
      <c r="B1669" s="12" t="s">
        <v>7</v>
      </c>
      <c r="C1669" s="13">
        <v>19.899999999999999</v>
      </c>
      <c r="D1669" s="14">
        <v>0</v>
      </c>
      <c r="E1669" s="18">
        <v>1</v>
      </c>
    </row>
    <row r="1670" spans="1:5" x14ac:dyDescent="0.35">
      <c r="A1670" s="7">
        <v>50309</v>
      </c>
      <c r="B1670" s="8" t="s">
        <v>10</v>
      </c>
      <c r="C1670" s="9">
        <v>25.1</v>
      </c>
      <c r="D1670" s="10">
        <v>42.1</v>
      </c>
      <c r="E1670" s="18">
        <v>1</v>
      </c>
    </row>
    <row r="1671" spans="1:5" x14ac:dyDescent="0.35">
      <c r="A1671" s="11">
        <v>50310</v>
      </c>
      <c r="B1671" s="12" t="s">
        <v>9</v>
      </c>
      <c r="C1671" s="13">
        <v>18.5</v>
      </c>
      <c r="D1671" s="14">
        <v>0.3</v>
      </c>
      <c r="E1671" s="18">
        <v>1</v>
      </c>
    </row>
    <row r="1672" spans="1:5" x14ac:dyDescent="0.35">
      <c r="A1672" s="7">
        <v>50311</v>
      </c>
      <c r="B1672" s="8" t="s">
        <v>10</v>
      </c>
      <c r="C1672" s="9">
        <v>25.5</v>
      </c>
      <c r="D1672" s="10">
        <v>25.3</v>
      </c>
      <c r="E1672" s="18">
        <v>1</v>
      </c>
    </row>
    <row r="1673" spans="1:5" x14ac:dyDescent="0.35">
      <c r="A1673" s="11">
        <v>50312</v>
      </c>
      <c r="B1673" s="12" t="s">
        <v>10</v>
      </c>
      <c r="C1673" s="13">
        <v>12.8</v>
      </c>
      <c r="D1673" s="14">
        <v>0</v>
      </c>
      <c r="E1673" s="18">
        <v>1</v>
      </c>
    </row>
    <row r="1674" spans="1:5" x14ac:dyDescent="0.35">
      <c r="A1674" s="7">
        <v>50313</v>
      </c>
      <c r="B1674" s="8" t="s">
        <v>19</v>
      </c>
      <c r="C1674" s="9">
        <v>23.6</v>
      </c>
      <c r="D1674" s="10">
        <v>34.299999999999997</v>
      </c>
      <c r="E1674" s="18">
        <v>1</v>
      </c>
    </row>
    <row r="1675" spans="1:5" x14ac:dyDescent="0.35">
      <c r="A1675" s="11">
        <v>50314</v>
      </c>
      <c r="B1675" s="12" t="s">
        <v>15</v>
      </c>
      <c r="C1675" s="13">
        <v>13.1</v>
      </c>
      <c r="D1675" s="14">
        <v>2</v>
      </c>
      <c r="E1675" s="18">
        <v>1</v>
      </c>
    </row>
    <row r="1676" spans="1:5" x14ac:dyDescent="0.35">
      <c r="A1676" s="7">
        <v>50315</v>
      </c>
      <c r="B1676" s="8" t="s">
        <v>23</v>
      </c>
      <c r="C1676" s="9">
        <v>23</v>
      </c>
      <c r="D1676" s="10">
        <v>0</v>
      </c>
      <c r="E1676" s="18">
        <v>1</v>
      </c>
    </row>
    <row r="1677" spans="1:5" x14ac:dyDescent="0.35">
      <c r="A1677" s="11">
        <v>50316</v>
      </c>
      <c r="B1677" s="12" t="s">
        <v>13</v>
      </c>
      <c r="C1677" s="13">
        <v>13</v>
      </c>
      <c r="D1677" s="14">
        <v>15.8</v>
      </c>
      <c r="E1677" s="18">
        <v>1</v>
      </c>
    </row>
    <row r="1678" spans="1:5" x14ac:dyDescent="0.35">
      <c r="A1678" s="7">
        <v>50317</v>
      </c>
      <c r="B1678" s="8" t="s">
        <v>9</v>
      </c>
      <c r="C1678" s="9">
        <v>19.5</v>
      </c>
      <c r="D1678" s="10">
        <v>8</v>
      </c>
      <c r="E1678" s="18">
        <v>1</v>
      </c>
    </row>
    <row r="1679" spans="1:5" x14ac:dyDescent="0.35">
      <c r="A1679" s="11">
        <v>50318</v>
      </c>
      <c r="B1679" s="12" t="s">
        <v>7</v>
      </c>
      <c r="C1679" s="13">
        <v>19.2</v>
      </c>
      <c r="D1679" s="14">
        <v>0</v>
      </c>
      <c r="E1679" s="18">
        <v>1</v>
      </c>
    </row>
    <row r="1680" spans="1:5" x14ac:dyDescent="0.35">
      <c r="A1680" s="7">
        <v>50319</v>
      </c>
      <c r="B1680" s="8" t="s">
        <v>5</v>
      </c>
      <c r="C1680" s="9">
        <v>28.3</v>
      </c>
      <c r="D1680" s="10">
        <v>1.1000000000000001</v>
      </c>
      <c r="E1680" s="18">
        <v>1</v>
      </c>
    </row>
    <row r="1681" spans="1:5" x14ac:dyDescent="0.35">
      <c r="A1681" s="11">
        <v>50320</v>
      </c>
      <c r="B1681" s="12" t="s">
        <v>10</v>
      </c>
      <c r="C1681" s="13">
        <v>18.100000000000001</v>
      </c>
      <c r="D1681" s="14">
        <v>0</v>
      </c>
      <c r="E1681" s="18">
        <v>1</v>
      </c>
    </row>
    <row r="1682" spans="1:5" x14ac:dyDescent="0.35">
      <c r="A1682" s="7">
        <v>50321</v>
      </c>
      <c r="B1682" s="8" t="s">
        <v>19</v>
      </c>
      <c r="C1682" s="9">
        <v>17.5</v>
      </c>
      <c r="D1682" s="10">
        <v>13.3</v>
      </c>
      <c r="E1682" s="18">
        <v>1</v>
      </c>
    </row>
    <row r="1683" spans="1:5" x14ac:dyDescent="0.35">
      <c r="A1683" s="11">
        <v>50322</v>
      </c>
      <c r="B1683" s="12" t="s">
        <v>6</v>
      </c>
      <c r="C1683" s="13">
        <v>26.7</v>
      </c>
      <c r="D1683" s="14">
        <v>12.9</v>
      </c>
      <c r="E1683" s="18">
        <v>1</v>
      </c>
    </row>
    <row r="1684" spans="1:5" x14ac:dyDescent="0.35">
      <c r="A1684" s="7">
        <v>50323</v>
      </c>
      <c r="B1684" s="8" t="s">
        <v>19</v>
      </c>
      <c r="C1684" s="9">
        <v>26.6</v>
      </c>
      <c r="D1684" s="10">
        <v>0</v>
      </c>
      <c r="E1684" s="18">
        <v>1</v>
      </c>
    </row>
    <row r="1685" spans="1:5" x14ac:dyDescent="0.35">
      <c r="A1685" s="11">
        <v>50324</v>
      </c>
      <c r="B1685" s="12" t="s">
        <v>22</v>
      </c>
      <c r="C1685" s="13">
        <v>12.2</v>
      </c>
      <c r="D1685" s="14">
        <v>1.8</v>
      </c>
      <c r="E1685" s="18">
        <v>1</v>
      </c>
    </row>
    <row r="1686" spans="1:5" x14ac:dyDescent="0.35">
      <c r="A1686" s="7">
        <v>50325</v>
      </c>
      <c r="B1686" s="8" t="s">
        <v>7</v>
      </c>
      <c r="C1686" s="9">
        <v>27.4</v>
      </c>
      <c r="D1686" s="10">
        <v>4.8</v>
      </c>
      <c r="E1686" s="18">
        <v>1</v>
      </c>
    </row>
    <row r="1687" spans="1:5" x14ac:dyDescent="0.35">
      <c r="A1687" s="11">
        <v>50326</v>
      </c>
      <c r="B1687" s="12" t="s">
        <v>13</v>
      </c>
      <c r="C1687" s="13">
        <v>24.9</v>
      </c>
      <c r="D1687" s="14">
        <v>1.6</v>
      </c>
      <c r="E1687" s="18">
        <v>1</v>
      </c>
    </row>
    <row r="1688" spans="1:5" x14ac:dyDescent="0.35">
      <c r="A1688" s="7">
        <v>50327</v>
      </c>
      <c r="B1688" s="8" t="s">
        <v>27</v>
      </c>
      <c r="C1688" s="9">
        <v>21.4</v>
      </c>
      <c r="D1688" s="10">
        <v>5.5</v>
      </c>
      <c r="E1688" s="18">
        <v>1</v>
      </c>
    </row>
    <row r="1689" spans="1:5" x14ac:dyDescent="0.35">
      <c r="A1689" s="11">
        <v>50328</v>
      </c>
      <c r="B1689" s="12" t="s">
        <v>29</v>
      </c>
      <c r="C1689" s="13">
        <v>14.1</v>
      </c>
      <c r="D1689" s="14">
        <v>0</v>
      </c>
      <c r="E1689" s="18">
        <v>1</v>
      </c>
    </row>
    <row r="1690" spans="1:5" x14ac:dyDescent="0.35">
      <c r="A1690" s="7">
        <v>50329</v>
      </c>
      <c r="B1690" s="8" t="s">
        <v>25</v>
      </c>
      <c r="C1690" s="9">
        <v>15.4</v>
      </c>
      <c r="D1690" s="10">
        <v>2.1</v>
      </c>
      <c r="E1690" s="18">
        <v>1</v>
      </c>
    </row>
    <row r="1691" spans="1:5" x14ac:dyDescent="0.35">
      <c r="A1691" s="11">
        <v>50330</v>
      </c>
      <c r="B1691" s="12" t="s">
        <v>13</v>
      </c>
      <c r="C1691" s="13">
        <v>27.7</v>
      </c>
      <c r="D1691" s="14">
        <v>0</v>
      </c>
      <c r="E1691" s="18">
        <v>1</v>
      </c>
    </row>
    <row r="1692" spans="1:5" x14ac:dyDescent="0.35">
      <c r="A1692" s="7">
        <v>50331</v>
      </c>
      <c r="B1692" s="8" t="s">
        <v>10</v>
      </c>
      <c r="C1692" s="9">
        <v>15.5</v>
      </c>
      <c r="D1692" s="10">
        <v>43.4</v>
      </c>
      <c r="E1692" s="18">
        <v>1</v>
      </c>
    </row>
    <row r="1693" spans="1:5" x14ac:dyDescent="0.35">
      <c r="A1693" s="11">
        <v>50332</v>
      </c>
      <c r="B1693" s="12" t="s">
        <v>7</v>
      </c>
      <c r="C1693" s="13">
        <v>26.8</v>
      </c>
      <c r="D1693" s="14">
        <v>0</v>
      </c>
      <c r="E1693" s="18">
        <v>1</v>
      </c>
    </row>
    <row r="1694" spans="1:5" x14ac:dyDescent="0.35">
      <c r="A1694" s="7">
        <v>50333</v>
      </c>
      <c r="B1694" s="8" t="s">
        <v>13</v>
      </c>
      <c r="C1694" s="9">
        <v>23.1</v>
      </c>
      <c r="D1694" s="10">
        <v>9.1</v>
      </c>
      <c r="E1694" s="18">
        <v>1</v>
      </c>
    </row>
    <row r="1695" spans="1:5" x14ac:dyDescent="0.35">
      <c r="A1695" s="11">
        <v>50334</v>
      </c>
      <c r="B1695" s="12" t="s">
        <v>6</v>
      </c>
      <c r="C1695" s="13">
        <v>22.8</v>
      </c>
      <c r="D1695" s="14">
        <v>12.9</v>
      </c>
      <c r="E1695" s="18">
        <v>1</v>
      </c>
    </row>
    <row r="1696" spans="1:5" x14ac:dyDescent="0.35">
      <c r="A1696" s="7">
        <v>50335</v>
      </c>
      <c r="B1696" s="8" t="s">
        <v>10</v>
      </c>
      <c r="C1696" s="9">
        <v>17.2</v>
      </c>
      <c r="D1696" s="10">
        <v>0</v>
      </c>
      <c r="E1696" s="18">
        <v>1</v>
      </c>
    </row>
    <row r="1697" spans="1:5" x14ac:dyDescent="0.35">
      <c r="A1697" s="11">
        <v>50336</v>
      </c>
      <c r="B1697" s="12" t="s">
        <v>10</v>
      </c>
      <c r="C1697" s="13">
        <v>29.3</v>
      </c>
      <c r="D1697" s="14">
        <v>6.1</v>
      </c>
      <c r="E1697" s="18">
        <v>1</v>
      </c>
    </row>
    <row r="1698" spans="1:5" x14ac:dyDescent="0.35">
      <c r="A1698" s="7">
        <v>50337</v>
      </c>
      <c r="B1698" s="8" t="s">
        <v>13</v>
      </c>
      <c r="C1698" s="9">
        <v>19.5</v>
      </c>
      <c r="D1698" s="10">
        <v>14.2</v>
      </c>
      <c r="E1698" s="18">
        <v>1</v>
      </c>
    </row>
    <row r="1699" spans="1:5" x14ac:dyDescent="0.35">
      <c r="A1699" s="11">
        <v>50338</v>
      </c>
      <c r="B1699" s="12" t="s">
        <v>19</v>
      </c>
      <c r="C1699" s="13">
        <v>28.1</v>
      </c>
      <c r="D1699" s="14">
        <v>9.4</v>
      </c>
      <c r="E1699" s="18">
        <v>1</v>
      </c>
    </row>
    <row r="1700" spans="1:5" x14ac:dyDescent="0.35">
      <c r="A1700" s="7">
        <v>50339</v>
      </c>
      <c r="B1700" s="8" t="s">
        <v>11</v>
      </c>
      <c r="C1700" s="9">
        <v>21.1</v>
      </c>
      <c r="D1700" s="10">
        <v>12</v>
      </c>
      <c r="E1700" s="18">
        <v>1</v>
      </c>
    </row>
    <row r="1701" spans="1:5" x14ac:dyDescent="0.35">
      <c r="A1701" s="11">
        <v>50340</v>
      </c>
      <c r="B1701" s="12" t="s">
        <v>7</v>
      </c>
      <c r="C1701" s="13">
        <v>23.8</v>
      </c>
      <c r="D1701" s="14">
        <v>13.3</v>
      </c>
      <c r="E1701" s="18">
        <v>1</v>
      </c>
    </row>
    <row r="1702" spans="1:5" x14ac:dyDescent="0.35">
      <c r="A1702" s="7">
        <v>50341</v>
      </c>
      <c r="B1702" s="8" t="s">
        <v>24</v>
      </c>
      <c r="C1702" s="9">
        <v>19.399999999999999</v>
      </c>
      <c r="D1702" s="10">
        <v>2.2000000000000002</v>
      </c>
      <c r="E1702" s="18">
        <v>1</v>
      </c>
    </row>
    <row r="1703" spans="1:5" x14ac:dyDescent="0.35">
      <c r="A1703" s="11">
        <v>50342</v>
      </c>
      <c r="B1703" s="12" t="s">
        <v>7</v>
      </c>
      <c r="C1703" s="13">
        <v>25.8</v>
      </c>
      <c r="D1703" s="14">
        <v>17.100000000000001</v>
      </c>
      <c r="E1703" s="18">
        <v>1</v>
      </c>
    </row>
    <row r="1704" spans="1:5" x14ac:dyDescent="0.35">
      <c r="A1704" s="7">
        <v>50343</v>
      </c>
      <c r="B1704" s="8" t="s">
        <v>7</v>
      </c>
      <c r="C1704" s="9">
        <v>30</v>
      </c>
      <c r="D1704" s="10">
        <v>6.3</v>
      </c>
      <c r="E1704" s="18">
        <v>1</v>
      </c>
    </row>
    <row r="1705" spans="1:5" x14ac:dyDescent="0.35">
      <c r="A1705" s="11">
        <v>50344</v>
      </c>
      <c r="B1705" s="12" t="s">
        <v>10</v>
      </c>
      <c r="C1705" s="13">
        <v>11</v>
      </c>
      <c r="D1705" s="14">
        <v>0</v>
      </c>
      <c r="E1705" s="18">
        <v>1</v>
      </c>
    </row>
    <row r="1706" spans="1:5" x14ac:dyDescent="0.35">
      <c r="A1706" s="7">
        <v>50345</v>
      </c>
      <c r="B1706" s="8" t="s">
        <v>19</v>
      </c>
      <c r="C1706" s="9">
        <v>27.2</v>
      </c>
      <c r="D1706" s="10">
        <v>0</v>
      </c>
      <c r="E1706" s="18">
        <v>1</v>
      </c>
    </row>
    <row r="1707" spans="1:5" x14ac:dyDescent="0.35">
      <c r="A1707" s="11">
        <v>50346</v>
      </c>
      <c r="B1707" s="12" t="s">
        <v>7</v>
      </c>
      <c r="C1707" s="13">
        <v>18.3</v>
      </c>
      <c r="D1707" s="14">
        <v>8.4</v>
      </c>
      <c r="E1707" s="18">
        <v>1</v>
      </c>
    </row>
    <row r="1708" spans="1:5" x14ac:dyDescent="0.35">
      <c r="A1708" s="7">
        <v>50347</v>
      </c>
      <c r="B1708" s="8" t="s">
        <v>25</v>
      </c>
      <c r="C1708" s="9">
        <v>14</v>
      </c>
      <c r="D1708" s="10">
        <v>2.5</v>
      </c>
      <c r="E1708" s="18">
        <v>1</v>
      </c>
    </row>
    <row r="1709" spans="1:5" x14ac:dyDescent="0.35">
      <c r="A1709" s="11">
        <v>50348</v>
      </c>
      <c r="B1709" s="12" t="s">
        <v>7</v>
      </c>
      <c r="C1709" s="13">
        <v>26.2</v>
      </c>
      <c r="D1709" s="14">
        <v>6.9</v>
      </c>
      <c r="E1709" s="18">
        <v>1</v>
      </c>
    </row>
    <row r="1710" spans="1:5" x14ac:dyDescent="0.35">
      <c r="A1710" s="7">
        <v>50349</v>
      </c>
      <c r="B1710" s="8" t="s">
        <v>15</v>
      </c>
      <c r="C1710" s="9">
        <v>25.5</v>
      </c>
      <c r="D1710" s="10">
        <v>8.4</v>
      </c>
      <c r="E1710" s="18">
        <v>1</v>
      </c>
    </row>
    <row r="1711" spans="1:5" x14ac:dyDescent="0.35">
      <c r="A1711" s="11">
        <v>50350</v>
      </c>
      <c r="B1711" s="12" t="s">
        <v>18</v>
      </c>
      <c r="C1711" s="13">
        <v>23.1</v>
      </c>
      <c r="D1711" s="14">
        <v>11.4</v>
      </c>
      <c r="E1711" s="18">
        <v>1</v>
      </c>
    </row>
    <row r="1712" spans="1:5" x14ac:dyDescent="0.35">
      <c r="A1712" s="7">
        <v>50351</v>
      </c>
      <c r="B1712" s="8" t="s">
        <v>12</v>
      </c>
      <c r="C1712" s="9">
        <v>21.3</v>
      </c>
      <c r="D1712" s="10">
        <v>2.8</v>
      </c>
      <c r="E1712" s="18">
        <v>1</v>
      </c>
    </row>
    <row r="1713" spans="1:5" x14ac:dyDescent="0.35">
      <c r="A1713" s="11">
        <v>50352</v>
      </c>
      <c r="B1713" s="12" t="s">
        <v>12</v>
      </c>
      <c r="C1713" s="13">
        <v>16.3</v>
      </c>
      <c r="D1713" s="14">
        <v>7.6</v>
      </c>
      <c r="E1713" s="18">
        <v>1</v>
      </c>
    </row>
    <row r="1714" spans="1:5" x14ac:dyDescent="0.35">
      <c r="A1714" s="7">
        <v>50353</v>
      </c>
      <c r="B1714" s="8" t="s">
        <v>14</v>
      </c>
      <c r="C1714" s="9">
        <v>23.7</v>
      </c>
      <c r="D1714" s="10">
        <v>7.6</v>
      </c>
      <c r="E1714" s="18">
        <v>1</v>
      </c>
    </row>
    <row r="1715" spans="1:5" x14ac:dyDescent="0.35">
      <c r="A1715" s="11">
        <v>50354</v>
      </c>
      <c r="B1715" s="12" t="s">
        <v>18</v>
      </c>
      <c r="C1715" s="13">
        <v>24.8</v>
      </c>
      <c r="D1715" s="14">
        <v>0</v>
      </c>
      <c r="E1715" s="18">
        <v>1</v>
      </c>
    </row>
    <row r="1716" spans="1:5" x14ac:dyDescent="0.35">
      <c r="A1716" s="7">
        <v>50355</v>
      </c>
      <c r="B1716" s="8" t="s">
        <v>33</v>
      </c>
      <c r="C1716" s="9">
        <v>21.7</v>
      </c>
      <c r="D1716" s="10">
        <v>1</v>
      </c>
      <c r="E1716" s="18">
        <v>1</v>
      </c>
    </row>
    <row r="1717" spans="1:5" x14ac:dyDescent="0.35">
      <c r="A1717" s="11">
        <v>50356</v>
      </c>
      <c r="B1717" s="12" t="s">
        <v>10</v>
      </c>
      <c r="C1717" s="13">
        <v>16.7</v>
      </c>
      <c r="D1717" s="14">
        <v>21</v>
      </c>
      <c r="E1717" s="18">
        <v>1</v>
      </c>
    </row>
    <row r="1718" spans="1:5" x14ac:dyDescent="0.35">
      <c r="A1718" s="7">
        <v>50357</v>
      </c>
      <c r="B1718" s="8" t="s">
        <v>23</v>
      </c>
      <c r="C1718" s="9">
        <v>22.3</v>
      </c>
      <c r="D1718" s="10">
        <v>0.1</v>
      </c>
      <c r="E1718" s="18">
        <v>1</v>
      </c>
    </row>
    <row r="1719" spans="1:5" x14ac:dyDescent="0.35">
      <c r="A1719" s="11">
        <v>50358</v>
      </c>
      <c r="B1719" s="12" t="s">
        <v>26</v>
      </c>
      <c r="C1719" s="13">
        <v>13.6</v>
      </c>
      <c r="D1719" s="14">
        <v>0</v>
      </c>
      <c r="E1719" s="18">
        <v>1</v>
      </c>
    </row>
    <row r="1720" spans="1:5" x14ac:dyDescent="0.35">
      <c r="A1720" s="7">
        <v>50359</v>
      </c>
      <c r="B1720" s="8" t="s">
        <v>25</v>
      </c>
      <c r="C1720" s="9">
        <v>11.8</v>
      </c>
      <c r="D1720" s="10">
        <v>2.1</v>
      </c>
      <c r="E1720" s="18">
        <v>1</v>
      </c>
    </row>
    <row r="1721" spans="1:5" x14ac:dyDescent="0.35">
      <c r="A1721" s="11">
        <v>50360</v>
      </c>
      <c r="B1721" s="12" t="s">
        <v>11</v>
      </c>
      <c r="C1721" s="13">
        <v>11.1</v>
      </c>
      <c r="D1721" s="14">
        <v>0</v>
      </c>
      <c r="E1721" s="18">
        <v>1</v>
      </c>
    </row>
    <row r="1722" spans="1:5" x14ac:dyDescent="0.35">
      <c r="A1722" s="7">
        <v>50361</v>
      </c>
      <c r="B1722" s="8" t="s">
        <v>13</v>
      </c>
      <c r="C1722" s="9">
        <v>11.2</v>
      </c>
      <c r="D1722" s="10">
        <v>15</v>
      </c>
      <c r="E1722" s="18">
        <v>1</v>
      </c>
    </row>
    <row r="1723" spans="1:5" x14ac:dyDescent="0.35">
      <c r="A1723" s="11">
        <v>50362</v>
      </c>
      <c r="B1723" s="12" t="s">
        <v>23</v>
      </c>
      <c r="C1723" s="13">
        <v>19.100000000000001</v>
      </c>
      <c r="D1723" s="14">
        <v>0</v>
      </c>
      <c r="E1723" s="18">
        <v>1</v>
      </c>
    </row>
    <row r="1724" spans="1:5" x14ac:dyDescent="0.35">
      <c r="A1724" s="7">
        <v>50363</v>
      </c>
      <c r="B1724" s="8" t="s">
        <v>10</v>
      </c>
      <c r="C1724" s="9">
        <v>11.1</v>
      </c>
      <c r="D1724" s="10">
        <v>46.3</v>
      </c>
      <c r="E1724" s="18">
        <v>1</v>
      </c>
    </row>
    <row r="1725" spans="1:5" x14ac:dyDescent="0.35">
      <c r="A1725" s="11">
        <v>50364</v>
      </c>
      <c r="B1725" s="12" t="s">
        <v>18</v>
      </c>
      <c r="C1725" s="13">
        <v>15.1</v>
      </c>
      <c r="D1725" s="14">
        <v>6.2</v>
      </c>
      <c r="E1725" s="18">
        <v>1</v>
      </c>
    </row>
    <row r="1726" spans="1:5" x14ac:dyDescent="0.35">
      <c r="A1726" s="7">
        <v>50365</v>
      </c>
      <c r="B1726" s="8" t="s">
        <v>15</v>
      </c>
      <c r="C1726" s="9">
        <v>21.7</v>
      </c>
      <c r="D1726" s="10">
        <v>0</v>
      </c>
      <c r="E1726" s="18">
        <v>1</v>
      </c>
    </row>
    <row r="1727" spans="1:5" x14ac:dyDescent="0.35">
      <c r="A1727" s="11">
        <v>50366</v>
      </c>
      <c r="B1727" s="12" t="s">
        <v>23</v>
      </c>
      <c r="C1727" s="13">
        <v>19.7</v>
      </c>
      <c r="D1727" s="14">
        <v>0.2</v>
      </c>
      <c r="E1727" s="18">
        <v>1</v>
      </c>
    </row>
    <row r="1728" spans="1:5" x14ac:dyDescent="0.35">
      <c r="A1728" s="7">
        <v>50367</v>
      </c>
      <c r="B1728" s="8" t="s">
        <v>7</v>
      </c>
      <c r="C1728" s="9">
        <v>17.5</v>
      </c>
      <c r="D1728" s="10">
        <v>2.2000000000000002</v>
      </c>
      <c r="E1728" s="18">
        <v>1</v>
      </c>
    </row>
    <row r="1729" spans="1:5" x14ac:dyDescent="0.35">
      <c r="A1729" s="11">
        <v>50368</v>
      </c>
      <c r="B1729" s="12" t="s">
        <v>6</v>
      </c>
      <c r="C1729" s="13">
        <v>18.8</v>
      </c>
      <c r="D1729" s="14">
        <v>11.3</v>
      </c>
      <c r="E1729" s="18">
        <v>1</v>
      </c>
    </row>
    <row r="1730" spans="1:5" x14ac:dyDescent="0.35">
      <c r="A1730" s="7">
        <v>50369</v>
      </c>
      <c r="B1730" s="8" t="s">
        <v>30</v>
      </c>
      <c r="C1730" s="9">
        <v>19.600000000000001</v>
      </c>
      <c r="D1730" s="10">
        <v>0.3</v>
      </c>
      <c r="E1730" s="18">
        <v>1</v>
      </c>
    </row>
    <row r="1731" spans="1:5" x14ac:dyDescent="0.35">
      <c r="A1731" s="11">
        <v>50370</v>
      </c>
      <c r="B1731" s="12" t="s">
        <v>11</v>
      </c>
      <c r="C1731" s="13">
        <v>24.4</v>
      </c>
      <c r="D1731" s="14">
        <v>22</v>
      </c>
      <c r="E1731" s="18">
        <v>1</v>
      </c>
    </row>
    <row r="1732" spans="1:5" x14ac:dyDescent="0.35">
      <c r="A1732" s="7">
        <v>50371</v>
      </c>
      <c r="B1732" s="8" t="s">
        <v>23</v>
      </c>
      <c r="C1732" s="9">
        <v>10.5</v>
      </c>
      <c r="D1732" s="10">
        <v>0.1</v>
      </c>
      <c r="E1732" s="18">
        <v>1</v>
      </c>
    </row>
    <row r="1733" spans="1:5" x14ac:dyDescent="0.35">
      <c r="A1733" s="11">
        <v>50372</v>
      </c>
      <c r="B1733" s="12" t="s">
        <v>9</v>
      </c>
      <c r="C1733" s="13">
        <v>23.5</v>
      </c>
      <c r="D1733" s="14">
        <v>0</v>
      </c>
      <c r="E1733" s="18">
        <v>1</v>
      </c>
    </row>
    <row r="1734" spans="1:5" x14ac:dyDescent="0.35">
      <c r="A1734" s="7">
        <v>50373</v>
      </c>
      <c r="B1734" s="8" t="s">
        <v>27</v>
      </c>
      <c r="C1734" s="9">
        <v>19.2</v>
      </c>
      <c r="D1734" s="10">
        <v>0</v>
      </c>
      <c r="E1734" s="18">
        <v>1</v>
      </c>
    </row>
    <row r="1735" spans="1:5" x14ac:dyDescent="0.35">
      <c r="A1735" s="11">
        <v>50374</v>
      </c>
      <c r="B1735" s="12" t="s">
        <v>6</v>
      </c>
      <c r="C1735" s="13">
        <v>11</v>
      </c>
      <c r="D1735" s="14">
        <v>0</v>
      </c>
      <c r="E1735" s="18">
        <v>1</v>
      </c>
    </row>
    <row r="1736" spans="1:5" x14ac:dyDescent="0.35">
      <c r="A1736" s="7">
        <v>50375</v>
      </c>
      <c r="B1736" s="8" t="s">
        <v>11</v>
      </c>
      <c r="C1736" s="9">
        <v>10.4</v>
      </c>
      <c r="D1736" s="10">
        <v>0</v>
      </c>
      <c r="E1736" s="18">
        <v>1</v>
      </c>
    </row>
    <row r="1737" spans="1:5" x14ac:dyDescent="0.35">
      <c r="A1737" s="11">
        <v>50376</v>
      </c>
      <c r="B1737" s="12" t="s">
        <v>7</v>
      </c>
      <c r="C1737" s="13">
        <v>11.9</v>
      </c>
      <c r="D1737" s="14">
        <v>9</v>
      </c>
      <c r="E1737" s="18">
        <v>1</v>
      </c>
    </row>
    <row r="1738" spans="1:5" x14ac:dyDescent="0.35">
      <c r="A1738" s="7">
        <v>50377</v>
      </c>
      <c r="B1738" s="8" t="s">
        <v>14</v>
      </c>
      <c r="C1738" s="9">
        <v>23.1</v>
      </c>
      <c r="D1738" s="10">
        <v>2</v>
      </c>
      <c r="E1738" s="18">
        <v>1</v>
      </c>
    </row>
    <row r="1739" spans="1:5" x14ac:dyDescent="0.35">
      <c r="A1739" s="11">
        <v>50378</v>
      </c>
      <c r="B1739" s="12" t="s">
        <v>19</v>
      </c>
      <c r="C1739" s="13">
        <v>18.600000000000001</v>
      </c>
      <c r="D1739" s="14">
        <v>17.2</v>
      </c>
      <c r="E1739" s="18">
        <v>1</v>
      </c>
    </row>
    <row r="1740" spans="1:5" x14ac:dyDescent="0.35">
      <c r="A1740" s="7">
        <v>50379</v>
      </c>
      <c r="B1740" s="8" t="s">
        <v>6</v>
      </c>
      <c r="C1740" s="9">
        <v>21.8</v>
      </c>
      <c r="D1740" s="10">
        <v>12.3</v>
      </c>
      <c r="E1740" s="18">
        <v>1</v>
      </c>
    </row>
    <row r="1741" spans="1:5" x14ac:dyDescent="0.35">
      <c r="A1741" s="11">
        <v>50380</v>
      </c>
      <c r="B1741" s="12" t="s">
        <v>14</v>
      </c>
      <c r="C1741" s="13">
        <v>27.7</v>
      </c>
      <c r="D1741" s="14">
        <v>7.4</v>
      </c>
      <c r="E1741" s="18">
        <v>1</v>
      </c>
    </row>
    <row r="1742" spans="1:5" x14ac:dyDescent="0.35">
      <c r="A1742" s="7">
        <v>50381</v>
      </c>
      <c r="B1742" s="8" t="s">
        <v>19</v>
      </c>
      <c r="C1742" s="9">
        <v>23.2</v>
      </c>
      <c r="D1742" s="10">
        <v>24</v>
      </c>
      <c r="E1742" s="18">
        <v>1</v>
      </c>
    </row>
    <row r="1743" spans="1:5" x14ac:dyDescent="0.35">
      <c r="A1743" s="11">
        <v>50382</v>
      </c>
      <c r="B1743" s="12" t="s">
        <v>19</v>
      </c>
      <c r="C1743" s="13">
        <v>25.8</v>
      </c>
      <c r="D1743" s="14">
        <v>16.100000000000001</v>
      </c>
      <c r="E1743" s="18">
        <v>1</v>
      </c>
    </row>
    <row r="1744" spans="1:5" x14ac:dyDescent="0.35">
      <c r="A1744" s="7">
        <v>50383</v>
      </c>
      <c r="B1744" s="8" t="s">
        <v>5</v>
      </c>
      <c r="C1744" s="9">
        <v>19.8</v>
      </c>
      <c r="D1744" s="10">
        <v>6.6</v>
      </c>
      <c r="E1744" s="18">
        <v>1</v>
      </c>
    </row>
    <row r="1745" spans="1:5" x14ac:dyDescent="0.35">
      <c r="A1745" s="11">
        <v>50384</v>
      </c>
      <c r="B1745" s="12" t="s">
        <v>18</v>
      </c>
      <c r="C1745" s="13">
        <v>11.2</v>
      </c>
      <c r="D1745" s="14">
        <v>7.5</v>
      </c>
      <c r="E1745" s="18">
        <v>1</v>
      </c>
    </row>
    <row r="1746" spans="1:5" x14ac:dyDescent="0.35">
      <c r="A1746" s="7">
        <v>50385</v>
      </c>
      <c r="B1746" s="8" t="s">
        <v>10</v>
      </c>
      <c r="C1746" s="9">
        <v>15.7</v>
      </c>
      <c r="D1746" s="10">
        <v>0</v>
      </c>
      <c r="E1746" s="18">
        <v>1</v>
      </c>
    </row>
    <row r="1747" spans="1:5" x14ac:dyDescent="0.35">
      <c r="A1747" s="11">
        <v>50386</v>
      </c>
      <c r="B1747" s="12" t="s">
        <v>30</v>
      </c>
      <c r="C1747" s="13">
        <v>23.6</v>
      </c>
      <c r="D1747" s="14">
        <v>0.6</v>
      </c>
      <c r="E1747" s="18">
        <v>1</v>
      </c>
    </row>
    <row r="1748" spans="1:5" x14ac:dyDescent="0.35">
      <c r="A1748" s="7">
        <v>50387</v>
      </c>
      <c r="B1748" s="8" t="s">
        <v>8</v>
      </c>
      <c r="C1748" s="9">
        <v>27.5</v>
      </c>
      <c r="D1748" s="10">
        <v>5.3</v>
      </c>
      <c r="E1748" s="18">
        <v>1</v>
      </c>
    </row>
    <row r="1749" spans="1:5" x14ac:dyDescent="0.35">
      <c r="A1749" s="11">
        <v>50388</v>
      </c>
      <c r="B1749" s="12" t="s">
        <v>5</v>
      </c>
      <c r="C1749" s="13">
        <v>17.3</v>
      </c>
      <c r="D1749" s="14">
        <v>0</v>
      </c>
      <c r="E1749" s="18">
        <v>1</v>
      </c>
    </row>
    <row r="1750" spans="1:5" x14ac:dyDescent="0.35">
      <c r="A1750" s="7">
        <v>50389</v>
      </c>
      <c r="B1750" s="8" t="s">
        <v>19</v>
      </c>
      <c r="C1750" s="9">
        <v>11.2</v>
      </c>
      <c r="D1750" s="10">
        <v>32.700000000000003</v>
      </c>
      <c r="E1750" s="18">
        <v>1</v>
      </c>
    </row>
    <row r="1751" spans="1:5" x14ac:dyDescent="0.35">
      <c r="A1751" s="11">
        <v>50390</v>
      </c>
      <c r="B1751" s="12" t="s">
        <v>11</v>
      </c>
      <c r="C1751" s="13">
        <v>17.8</v>
      </c>
      <c r="D1751" s="14">
        <v>0</v>
      </c>
      <c r="E1751" s="18">
        <v>1</v>
      </c>
    </row>
    <row r="1752" spans="1:5" x14ac:dyDescent="0.35">
      <c r="A1752" s="7">
        <v>50391</v>
      </c>
      <c r="B1752" s="8" t="s">
        <v>10</v>
      </c>
      <c r="C1752" s="9">
        <v>16.899999999999999</v>
      </c>
      <c r="D1752" s="10">
        <v>41.8</v>
      </c>
      <c r="E1752" s="18">
        <v>1</v>
      </c>
    </row>
    <row r="1753" spans="1:5" x14ac:dyDescent="0.35">
      <c r="A1753" s="11">
        <v>50392</v>
      </c>
      <c r="B1753" s="12" t="s">
        <v>11</v>
      </c>
      <c r="C1753" s="13">
        <v>18.3</v>
      </c>
      <c r="D1753" s="14">
        <v>0</v>
      </c>
      <c r="E1753" s="18">
        <v>1</v>
      </c>
    </row>
    <row r="1754" spans="1:5" x14ac:dyDescent="0.35">
      <c r="A1754" s="7">
        <v>50393</v>
      </c>
      <c r="B1754" s="8" t="s">
        <v>17</v>
      </c>
      <c r="C1754" s="9">
        <v>12.2</v>
      </c>
      <c r="D1754" s="10">
        <v>0</v>
      </c>
      <c r="E1754" s="18">
        <v>1</v>
      </c>
    </row>
    <row r="1755" spans="1:5" x14ac:dyDescent="0.35">
      <c r="A1755" s="11">
        <v>50394</v>
      </c>
      <c r="B1755" s="12" t="s">
        <v>13</v>
      </c>
      <c r="C1755" s="13">
        <v>21.2</v>
      </c>
      <c r="D1755" s="14">
        <v>0</v>
      </c>
      <c r="E1755" s="18">
        <v>1</v>
      </c>
    </row>
    <row r="1756" spans="1:5" x14ac:dyDescent="0.35">
      <c r="A1756" s="7">
        <v>50395</v>
      </c>
      <c r="B1756" s="8" t="s">
        <v>10</v>
      </c>
      <c r="C1756" s="9">
        <v>19.600000000000001</v>
      </c>
      <c r="D1756" s="10">
        <v>48.2</v>
      </c>
      <c r="E1756" s="18">
        <v>1</v>
      </c>
    </row>
    <row r="1757" spans="1:5" x14ac:dyDescent="0.35">
      <c r="A1757" s="11">
        <v>50396</v>
      </c>
      <c r="B1757" s="12" t="s">
        <v>9</v>
      </c>
      <c r="C1757" s="13">
        <v>15.6</v>
      </c>
      <c r="D1757" s="14">
        <v>0.6</v>
      </c>
      <c r="E1757" s="18">
        <v>1</v>
      </c>
    </row>
    <row r="1758" spans="1:5" x14ac:dyDescent="0.35">
      <c r="A1758" s="7">
        <v>50397</v>
      </c>
      <c r="B1758" s="8" t="s">
        <v>26</v>
      </c>
      <c r="C1758" s="9">
        <v>12.5</v>
      </c>
      <c r="D1758" s="10">
        <v>5.9</v>
      </c>
      <c r="E1758" s="18">
        <v>1</v>
      </c>
    </row>
    <row r="1759" spans="1:5" x14ac:dyDescent="0.35">
      <c r="A1759" s="11">
        <v>50398</v>
      </c>
      <c r="B1759" s="12" t="s">
        <v>12</v>
      </c>
      <c r="C1759" s="13">
        <v>29.3</v>
      </c>
      <c r="D1759" s="14">
        <v>0</v>
      </c>
      <c r="E1759" s="18">
        <v>1</v>
      </c>
    </row>
    <row r="1760" spans="1:5" x14ac:dyDescent="0.35">
      <c r="A1760" s="7">
        <v>50399</v>
      </c>
      <c r="B1760" s="8" t="s">
        <v>18</v>
      </c>
      <c r="C1760" s="9">
        <v>24.6</v>
      </c>
      <c r="D1760" s="10">
        <v>0</v>
      </c>
      <c r="E1760" s="18">
        <v>1</v>
      </c>
    </row>
    <row r="1761" spans="1:5" x14ac:dyDescent="0.35">
      <c r="A1761" s="11">
        <v>50400</v>
      </c>
      <c r="B1761" s="12" t="s">
        <v>9</v>
      </c>
      <c r="C1761" s="13">
        <v>21.2</v>
      </c>
      <c r="D1761" s="14">
        <v>3.1</v>
      </c>
      <c r="E1761" s="18">
        <v>1</v>
      </c>
    </row>
    <row r="1762" spans="1:5" x14ac:dyDescent="0.35">
      <c r="A1762" s="7">
        <v>50401</v>
      </c>
      <c r="B1762" s="8" t="s">
        <v>10</v>
      </c>
      <c r="C1762" s="9">
        <v>12.7</v>
      </c>
      <c r="D1762" s="10">
        <v>38.1</v>
      </c>
      <c r="E1762" s="18">
        <v>1</v>
      </c>
    </row>
    <row r="1763" spans="1:5" x14ac:dyDescent="0.35">
      <c r="A1763" s="11">
        <v>50402</v>
      </c>
      <c r="B1763" s="12" t="s">
        <v>23</v>
      </c>
      <c r="C1763" s="13">
        <v>20.6</v>
      </c>
      <c r="D1763" s="14">
        <v>5.2</v>
      </c>
      <c r="E1763" s="18">
        <v>1</v>
      </c>
    </row>
    <row r="1764" spans="1:5" x14ac:dyDescent="0.35">
      <c r="A1764" s="7">
        <v>50403</v>
      </c>
      <c r="B1764" s="8" t="s">
        <v>12</v>
      </c>
      <c r="C1764" s="9">
        <v>28.3</v>
      </c>
      <c r="D1764" s="10">
        <v>0</v>
      </c>
      <c r="E1764" s="18">
        <v>1</v>
      </c>
    </row>
    <row r="1765" spans="1:5" x14ac:dyDescent="0.35">
      <c r="A1765" s="11">
        <v>50404</v>
      </c>
      <c r="B1765" s="12" t="s">
        <v>19</v>
      </c>
      <c r="C1765" s="13">
        <v>15.1</v>
      </c>
      <c r="D1765" s="14">
        <v>22.6</v>
      </c>
      <c r="E1765" s="18">
        <v>1</v>
      </c>
    </row>
    <row r="1766" spans="1:5" x14ac:dyDescent="0.35">
      <c r="A1766" s="7">
        <v>50405</v>
      </c>
      <c r="B1766" s="8" t="s">
        <v>15</v>
      </c>
      <c r="C1766" s="9">
        <v>24.8</v>
      </c>
      <c r="D1766" s="10">
        <v>10.5</v>
      </c>
      <c r="E1766" s="18">
        <v>1</v>
      </c>
    </row>
    <row r="1767" spans="1:5" x14ac:dyDescent="0.35">
      <c r="A1767" s="11">
        <v>50406</v>
      </c>
      <c r="B1767" s="12" t="s">
        <v>21</v>
      </c>
      <c r="C1767" s="13">
        <v>16.899999999999999</v>
      </c>
      <c r="D1767" s="14">
        <v>1.2</v>
      </c>
      <c r="E1767" s="18">
        <v>1</v>
      </c>
    </row>
    <row r="1768" spans="1:5" x14ac:dyDescent="0.35">
      <c r="A1768" s="7">
        <v>50407</v>
      </c>
      <c r="B1768" s="8" t="s">
        <v>21</v>
      </c>
      <c r="C1768" s="9">
        <v>23.4</v>
      </c>
      <c r="D1768" s="10">
        <v>0</v>
      </c>
      <c r="E1768" s="18">
        <v>1</v>
      </c>
    </row>
    <row r="1769" spans="1:5" x14ac:dyDescent="0.35">
      <c r="A1769" s="11">
        <v>50408</v>
      </c>
      <c r="B1769" s="12" t="s">
        <v>7</v>
      </c>
      <c r="C1769" s="13">
        <v>10.5</v>
      </c>
      <c r="D1769" s="14">
        <v>22.2</v>
      </c>
      <c r="E1769" s="18">
        <v>1</v>
      </c>
    </row>
    <row r="1770" spans="1:5" x14ac:dyDescent="0.35">
      <c r="A1770" s="7">
        <v>50409</v>
      </c>
      <c r="B1770" s="8" t="s">
        <v>10</v>
      </c>
      <c r="C1770" s="9">
        <v>16.2</v>
      </c>
      <c r="D1770" s="10">
        <v>0</v>
      </c>
      <c r="E1770" s="18">
        <v>1</v>
      </c>
    </row>
    <row r="1771" spans="1:5" x14ac:dyDescent="0.35">
      <c r="A1771" s="11">
        <v>50410</v>
      </c>
      <c r="B1771" s="12" t="s">
        <v>16</v>
      </c>
      <c r="C1771" s="13">
        <v>29.7</v>
      </c>
      <c r="D1771" s="14">
        <v>0.3</v>
      </c>
      <c r="E1771" s="18">
        <v>1</v>
      </c>
    </row>
    <row r="1772" spans="1:5" x14ac:dyDescent="0.35">
      <c r="A1772" s="7">
        <v>50411</v>
      </c>
      <c r="B1772" s="8" t="s">
        <v>10</v>
      </c>
      <c r="C1772" s="9">
        <v>12.8</v>
      </c>
      <c r="D1772" s="10">
        <v>0</v>
      </c>
      <c r="E1772" s="18">
        <v>1</v>
      </c>
    </row>
    <row r="1773" spans="1:5" x14ac:dyDescent="0.35">
      <c r="A1773" s="11">
        <v>50412</v>
      </c>
      <c r="B1773" s="12" t="s">
        <v>8</v>
      </c>
      <c r="C1773" s="13">
        <v>19.100000000000001</v>
      </c>
      <c r="D1773" s="14">
        <v>1.7</v>
      </c>
      <c r="E1773" s="18">
        <v>1</v>
      </c>
    </row>
    <row r="1774" spans="1:5" x14ac:dyDescent="0.35">
      <c r="A1774" s="7">
        <v>50413</v>
      </c>
      <c r="B1774" s="8" t="s">
        <v>11</v>
      </c>
      <c r="C1774" s="9">
        <v>27.7</v>
      </c>
      <c r="D1774" s="10">
        <v>0</v>
      </c>
      <c r="E1774" s="18">
        <v>1</v>
      </c>
    </row>
    <row r="1775" spans="1:5" x14ac:dyDescent="0.35">
      <c r="A1775" s="11">
        <v>50414</v>
      </c>
      <c r="B1775" s="12" t="s">
        <v>14</v>
      </c>
      <c r="C1775" s="13">
        <v>22</v>
      </c>
      <c r="D1775" s="14">
        <v>5.9</v>
      </c>
      <c r="E1775" s="18">
        <v>1</v>
      </c>
    </row>
    <row r="1776" spans="1:5" x14ac:dyDescent="0.35">
      <c r="A1776" s="7">
        <v>50415</v>
      </c>
      <c r="B1776" s="8" t="s">
        <v>6</v>
      </c>
      <c r="C1776" s="9">
        <v>19.600000000000001</v>
      </c>
      <c r="D1776" s="10">
        <v>2.7</v>
      </c>
      <c r="E1776" s="18">
        <v>1</v>
      </c>
    </row>
    <row r="1777" spans="1:5" x14ac:dyDescent="0.35">
      <c r="A1777" s="11">
        <v>50416</v>
      </c>
      <c r="B1777" s="12" t="s">
        <v>8</v>
      </c>
      <c r="C1777" s="13">
        <v>16</v>
      </c>
      <c r="D1777" s="14">
        <v>0.3</v>
      </c>
      <c r="E1777" s="18">
        <v>1</v>
      </c>
    </row>
    <row r="1778" spans="1:5" x14ac:dyDescent="0.35">
      <c r="A1778" s="7">
        <v>50417</v>
      </c>
      <c r="B1778" s="8" t="s">
        <v>5</v>
      </c>
      <c r="C1778" s="9">
        <v>14</v>
      </c>
      <c r="D1778" s="10">
        <v>1.3</v>
      </c>
      <c r="E1778" s="18">
        <v>1</v>
      </c>
    </row>
    <row r="1779" spans="1:5" x14ac:dyDescent="0.35">
      <c r="A1779" s="11">
        <v>50418</v>
      </c>
      <c r="B1779" s="12" t="s">
        <v>15</v>
      </c>
      <c r="C1779" s="13">
        <v>29.5</v>
      </c>
      <c r="D1779" s="14">
        <v>3.3</v>
      </c>
      <c r="E1779" s="18">
        <v>1</v>
      </c>
    </row>
    <row r="1780" spans="1:5" x14ac:dyDescent="0.35">
      <c r="A1780" s="7">
        <v>50419</v>
      </c>
      <c r="B1780" s="8" t="s">
        <v>7</v>
      </c>
      <c r="C1780" s="9">
        <v>12.2</v>
      </c>
      <c r="D1780" s="10">
        <v>0</v>
      </c>
      <c r="E1780" s="18">
        <v>1</v>
      </c>
    </row>
    <row r="1781" spans="1:5" x14ac:dyDescent="0.35">
      <c r="A1781" s="11">
        <v>50420</v>
      </c>
      <c r="B1781" s="12" t="s">
        <v>11</v>
      </c>
      <c r="C1781" s="13">
        <v>15</v>
      </c>
      <c r="D1781" s="14">
        <v>7.4</v>
      </c>
      <c r="E1781" s="18">
        <v>1</v>
      </c>
    </row>
    <row r="1782" spans="1:5" x14ac:dyDescent="0.35">
      <c r="A1782" s="7">
        <v>50421</v>
      </c>
      <c r="B1782" s="8" t="s">
        <v>20</v>
      </c>
      <c r="C1782" s="9">
        <v>10.4</v>
      </c>
      <c r="D1782" s="10">
        <v>2</v>
      </c>
      <c r="E1782" s="18">
        <v>1</v>
      </c>
    </row>
    <row r="1783" spans="1:5" x14ac:dyDescent="0.35">
      <c r="A1783" s="11">
        <v>50422</v>
      </c>
      <c r="B1783" s="12" t="s">
        <v>19</v>
      </c>
      <c r="C1783" s="13">
        <v>18.600000000000001</v>
      </c>
      <c r="D1783" s="14">
        <v>4.5999999999999996</v>
      </c>
      <c r="E1783" s="18">
        <v>1</v>
      </c>
    </row>
    <row r="1784" spans="1:5" x14ac:dyDescent="0.35">
      <c r="A1784" s="7">
        <v>50423</v>
      </c>
      <c r="B1784" s="8" t="s">
        <v>18</v>
      </c>
      <c r="C1784" s="9">
        <v>23.7</v>
      </c>
      <c r="D1784" s="10">
        <v>7.2</v>
      </c>
      <c r="E1784" s="18">
        <v>1</v>
      </c>
    </row>
    <row r="1785" spans="1:5" x14ac:dyDescent="0.35">
      <c r="A1785" s="11">
        <v>50424</v>
      </c>
      <c r="B1785" s="12" t="s">
        <v>5</v>
      </c>
      <c r="C1785" s="13">
        <v>27.2</v>
      </c>
      <c r="D1785" s="14">
        <v>0</v>
      </c>
      <c r="E1785" s="18">
        <v>1</v>
      </c>
    </row>
    <row r="1786" spans="1:5" x14ac:dyDescent="0.35">
      <c r="A1786" s="7">
        <v>50425</v>
      </c>
      <c r="B1786" s="8" t="s">
        <v>15</v>
      </c>
      <c r="C1786" s="9">
        <v>11.3</v>
      </c>
      <c r="D1786" s="10">
        <v>18.8</v>
      </c>
      <c r="E1786" s="18">
        <v>1</v>
      </c>
    </row>
    <row r="1787" spans="1:5" x14ac:dyDescent="0.35">
      <c r="A1787" s="11">
        <v>50426</v>
      </c>
      <c r="B1787" s="12" t="s">
        <v>7</v>
      </c>
      <c r="C1787" s="13">
        <v>22.1</v>
      </c>
      <c r="D1787" s="14">
        <v>0</v>
      </c>
      <c r="E1787" s="18">
        <v>1</v>
      </c>
    </row>
    <row r="1788" spans="1:5" x14ac:dyDescent="0.35">
      <c r="A1788" s="7">
        <v>50427</v>
      </c>
      <c r="B1788" s="8" t="s">
        <v>12</v>
      </c>
      <c r="C1788" s="9">
        <v>11</v>
      </c>
      <c r="D1788" s="10">
        <v>0</v>
      </c>
      <c r="E1788" s="18">
        <v>1</v>
      </c>
    </row>
    <row r="1789" spans="1:5" x14ac:dyDescent="0.35">
      <c r="A1789" s="11">
        <v>50428</v>
      </c>
      <c r="B1789" s="12" t="s">
        <v>19</v>
      </c>
      <c r="C1789" s="13">
        <v>14.7</v>
      </c>
      <c r="D1789" s="14">
        <v>0</v>
      </c>
      <c r="E1789" s="18">
        <v>1</v>
      </c>
    </row>
    <row r="1790" spans="1:5" x14ac:dyDescent="0.35">
      <c r="A1790" s="7">
        <v>50429</v>
      </c>
      <c r="B1790" s="8" t="s">
        <v>19</v>
      </c>
      <c r="C1790" s="9">
        <v>10.4</v>
      </c>
      <c r="D1790" s="10">
        <v>14.4</v>
      </c>
      <c r="E1790" s="18">
        <v>1</v>
      </c>
    </row>
    <row r="1791" spans="1:5" x14ac:dyDescent="0.35">
      <c r="A1791" s="11">
        <v>50430</v>
      </c>
      <c r="B1791" s="12" t="s">
        <v>24</v>
      </c>
      <c r="C1791" s="13">
        <v>29.6</v>
      </c>
      <c r="D1791" s="14">
        <v>2.8</v>
      </c>
      <c r="E1791" s="18">
        <v>1</v>
      </c>
    </row>
    <row r="1792" spans="1:5" x14ac:dyDescent="0.35">
      <c r="A1792" s="7">
        <v>50431</v>
      </c>
      <c r="B1792" s="8" t="s">
        <v>18</v>
      </c>
      <c r="C1792" s="9">
        <v>11.3</v>
      </c>
      <c r="D1792" s="10">
        <v>7.2</v>
      </c>
      <c r="E1792" s="18">
        <v>1</v>
      </c>
    </row>
    <row r="1793" spans="1:5" x14ac:dyDescent="0.35">
      <c r="A1793" s="11">
        <v>50432</v>
      </c>
      <c r="B1793" s="12" t="s">
        <v>20</v>
      </c>
      <c r="C1793" s="13">
        <v>22.4</v>
      </c>
      <c r="D1793" s="14">
        <v>0</v>
      </c>
      <c r="E1793" s="18">
        <v>1</v>
      </c>
    </row>
    <row r="1794" spans="1:5" x14ac:dyDescent="0.35">
      <c r="A1794" s="7">
        <v>50433</v>
      </c>
      <c r="B1794" s="8" t="s">
        <v>19</v>
      </c>
      <c r="C1794" s="9">
        <v>19.600000000000001</v>
      </c>
      <c r="D1794" s="10">
        <v>28.7</v>
      </c>
      <c r="E1794" s="18">
        <v>1</v>
      </c>
    </row>
    <row r="1795" spans="1:5" x14ac:dyDescent="0.35">
      <c r="A1795" s="11">
        <v>50434</v>
      </c>
      <c r="B1795" s="12" t="s">
        <v>6</v>
      </c>
      <c r="C1795" s="13">
        <v>28.5</v>
      </c>
      <c r="D1795" s="14">
        <v>12.9</v>
      </c>
      <c r="E1795" s="18">
        <v>1</v>
      </c>
    </row>
    <row r="1796" spans="1:5" x14ac:dyDescent="0.35">
      <c r="A1796" s="7">
        <v>50435</v>
      </c>
      <c r="B1796" s="8" t="s">
        <v>24</v>
      </c>
      <c r="C1796" s="9">
        <v>10.9</v>
      </c>
      <c r="D1796" s="10">
        <v>0</v>
      </c>
      <c r="E1796" s="18">
        <v>1</v>
      </c>
    </row>
    <row r="1797" spans="1:5" x14ac:dyDescent="0.35">
      <c r="A1797" s="11">
        <v>50436</v>
      </c>
      <c r="B1797" s="12" t="s">
        <v>13</v>
      </c>
      <c r="C1797" s="13">
        <v>13.4</v>
      </c>
      <c r="D1797" s="14">
        <v>15.7</v>
      </c>
      <c r="E1797" s="18">
        <v>1</v>
      </c>
    </row>
    <row r="1798" spans="1:5" x14ac:dyDescent="0.35">
      <c r="A1798" s="7">
        <v>50437</v>
      </c>
      <c r="B1798" s="8" t="s">
        <v>19</v>
      </c>
      <c r="C1798" s="9">
        <v>27.3</v>
      </c>
      <c r="D1798" s="10">
        <v>0</v>
      </c>
      <c r="E1798" s="18">
        <v>1</v>
      </c>
    </row>
    <row r="1799" spans="1:5" x14ac:dyDescent="0.35">
      <c r="A1799" s="11">
        <v>50438</v>
      </c>
      <c r="B1799" s="12" t="s">
        <v>9</v>
      </c>
      <c r="C1799" s="13">
        <v>23.6</v>
      </c>
      <c r="D1799" s="14">
        <v>0</v>
      </c>
      <c r="E1799" s="18">
        <v>1</v>
      </c>
    </row>
    <row r="1800" spans="1:5" x14ac:dyDescent="0.35">
      <c r="A1800" s="7">
        <v>50439</v>
      </c>
      <c r="B1800" s="8" t="s">
        <v>7</v>
      </c>
      <c r="C1800" s="9">
        <v>26.5</v>
      </c>
      <c r="D1800" s="10">
        <v>20.3</v>
      </c>
      <c r="E1800" s="18">
        <v>1</v>
      </c>
    </row>
    <row r="1801" spans="1:5" x14ac:dyDescent="0.35">
      <c r="A1801" s="11">
        <v>50440</v>
      </c>
      <c r="B1801" s="12" t="s">
        <v>9</v>
      </c>
      <c r="C1801" s="13">
        <v>23.6</v>
      </c>
      <c r="D1801" s="14">
        <v>6.5</v>
      </c>
      <c r="E1801" s="18">
        <v>1</v>
      </c>
    </row>
    <row r="1802" spans="1:5" x14ac:dyDescent="0.35">
      <c r="A1802" s="7">
        <v>50441</v>
      </c>
      <c r="B1802" s="8" t="s">
        <v>11</v>
      </c>
      <c r="C1802" s="9">
        <v>22.4</v>
      </c>
      <c r="D1802" s="10">
        <v>13.3</v>
      </c>
      <c r="E1802" s="18">
        <v>1</v>
      </c>
    </row>
    <row r="1803" spans="1:5" x14ac:dyDescent="0.35">
      <c r="A1803" s="11">
        <v>50442</v>
      </c>
      <c r="B1803" s="12" t="s">
        <v>18</v>
      </c>
      <c r="C1803" s="13">
        <v>22</v>
      </c>
      <c r="D1803" s="14">
        <v>15.5</v>
      </c>
      <c r="E1803" s="18">
        <v>1</v>
      </c>
    </row>
    <row r="1804" spans="1:5" x14ac:dyDescent="0.35">
      <c r="A1804" s="7">
        <v>50443</v>
      </c>
      <c r="B1804" s="8" t="s">
        <v>27</v>
      </c>
      <c r="C1804" s="9">
        <v>10.8</v>
      </c>
      <c r="D1804" s="10">
        <v>0.4</v>
      </c>
      <c r="E1804" s="18">
        <v>1</v>
      </c>
    </row>
    <row r="1805" spans="1:5" x14ac:dyDescent="0.35">
      <c r="A1805" s="11">
        <v>50444</v>
      </c>
      <c r="B1805" s="12" t="s">
        <v>15</v>
      </c>
      <c r="C1805" s="13">
        <v>21.6</v>
      </c>
      <c r="D1805" s="14">
        <v>0</v>
      </c>
      <c r="E1805" s="18">
        <v>1</v>
      </c>
    </row>
    <row r="1806" spans="1:5" x14ac:dyDescent="0.35">
      <c r="A1806" s="7">
        <v>50445</v>
      </c>
      <c r="B1806" s="8" t="s">
        <v>8</v>
      </c>
      <c r="C1806" s="9">
        <v>10.1</v>
      </c>
      <c r="D1806" s="10">
        <v>0</v>
      </c>
      <c r="E1806" s="18">
        <v>1</v>
      </c>
    </row>
    <row r="1807" spans="1:5" x14ac:dyDescent="0.35">
      <c r="A1807" s="11">
        <v>50446</v>
      </c>
      <c r="B1807" s="12" t="s">
        <v>11</v>
      </c>
      <c r="C1807" s="13">
        <v>29</v>
      </c>
      <c r="D1807" s="14">
        <v>12.6</v>
      </c>
      <c r="E1807" s="18">
        <v>1</v>
      </c>
    </row>
    <row r="1808" spans="1:5" x14ac:dyDescent="0.35">
      <c r="A1808" s="7">
        <v>50447</v>
      </c>
      <c r="B1808" s="8" t="s">
        <v>8</v>
      </c>
      <c r="C1808" s="9">
        <v>16.399999999999999</v>
      </c>
      <c r="D1808" s="10">
        <v>3.7</v>
      </c>
      <c r="E1808" s="18">
        <v>1</v>
      </c>
    </row>
    <row r="1809" spans="1:5" x14ac:dyDescent="0.35">
      <c r="A1809" s="11">
        <v>50448</v>
      </c>
      <c r="B1809" s="12" t="s">
        <v>19</v>
      </c>
      <c r="C1809" s="13">
        <v>13.5</v>
      </c>
      <c r="D1809" s="14">
        <v>38.5</v>
      </c>
      <c r="E1809" s="18">
        <v>1</v>
      </c>
    </row>
    <row r="1810" spans="1:5" x14ac:dyDescent="0.35">
      <c r="A1810" s="7">
        <v>50449</v>
      </c>
      <c r="B1810" s="8" t="s">
        <v>14</v>
      </c>
      <c r="C1810" s="9">
        <v>18.100000000000001</v>
      </c>
      <c r="D1810" s="10">
        <v>3</v>
      </c>
      <c r="E1810" s="18">
        <v>1</v>
      </c>
    </row>
    <row r="1811" spans="1:5" x14ac:dyDescent="0.35">
      <c r="A1811" s="11">
        <v>50450</v>
      </c>
      <c r="B1811" s="12" t="s">
        <v>7</v>
      </c>
      <c r="C1811" s="13">
        <v>20.399999999999999</v>
      </c>
      <c r="D1811" s="14">
        <v>11.7</v>
      </c>
      <c r="E1811" s="18">
        <v>1</v>
      </c>
    </row>
    <row r="1812" spans="1:5" x14ac:dyDescent="0.35">
      <c r="A1812" s="7">
        <v>50451</v>
      </c>
      <c r="B1812" s="8" t="s">
        <v>15</v>
      </c>
      <c r="C1812" s="9">
        <v>29.6</v>
      </c>
      <c r="D1812" s="10">
        <v>0.9</v>
      </c>
      <c r="E1812" s="18">
        <v>1</v>
      </c>
    </row>
    <row r="1813" spans="1:5" x14ac:dyDescent="0.35">
      <c r="A1813" s="11">
        <v>50452</v>
      </c>
      <c r="B1813" s="12" t="s">
        <v>32</v>
      </c>
      <c r="C1813" s="13">
        <v>11.4</v>
      </c>
      <c r="D1813" s="14">
        <v>0.6</v>
      </c>
      <c r="E1813" s="18">
        <v>1</v>
      </c>
    </row>
    <row r="1814" spans="1:5" x14ac:dyDescent="0.35">
      <c r="A1814" s="7">
        <v>50453</v>
      </c>
      <c r="B1814" s="8" t="s">
        <v>11</v>
      </c>
      <c r="C1814" s="9">
        <v>28.8</v>
      </c>
      <c r="D1814" s="10">
        <v>14.1</v>
      </c>
      <c r="E1814" s="18">
        <v>1</v>
      </c>
    </row>
    <row r="1815" spans="1:5" x14ac:dyDescent="0.35">
      <c r="A1815" s="11">
        <v>50454</v>
      </c>
      <c r="B1815" s="12" t="s">
        <v>10</v>
      </c>
      <c r="C1815" s="13">
        <v>11.8</v>
      </c>
      <c r="D1815" s="14">
        <v>42.4</v>
      </c>
      <c r="E1815" s="18">
        <v>1</v>
      </c>
    </row>
    <row r="1816" spans="1:5" x14ac:dyDescent="0.35">
      <c r="A1816" s="7">
        <v>50455</v>
      </c>
      <c r="B1816" s="8" t="s">
        <v>7</v>
      </c>
      <c r="C1816" s="9">
        <v>11.5</v>
      </c>
      <c r="D1816" s="10">
        <v>10.1</v>
      </c>
      <c r="E1816" s="18">
        <v>1</v>
      </c>
    </row>
    <row r="1817" spans="1:5" x14ac:dyDescent="0.35">
      <c r="A1817" s="11">
        <v>50456</v>
      </c>
      <c r="B1817" s="12" t="s">
        <v>13</v>
      </c>
      <c r="C1817" s="13">
        <v>13.6</v>
      </c>
      <c r="D1817" s="14">
        <v>8.4</v>
      </c>
      <c r="E1817" s="18">
        <v>1</v>
      </c>
    </row>
    <row r="1818" spans="1:5" x14ac:dyDescent="0.35">
      <c r="A1818" s="7">
        <v>50457</v>
      </c>
      <c r="B1818" s="8" t="s">
        <v>31</v>
      </c>
      <c r="C1818" s="9">
        <v>14.1</v>
      </c>
      <c r="D1818" s="10">
        <v>0.7</v>
      </c>
      <c r="E1818" s="18">
        <v>1</v>
      </c>
    </row>
    <row r="1819" spans="1:5" x14ac:dyDescent="0.35">
      <c r="A1819" s="11">
        <v>50458</v>
      </c>
      <c r="B1819" s="12" t="s">
        <v>19</v>
      </c>
      <c r="C1819" s="13">
        <v>19.399999999999999</v>
      </c>
      <c r="D1819" s="14">
        <v>32.700000000000003</v>
      </c>
      <c r="E1819" s="18">
        <v>1</v>
      </c>
    </row>
    <row r="1820" spans="1:5" x14ac:dyDescent="0.35">
      <c r="A1820" s="7">
        <v>50459</v>
      </c>
      <c r="B1820" s="8" t="s">
        <v>33</v>
      </c>
      <c r="C1820" s="9">
        <v>28.5</v>
      </c>
      <c r="D1820" s="10">
        <v>0</v>
      </c>
      <c r="E1820" s="18">
        <v>1</v>
      </c>
    </row>
    <row r="1821" spans="1:5" x14ac:dyDescent="0.35">
      <c r="A1821" s="11">
        <v>50460</v>
      </c>
      <c r="B1821" s="12" t="s">
        <v>19</v>
      </c>
      <c r="C1821" s="13">
        <v>23.7</v>
      </c>
      <c r="D1821" s="14">
        <v>12.2</v>
      </c>
      <c r="E1821" s="18">
        <v>1</v>
      </c>
    </row>
    <row r="1822" spans="1:5" x14ac:dyDescent="0.35">
      <c r="A1822" s="7">
        <v>50461</v>
      </c>
      <c r="B1822" s="8" t="s">
        <v>20</v>
      </c>
      <c r="C1822" s="9">
        <v>21.7</v>
      </c>
      <c r="D1822" s="10">
        <v>0</v>
      </c>
      <c r="E1822" s="18">
        <v>1</v>
      </c>
    </row>
    <row r="1823" spans="1:5" x14ac:dyDescent="0.35">
      <c r="A1823" s="11">
        <v>50462</v>
      </c>
      <c r="B1823" s="12" t="s">
        <v>6</v>
      </c>
      <c r="C1823" s="13">
        <v>13.3</v>
      </c>
      <c r="D1823" s="14">
        <v>0</v>
      </c>
      <c r="E1823" s="18">
        <v>1</v>
      </c>
    </row>
    <row r="1824" spans="1:5" x14ac:dyDescent="0.35">
      <c r="A1824" s="7">
        <v>50463</v>
      </c>
      <c r="B1824" s="8" t="s">
        <v>9</v>
      </c>
      <c r="C1824" s="9">
        <v>14.4</v>
      </c>
      <c r="D1824" s="10">
        <v>0</v>
      </c>
      <c r="E1824" s="18">
        <v>1</v>
      </c>
    </row>
    <row r="1825" spans="1:5" x14ac:dyDescent="0.35">
      <c r="A1825" s="11">
        <v>50464</v>
      </c>
      <c r="B1825" s="12" t="s">
        <v>11</v>
      </c>
      <c r="C1825" s="13">
        <v>28.5</v>
      </c>
      <c r="D1825" s="14">
        <v>21.5</v>
      </c>
      <c r="E1825" s="18">
        <v>1</v>
      </c>
    </row>
    <row r="1826" spans="1:5" x14ac:dyDescent="0.35">
      <c r="A1826" s="7">
        <v>50465</v>
      </c>
      <c r="B1826" s="8" t="s">
        <v>19</v>
      </c>
      <c r="C1826" s="9">
        <v>20.5</v>
      </c>
      <c r="D1826" s="10">
        <v>0</v>
      </c>
      <c r="E1826" s="18">
        <v>1</v>
      </c>
    </row>
    <row r="1827" spans="1:5" x14ac:dyDescent="0.35">
      <c r="A1827" s="11">
        <v>50466</v>
      </c>
      <c r="B1827" s="12" t="s">
        <v>10</v>
      </c>
      <c r="C1827" s="13">
        <v>11.4</v>
      </c>
      <c r="D1827" s="14">
        <v>39</v>
      </c>
      <c r="E1827" s="18">
        <v>1</v>
      </c>
    </row>
    <row r="1828" spans="1:5" x14ac:dyDescent="0.35">
      <c r="A1828" s="7">
        <v>50467</v>
      </c>
      <c r="B1828" s="8" t="s">
        <v>9</v>
      </c>
      <c r="C1828" s="9">
        <v>12.5</v>
      </c>
      <c r="D1828" s="10">
        <v>0</v>
      </c>
      <c r="E1828" s="18">
        <v>1</v>
      </c>
    </row>
    <row r="1829" spans="1:5" x14ac:dyDescent="0.35">
      <c r="A1829" s="11">
        <v>50468</v>
      </c>
      <c r="B1829" s="12" t="s">
        <v>15</v>
      </c>
      <c r="C1829" s="13">
        <v>16.600000000000001</v>
      </c>
      <c r="D1829" s="14">
        <v>4.5999999999999996</v>
      </c>
      <c r="E1829" s="18">
        <v>1</v>
      </c>
    </row>
    <row r="1830" spans="1:5" x14ac:dyDescent="0.35">
      <c r="A1830" s="7">
        <v>50469</v>
      </c>
      <c r="B1830" s="8" t="s">
        <v>15</v>
      </c>
      <c r="C1830" s="9">
        <v>10.6</v>
      </c>
      <c r="D1830" s="10">
        <v>11.3</v>
      </c>
      <c r="E1830" s="18">
        <v>1</v>
      </c>
    </row>
    <row r="1831" spans="1:5" x14ac:dyDescent="0.35">
      <c r="A1831" s="11">
        <v>50470</v>
      </c>
      <c r="B1831" s="12" t="s">
        <v>7</v>
      </c>
      <c r="C1831" s="13">
        <v>27.9</v>
      </c>
      <c r="D1831" s="14">
        <v>16.100000000000001</v>
      </c>
      <c r="E1831" s="18">
        <v>1</v>
      </c>
    </row>
    <row r="1832" spans="1:5" x14ac:dyDescent="0.35">
      <c r="A1832" s="7">
        <v>50471</v>
      </c>
      <c r="B1832" s="8" t="s">
        <v>10</v>
      </c>
      <c r="C1832" s="9">
        <v>11.1</v>
      </c>
      <c r="D1832" s="10">
        <v>28.2</v>
      </c>
      <c r="E1832" s="18">
        <v>1</v>
      </c>
    </row>
    <row r="1833" spans="1:5" x14ac:dyDescent="0.35">
      <c r="A1833" s="11">
        <v>50472</v>
      </c>
      <c r="B1833" s="12" t="s">
        <v>7</v>
      </c>
      <c r="C1833" s="13">
        <v>21.5</v>
      </c>
      <c r="D1833" s="14">
        <v>12.8</v>
      </c>
      <c r="E1833" s="18">
        <v>1</v>
      </c>
    </row>
    <row r="1834" spans="1:5" x14ac:dyDescent="0.35">
      <c r="A1834" s="7">
        <v>50473</v>
      </c>
      <c r="B1834" s="8" t="s">
        <v>6</v>
      </c>
      <c r="C1834" s="9">
        <v>28.4</v>
      </c>
      <c r="D1834" s="10">
        <v>4.5999999999999996</v>
      </c>
      <c r="E1834" s="18">
        <v>1</v>
      </c>
    </row>
    <row r="1835" spans="1:5" x14ac:dyDescent="0.35">
      <c r="A1835" s="11">
        <v>50474</v>
      </c>
      <c r="B1835" s="12" t="s">
        <v>22</v>
      </c>
      <c r="C1835" s="13">
        <v>18.100000000000001</v>
      </c>
      <c r="D1835" s="14">
        <v>5.9</v>
      </c>
      <c r="E1835" s="18">
        <v>1</v>
      </c>
    </row>
    <row r="1836" spans="1:5" x14ac:dyDescent="0.35">
      <c r="A1836" s="7">
        <v>50475</v>
      </c>
      <c r="B1836" s="8" t="s">
        <v>20</v>
      </c>
      <c r="C1836" s="9">
        <v>25.3</v>
      </c>
      <c r="D1836" s="10">
        <v>0</v>
      </c>
      <c r="E1836" s="18">
        <v>1</v>
      </c>
    </row>
    <row r="1837" spans="1:5" x14ac:dyDescent="0.35">
      <c r="A1837" s="11">
        <v>50476</v>
      </c>
      <c r="B1837" s="12" t="s">
        <v>9</v>
      </c>
      <c r="C1837" s="13">
        <v>15.6</v>
      </c>
      <c r="D1837" s="14">
        <v>10.6</v>
      </c>
      <c r="E1837" s="18">
        <v>1</v>
      </c>
    </row>
    <row r="1838" spans="1:5" x14ac:dyDescent="0.35">
      <c r="A1838" s="7">
        <v>50477</v>
      </c>
      <c r="B1838" s="8" t="s">
        <v>19</v>
      </c>
      <c r="C1838" s="9">
        <v>19.899999999999999</v>
      </c>
      <c r="D1838" s="10">
        <v>0</v>
      </c>
      <c r="E1838" s="18">
        <v>1</v>
      </c>
    </row>
    <row r="1839" spans="1:5" x14ac:dyDescent="0.35">
      <c r="A1839" s="11">
        <v>50478</v>
      </c>
      <c r="B1839" s="12" t="s">
        <v>7</v>
      </c>
      <c r="C1839" s="13">
        <v>24.7</v>
      </c>
      <c r="D1839" s="14">
        <v>14.7</v>
      </c>
      <c r="E1839" s="18">
        <v>1</v>
      </c>
    </row>
    <row r="1840" spans="1:5" x14ac:dyDescent="0.35">
      <c r="A1840" s="7">
        <v>50479</v>
      </c>
      <c r="B1840" s="8" t="s">
        <v>23</v>
      </c>
      <c r="C1840" s="9">
        <v>21.9</v>
      </c>
      <c r="D1840" s="10">
        <v>5.6</v>
      </c>
      <c r="E1840" s="18">
        <v>1</v>
      </c>
    </row>
    <row r="1841" spans="1:5" x14ac:dyDescent="0.35">
      <c r="A1841" s="11">
        <v>50480</v>
      </c>
      <c r="B1841" s="12" t="s">
        <v>14</v>
      </c>
      <c r="C1841" s="13">
        <v>18</v>
      </c>
      <c r="D1841" s="14">
        <v>6.2</v>
      </c>
      <c r="E1841" s="18">
        <v>1</v>
      </c>
    </row>
    <row r="1842" spans="1:5" x14ac:dyDescent="0.35">
      <c r="A1842" s="7">
        <v>50481</v>
      </c>
      <c r="B1842" s="8" t="s">
        <v>29</v>
      </c>
      <c r="C1842" s="9">
        <v>24.5</v>
      </c>
      <c r="D1842" s="10">
        <v>0.6</v>
      </c>
      <c r="E1842" s="18">
        <v>1</v>
      </c>
    </row>
    <row r="1843" spans="1:5" x14ac:dyDescent="0.35">
      <c r="A1843" s="11">
        <v>50482</v>
      </c>
      <c r="B1843" s="12" t="s">
        <v>8</v>
      </c>
      <c r="C1843" s="13">
        <v>10.9</v>
      </c>
      <c r="D1843" s="14">
        <v>0</v>
      </c>
      <c r="E1843" s="18">
        <v>1</v>
      </c>
    </row>
    <row r="1844" spans="1:5" x14ac:dyDescent="0.35">
      <c r="A1844" s="7">
        <v>50483</v>
      </c>
      <c r="B1844" s="8" t="s">
        <v>26</v>
      </c>
      <c r="C1844" s="9">
        <v>11.3</v>
      </c>
      <c r="D1844" s="10">
        <v>2.7</v>
      </c>
      <c r="E1844" s="18">
        <v>1</v>
      </c>
    </row>
    <row r="1845" spans="1:5" x14ac:dyDescent="0.35">
      <c r="A1845" s="11">
        <v>50484</v>
      </c>
      <c r="B1845" s="12" t="s">
        <v>10</v>
      </c>
      <c r="C1845" s="13">
        <v>13.2</v>
      </c>
      <c r="D1845" s="14">
        <v>30</v>
      </c>
      <c r="E1845" s="18">
        <v>1</v>
      </c>
    </row>
    <row r="1846" spans="1:5" x14ac:dyDescent="0.35">
      <c r="A1846" s="7">
        <v>50485</v>
      </c>
      <c r="B1846" s="8" t="s">
        <v>8</v>
      </c>
      <c r="C1846" s="9">
        <v>18.7</v>
      </c>
      <c r="D1846" s="10">
        <v>4.7</v>
      </c>
      <c r="E1846" s="18">
        <v>1</v>
      </c>
    </row>
    <row r="1847" spans="1:5" x14ac:dyDescent="0.35">
      <c r="A1847" s="11">
        <v>50486</v>
      </c>
      <c r="B1847" s="12" t="s">
        <v>8</v>
      </c>
      <c r="C1847" s="13">
        <v>12.1</v>
      </c>
      <c r="D1847" s="14">
        <v>1.5</v>
      </c>
      <c r="E1847" s="18">
        <v>1</v>
      </c>
    </row>
    <row r="1848" spans="1:5" x14ac:dyDescent="0.35">
      <c r="A1848" s="7">
        <v>50487</v>
      </c>
      <c r="B1848" s="8" t="s">
        <v>15</v>
      </c>
      <c r="C1848" s="9">
        <v>11.9</v>
      </c>
      <c r="D1848" s="10">
        <v>1.3</v>
      </c>
      <c r="E1848" s="18">
        <v>1</v>
      </c>
    </row>
    <row r="1849" spans="1:5" x14ac:dyDescent="0.35">
      <c r="A1849" s="11">
        <v>50488</v>
      </c>
      <c r="B1849" s="12" t="s">
        <v>26</v>
      </c>
      <c r="C1849" s="13">
        <v>17.7</v>
      </c>
      <c r="D1849" s="14">
        <v>2.6</v>
      </c>
      <c r="E1849" s="18">
        <v>1</v>
      </c>
    </row>
    <row r="1850" spans="1:5" x14ac:dyDescent="0.35">
      <c r="A1850" s="7">
        <v>50489</v>
      </c>
      <c r="B1850" s="8" t="s">
        <v>21</v>
      </c>
      <c r="C1850" s="9">
        <v>25.9</v>
      </c>
      <c r="D1850" s="10">
        <v>0.8</v>
      </c>
      <c r="E1850" s="18">
        <v>1</v>
      </c>
    </row>
    <row r="1851" spans="1:5" x14ac:dyDescent="0.35">
      <c r="A1851" s="11">
        <v>50490</v>
      </c>
      <c r="B1851" s="12" t="s">
        <v>6</v>
      </c>
      <c r="C1851" s="13">
        <v>27.7</v>
      </c>
      <c r="D1851" s="14">
        <v>0</v>
      </c>
      <c r="E1851" s="18">
        <v>1</v>
      </c>
    </row>
    <row r="1852" spans="1:5" x14ac:dyDescent="0.35">
      <c r="A1852" s="7">
        <v>50491</v>
      </c>
      <c r="B1852" s="8" t="s">
        <v>13</v>
      </c>
      <c r="C1852" s="9">
        <v>13.3</v>
      </c>
      <c r="D1852" s="10">
        <v>13.3</v>
      </c>
      <c r="E1852" s="18">
        <v>1</v>
      </c>
    </row>
    <row r="1853" spans="1:5" x14ac:dyDescent="0.35">
      <c r="A1853" s="11">
        <v>50492</v>
      </c>
      <c r="B1853" s="12" t="s">
        <v>19</v>
      </c>
      <c r="C1853" s="13">
        <v>11.7</v>
      </c>
      <c r="D1853" s="14">
        <v>4.9000000000000004</v>
      </c>
      <c r="E1853" s="18">
        <v>1</v>
      </c>
    </row>
    <row r="1854" spans="1:5" x14ac:dyDescent="0.35">
      <c r="A1854" s="7">
        <v>50493</v>
      </c>
      <c r="B1854" s="8" t="s">
        <v>26</v>
      </c>
      <c r="C1854" s="9">
        <v>26.5</v>
      </c>
      <c r="D1854" s="10">
        <v>4.5</v>
      </c>
      <c r="E1854" s="18">
        <v>1</v>
      </c>
    </row>
    <row r="1855" spans="1:5" x14ac:dyDescent="0.35">
      <c r="A1855" s="11">
        <v>50494</v>
      </c>
      <c r="B1855" s="12" t="s">
        <v>27</v>
      </c>
      <c r="C1855" s="13">
        <v>18.7</v>
      </c>
      <c r="D1855" s="14">
        <v>2.2999999999999998</v>
      </c>
      <c r="E1855" s="18">
        <v>1</v>
      </c>
    </row>
    <row r="1856" spans="1:5" x14ac:dyDescent="0.35">
      <c r="A1856" s="7">
        <v>50495</v>
      </c>
      <c r="B1856" s="8" t="s">
        <v>22</v>
      </c>
      <c r="C1856" s="9">
        <v>11.7</v>
      </c>
      <c r="D1856" s="10">
        <v>6</v>
      </c>
      <c r="E1856" s="18">
        <v>1</v>
      </c>
    </row>
    <row r="1857" spans="1:5" x14ac:dyDescent="0.35">
      <c r="A1857" s="11">
        <v>50496</v>
      </c>
      <c r="B1857" s="12" t="s">
        <v>19</v>
      </c>
      <c r="C1857" s="13">
        <v>27.5</v>
      </c>
      <c r="D1857" s="14">
        <v>22.6</v>
      </c>
      <c r="E1857" s="18">
        <v>1</v>
      </c>
    </row>
    <row r="1858" spans="1:5" x14ac:dyDescent="0.35">
      <c r="A1858" s="7">
        <v>50497</v>
      </c>
      <c r="B1858" s="8" t="s">
        <v>27</v>
      </c>
      <c r="C1858" s="9">
        <v>27.4</v>
      </c>
      <c r="D1858" s="10">
        <v>0</v>
      </c>
      <c r="E1858" s="18">
        <v>1</v>
      </c>
    </row>
    <row r="1859" spans="1:5" x14ac:dyDescent="0.35">
      <c r="A1859" s="11">
        <v>50498</v>
      </c>
      <c r="B1859" s="12" t="s">
        <v>11</v>
      </c>
      <c r="C1859" s="13">
        <v>14.8</v>
      </c>
      <c r="D1859" s="14">
        <v>0</v>
      </c>
      <c r="E1859" s="18">
        <v>1</v>
      </c>
    </row>
    <row r="1860" spans="1:5" x14ac:dyDescent="0.35">
      <c r="A1860" s="7">
        <v>50499</v>
      </c>
      <c r="B1860" s="8" t="s">
        <v>17</v>
      </c>
      <c r="C1860" s="9">
        <v>26.2</v>
      </c>
      <c r="D1860" s="10">
        <v>0</v>
      </c>
      <c r="E1860" s="18">
        <v>1</v>
      </c>
    </row>
    <row r="1861" spans="1:5" x14ac:dyDescent="0.35">
      <c r="A1861" s="11">
        <v>50500</v>
      </c>
      <c r="B1861" s="12" t="s">
        <v>15</v>
      </c>
      <c r="C1861" s="13">
        <v>12.9</v>
      </c>
      <c r="D1861" s="14">
        <v>17.899999999999999</v>
      </c>
      <c r="E1861" s="18">
        <v>1</v>
      </c>
    </row>
    <row r="1862" spans="1:5" x14ac:dyDescent="0.35">
      <c r="A1862" s="7">
        <v>50501</v>
      </c>
      <c r="B1862" s="8" t="s">
        <v>25</v>
      </c>
      <c r="C1862" s="9">
        <v>12.5</v>
      </c>
      <c r="D1862" s="10">
        <v>0</v>
      </c>
      <c r="E1862" s="18">
        <v>1</v>
      </c>
    </row>
    <row r="1863" spans="1:5" x14ac:dyDescent="0.35">
      <c r="A1863" s="11">
        <v>50502</v>
      </c>
      <c r="B1863" s="12" t="s">
        <v>24</v>
      </c>
      <c r="C1863" s="13">
        <v>12.3</v>
      </c>
      <c r="D1863" s="14">
        <v>0</v>
      </c>
      <c r="E1863" s="18">
        <v>1</v>
      </c>
    </row>
    <row r="1864" spans="1:5" x14ac:dyDescent="0.35">
      <c r="A1864" s="7">
        <v>50503</v>
      </c>
      <c r="B1864" s="8" t="s">
        <v>5</v>
      </c>
      <c r="C1864" s="9">
        <v>19.399999999999999</v>
      </c>
      <c r="D1864" s="10">
        <v>0</v>
      </c>
      <c r="E1864" s="18">
        <v>1</v>
      </c>
    </row>
    <row r="1865" spans="1:5" x14ac:dyDescent="0.35">
      <c r="A1865" s="11">
        <v>50504</v>
      </c>
      <c r="B1865" s="12" t="s">
        <v>15</v>
      </c>
      <c r="C1865" s="13">
        <v>20.9</v>
      </c>
      <c r="D1865" s="14">
        <v>0</v>
      </c>
      <c r="E1865" s="18">
        <v>1</v>
      </c>
    </row>
    <row r="1866" spans="1:5" x14ac:dyDescent="0.35">
      <c r="A1866" s="7">
        <v>50505</v>
      </c>
      <c r="B1866" s="8" t="s">
        <v>9</v>
      </c>
      <c r="C1866" s="9">
        <v>10.4</v>
      </c>
      <c r="D1866" s="10">
        <v>0</v>
      </c>
      <c r="E1866" s="18">
        <v>1</v>
      </c>
    </row>
    <row r="1867" spans="1:5" x14ac:dyDescent="0.35">
      <c r="A1867" s="11">
        <v>50506</v>
      </c>
      <c r="B1867" s="12" t="s">
        <v>11</v>
      </c>
      <c r="C1867" s="13">
        <v>22.2</v>
      </c>
      <c r="D1867" s="14">
        <v>2.5</v>
      </c>
      <c r="E1867" s="18">
        <v>1</v>
      </c>
    </row>
    <row r="1868" spans="1:5" x14ac:dyDescent="0.35">
      <c r="A1868" s="7">
        <v>50507</v>
      </c>
      <c r="B1868" s="8" t="s">
        <v>10</v>
      </c>
      <c r="C1868" s="9">
        <v>16.8</v>
      </c>
      <c r="D1868" s="10">
        <v>0</v>
      </c>
      <c r="E1868" s="18">
        <v>1</v>
      </c>
    </row>
    <row r="1869" spans="1:5" x14ac:dyDescent="0.35">
      <c r="A1869" s="11">
        <v>50508</v>
      </c>
      <c r="B1869" s="12" t="s">
        <v>19</v>
      </c>
      <c r="C1869" s="13">
        <v>21.7</v>
      </c>
      <c r="D1869" s="14">
        <v>33.299999999999997</v>
      </c>
      <c r="E1869" s="18">
        <v>1</v>
      </c>
    </row>
    <row r="1870" spans="1:5" x14ac:dyDescent="0.35">
      <c r="A1870" s="7">
        <v>50509</v>
      </c>
      <c r="B1870" s="8" t="s">
        <v>11</v>
      </c>
      <c r="C1870" s="9">
        <v>10.199999999999999</v>
      </c>
      <c r="D1870" s="10">
        <v>16.600000000000001</v>
      </c>
      <c r="E1870" s="18">
        <v>1</v>
      </c>
    </row>
    <row r="1871" spans="1:5" x14ac:dyDescent="0.35">
      <c r="A1871" s="11">
        <v>50510</v>
      </c>
      <c r="B1871" s="12" t="s">
        <v>10</v>
      </c>
      <c r="C1871" s="13">
        <v>16.5</v>
      </c>
      <c r="D1871" s="14">
        <v>0</v>
      </c>
      <c r="E1871" s="18">
        <v>1</v>
      </c>
    </row>
    <row r="1872" spans="1:5" x14ac:dyDescent="0.35">
      <c r="A1872" s="7">
        <v>50511</v>
      </c>
      <c r="B1872" s="8" t="s">
        <v>16</v>
      </c>
      <c r="C1872" s="9">
        <v>29.1</v>
      </c>
      <c r="D1872" s="10">
        <v>0.5</v>
      </c>
      <c r="E1872" s="18">
        <v>1</v>
      </c>
    </row>
    <row r="1873" spans="1:5" x14ac:dyDescent="0.35">
      <c r="A1873" s="11">
        <v>50512</v>
      </c>
      <c r="B1873" s="12" t="s">
        <v>11</v>
      </c>
      <c r="C1873" s="13">
        <v>17.8</v>
      </c>
      <c r="D1873" s="14">
        <v>0</v>
      </c>
      <c r="E1873" s="18">
        <v>1</v>
      </c>
    </row>
    <row r="1874" spans="1:5" x14ac:dyDescent="0.35">
      <c r="A1874" s="7">
        <v>50513</v>
      </c>
      <c r="B1874" s="8" t="s">
        <v>10</v>
      </c>
      <c r="C1874" s="9">
        <v>10</v>
      </c>
      <c r="D1874" s="10">
        <v>0</v>
      </c>
      <c r="E1874" s="18">
        <v>1</v>
      </c>
    </row>
    <row r="1875" spans="1:5" x14ac:dyDescent="0.35">
      <c r="A1875" s="11">
        <v>50514</v>
      </c>
      <c r="B1875" s="12" t="s">
        <v>9</v>
      </c>
      <c r="C1875" s="13">
        <v>15.5</v>
      </c>
      <c r="D1875" s="14">
        <v>8.6</v>
      </c>
      <c r="E1875" s="18">
        <v>1</v>
      </c>
    </row>
    <row r="1876" spans="1:5" x14ac:dyDescent="0.35">
      <c r="A1876" s="7">
        <v>50515</v>
      </c>
      <c r="B1876" s="8" t="s">
        <v>10</v>
      </c>
      <c r="C1876" s="9">
        <v>15.3</v>
      </c>
      <c r="D1876" s="10">
        <v>21.4</v>
      </c>
      <c r="E1876" s="18">
        <v>1</v>
      </c>
    </row>
    <row r="1877" spans="1:5" x14ac:dyDescent="0.35">
      <c r="A1877" s="11">
        <v>50516</v>
      </c>
      <c r="B1877" s="12" t="s">
        <v>12</v>
      </c>
      <c r="C1877" s="13">
        <v>23.7</v>
      </c>
      <c r="D1877" s="14">
        <v>0</v>
      </c>
      <c r="E1877" s="18">
        <v>1</v>
      </c>
    </row>
    <row r="1878" spans="1:5" x14ac:dyDescent="0.35">
      <c r="A1878" s="7">
        <v>50517</v>
      </c>
      <c r="B1878" s="8" t="s">
        <v>11</v>
      </c>
      <c r="C1878" s="9">
        <v>26.1</v>
      </c>
      <c r="D1878" s="10">
        <v>12.5</v>
      </c>
      <c r="E1878" s="18">
        <v>1</v>
      </c>
    </row>
    <row r="1879" spans="1:5" x14ac:dyDescent="0.35">
      <c r="A1879" s="11">
        <v>50518</v>
      </c>
      <c r="B1879" s="12" t="s">
        <v>11</v>
      </c>
      <c r="C1879" s="13">
        <v>13.4</v>
      </c>
      <c r="D1879" s="14">
        <v>0</v>
      </c>
      <c r="E1879" s="18">
        <v>1</v>
      </c>
    </row>
    <row r="1880" spans="1:5" x14ac:dyDescent="0.35">
      <c r="A1880" s="7">
        <v>50519</v>
      </c>
      <c r="B1880" s="8" t="s">
        <v>5</v>
      </c>
      <c r="C1880" s="9">
        <v>17.8</v>
      </c>
      <c r="D1880" s="10">
        <v>3.7</v>
      </c>
      <c r="E1880" s="18">
        <v>1</v>
      </c>
    </row>
    <row r="1881" spans="1:5" x14ac:dyDescent="0.35">
      <c r="A1881" s="11">
        <v>50520</v>
      </c>
      <c r="B1881" s="12" t="s">
        <v>24</v>
      </c>
      <c r="C1881" s="13">
        <v>13</v>
      </c>
      <c r="D1881" s="14">
        <v>2.7</v>
      </c>
      <c r="E1881" s="18">
        <v>1</v>
      </c>
    </row>
    <row r="1882" spans="1:5" x14ac:dyDescent="0.35">
      <c r="A1882" s="7">
        <v>50521</v>
      </c>
      <c r="B1882" s="8" t="s">
        <v>7</v>
      </c>
      <c r="C1882" s="9">
        <v>28.2</v>
      </c>
      <c r="D1882" s="10">
        <v>0</v>
      </c>
      <c r="E1882" s="18">
        <v>1</v>
      </c>
    </row>
    <row r="1883" spans="1:5" x14ac:dyDescent="0.35">
      <c r="A1883" s="11">
        <v>50522</v>
      </c>
      <c r="B1883" s="12" t="s">
        <v>10</v>
      </c>
      <c r="C1883" s="13">
        <v>23</v>
      </c>
      <c r="D1883" s="14">
        <v>0</v>
      </c>
      <c r="E1883" s="18">
        <v>1</v>
      </c>
    </row>
    <row r="1884" spans="1:5" x14ac:dyDescent="0.35">
      <c r="A1884" s="7">
        <v>50523</v>
      </c>
      <c r="B1884" s="8" t="s">
        <v>7</v>
      </c>
      <c r="C1884" s="9">
        <v>21.5</v>
      </c>
      <c r="D1884" s="10">
        <v>0</v>
      </c>
      <c r="E1884" s="18">
        <v>1</v>
      </c>
    </row>
    <row r="1885" spans="1:5" x14ac:dyDescent="0.35">
      <c r="A1885" s="11">
        <v>50524</v>
      </c>
      <c r="B1885" s="12" t="s">
        <v>18</v>
      </c>
      <c r="C1885" s="13">
        <v>22.3</v>
      </c>
      <c r="D1885" s="14">
        <v>0</v>
      </c>
      <c r="E1885" s="18">
        <v>1</v>
      </c>
    </row>
    <row r="1886" spans="1:5" x14ac:dyDescent="0.35">
      <c r="A1886" s="7">
        <v>50525</v>
      </c>
      <c r="B1886" s="8" t="s">
        <v>10</v>
      </c>
      <c r="C1886" s="9">
        <v>28.2</v>
      </c>
      <c r="D1886" s="10">
        <v>0</v>
      </c>
      <c r="E1886" s="18">
        <v>1</v>
      </c>
    </row>
    <row r="1887" spans="1:5" x14ac:dyDescent="0.35">
      <c r="A1887" s="11">
        <v>50526</v>
      </c>
      <c r="B1887" s="12" t="s">
        <v>24</v>
      </c>
      <c r="C1887" s="13">
        <v>11.9</v>
      </c>
      <c r="D1887" s="14">
        <v>3.4</v>
      </c>
      <c r="E1887" s="18">
        <v>1</v>
      </c>
    </row>
    <row r="1888" spans="1:5" x14ac:dyDescent="0.35">
      <c r="A1888" s="7">
        <v>50527</v>
      </c>
      <c r="B1888" s="8" t="s">
        <v>18</v>
      </c>
      <c r="C1888" s="9">
        <v>20.9</v>
      </c>
      <c r="D1888" s="10">
        <v>7.5</v>
      </c>
      <c r="E1888" s="18">
        <v>1</v>
      </c>
    </row>
    <row r="1889" spans="1:5" x14ac:dyDescent="0.35">
      <c r="A1889" s="11">
        <v>50528</v>
      </c>
      <c r="B1889" s="12" t="s">
        <v>32</v>
      </c>
      <c r="C1889" s="13">
        <v>18.399999999999999</v>
      </c>
      <c r="D1889" s="14">
        <v>0.2</v>
      </c>
      <c r="E1889" s="18">
        <v>1</v>
      </c>
    </row>
    <row r="1890" spans="1:5" x14ac:dyDescent="0.35">
      <c r="A1890" s="7">
        <v>50529</v>
      </c>
      <c r="B1890" s="8" t="s">
        <v>10</v>
      </c>
      <c r="C1890" s="9">
        <v>27.8</v>
      </c>
      <c r="D1890" s="10">
        <v>35.9</v>
      </c>
      <c r="E1890" s="18">
        <v>1</v>
      </c>
    </row>
    <row r="1891" spans="1:5" x14ac:dyDescent="0.35">
      <c r="A1891" s="11">
        <v>50530</v>
      </c>
      <c r="B1891" s="12" t="s">
        <v>19</v>
      </c>
      <c r="C1891" s="13">
        <v>20.7</v>
      </c>
      <c r="D1891" s="14">
        <v>14.7</v>
      </c>
      <c r="E1891" s="18">
        <v>1</v>
      </c>
    </row>
    <row r="1892" spans="1:5" x14ac:dyDescent="0.35">
      <c r="A1892" s="7">
        <v>50531</v>
      </c>
      <c r="B1892" s="8" t="s">
        <v>5</v>
      </c>
      <c r="C1892" s="9">
        <v>13</v>
      </c>
      <c r="D1892" s="10">
        <v>0</v>
      </c>
      <c r="E1892" s="18">
        <v>1</v>
      </c>
    </row>
    <row r="1893" spans="1:5" x14ac:dyDescent="0.35">
      <c r="A1893" s="11">
        <v>50532</v>
      </c>
      <c r="B1893" s="12" t="s">
        <v>19</v>
      </c>
      <c r="C1893" s="13">
        <v>29.4</v>
      </c>
      <c r="D1893" s="14">
        <v>0</v>
      </c>
      <c r="E1893" s="18">
        <v>1</v>
      </c>
    </row>
    <row r="1894" spans="1:5" x14ac:dyDescent="0.35">
      <c r="A1894" s="7">
        <v>50533</v>
      </c>
      <c r="B1894" s="8" t="s">
        <v>6</v>
      </c>
      <c r="C1894" s="9">
        <v>19.8</v>
      </c>
      <c r="D1894" s="10">
        <v>13.9</v>
      </c>
      <c r="E1894" s="18">
        <v>1</v>
      </c>
    </row>
    <row r="1895" spans="1:5" x14ac:dyDescent="0.35">
      <c r="A1895" s="11">
        <v>50534</v>
      </c>
      <c r="B1895" s="12" t="s">
        <v>11</v>
      </c>
      <c r="C1895" s="13">
        <v>10.9</v>
      </c>
      <c r="D1895" s="14">
        <v>17</v>
      </c>
      <c r="E1895" s="18">
        <v>1</v>
      </c>
    </row>
    <row r="1896" spans="1:5" x14ac:dyDescent="0.35">
      <c r="A1896" s="7">
        <v>50535</v>
      </c>
      <c r="B1896" s="8" t="s">
        <v>10</v>
      </c>
      <c r="C1896" s="9">
        <v>27.3</v>
      </c>
      <c r="D1896" s="10">
        <v>15.8</v>
      </c>
      <c r="E1896" s="18">
        <v>1</v>
      </c>
    </row>
    <row r="1897" spans="1:5" x14ac:dyDescent="0.35">
      <c r="A1897" s="11">
        <v>50536</v>
      </c>
      <c r="B1897" s="12" t="s">
        <v>19</v>
      </c>
      <c r="C1897" s="13">
        <v>16.399999999999999</v>
      </c>
      <c r="D1897" s="14">
        <v>0</v>
      </c>
      <c r="E1897" s="18">
        <v>1</v>
      </c>
    </row>
    <row r="1898" spans="1:5" x14ac:dyDescent="0.35">
      <c r="A1898" s="7">
        <v>50537</v>
      </c>
      <c r="B1898" s="8" t="s">
        <v>15</v>
      </c>
      <c r="C1898" s="9">
        <v>28</v>
      </c>
      <c r="D1898" s="10">
        <v>9.6999999999999993</v>
      </c>
      <c r="E1898" s="18">
        <v>1</v>
      </c>
    </row>
    <row r="1899" spans="1:5" x14ac:dyDescent="0.35">
      <c r="A1899" s="11">
        <v>50538</v>
      </c>
      <c r="B1899" s="12" t="s">
        <v>7</v>
      </c>
      <c r="C1899" s="13">
        <v>17.399999999999999</v>
      </c>
      <c r="D1899" s="14">
        <v>6.6</v>
      </c>
      <c r="E1899" s="18">
        <v>1</v>
      </c>
    </row>
    <row r="1900" spans="1:5" x14ac:dyDescent="0.35">
      <c r="A1900" s="7">
        <v>50539</v>
      </c>
      <c r="B1900" s="8" t="s">
        <v>8</v>
      </c>
      <c r="C1900" s="9">
        <v>25.7</v>
      </c>
      <c r="D1900" s="10">
        <v>0.7</v>
      </c>
      <c r="E1900" s="18">
        <v>1</v>
      </c>
    </row>
    <row r="1901" spans="1:5" x14ac:dyDescent="0.35">
      <c r="A1901" s="11">
        <v>50540</v>
      </c>
      <c r="B1901" s="12" t="s">
        <v>19</v>
      </c>
      <c r="C1901" s="13">
        <v>20.100000000000001</v>
      </c>
      <c r="D1901" s="14">
        <v>11</v>
      </c>
      <c r="E1901" s="18">
        <v>1</v>
      </c>
    </row>
    <row r="1902" spans="1:5" x14ac:dyDescent="0.35">
      <c r="A1902" s="7">
        <v>50541</v>
      </c>
      <c r="B1902" s="8" t="s">
        <v>19</v>
      </c>
      <c r="C1902" s="9">
        <v>17.899999999999999</v>
      </c>
      <c r="D1902" s="10">
        <v>0</v>
      </c>
      <c r="E1902" s="18">
        <v>1</v>
      </c>
    </row>
    <row r="1903" spans="1:5" x14ac:dyDescent="0.35">
      <c r="A1903" s="11">
        <v>50542</v>
      </c>
      <c r="B1903" s="12" t="s">
        <v>11</v>
      </c>
      <c r="C1903" s="13">
        <v>10.7</v>
      </c>
      <c r="D1903" s="14">
        <v>6.4</v>
      </c>
      <c r="E1903" s="18">
        <v>1</v>
      </c>
    </row>
    <row r="1904" spans="1:5" x14ac:dyDescent="0.35">
      <c r="A1904" s="7">
        <v>50543</v>
      </c>
      <c r="B1904" s="8" t="s">
        <v>9</v>
      </c>
      <c r="C1904" s="9">
        <v>20.399999999999999</v>
      </c>
      <c r="D1904" s="10">
        <v>0</v>
      </c>
      <c r="E1904" s="18">
        <v>1</v>
      </c>
    </row>
    <row r="1905" spans="1:5" x14ac:dyDescent="0.35">
      <c r="A1905" s="11">
        <v>50544</v>
      </c>
      <c r="B1905" s="12" t="s">
        <v>12</v>
      </c>
      <c r="C1905" s="13">
        <v>25.4</v>
      </c>
      <c r="D1905" s="14">
        <v>1</v>
      </c>
      <c r="E1905" s="18">
        <v>1</v>
      </c>
    </row>
    <row r="1906" spans="1:5" x14ac:dyDescent="0.35">
      <c r="A1906" s="7">
        <v>50545</v>
      </c>
      <c r="B1906" s="8" t="s">
        <v>8</v>
      </c>
      <c r="C1906" s="9">
        <v>10.9</v>
      </c>
      <c r="D1906" s="10">
        <v>0.2</v>
      </c>
      <c r="E1906" s="18">
        <v>1</v>
      </c>
    </row>
    <row r="1907" spans="1:5" x14ac:dyDescent="0.35">
      <c r="A1907" s="11">
        <v>50546</v>
      </c>
      <c r="B1907" s="12" t="s">
        <v>27</v>
      </c>
      <c r="C1907" s="13">
        <v>18.5</v>
      </c>
      <c r="D1907" s="14">
        <v>0.5</v>
      </c>
      <c r="E1907" s="18">
        <v>1</v>
      </c>
    </row>
    <row r="1908" spans="1:5" x14ac:dyDescent="0.35">
      <c r="A1908" s="7">
        <v>50547</v>
      </c>
      <c r="B1908" s="8" t="s">
        <v>10</v>
      </c>
      <c r="C1908" s="9">
        <v>14.8</v>
      </c>
      <c r="D1908" s="10">
        <v>50.3</v>
      </c>
      <c r="E1908" s="18">
        <v>1</v>
      </c>
    </row>
    <row r="1909" spans="1:5" x14ac:dyDescent="0.35">
      <c r="A1909" s="11">
        <v>50548</v>
      </c>
      <c r="B1909" s="12" t="s">
        <v>18</v>
      </c>
      <c r="C1909" s="13">
        <v>28.5</v>
      </c>
      <c r="D1909" s="14">
        <v>0.7</v>
      </c>
      <c r="E1909" s="18">
        <v>1</v>
      </c>
    </row>
    <row r="1910" spans="1:5" x14ac:dyDescent="0.35">
      <c r="A1910" s="7">
        <v>50549</v>
      </c>
      <c r="B1910" s="8" t="s">
        <v>31</v>
      </c>
      <c r="C1910" s="9">
        <v>19.399999999999999</v>
      </c>
      <c r="D1910" s="10">
        <v>0</v>
      </c>
      <c r="E1910" s="18">
        <v>1</v>
      </c>
    </row>
    <row r="1911" spans="1:5" x14ac:dyDescent="0.35">
      <c r="A1911" s="11">
        <v>50550</v>
      </c>
      <c r="B1911" s="12" t="s">
        <v>23</v>
      </c>
      <c r="C1911" s="13">
        <v>20.7</v>
      </c>
      <c r="D1911" s="14">
        <v>4.7</v>
      </c>
      <c r="E1911" s="18">
        <v>1</v>
      </c>
    </row>
    <row r="1912" spans="1:5" x14ac:dyDescent="0.35">
      <c r="A1912" s="7">
        <v>50551</v>
      </c>
      <c r="B1912" s="8" t="s">
        <v>26</v>
      </c>
      <c r="C1912" s="9">
        <v>25.7</v>
      </c>
      <c r="D1912" s="10">
        <v>0</v>
      </c>
      <c r="E1912" s="18">
        <v>1</v>
      </c>
    </row>
    <row r="1913" spans="1:5" x14ac:dyDescent="0.35">
      <c r="A1913" s="11">
        <v>50552</v>
      </c>
      <c r="B1913" s="12" t="s">
        <v>19</v>
      </c>
      <c r="C1913" s="13">
        <v>21.4</v>
      </c>
      <c r="D1913" s="14">
        <v>0</v>
      </c>
      <c r="E1913" s="18">
        <v>1</v>
      </c>
    </row>
    <row r="1914" spans="1:5" x14ac:dyDescent="0.35">
      <c r="A1914" s="7">
        <v>50553</v>
      </c>
      <c r="B1914" s="8" t="s">
        <v>10</v>
      </c>
      <c r="C1914" s="9">
        <v>19.2</v>
      </c>
      <c r="D1914" s="10">
        <v>0</v>
      </c>
      <c r="E1914" s="18">
        <v>1</v>
      </c>
    </row>
    <row r="1915" spans="1:5" x14ac:dyDescent="0.35">
      <c r="A1915" s="11">
        <v>50554</v>
      </c>
      <c r="B1915" s="12" t="s">
        <v>18</v>
      </c>
      <c r="C1915" s="13">
        <v>19.399999999999999</v>
      </c>
      <c r="D1915" s="14">
        <v>14.2</v>
      </c>
      <c r="E1915" s="18">
        <v>1</v>
      </c>
    </row>
    <row r="1916" spans="1:5" x14ac:dyDescent="0.35">
      <c r="A1916" s="7">
        <v>50555</v>
      </c>
      <c r="B1916" s="8" t="s">
        <v>19</v>
      </c>
      <c r="C1916" s="9">
        <v>24.2</v>
      </c>
      <c r="D1916" s="10">
        <v>1.9</v>
      </c>
      <c r="E1916" s="18">
        <v>1</v>
      </c>
    </row>
    <row r="1917" spans="1:5" x14ac:dyDescent="0.35">
      <c r="A1917" s="11">
        <v>50556</v>
      </c>
      <c r="B1917" s="12" t="s">
        <v>7</v>
      </c>
      <c r="C1917" s="13">
        <v>27.7</v>
      </c>
      <c r="D1917" s="14">
        <v>19.5</v>
      </c>
      <c r="E1917" s="18">
        <v>1</v>
      </c>
    </row>
    <row r="1918" spans="1:5" x14ac:dyDescent="0.35">
      <c r="A1918" s="7">
        <v>50557</v>
      </c>
      <c r="B1918" s="8" t="s">
        <v>5</v>
      </c>
      <c r="C1918" s="9">
        <v>16.899999999999999</v>
      </c>
      <c r="D1918" s="10">
        <v>4.0999999999999996</v>
      </c>
      <c r="E1918" s="18">
        <v>1</v>
      </c>
    </row>
    <row r="1919" spans="1:5" x14ac:dyDescent="0.35">
      <c r="A1919" s="11">
        <v>50558</v>
      </c>
      <c r="B1919" s="12" t="s">
        <v>19</v>
      </c>
      <c r="C1919" s="13">
        <v>11.8</v>
      </c>
      <c r="D1919" s="14">
        <v>0</v>
      </c>
      <c r="E1919" s="18">
        <v>1</v>
      </c>
    </row>
    <row r="1920" spans="1:5" x14ac:dyDescent="0.35">
      <c r="A1920" s="7">
        <v>50559</v>
      </c>
      <c r="B1920" s="8" t="s">
        <v>12</v>
      </c>
      <c r="C1920" s="9">
        <v>15.7</v>
      </c>
      <c r="D1920" s="10">
        <v>9.4</v>
      </c>
      <c r="E1920" s="18">
        <v>1</v>
      </c>
    </row>
    <row r="1921" spans="1:5" x14ac:dyDescent="0.35">
      <c r="A1921" s="11">
        <v>50560</v>
      </c>
      <c r="B1921" s="12" t="s">
        <v>6</v>
      </c>
      <c r="C1921" s="13">
        <v>14.2</v>
      </c>
      <c r="D1921" s="14">
        <v>0</v>
      </c>
      <c r="E1921" s="18">
        <v>1</v>
      </c>
    </row>
    <row r="1922" spans="1:5" x14ac:dyDescent="0.35">
      <c r="A1922" s="7">
        <v>50561</v>
      </c>
      <c r="B1922" s="8" t="s">
        <v>15</v>
      </c>
      <c r="C1922" s="9">
        <v>18.100000000000001</v>
      </c>
      <c r="D1922" s="10">
        <v>13.1</v>
      </c>
      <c r="E1922" s="18">
        <v>1</v>
      </c>
    </row>
    <row r="1923" spans="1:5" x14ac:dyDescent="0.35">
      <c r="A1923" s="11">
        <v>50562</v>
      </c>
      <c r="B1923" s="12" t="s">
        <v>19</v>
      </c>
      <c r="C1923" s="13">
        <v>21.9</v>
      </c>
      <c r="D1923" s="14">
        <v>27.5</v>
      </c>
      <c r="E1923" s="18">
        <v>1</v>
      </c>
    </row>
    <row r="1924" spans="1:5" x14ac:dyDescent="0.35">
      <c r="A1924" s="7">
        <v>50563</v>
      </c>
      <c r="B1924" s="8" t="s">
        <v>10</v>
      </c>
      <c r="C1924" s="9">
        <v>28</v>
      </c>
      <c r="D1924" s="10">
        <v>2.1</v>
      </c>
      <c r="E1924" s="18">
        <v>1</v>
      </c>
    </row>
    <row r="1925" spans="1:5" x14ac:dyDescent="0.35">
      <c r="A1925" s="11">
        <v>50564</v>
      </c>
      <c r="B1925" s="12" t="s">
        <v>13</v>
      </c>
      <c r="C1925" s="13">
        <v>14.2</v>
      </c>
      <c r="D1925" s="14">
        <v>7</v>
      </c>
      <c r="E1925" s="18">
        <v>1</v>
      </c>
    </row>
    <row r="1926" spans="1:5" x14ac:dyDescent="0.35">
      <c r="A1926" s="7">
        <v>50565</v>
      </c>
      <c r="B1926" s="8" t="s">
        <v>13</v>
      </c>
      <c r="C1926" s="9">
        <v>11.1</v>
      </c>
      <c r="D1926" s="10">
        <v>0</v>
      </c>
      <c r="E1926" s="18">
        <v>1</v>
      </c>
    </row>
    <row r="1927" spans="1:5" x14ac:dyDescent="0.35">
      <c r="A1927" s="11">
        <v>50566</v>
      </c>
      <c r="B1927" s="12" t="s">
        <v>14</v>
      </c>
      <c r="C1927" s="13">
        <v>11.8</v>
      </c>
      <c r="D1927" s="14">
        <v>6</v>
      </c>
      <c r="E1927" s="18">
        <v>1</v>
      </c>
    </row>
    <row r="1928" spans="1:5" x14ac:dyDescent="0.35">
      <c r="A1928" s="7">
        <v>50567</v>
      </c>
      <c r="B1928" s="8" t="s">
        <v>33</v>
      </c>
      <c r="C1928" s="9">
        <v>26.8</v>
      </c>
      <c r="D1928" s="10">
        <v>0.9</v>
      </c>
      <c r="E1928" s="18">
        <v>1</v>
      </c>
    </row>
    <row r="1929" spans="1:5" x14ac:dyDescent="0.35">
      <c r="A1929" s="11">
        <v>50568</v>
      </c>
      <c r="B1929" s="12" t="s">
        <v>10</v>
      </c>
      <c r="C1929" s="13">
        <v>27.3</v>
      </c>
      <c r="D1929" s="14">
        <v>44.5</v>
      </c>
      <c r="E1929" s="18">
        <v>1</v>
      </c>
    </row>
    <row r="1930" spans="1:5" x14ac:dyDescent="0.35">
      <c r="A1930" s="7">
        <v>50569</v>
      </c>
      <c r="B1930" s="8" t="s">
        <v>8</v>
      </c>
      <c r="C1930" s="9">
        <v>14.3</v>
      </c>
      <c r="D1930" s="10">
        <v>3.7</v>
      </c>
      <c r="E1930" s="18">
        <v>1</v>
      </c>
    </row>
    <row r="1931" spans="1:5" x14ac:dyDescent="0.35">
      <c r="A1931" s="11">
        <v>50570</v>
      </c>
      <c r="B1931" s="12" t="s">
        <v>5</v>
      </c>
      <c r="C1931" s="13">
        <v>19.399999999999999</v>
      </c>
      <c r="D1931" s="14">
        <v>0</v>
      </c>
      <c r="E1931" s="18">
        <v>1</v>
      </c>
    </row>
    <row r="1932" spans="1:5" x14ac:dyDescent="0.35">
      <c r="A1932" s="7">
        <v>50571</v>
      </c>
      <c r="B1932" s="8" t="s">
        <v>19</v>
      </c>
      <c r="C1932" s="9">
        <v>26.5</v>
      </c>
      <c r="D1932" s="10">
        <v>0</v>
      </c>
      <c r="E1932" s="18">
        <v>1</v>
      </c>
    </row>
    <row r="1933" spans="1:5" x14ac:dyDescent="0.35">
      <c r="A1933" s="11">
        <v>50572</v>
      </c>
      <c r="B1933" s="12" t="s">
        <v>19</v>
      </c>
      <c r="C1933" s="13">
        <v>28.3</v>
      </c>
      <c r="D1933" s="14">
        <v>14.4</v>
      </c>
      <c r="E1933" s="18">
        <v>1</v>
      </c>
    </row>
    <row r="1934" spans="1:5" x14ac:dyDescent="0.35">
      <c r="A1934" s="7">
        <v>50573</v>
      </c>
      <c r="B1934" s="8" t="s">
        <v>27</v>
      </c>
      <c r="C1934" s="9">
        <v>19.8</v>
      </c>
      <c r="D1934" s="10">
        <v>0</v>
      </c>
      <c r="E1934" s="18">
        <v>1</v>
      </c>
    </row>
    <row r="1935" spans="1:5" x14ac:dyDescent="0.35">
      <c r="A1935" s="11">
        <v>50574</v>
      </c>
      <c r="B1935" s="12" t="s">
        <v>10</v>
      </c>
      <c r="C1935" s="13">
        <v>16</v>
      </c>
      <c r="D1935" s="14">
        <v>28.7</v>
      </c>
      <c r="E1935" s="18">
        <v>1</v>
      </c>
    </row>
    <row r="1936" spans="1:5" x14ac:dyDescent="0.35">
      <c r="A1936" s="7">
        <v>50575</v>
      </c>
      <c r="B1936" s="8" t="s">
        <v>19</v>
      </c>
      <c r="C1936" s="9">
        <v>14.5</v>
      </c>
      <c r="D1936" s="10">
        <v>12</v>
      </c>
      <c r="E1936" s="18">
        <v>1</v>
      </c>
    </row>
    <row r="1937" spans="1:5" x14ac:dyDescent="0.35">
      <c r="A1937" s="11">
        <v>50576</v>
      </c>
      <c r="B1937" s="12" t="s">
        <v>15</v>
      </c>
      <c r="C1937" s="13">
        <v>14.3</v>
      </c>
      <c r="D1937" s="14">
        <v>13</v>
      </c>
      <c r="E1937" s="18">
        <v>1</v>
      </c>
    </row>
    <row r="1938" spans="1:5" x14ac:dyDescent="0.35">
      <c r="A1938" s="7">
        <v>50577</v>
      </c>
      <c r="B1938" s="8" t="s">
        <v>18</v>
      </c>
      <c r="C1938" s="9">
        <v>12.7</v>
      </c>
      <c r="D1938" s="10">
        <v>10.7</v>
      </c>
      <c r="E1938" s="18">
        <v>1</v>
      </c>
    </row>
    <row r="1939" spans="1:5" x14ac:dyDescent="0.35">
      <c r="A1939" s="11">
        <v>50578</v>
      </c>
      <c r="B1939" s="12" t="s">
        <v>22</v>
      </c>
      <c r="C1939" s="13">
        <v>12.6</v>
      </c>
      <c r="D1939" s="14">
        <v>0</v>
      </c>
      <c r="E1939" s="18">
        <v>1</v>
      </c>
    </row>
    <row r="1940" spans="1:5" x14ac:dyDescent="0.35">
      <c r="A1940" s="7">
        <v>50579</v>
      </c>
      <c r="B1940" s="8" t="s">
        <v>26</v>
      </c>
      <c r="C1940" s="9">
        <v>19.899999999999999</v>
      </c>
      <c r="D1940" s="10">
        <v>6.6</v>
      </c>
      <c r="E1940" s="18">
        <v>1</v>
      </c>
    </row>
    <row r="1941" spans="1:5" x14ac:dyDescent="0.35">
      <c r="A1941" s="11">
        <v>50580</v>
      </c>
      <c r="B1941" s="12" t="s">
        <v>7</v>
      </c>
      <c r="C1941" s="13">
        <v>27.4</v>
      </c>
      <c r="D1941" s="14">
        <v>6.6</v>
      </c>
      <c r="E1941" s="18">
        <v>1</v>
      </c>
    </row>
    <row r="1942" spans="1:5" x14ac:dyDescent="0.35">
      <c r="A1942" s="7">
        <v>50581</v>
      </c>
      <c r="B1942" s="8" t="s">
        <v>19</v>
      </c>
      <c r="C1942" s="9">
        <v>27.4</v>
      </c>
      <c r="D1942" s="10">
        <v>0</v>
      </c>
      <c r="E1942" s="18">
        <v>1</v>
      </c>
    </row>
    <row r="1943" spans="1:5" x14ac:dyDescent="0.35">
      <c r="A1943" s="11">
        <v>50582</v>
      </c>
      <c r="B1943" s="12" t="s">
        <v>28</v>
      </c>
      <c r="C1943" s="13">
        <v>11.2</v>
      </c>
      <c r="D1943" s="14">
        <v>0.3</v>
      </c>
      <c r="E1943" s="18">
        <v>1</v>
      </c>
    </row>
    <row r="1944" spans="1:5" x14ac:dyDescent="0.35">
      <c r="A1944" s="7">
        <v>50583</v>
      </c>
      <c r="B1944" s="8" t="s">
        <v>11</v>
      </c>
      <c r="C1944" s="9">
        <v>19.899999999999999</v>
      </c>
      <c r="D1944" s="10">
        <v>19.399999999999999</v>
      </c>
      <c r="E1944" s="18">
        <v>1</v>
      </c>
    </row>
    <row r="1945" spans="1:5" x14ac:dyDescent="0.35">
      <c r="A1945" s="11">
        <v>50584</v>
      </c>
      <c r="B1945" s="12" t="s">
        <v>4</v>
      </c>
      <c r="C1945" s="13">
        <v>13</v>
      </c>
      <c r="D1945" s="14">
        <v>0.4</v>
      </c>
      <c r="E1945" s="18">
        <v>1</v>
      </c>
    </row>
    <row r="1946" spans="1:5" x14ac:dyDescent="0.35">
      <c r="A1946" s="7">
        <v>50585</v>
      </c>
      <c r="B1946" s="8" t="s">
        <v>18</v>
      </c>
      <c r="C1946" s="9">
        <v>25.4</v>
      </c>
      <c r="D1946" s="10">
        <v>12.4</v>
      </c>
      <c r="E1946" s="18">
        <v>1</v>
      </c>
    </row>
    <row r="1947" spans="1:5" x14ac:dyDescent="0.35">
      <c r="A1947" s="11">
        <v>50586</v>
      </c>
      <c r="B1947" s="12" t="s">
        <v>9</v>
      </c>
      <c r="C1947" s="13">
        <v>23.5</v>
      </c>
      <c r="D1947" s="14">
        <v>0.7</v>
      </c>
      <c r="E1947" s="18">
        <v>1</v>
      </c>
    </row>
    <row r="1948" spans="1:5" x14ac:dyDescent="0.35">
      <c r="A1948" s="7">
        <v>50587</v>
      </c>
      <c r="B1948" s="8" t="s">
        <v>22</v>
      </c>
      <c r="C1948" s="9">
        <v>16</v>
      </c>
      <c r="D1948" s="10">
        <v>0.1</v>
      </c>
      <c r="E1948" s="18">
        <v>1</v>
      </c>
    </row>
    <row r="1949" spans="1:5" x14ac:dyDescent="0.35">
      <c r="A1949" s="11">
        <v>50588</v>
      </c>
      <c r="B1949" s="12" t="s">
        <v>6</v>
      </c>
      <c r="C1949" s="13">
        <v>25</v>
      </c>
      <c r="D1949" s="14">
        <v>11.7</v>
      </c>
      <c r="E1949" s="18">
        <v>1</v>
      </c>
    </row>
    <row r="1950" spans="1:5" x14ac:dyDescent="0.35">
      <c r="A1950" s="7">
        <v>50589</v>
      </c>
      <c r="B1950" s="8" t="s">
        <v>31</v>
      </c>
      <c r="C1950" s="9">
        <v>22.2</v>
      </c>
      <c r="D1950" s="10">
        <v>0.9</v>
      </c>
      <c r="E1950" s="18">
        <v>1</v>
      </c>
    </row>
    <row r="1951" spans="1:5" x14ac:dyDescent="0.35">
      <c r="A1951" s="11">
        <v>50590</v>
      </c>
      <c r="B1951" s="12" t="s">
        <v>24</v>
      </c>
      <c r="C1951" s="13">
        <v>29.6</v>
      </c>
      <c r="D1951" s="14">
        <v>0</v>
      </c>
      <c r="E1951" s="18">
        <v>1</v>
      </c>
    </row>
    <row r="1952" spans="1:5" x14ac:dyDescent="0.35">
      <c r="A1952" s="7">
        <v>50591</v>
      </c>
      <c r="B1952" s="8" t="s">
        <v>10</v>
      </c>
      <c r="C1952" s="9">
        <v>10.1</v>
      </c>
      <c r="D1952" s="10">
        <v>0</v>
      </c>
      <c r="E1952" s="18">
        <v>1</v>
      </c>
    </row>
    <row r="1953" spans="1:5" x14ac:dyDescent="0.35">
      <c r="A1953" s="11">
        <v>50592</v>
      </c>
      <c r="B1953" s="12" t="s">
        <v>9</v>
      </c>
      <c r="C1953" s="13">
        <v>26.3</v>
      </c>
      <c r="D1953" s="14">
        <v>6.7</v>
      </c>
      <c r="E1953" s="18">
        <v>1</v>
      </c>
    </row>
    <row r="1954" spans="1:5" x14ac:dyDescent="0.35">
      <c r="A1954" s="7">
        <v>50593</v>
      </c>
      <c r="B1954" s="8" t="s">
        <v>10</v>
      </c>
      <c r="C1954" s="9">
        <v>27.3</v>
      </c>
      <c r="D1954" s="10">
        <v>15.3</v>
      </c>
      <c r="E1954" s="18">
        <v>1</v>
      </c>
    </row>
    <row r="1955" spans="1:5" x14ac:dyDescent="0.35">
      <c r="A1955" s="11">
        <v>50594</v>
      </c>
      <c r="B1955" s="12" t="s">
        <v>11</v>
      </c>
      <c r="C1955" s="13">
        <v>27.8</v>
      </c>
      <c r="D1955" s="14">
        <v>0</v>
      </c>
      <c r="E1955" s="18">
        <v>1</v>
      </c>
    </row>
    <row r="1956" spans="1:5" x14ac:dyDescent="0.35">
      <c r="A1956" s="7">
        <v>50595</v>
      </c>
      <c r="B1956" s="8" t="s">
        <v>6</v>
      </c>
      <c r="C1956" s="9">
        <v>16.7</v>
      </c>
      <c r="D1956" s="10">
        <v>4.9000000000000004</v>
      </c>
      <c r="E1956" s="18">
        <v>1</v>
      </c>
    </row>
    <row r="1957" spans="1:5" x14ac:dyDescent="0.35">
      <c r="A1957" s="11">
        <v>50596</v>
      </c>
      <c r="B1957" s="12" t="s">
        <v>15</v>
      </c>
      <c r="C1957" s="13">
        <v>15</v>
      </c>
      <c r="D1957" s="14">
        <v>9.4</v>
      </c>
      <c r="E1957" s="18">
        <v>1</v>
      </c>
    </row>
    <row r="1958" spans="1:5" x14ac:dyDescent="0.35">
      <c r="A1958" s="7">
        <v>50597</v>
      </c>
      <c r="B1958" s="8" t="s">
        <v>10</v>
      </c>
      <c r="C1958" s="9">
        <v>10.4</v>
      </c>
      <c r="D1958" s="10">
        <v>28.5</v>
      </c>
      <c r="E1958" s="18">
        <v>1</v>
      </c>
    </row>
    <row r="1959" spans="1:5" x14ac:dyDescent="0.35">
      <c r="A1959" s="11">
        <v>50598</v>
      </c>
      <c r="B1959" s="12" t="s">
        <v>15</v>
      </c>
      <c r="C1959" s="13">
        <v>18.100000000000001</v>
      </c>
      <c r="D1959" s="14">
        <v>9.6</v>
      </c>
      <c r="E1959" s="18">
        <v>1</v>
      </c>
    </row>
    <row r="1960" spans="1:5" x14ac:dyDescent="0.35">
      <c r="A1960" s="7">
        <v>50599</v>
      </c>
      <c r="B1960" s="8" t="s">
        <v>33</v>
      </c>
      <c r="C1960" s="9">
        <v>26.7</v>
      </c>
      <c r="D1960" s="10">
        <v>1.5</v>
      </c>
      <c r="E1960" s="18">
        <v>1</v>
      </c>
    </row>
    <row r="1961" spans="1:5" x14ac:dyDescent="0.35">
      <c r="A1961" s="11">
        <v>50600</v>
      </c>
      <c r="B1961" s="12" t="s">
        <v>13</v>
      </c>
      <c r="C1961" s="13">
        <v>22.9</v>
      </c>
      <c r="D1961" s="14">
        <v>8.9</v>
      </c>
      <c r="E1961" s="18">
        <v>1</v>
      </c>
    </row>
    <row r="1962" spans="1:5" x14ac:dyDescent="0.35">
      <c r="A1962" s="7">
        <v>50601</v>
      </c>
      <c r="B1962" s="8" t="s">
        <v>15</v>
      </c>
      <c r="C1962" s="9">
        <v>29.3</v>
      </c>
      <c r="D1962" s="10">
        <v>0</v>
      </c>
      <c r="E1962" s="18">
        <v>1</v>
      </c>
    </row>
    <row r="1963" spans="1:5" x14ac:dyDescent="0.35">
      <c r="A1963" s="11">
        <v>50602</v>
      </c>
      <c r="B1963" s="12" t="s">
        <v>7</v>
      </c>
      <c r="C1963" s="13">
        <v>26.4</v>
      </c>
      <c r="D1963" s="14">
        <v>3.2</v>
      </c>
      <c r="E1963" s="18">
        <v>1</v>
      </c>
    </row>
    <row r="1964" spans="1:5" x14ac:dyDescent="0.35">
      <c r="A1964" s="7">
        <v>50603</v>
      </c>
      <c r="B1964" s="8" t="s">
        <v>18</v>
      </c>
      <c r="C1964" s="9">
        <v>20</v>
      </c>
      <c r="D1964" s="10">
        <v>7.3</v>
      </c>
      <c r="E1964" s="18">
        <v>1</v>
      </c>
    </row>
    <row r="1965" spans="1:5" x14ac:dyDescent="0.35">
      <c r="A1965" s="11">
        <v>50604</v>
      </c>
      <c r="B1965" s="12" t="s">
        <v>11</v>
      </c>
      <c r="C1965" s="13">
        <v>17.100000000000001</v>
      </c>
      <c r="D1965" s="14">
        <v>0</v>
      </c>
      <c r="E1965" s="18">
        <v>1</v>
      </c>
    </row>
    <row r="1966" spans="1:5" x14ac:dyDescent="0.35">
      <c r="A1966" s="7">
        <v>50605</v>
      </c>
      <c r="B1966" s="8" t="s">
        <v>5</v>
      </c>
      <c r="C1966" s="9">
        <v>18.8</v>
      </c>
      <c r="D1966" s="10">
        <v>0</v>
      </c>
      <c r="E1966" s="18">
        <v>1</v>
      </c>
    </row>
    <row r="1967" spans="1:5" x14ac:dyDescent="0.35">
      <c r="A1967" s="11">
        <v>50606</v>
      </c>
      <c r="B1967" s="12" t="s">
        <v>13</v>
      </c>
      <c r="C1967" s="13">
        <v>12.6</v>
      </c>
      <c r="D1967" s="14">
        <v>4.4000000000000004</v>
      </c>
      <c r="E1967" s="18">
        <v>1</v>
      </c>
    </row>
    <row r="1968" spans="1:5" x14ac:dyDescent="0.35">
      <c r="A1968" s="7">
        <v>50607</v>
      </c>
      <c r="B1968" s="8" t="s">
        <v>22</v>
      </c>
      <c r="C1968" s="9">
        <v>24</v>
      </c>
      <c r="D1968" s="10">
        <v>0</v>
      </c>
      <c r="E1968" s="18">
        <v>1</v>
      </c>
    </row>
    <row r="1969" spans="1:5" x14ac:dyDescent="0.35">
      <c r="A1969" s="11">
        <v>50608</v>
      </c>
      <c r="B1969" s="12" t="s">
        <v>19</v>
      </c>
      <c r="C1969" s="13">
        <v>13.4</v>
      </c>
      <c r="D1969" s="14">
        <v>35.6</v>
      </c>
      <c r="E1969" s="18">
        <v>1</v>
      </c>
    </row>
    <row r="1970" spans="1:5" x14ac:dyDescent="0.35">
      <c r="A1970" s="7">
        <v>50609</v>
      </c>
      <c r="B1970" s="8" t="s">
        <v>10</v>
      </c>
      <c r="C1970" s="9">
        <v>25.7</v>
      </c>
      <c r="D1970" s="10">
        <v>21.1</v>
      </c>
      <c r="E1970" s="18">
        <v>1</v>
      </c>
    </row>
    <row r="1971" spans="1:5" x14ac:dyDescent="0.35">
      <c r="A1971" s="11">
        <v>50610</v>
      </c>
      <c r="B1971" s="12" t="s">
        <v>21</v>
      </c>
      <c r="C1971" s="13">
        <v>24.9</v>
      </c>
      <c r="D1971" s="14">
        <v>2</v>
      </c>
      <c r="E1971" s="18">
        <v>1</v>
      </c>
    </row>
    <row r="1972" spans="1:5" x14ac:dyDescent="0.35">
      <c r="A1972" s="7">
        <v>50611</v>
      </c>
      <c r="B1972" s="8" t="s">
        <v>11</v>
      </c>
      <c r="C1972" s="9">
        <v>12.5</v>
      </c>
      <c r="D1972" s="10">
        <v>0</v>
      </c>
      <c r="E1972" s="18">
        <v>1</v>
      </c>
    </row>
    <row r="1973" spans="1:5" x14ac:dyDescent="0.35">
      <c r="A1973" s="11">
        <v>50612</v>
      </c>
      <c r="B1973" s="12" t="s">
        <v>10</v>
      </c>
      <c r="C1973" s="13">
        <v>21.8</v>
      </c>
      <c r="D1973" s="14">
        <v>0</v>
      </c>
      <c r="E1973" s="18">
        <v>1</v>
      </c>
    </row>
    <row r="1974" spans="1:5" x14ac:dyDescent="0.35">
      <c r="A1974" s="7">
        <v>50613</v>
      </c>
      <c r="B1974" s="8" t="s">
        <v>5</v>
      </c>
      <c r="C1974" s="9">
        <v>15.8</v>
      </c>
      <c r="D1974" s="10">
        <v>6.7</v>
      </c>
      <c r="E1974" s="18">
        <v>1</v>
      </c>
    </row>
    <row r="1975" spans="1:5" x14ac:dyDescent="0.35">
      <c r="A1975" s="11">
        <v>50614</v>
      </c>
      <c r="B1975" s="12" t="s">
        <v>12</v>
      </c>
      <c r="C1975" s="13">
        <v>13.9</v>
      </c>
      <c r="D1975" s="14">
        <v>0</v>
      </c>
      <c r="E1975" s="18">
        <v>1</v>
      </c>
    </row>
    <row r="1976" spans="1:5" x14ac:dyDescent="0.35">
      <c r="A1976" s="7">
        <v>50615</v>
      </c>
      <c r="B1976" s="8" t="s">
        <v>20</v>
      </c>
      <c r="C1976" s="9">
        <v>12.2</v>
      </c>
      <c r="D1976" s="10">
        <v>4.4000000000000004</v>
      </c>
      <c r="E1976" s="18">
        <v>1</v>
      </c>
    </row>
    <row r="1977" spans="1:5" x14ac:dyDescent="0.35">
      <c r="A1977" s="11">
        <v>50616</v>
      </c>
      <c r="B1977" s="12" t="s">
        <v>11</v>
      </c>
      <c r="C1977" s="13">
        <v>12.2</v>
      </c>
      <c r="D1977" s="14">
        <v>0</v>
      </c>
      <c r="E1977" s="18">
        <v>1</v>
      </c>
    </row>
    <row r="1978" spans="1:5" x14ac:dyDescent="0.35">
      <c r="A1978" s="7">
        <v>50617</v>
      </c>
      <c r="B1978" s="8" t="s">
        <v>19</v>
      </c>
      <c r="C1978" s="9">
        <v>13.7</v>
      </c>
      <c r="D1978" s="10">
        <v>28</v>
      </c>
      <c r="E1978" s="18">
        <v>1</v>
      </c>
    </row>
    <row r="1979" spans="1:5" x14ac:dyDescent="0.35">
      <c r="A1979" s="11">
        <v>50618</v>
      </c>
      <c r="B1979" s="12" t="s">
        <v>17</v>
      </c>
      <c r="C1979" s="13">
        <v>27.9</v>
      </c>
      <c r="D1979" s="14">
        <v>0</v>
      </c>
      <c r="E1979" s="18">
        <v>1</v>
      </c>
    </row>
    <row r="1980" spans="1:5" x14ac:dyDescent="0.35">
      <c r="A1980" s="7">
        <v>50619</v>
      </c>
      <c r="B1980" s="8" t="s">
        <v>13</v>
      </c>
      <c r="C1980" s="9">
        <v>25.6</v>
      </c>
      <c r="D1980" s="10">
        <v>1.7</v>
      </c>
      <c r="E1980" s="18">
        <v>1</v>
      </c>
    </row>
    <row r="1981" spans="1:5" x14ac:dyDescent="0.35">
      <c r="A1981" s="11">
        <v>50620</v>
      </c>
      <c r="B1981" s="12" t="s">
        <v>14</v>
      </c>
      <c r="C1981" s="13">
        <v>11.7</v>
      </c>
      <c r="D1981" s="14">
        <v>4.5999999999999996</v>
      </c>
      <c r="E1981" s="18">
        <v>1</v>
      </c>
    </row>
    <row r="1982" spans="1:5" x14ac:dyDescent="0.35">
      <c r="A1982" s="7">
        <v>50621</v>
      </c>
      <c r="B1982" s="8" t="s">
        <v>8</v>
      </c>
      <c r="C1982" s="9">
        <v>27.3</v>
      </c>
      <c r="D1982" s="10">
        <v>0</v>
      </c>
      <c r="E1982" s="18">
        <v>1</v>
      </c>
    </row>
    <row r="1983" spans="1:5" x14ac:dyDescent="0.35">
      <c r="A1983" s="11">
        <v>50622</v>
      </c>
      <c r="B1983" s="12" t="s">
        <v>11</v>
      </c>
      <c r="C1983" s="13">
        <v>25.6</v>
      </c>
      <c r="D1983" s="14">
        <v>18.2</v>
      </c>
      <c r="E1983" s="18">
        <v>1</v>
      </c>
    </row>
    <row r="1984" spans="1:5" x14ac:dyDescent="0.35">
      <c r="A1984" s="7">
        <v>50623</v>
      </c>
      <c r="B1984" s="8" t="s">
        <v>28</v>
      </c>
      <c r="C1984" s="9">
        <v>23.6</v>
      </c>
      <c r="D1984" s="10">
        <v>0.1</v>
      </c>
      <c r="E1984" s="18">
        <v>1</v>
      </c>
    </row>
    <row r="1985" spans="1:5" x14ac:dyDescent="0.35">
      <c r="A1985" s="11">
        <v>50624</v>
      </c>
      <c r="B1985" s="12" t="s">
        <v>10</v>
      </c>
      <c r="C1985" s="13">
        <v>14.6</v>
      </c>
      <c r="D1985" s="14">
        <v>0</v>
      </c>
      <c r="E1985" s="18">
        <v>1</v>
      </c>
    </row>
    <row r="1986" spans="1:5" x14ac:dyDescent="0.35">
      <c r="A1986" s="7">
        <v>50625</v>
      </c>
      <c r="B1986" s="8" t="s">
        <v>9</v>
      </c>
      <c r="C1986" s="9">
        <v>17.399999999999999</v>
      </c>
      <c r="D1986" s="10">
        <v>7.8</v>
      </c>
      <c r="E1986" s="18">
        <v>1</v>
      </c>
    </row>
    <row r="1987" spans="1:5" x14ac:dyDescent="0.35">
      <c r="A1987" s="11">
        <v>50626</v>
      </c>
      <c r="B1987" s="12" t="s">
        <v>10</v>
      </c>
      <c r="C1987" s="13">
        <v>27.4</v>
      </c>
      <c r="D1987" s="14">
        <v>0</v>
      </c>
      <c r="E1987" s="18">
        <v>1</v>
      </c>
    </row>
    <row r="1988" spans="1:5" x14ac:dyDescent="0.35">
      <c r="A1988" s="7">
        <v>50627</v>
      </c>
      <c r="B1988" s="8" t="s">
        <v>19</v>
      </c>
      <c r="C1988" s="9">
        <v>15.2</v>
      </c>
      <c r="D1988" s="10">
        <v>5.9</v>
      </c>
      <c r="E1988" s="18">
        <v>1</v>
      </c>
    </row>
    <row r="1989" spans="1:5" x14ac:dyDescent="0.35">
      <c r="A1989" s="11">
        <v>50628</v>
      </c>
      <c r="B1989" s="12" t="s">
        <v>29</v>
      </c>
      <c r="C1989" s="13">
        <v>11.6</v>
      </c>
      <c r="D1989" s="14">
        <v>0</v>
      </c>
      <c r="E1989" s="18">
        <v>1</v>
      </c>
    </row>
    <row r="1990" spans="1:5" x14ac:dyDescent="0.35">
      <c r="A1990" s="7">
        <v>50629</v>
      </c>
      <c r="B1990" s="8" t="s">
        <v>26</v>
      </c>
      <c r="C1990" s="9">
        <v>10.8</v>
      </c>
      <c r="D1990" s="10">
        <v>1.6</v>
      </c>
      <c r="E1990" s="18">
        <v>1</v>
      </c>
    </row>
    <row r="1991" spans="1:5" x14ac:dyDescent="0.35">
      <c r="A1991" s="11">
        <v>50630</v>
      </c>
      <c r="B1991" s="12" t="s">
        <v>22</v>
      </c>
      <c r="C1991" s="13">
        <v>12</v>
      </c>
      <c r="D1991" s="14">
        <v>3.9</v>
      </c>
      <c r="E1991" s="18">
        <v>1</v>
      </c>
    </row>
    <row r="1992" spans="1:5" x14ac:dyDescent="0.35">
      <c r="A1992" s="7">
        <v>50631</v>
      </c>
      <c r="B1992" s="8" t="s">
        <v>26</v>
      </c>
      <c r="C1992" s="9">
        <v>14</v>
      </c>
      <c r="D1992" s="10">
        <v>5</v>
      </c>
      <c r="E1992" s="18">
        <v>1</v>
      </c>
    </row>
    <row r="1993" spans="1:5" x14ac:dyDescent="0.35">
      <c r="A1993" s="11">
        <v>50632</v>
      </c>
      <c r="B1993" s="12" t="s">
        <v>19</v>
      </c>
      <c r="C1993" s="13">
        <v>26.4</v>
      </c>
      <c r="D1993" s="14">
        <v>0</v>
      </c>
      <c r="E1993" s="18">
        <v>1</v>
      </c>
    </row>
    <row r="1994" spans="1:5" x14ac:dyDescent="0.35">
      <c r="A1994" s="7">
        <v>50633</v>
      </c>
      <c r="B1994" s="8" t="s">
        <v>15</v>
      </c>
      <c r="C1994" s="9">
        <v>23</v>
      </c>
      <c r="D1994" s="10">
        <v>20.100000000000001</v>
      </c>
      <c r="E1994" s="18">
        <v>1</v>
      </c>
    </row>
    <row r="1995" spans="1:5" x14ac:dyDescent="0.35">
      <c r="A1995" s="11">
        <v>50634</v>
      </c>
      <c r="B1995" s="12" t="s">
        <v>8</v>
      </c>
      <c r="C1995" s="13">
        <v>20.5</v>
      </c>
      <c r="D1995" s="14">
        <v>1.1000000000000001</v>
      </c>
      <c r="E1995" s="18">
        <v>1</v>
      </c>
    </row>
    <row r="1996" spans="1:5" x14ac:dyDescent="0.35">
      <c r="A1996" s="7">
        <v>50635</v>
      </c>
      <c r="B1996" s="8" t="s">
        <v>14</v>
      </c>
      <c r="C1996" s="9">
        <v>15.9</v>
      </c>
      <c r="D1996" s="10">
        <v>3.1</v>
      </c>
      <c r="E1996" s="18">
        <v>1</v>
      </c>
    </row>
    <row r="1997" spans="1:5" x14ac:dyDescent="0.35">
      <c r="A1997" s="11">
        <v>50636</v>
      </c>
      <c r="B1997" s="12" t="s">
        <v>10</v>
      </c>
      <c r="C1997" s="13">
        <v>20.8</v>
      </c>
      <c r="D1997" s="14">
        <v>6.9</v>
      </c>
      <c r="E1997" s="18">
        <v>1</v>
      </c>
    </row>
    <row r="1998" spans="1:5" x14ac:dyDescent="0.35">
      <c r="A1998" s="7">
        <v>50637</v>
      </c>
      <c r="B1998" s="8" t="s">
        <v>21</v>
      </c>
      <c r="C1998" s="9">
        <v>12.9</v>
      </c>
      <c r="D1998" s="10">
        <v>1.5</v>
      </c>
      <c r="E1998" s="18">
        <v>1</v>
      </c>
    </row>
    <row r="1999" spans="1:5" x14ac:dyDescent="0.35">
      <c r="A1999" s="11">
        <v>50638</v>
      </c>
      <c r="B1999" s="12" t="s">
        <v>19</v>
      </c>
      <c r="C1999" s="13">
        <v>11.6</v>
      </c>
      <c r="D1999" s="14">
        <v>15.8</v>
      </c>
      <c r="E1999" s="18">
        <v>1</v>
      </c>
    </row>
    <row r="2000" spans="1:5" x14ac:dyDescent="0.35">
      <c r="A2000" s="7">
        <v>50639</v>
      </c>
      <c r="B2000" s="8" t="s">
        <v>13</v>
      </c>
      <c r="C2000" s="9">
        <v>25.6</v>
      </c>
      <c r="D2000" s="10">
        <v>0</v>
      </c>
      <c r="E2000" s="18">
        <v>1</v>
      </c>
    </row>
    <row r="2001" spans="1:5" x14ac:dyDescent="0.35">
      <c r="A2001" s="11">
        <v>50640</v>
      </c>
      <c r="B2001" s="12" t="s">
        <v>7</v>
      </c>
      <c r="C2001" s="13">
        <v>15.7</v>
      </c>
      <c r="D2001" s="14">
        <v>6.7</v>
      </c>
      <c r="E2001" s="18">
        <v>1</v>
      </c>
    </row>
    <row r="2002" spans="1:5" x14ac:dyDescent="0.35">
      <c r="A2002" s="7">
        <v>50641</v>
      </c>
      <c r="B2002" s="8" t="s">
        <v>14</v>
      </c>
      <c r="C2002" s="9">
        <v>25.5</v>
      </c>
      <c r="D2002" s="10">
        <v>0</v>
      </c>
      <c r="E2002" s="18">
        <v>1</v>
      </c>
    </row>
    <row r="2003" spans="1:5" x14ac:dyDescent="0.35">
      <c r="A2003" s="11">
        <v>50642</v>
      </c>
      <c r="B2003" s="12" t="s">
        <v>22</v>
      </c>
      <c r="C2003" s="13">
        <v>19.5</v>
      </c>
      <c r="D2003" s="14">
        <v>3.4</v>
      </c>
      <c r="E2003" s="18">
        <v>1</v>
      </c>
    </row>
    <row r="2004" spans="1:5" x14ac:dyDescent="0.35">
      <c r="A2004" s="7">
        <v>50643</v>
      </c>
      <c r="B2004" s="8" t="s">
        <v>25</v>
      </c>
      <c r="C2004" s="9">
        <v>14.1</v>
      </c>
      <c r="D2004" s="10">
        <v>0</v>
      </c>
      <c r="E2004" s="18">
        <v>1</v>
      </c>
    </row>
    <row r="2005" spans="1:5" x14ac:dyDescent="0.35">
      <c r="A2005" s="11">
        <v>50644</v>
      </c>
      <c r="B2005" s="12" t="s">
        <v>6</v>
      </c>
      <c r="C2005" s="13">
        <v>26.4</v>
      </c>
      <c r="D2005" s="14">
        <v>0</v>
      </c>
      <c r="E2005" s="18">
        <v>1</v>
      </c>
    </row>
    <row r="2006" spans="1:5" x14ac:dyDescent="0.35">
      <c r="A2006" s="7">
        <v>50645</v>
      </c>
      <c r="B2006" s="8" t="s">
        <v>15</v>
      </c>
      <c r="C2006" s="9">
        <v>11.7</v>
      </c>
      <c r="D2006" s="10">
        <v>8.4</v>
      </c>
      <c r="E2006" s="18">
        <v>1</v>
      </c>
    </row>
    <row r="2007" spans="1:5" x14ac:dyDescent="0.35">
      <c r="A2007" s="11">
        <v>50646</v>
      </c>
      <c r="B2007" s="12" t="s">
        <v>25</v>
      </c>
      <c r="C2007" s="13">
        <v>28</v>
      </c>
      <c r="D2007" s="14">
        <v>0</v>
      </c>
      <c r="E2007" s="18">
        <v>1</v>
      </c>
    </row>
    <row r="2008" spans="1:5" x14ac:dyDescent="0.35">
      <c r="A2008" s="7">
        <v>50647</v>
      </c>
      <c r="B2008" s="8" t="s">
        <v>17</v>
      </c>
      <c r="C2008" s="9">
        <v>13</v>
      </c>
      <c r="D2008" s="10">
        <v>0.1</v>
      </c>
      <c r="E2008" s="18">
        <v>1</v>
      </c>
    </row>
    <row r="2009" spans="1:5" x14ac:dyDescent="0.35">
      <c r="A2009" s="11">
        <v>50648</v>
      </c>
      <c r="B2009" s="12" t="s">
        <v>11</v>
      </c>
      <c r="C2009" s="13">
        <v>10.8</v>
      </c>
      <c r="D2009" s="14">
        <v>11.3</v>
      </c>
      <c r="E2009" s="18">
        <v>1</v>
      </c>
    </row>
    <row r="2010" spans="1:5" x14ac:dyDescent="0.35">
      <c r="A2010" s="7">
        <v>50649</v>
      </c>
      <c r="B2010" s="8" t="s">
        <v>11</v>
      </c>
      <c r="C2010" s="9">
        <v>26.4</v>
      </c>
      <c r="D2010" s="10">
        <v>18.7</v>
      </c>
      <c r="E2010" s="18">
        <v>1</v>
      </c>
    </row>
    <row r="2011" spans="1:5" x14ac:dyDescent="0.35">
      <c r="A2011" s="11">
        <v>50650</v>
      </c>
      <c r="B2011" s="12" t="s">
        <v>19</v>
      </c>
      <c r="C2011" s="13">
        <v>26.7</v>
      </c>
      <c r="D2011" s="14">
        <v>3.9</v>
      </c>
      <c r="E2011" s="18">
        <v>1</v>
      </c>
    </row>
    <row r="2012" spans="1:5" x14ac:dyDescent="0.35">
      <c r="A2012" s="7">
        <v>50651</v>
      </c>
      <c r="B2012" s="8" t="s">
        <v>11</v>
      </c>
      <c r="C2012" s="9">
        <v>11.7</v>
      </c>
      <c r="D2012" s="10">
        <v>13</v>
      </c>
      <c r="E2012" s="18">
        <v>1</v>
      </c>
    </row>
    <row r="2013" spans="1:5" x14ac:dyDescent="0.35">
      <c r="A2013" s="11">
        <v>50652</v>
      </c>
      <c r="B2013" s="12" t="s">
        <v>30</v>
      </c>
      <c r="C2013" s="13">
        <v>12</v>
      </c>
      <c r="D2013" s="14">
        <v>0.4</v>
      </c>
      <c r="E2013" s="18">
        <v>1</v>
      </c>
    </row>
    <row r="2014" spans="1:5" x14ac:dyDescent="0.35">
      <c r="A2014" s="7">
        <v>50653</v>
      </c>
      <c r="B2014" s="8" t="s">
        <v>21</v>
      </c>
      <c r="C2014" s="9">
        <v>24.2</v>
      </c>
      <c r="D2014" s="10">
        <v>0.7</v>
      </c>
      <c r="E2014" s="18">
        <v>1</v>
      </c>
    </row>
    <row r="2015" spans="1:5" x14ac:dyDescent="0.35">
      <c r="A2015" s="11">
        <v>50654</v>
      </c>
      <c r="B2015" s="12" t="s">
        <v>26</v>
      </c>
      <c r="C2015" s="13">
        <v>27.3</v>
      </c>
      <c r="D2015" s="14">
        <v>3.7</v>
      </c>
      <c r="E2015" s="18">
        <v>1</v>
      </c>
    </row>
    <row r="2016" spans="1:5" x14ac:dyDescent="0.35">
      <c r="A2016" s="7">
        <v>50655</v>
      </c>
      <c r="B2016" s="8" t="s">
        <v>13</v>
      </c>
      <c r="C2016" s="9">
        <v>10.7</v>
      </c>
      <c r="D2016" s="10">
        <v>0</v>
      </c>
      <c r="E2016" s="18">
        <v>1</v>
      </c>
    </row>
    <row r="2017" spans="1:5" x14ac:dyDescent="0.35">
      <c r="A2017" s="11">
        <v>50656</v>
      </c>
      <c r="B2017" s="12" t="s">
        <v>8</v>
      </c>
      <c r="C2017" s="13">
        <v>11.1</v>
      </c>
      <c r="D2017" s="14">
        <v>0</v>
      </c>
      <c r="E2017" s="18">
        <v>1</v>
      </c>
    </row>
    <row r="2018" spans="1:5" x14ac:dyDescent="0.35">
      <c r="A2018" s="7">
        <v>50657</v>
      </c>
      <c r="B2018" s="8" t="s">
        <v>7</v>
      </c>
      <c r="C2018" s="9">
        <v>28.5</v>
      </c>
      <c r="D2018" s="10">
        <v>19.8</v>
      </c>
      <c r="E2018" s="18">
        <v>1</v>
      </c>
    </row>
    <row r="2019" spans="1:5" x14ac:dyDescent="0.35">
      <c r="A2019" s="11">
        <v>50658</v>
      </c>
      <c r="B2019" s="12" t="s">
        <v>19</v>
      </c>
      <c r="C2019" s="13">
        <v>10.1</v>
      </c>
      <c r="D2019" s="14">
        <v>0</v>
      </c>
      <c r="E2019" s="18">
        <v>1</v>
      </c>
    </row>
    <row r="2020" spans="1:5" x14ac:dyDescent="0.35">
      <c r="A2020" s="7">
        <v>50659</v>
      </c>
      <c r="B2020" s="8" t="s">
        <v>9</v>
      </c>
      <c r="C2020" s="9">
        <v>20.8</v>
      </c>
      <c r="D2020" s="10">
        <v>11.2</v>
      </c>
      <c r="E2020" s="18">
        <v>1</v>
      </c>
    </row>
    <row r="2021" spans="1:5" x14ac:dyDescent="0.35">
      <c r="A2021" s="11">
        <v>50660</v>
      </c>
      <c r="B2021" s="12" t="s">
        <v>7</v>
      </c>
      <c r="C2021" s="13">
        <v>16.600000000000001</v>
      </c>
      <c r="D2021" s="14">
        <v>0</v>
      </c>
      <c r="E2021" s="18">
        <v>1</v>
      </c>
    </row>
    <row r="2022" spans="1:5" x14ac:dyDescent="0.35">
      <c r="A2022" s="7">
        <v>50661</v>
      </c>
      <c r="B2022" s="8" t="s">
        <v>13</v>
      </c>
      <c r="C2022" s="9">
        <v>26.4</v>
      </c>
      <c r="D2022" s="10">
        <v>10</v>
      </c>
      <c r="E2022" s="18">
        <v>1</v>
      </c>
    </row>
    <row r="2023" spans="1:5" x14ac:dyDescent="0.35">
      <c r="A2023" s="11">
        <v>50662</v>
      </c>
      <c r="B2023" s="12" t="s">
        <v>22</v>
      </c>
      <c r="C2023" s="13">
        <v>15.1</v>
      </c>
      <c r="D2023" s="14">
        <v>0</v>
      </c>
      <c r="E2023" s="18">
        <v>1</v>
      </c>
    </row>
    <row r="2024" spans="1:5" x14ac:dyDescent="0.35">
      <c r="A2024" s="7">
        <v>50663</v>
      </c>
      <c r="B2024" s="8" t="s">
        <v>6</v>
      </c>
      <c r="C2024" s="9">
        <v>20.9</v>
      </c>
      <c r="D2024" s="10">
        <v>10.1</v>
      </c>
      <c r="E2024" s="18">
        <v>1</v>
      </c>
    </row>
    <row r="2025" spans="1:5" x14ac:dyDescent="0.35">
      <c r="A2025" s="11">
        <v>50664</v>
      </c>
      <c r="B2025" s="12" t="s">
        <v>13</v>
      </c>
      <c r="C2025" s="13">
        <v>27.3</v>
      </c>
      <c r="D2025" s="14">
        <v>5.3</v>
      </c>
      <c r="E2025" s="18">
        <v>1</v>
      </c>
    </row>
    <row r="2026" spans="1:5" x14ac:dyDescent="0.35">
      <c r="A2026" s="7">
        <v>50665</v>
      </c>
      <c r="B2026" s="8" t="s">
        <v>6</v>
      </c>
      <c r="C2026" s="9">
        <v>17.600000000000001</v>
      </c>
      <c r="D2026" s="10">
        <v>5.5</v>
      </c>
      <c r="E2026" s="18">
        <v>1</v>
      </c>
    </row>
    <row r="2027" spans="1:5" x14ac:dyDescent="0.35">
      <c r="A2027" s="11">
        <v>50666</v>
      </c>
      <c r="B2027" s="12" t="s">
        <v>19</v>
      </c>
      <c r="C2027" s="13">
        <v>27.8</v>
      </c>
      <c r="D2027" s="14">
        <v>0</v>
      </c>
      <c r="E2027" s="18">
        <v>1</v>
      </c>
    </row>
    <row r="2028" spans="1:5" x14ac:dyDescent="0.35">
      <c r="A2028" s="7">
        <v>50667</v>
      </c>
      <c r="B2028" s="8" t="s">
        <v>10</v>
      </c>
      <c r="C2028" s="9">
        <v>25.8</v>
      </c>
      <c r="D2028" s="10">
        <v>12.1</v>
      </c>
      <c r="E2028" s="18">
        <v>1</v>
      </c>
    </row>
    <row r="2029" spans="1:5" x14ac:dyDescent="0.35">
      <c r="A2029" s="11">
        <v>50668</v>
      </c>
      <c r="B2029" s="12" t="s">
        <v>26</v>
      </c>
      <c r="C2029" s="13">
        <v>18.100000000000001</v>
      </c>
      <c r="D2029" s="14">
        <v>1.1000000000000001</v>
      </c>
      <c r="E2029" s="18">
        <v>1</v>
      </c>
    </row>
    <row r="2030" spans="1:5" x14ac:dyDescent="0.35">
      <c r="A2030" s="7">
        <v>50669</v>
      </c>
      <c r="B2030" s="8" t="s">
        <v>12</v>
      </c>
      <c r="C2030" s="9">
        <v>21.9</v>
      </c>
      <c r="D2030" s="10">
        <v>7.7</v>
      </c>
      <c r="E2030" s="18">
        <v>1</v>
      </c>
    </row>
    <row r="2031" spans="1:5" x14ac:dyDescent="0.35">
      <c r="A2031" s="11">
        <v>50670</v>
      </c>
      <c r="B2031" s="12" t="s">
        <v>27</v>
      </c>
      <c r="C2031" s="13">
        <v>23.2</v>
      </c>
      <c r="D2031" s="14">
        <v>5.0999999999999996</v>
      </c>
      <c r="E2031" s="18">
        <v>1</v>
      </c>
    </row>
    <row r="2032" spans="1:5" x14ac:dyDescent="0.35">
      <c r="A2032" s="7">
        <v>50671</v>
      </c>
      <c r="B2032" s="8" t="s">
        <v>31</v>
      </c>
      <c r="C2032" s="9">
        <v>26.6</v>
      </c>
      <c r="D2032" s="10">
        <v>0.3</v>
      </c>
      <c r="E2032" s="18">
        <v>1</v>
      </c>
    </row>
    <row r="2033" spans="1:5" x14ac:dyDescent="0.35">
      <c r="A2033" s="11">
        <v>50672</v>
      </c>
      <c r="B2033" s="12" t="s">
        <v>11</v>
      </c>
      <c r="C2033" s="13">
        <v>23.2</v>
      </c>
      <c r="D2033" s="14">
        <v>0</v>
      </c>
      <c r="E2033" s="18">
        <v>1</v>
      </c>
    </row>
    <row r="2034" spans="1:5" x14ac:dyDescent="0.35">
      <c r="A2034" s="7">
        <v>50673</v>
      </c>
      <c r="B2034" s="8" t="s">
        <v>10</v>
      </c>
      <c r="C2034" s="9">
        <v>11</v>
      </c>
      <c r="D2034" s="10">
        <v>40.9</v>
      </c>
      <c r="E2034" s="18">
        <v>1</v>
      </c>
    </row>
    <row r="2035" spans="1:5" x14ac:dyDescent="0.35">
      <c r="A2035" s="11">
        <v>50674</v>
      </c>
      <c r="B2035" s="12" t="s">
        <v>23</v>
      </c>
      <c r="C2035" s="13">
        <v>26.8</v>
      </c>
      <c r="D2035" s="14">
        <v>2.2999999999999998</v>
      </c>
      <c r="E2035" s="18">
        <v>1</v>
      </c>
    </row>
    <row r="2036" spans="1:5" x14ac:dyDescent="0.35">
      <c r="A2036" s="7">
        <v>50675</v>
      </c>
      <c r="B2036" s="8" t="s">
        <v>13</v>
      </c>
      <c r="C2036" s="9">
        <v>22.2</v>
      </c>
      <c r="D2036" s="10">
        <v>0</v>
      </c>
      <c r="E2036" s="18">
        <v>1</v>
      </c>
    </row>
    <row r="2037" spans="1:5" x14ac:dyDescent="0.35">
      <c r="A2037" s="11">
        <v>50676</v>
      </c>
      <c r="B2037" s="12" t="s">
        <v>18</v>
      </c>
      <c r="C2037" s="13">
        <v>10.199999999999999</v>
      </c>
      <c r="D2037" s="14">
        <v>6.1</v>
      </c>
      <c r="E2037" s="18">
        <v>1</v>
      </c>
    </row>
    <row r="2038" spans="1:5" x14ac:dyDescent="0.35">
      <c r="A2038" s="7">
        <v>50677</v>
      </c>
      <c r="B2038" s="8" t="s">
        <v>33</v>
      </c>
      <c r="C2038" s="9">
        <v>18.399999999999999</v>
      </c>
      <c r="D2038" s="10">
        <v>1.5</v>
      </c>
      <c r="E2038" s="18">
        <v>1</v>
      </c>
    </row>
    <row r="2039" spans="1:5" x14ac:dyDescent="0.35">
      <c r="A2039" s="11">
        <v>50678</v>
      </c>
      <c r="B2039" s="12" t="s">
        <v>7</v>
      </c>
      <c r="C2039" s="13">
        <v>29.4</v>
      </c>
      <c r="D2039" s="14">
        <v>22.3</v>
      </c>
      <c r="E2039" s="18">
        <v>1</v>
      </c>
    </row>
    <row r="2040" spans="1:5" x14ac:dyDescent="0.35">
      <c r="A2040" s="7">
        <v>50679</v>
      </c>
      <c r="B2040" s="8" t="s">
        <v>23</v>
      </c>
      <c r="C2040" s="9">
        <v>23.4</v>
      </c>
      <c r="D2040" s="10">
        <v>0</v>
      </c>
      <c r="E2040" s="18">
        <v>1</v>
      </c>
    </row>
    <row r="2041" spans="1:5" x14ac:dyDescent="0.35">
      <c r="A2041" s="11">
        <v>50680</v>
      </c>
      <c r="B2041" s="12" t="s">
        <v>5</v>
      </c>
      <c r="C2041" s="13">
        <v>13.6</v>
      </c>
      <c r="D2041" s="14">
        <v>6.1</v>
      </c>
      <c r="E2041" s="18">
        <v>1</v>
      </c>
    </row>
    <row r="2042" spans="1:5" x14ac:dyDescent="0.35">
      <c r="A2042" s="7">
        <v>50681</v>
      </c>
      <c r="B2042" s="8" t="s">
        <v>7</v>
      </c>
      <c r="C2042" s="9">
        <v>17.7</v>
      </c>
      <c r="D2042" s="10">
        <v>1.4</v>
      </c>
      <c r="E2042" s="18">
        <v>1</v>
      </c>
    </row>
    <row r="2043" spans="1:5" x14ac:dyDescent="0.35">
      <c r="A2043" s="11">
        <v>50682</v>
      </c>
      <c r="B2043" s="12" t="s">
        <v>23</v>
      </c>
      <c r="C2043" s="13">
        <v>17</v>
      </c>
      <c r="D2043" s="14">
        <v>5.9</v>
      </c>
      <c r="E2043" s="18">
        <v>1</v>
      </c>
    </row>
    <row r="2044" spans="1:5" x14ac:dyDescent="0.35">
      <c r="A2044" s="7">
        <v>50683</v>
      </c>
      <c r="B2044" s="8" t="s">
        <v>6</v>
      </c>
      <c r="C2044" s="9">
        <v>29.6</v>
      </c>
      <c r="D2044" s="10">
        <v>6.6</v>
      </c>
      <c r="E2044" s="18">
        <v>1</v>
      </c>
    </row>
    <row r="2045" spans="1:5" x14ac:dyDescent="0.35">
      <c r="A2045" s="11">
        <v>50684</v>
      </c>
      <c r="B2045" s="12" t="s">
        <v>10</v>
      </c>
      <c r="C2045" s="13">
        <v>23.4</v>
      </c>
      <c r="D2045" s="14">
        <v>0</v>
      </c>
      <c r="E2045" s="18">
        <v>1</v>
      </c>
    </row>
    <row r="2046" spans="1:5" x14ac:dyDescent="0.35">
      <c r="A2046" s="7">
        <v>50685</v>
      </c>
      <c r="B2046" s="8" t="s">
        <v>7</v>
      </c>
      <c r="C2046" s="9">
        <v>21.3</v>
      </c>
      <c r="D2046" s="10">
        <v>22.4</v>
      </c>
      <c r="E2046" s="18">
        <v>1</v>
      </c>
    </row>
    <row r="2047" spans="1:5" x14ac:dyDescent="0.35">
      <c r="A2047" s="11">
        <v>50686</v>
      </c>
      <c r="B2047" s="12" t="s">
        <v>19</v>
      </c>
      <c r="C2047" s="13">
        <v>18.600000000000001</v>
      </c>
      <c r="D2047" s="14">
        <v>0</v>
      </c>
      <c r="E2047" s="18">
        <v>1</v>
      </c>
    </row>
    <row r="2048" spans="1:5" x14ac:dyDescent="0.35">
      <c r="A2048" s="7">
        <v>50687</v>
      </c>
      <c r="B2048" s="8" t="s">
        <v>13</v>
      </c>
      <c r="C2048" s="9">
        <v>16.8</v>
      </c>
      <c r="D2048" s="10">
        <v>2.8</v>
      </c>
      <c r="E2048" s="18">
        <v>1</v>
      </c>
    </row>
    <row r="2049" spans="1:5" x14ac:dyDescent="0.35">
      <c r="A2049" s="11">
        <v>50688</v>
      </c>
      <c r="B2049" s="12" t="s">
        <v>20</v>
      </c>
      <c r="C2049" s="13">
        <v>13.2</v>
      </c>
      <c r="D2049" s="14">
        <v>4</v>
      </c>
      <c r="E2049" s="18">
        <v>1</v>
      </c>
    </row>
    <row r="2050" spans="1:5" x14ac:dyDescent="0.35">
      <c r="A2050" s="7">
        <v>50689</v>
      </c>
      <c r="B2050" s="8" t="s">
        <v>19</v>
      </c>
      <c r="C2050" s="9">
        <v>29.8</v>
      </c>
      <c r="D2050" s="10">
        <v>24.9</v>
      </c>
      <c r="E2050" s="18">
        <v>1</v>
      </c>
    </row>
    <row r="2051" spans="1:5" x14ac:dyDescent="0.35">
      <c r="A2051" s="11">
        <v>50690</v>
      </c>
      <c r="B2051" s="12" t="s">
        <v>10</v>
      </c>
      <c r="C2051" s="13">
        <v>10.6</v>
      </c>
      <c r="D2051" s="14">
        <v>31.8</v>
      </c>
      <c r="E2051" s="18">
        <v>1</v>
      </c>
    </row>
    <row r="2052" spans="1:5" x14ac:dyDescent="0.35">
      <c r="A2052" s="7">
        <v>50691</v>
      </c>
      <c r="B2052" s="8" t="s">
        <v>15</v>
      </c>
      <c r="C2052" s="9">
        <v>11.9</v>
      </c>
      <c r="D2052" s="10">
        <v>12.3</v>
      </c>
      <c r="E2052" s="18">
        <v>1</v>
      </c>
    </row>
    <row r="2053" spans="1:5" x14ac:dyDescent="0.35">
      <c r="A2053" s="11">
        <v>50692</v>
      </c>
      <c r="B2053" s="12" t="s">
        <v>30</v>
      </c>
      <c r="C2053" s="13">
        <v>26.8</v>
      </c>
      <c r="D2053" s="14">
        <v>0.5</v>
      </c>
      <c r="E2053" s="18">
        <v>1</v>
      </c>
    </row>
    <row r="2054" spans="1:5" x14ac:dyDescent="0.35">
      <c r="A2054" s="7">
        <v>50693</v>
      </c>
      <c r="B2054" s="8" t="s">
        <v>22</v>
      </c>
      <c r="C2054" s="9">
        <v>29</v>
      </c>
      <c r="D2054" s="10">
        <v>3.5</v>
      </c>
      <c r="E2054" s="18">
        <v>1</v>
      </c>
    </row>
    <row r="2055" spans="1:5" x14ac:dyDescent="0.35">
      <c r="A2055" s="11">
        <v>50694</v>
      </c>
      <c r="B2055" s="12" t="s">
        <v>20</v>
      </c>
      <c r="C2055" s="13">
        <v>22.9</v>
      </c>
      <c r="D2055" s="14">
        <v>2</v>
      </c>
      <c r="E2055" s="18">
        <v>1</v>
      </c>
    </row>
    <row r="2056" spans="1:5" x14ac:dyDescent="0.35">
      <c r="A2056" s="7">
        <v>50695</v>
      </c>
      <c r="B2056" s="8" t="s">
        <v>21</v>
      </c>
      <c r="C2056" s="9">
        <v>27.1</v>
      </c>
      <c r="D2056" s="10">
        <v>0</v>
      </c>
      <c r="E2056" s="18">
        <v>1</v>
      </c>
    </row>
    <row r="2057" spans="1:5" x14ac:dyDescent="0.35">
      <c r="A2057" s="11">
        <v>50696</v>
      </c>
      <c r="B2057" s="12" t="s">
        <v>10</v>
      </c>
      <c r="C2057" s="13">
        <v>11.8</v>
      </c>
      <c r="D2057" s="14">
        <v>49</v>
      </c>
      <c r="E2057" s="18">
        <v>1</v>
      </c>
    </row>
    <row r="2058" spans="1:5" x14ac:dyDescent="0.35">
      <c r="A2058" s="7">
        <v>50697</v>
      </c>
      <c r="B2058" s="8" t="s">
        <v>6</v>
      </c>
      <c r="C2058" s="9">
        <v>26.6</v>
      </c>
      <c r="D2058" s="10">
        <v>0</v>
      </c>
      <c r="E2058" s="18">
        <v>1</v>
      </c>
    </row>
    <row r="2059" spans="1:5" x14ac:dyDescent="0.35">
      <c r="A2059" s="11">
        <v>50698</v>
      </c>
      <c r="B2059" s="12" t="s">
        <v>18</v>
      </c>
      <c r="C2059" s="13">
        <v>21.3</v>
      </c>
      <c r="D2059" s="14">
        <v>0</v>
      </c>
      <c r="E2059" s="18">
        <v>1</v>
      </c>
    </row>
    <row r="2060" spans="1:5" x14ac:dyDescent="0.35">
      <c r="A2060" s="7">
        <v>50699</v>
      </c>
      <c r="B2060" s="8" t="s">
        <v>11</v>
      </c>
      <c r="C2060" s="9">
        <v>23.2</v>
      </c>
      <c r="D2060" s="10">
        <v>0</v>
      </c>
      <c r="E2060" s="18">
        <v>1</v>
      </c>
    </row>
    <row r="2061" spans="1:5" x14ac:dyDescent="0.35">
      <c r="A2061" s="11">
        <v>50700</v>
      </c>
      <c r="B2061" s="12" t="s">
        <v>10</v>
      </c>
      <c r="C2061" s="13">
        <v>27.3</v>
      </c>
      <c r="D2061" s="14">
        <v>0</v>
      </c>
      <c r="E2061" s="18">
        <v>1</v>
      </c>
    </row>
    <row r="2062" spans="1:5" x14ac:dyDescent="0.35">
      <c r="A2062" s="7">
        <v>50701</v>
      </c>
      <c r="B2062" s="8" t="s">
        <v>13</v>
      </c>
      <c r="C2062" s="9">
        <v>21.3</v>
      </c>
      <c r="D2062" s="10">
        <v>2.6</v>
      </c>
      <c r="E2062" s="18">
        <v>1</v>
      </c>
    </row>
    <row r="2063" spans="1:5" x14ac:dyDescent="0.35">
      <c r="A2063" s="11">
        <v>50702</v>
      </c>
      <c r="B2063" s="12" t="s">
        <v>19</v>
      </c>
      <c r="C2063" s="13">
        <v>22.9</v>
      </c>
      <c r="D2063" s="14">
        <v>5.3</v>
      </c>
      <c r="E2063" s="18">
        <v>1</v>
      </c>
    </row>
    <row r="2064" spans="1:5" x14ac:dyDescent="0.35">
      <c r="A2064" s="7">
        <v>50703</v>
      </c>
      <c r="B2064" s="8" t="s">
        <v>28</v>
      </c>
      <c r="C2064" s="9">
        <v>25</v>
      </c>
      <c r="D2064" s="10">
        <v>0</v>
      </c>
      <c r="E2064" s="18">
        <v>1</v>
      </c>
    </row>
    <row r="2065" spans="1:5" x14ac:dyDescent="0.35">
      <c r="A2065" s="11">
        <v>50704</v>
      </c>
      <c r="B2065" s="12" t="s">
        <v>24</v>
      </c>
      <c r="C2065" s="13">
        <v>15.9</v>
      </c>
      <c r="D2065" s="14">
        <v>2.5</v>
      </c>
      <c r="E2065" s="18">
        <v>1</v>
      </c>
    </row>
    <row r="2066" spans="1:5" x14ac:dyDescent="0.35">
      <c r="A2066" s="7">
        <v>50705</v>
      </c>
      <c r="B2066" s="8" t="s">
        <v>22</v>
      </c>
      <c r="C2066" s="9">
        <v>19.2</v>
      </c>
      <c r="D2066" s="10">
        <v>1.3</v>
      </c>
      <c r="E2066" s="18">
        <v>1</v>
      </c>
    </row>
    <row r="2067" spans="1:5" x14ac:dyDescent="0.35">
      <c r="A2067" s="11">
        <v>50706</v>
      </c>
      <c r="B2067" s="12" t="s">
        <v>7</v>
      </c>
      <c r="C2067" s="13">
        <v>22.5</v>
      </c>
      <c r="D2067" s="14">
        <v>10.9</v>
      </c>
      <c r="E2067" s="18">
        <v>1</v>
      </c>
    </row>
    <row r="2068" spans="1:5" x14ac:dyDescent="0.35">
      <c r="A2068" s="7">
        <v>50707</v>
      </c>
      <c r="B2068" s="8" t="s">
        <v>13</v>
      </c>
      <c r="C2068" s="9">
        <v>28.7</v>
      </c>
      <c r="D2068" s="10">
        <v>13.3</v>
      </c>
      <c r="E2068" s="18">
        <v>1</v>
      </c>
    </row>
    <row r="2069" spans="1:5" x14ac:dyDescent="0.35">
      <c r="A2069" s="11">
        <v>50708</v>
      </c>
      <c r="B2069" s="12" t="s">
        <v>19</v>
      </c>
      <c r="C2069" s="13">
        <v>14.6</v>
      </c>
      <c r="D2069" s="14">
        <v>29.3</v>
      </c>
      <c r="E2069" s="18">
        <v>1</v>
      </c>
    </row>
    <row r="2070" spans="1:5" x14ac:dyDescent="0.35">
      <c r="A2070" s="7">
        <v>50709</v>
      </c>
      <c r="B2070" s="8" t="s">
        <v>18</v>
      </c>
      <c r="C2070" s="9">
        <v>12.1</v>
      </c>
      <c r="D2070" s="10">
        <v>6.5</v>
      </c>
      <c r="E2070" s="18">
        <v>1</v>
      </c>
    </row>
    <row r="2071" spans="1:5" x14ac:dyDescent="0.35">
      <c r="A2071" s="11">
        <v>50710</v>
      </c>
      <c r="B2071" s="12" t="s">
        <v>19</v>
      </c>
      <c r="C2071" s="13">
        <v>20</v>
      </c>
      <c r="D2071" s="14">
        <v>26.1</v>
      </c>
      <c r="E2071" s="18">
        <v>1</v>
      </c>
    </row>
    <row r="2072" spans="1:5" x14ac:dyDescent="0.35">
      <c r="A2072" s="7">
        <v>50711</v>
      </c>
      <c r="B2072" s="8" t="s">
        <v>27</v>
      </c>
      <c r="C2072" s="9">
        <v>20.8</v>
      </c>
      <c r="D2072" s="10">
        <v>2.5</v>
      </c>
      <c r="E2072" s="18">
        <v>1</v>
      </c>
    </row>
    <row r="2073" spans="1:5" x14ac:dyDescent="0.35">
      <c r="A2073" s="15">
        <v>50712</v>
      </c>
      <c r="B2073" s="16" t="s">
        <v>7</v>
      </c>
      <c r="C2073" s="2">
        <v>26.6</v>
      </c>
      <c r="D2073" s="3">
        <v>5.9</v>
      </c>
      <c r="E2073" s="18">
        <v>1</v>
      </c>
    </row>
  </sheetData>
  <autoFilter ref="J4:K35" xr:uid="{0B021E0A-C0DB-4224-98B6-71A35194229D}">
    <filterColumn colId="1">
      <filters>
        <filter val="17,83571429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64CB-F1C6-4EB9-8AE8-2984093E7982}">
  <sheetPr filterMode="1"/>
  <dimension ref="A1:F2073"/>
  <sheetViews>
    <sheetView workbookViewId="0">
      <selection activeCell="F1023" sqref="F1023"/>
    </sheetView>
  </sheetViews>
  <sheetFormatPr defaultRowHeight="14.5" x14ac:dyDescent="0.35"/>
  <cols>
    <col min="1" max="1" width="9.90625" bestFit="1" customWidth="1"/>
    <col min="2" max="2" width="16.1796875" bestFit="1" customWidth="1"/>
    <col min="3" max="3" width="11.1796875" bestFit="1" customWidth="1"/>
    <col min="4" max="4" width="14.7265625" bestFit="1" customWidth="1"/>
    <col min="5" max="5" width="11.453125" bestFit="1" customWidth="1"/>
    <col min="6" max="6" width="10.90625" bestFit="1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6" t="s">
        <v>3</v>
      </c>
      <c r="E1" s="17" t="s">
        <v>43</v>
      </c>
      <c r="F1" s="17" t="s">
        <v>44</v>
      </c>
    </row>
    <row r="2" spans="1:6" hidden="1" x14ac:dyDescent="0.35">
      <c r="A2" s="7">
        <v>48641</v>
      </c>
      <c r="B2" s="8" t="s">
        <v>4</v>
      </c>
      <c r="C2" s="9">
        <v>27.8</v>
      </c>
      <c r="D2" s="10">
        <v>0.2</v>
      </c>
      <c r="E2" s="18">
        <v>1</v>
      </c>
      <c r="F2">
        <f>C2</f>
        <v>27.8</v>
      </c>
    </row>
    <row r="3" spans="1:6" hidden="1" x14ac:dyDescent="0.35">
      <c r="A3" s="11">
        <v>48642</v>
      </c>
      <c r="B3" s="12" t="s">
        <v>5</v>
      </c>
      <c r="C3" s="13">
        <v>11.8</v>
      </c>
      <c r="D3" s="14">
        <v>1.7</v>
      </c>
      <c r="E3">
        <f>E2+1</f>
        <v>2</v>
      </c>
      <c r="F3">
        <f>IF(E2=7,C3,C3+F2)</f>
        <v>39.6</v>
      </c>
    </row>
    <row r="4" spans="1:6" hidden="1" x14ac:dyDescent="0.35">
      <c r="A4" s="7">
        <v>48643</v>
      </c>
      <c r="B4" s="8" t="s">
        <v>6</v>
      </c>
      <c r="C4" s="9">
        <v>21</v>
      </c>
      <c r="D4" s="10">
        <v>6</v>
      </c>
      <c r="E4">
        <f t="shared" ref="E4:E8" si="0">E3+1</f>
        <v>3</v>
      </c>
      <c r="F4">
        <f t="shared" ref="F4:F67" si="1">IF(E3=7,C4,C4+F3)</f>
        <v>60.6</v>
      </c>
    </row>
    <row r="5" spans="1:6" hidden="1" x14ac:dyDescent="0.35">
      <c r="A5" s="11">
        <v>48644</v>
      </c>
      <c r="B5" s="12" t="s">
        <v>7</v>
      </c>
      <c r="C5" s="13">
        <v>26.3</v>
      </c>
      <c r="D5" s="14">
        <v>11.4</v>
      </c>
      <c r="E5">
        <f t="shared" si="0"/>
        <v>4</v>
      </c>
      <c r="F5">
        <f t="shared" si="1"/>
        <v>86.9</v>
      </c>
    </row>
    <row r="6" spans="1:6" hidden="1" x14ac:dyDescent="0.35">
      <c r="A6" s="7">
        <v>48645</v>
      </c>
      <c r="B6" s="8" t="s">
        <v>8</v>
      </c>
      <c r="C6" s="9">
        <v>28.8</v>
      </c>
      <c r="D6" s="10">
        <v>0</v>
      </c>
      <c r="E6">
        <f t="shared" si="0"/>
        <v>5</v>
      </c>
      <c r="F6">
        <f t="shared" si="1"/>
        <v>115.7</v>
      </c>
    </row>
    <row r="7" spans="1:6" hidden="1" x14ac:dyDescent="0.35">
      <c r="A7" s="11">
        <v>48646</v>
      </c>
      <c r="B7" s="12" t="s">
        <v>9</v>
      </c>
      <c r="C7" s="13">
        <v>29.2</v>
      </c>
      <c r="D7" s="14">
        <v>0</v>
      </c>
      <c r="E7">
        <f t="shared" si="0"/>
        <v>6</v>
      </c>
      <c r="F7">
        <f t="shared" si="1"/>
        <v>144.9</v>
      </c>
    </row>
    <row r="8" spans="1:6" hidden="1" x14ac:dyDescent="0.35">
      <c r="A8" s="7">
        <v>48647</v>
      </c>
      <c r="B8" s="8" t="s">
        <v>10</v>
      </c>
      <c r="C8" s="9">
        <v>25.6</v>
      </c>
      <c r="D8" s="10">
        <v>28.7</v>
      </c>
      <c r="E8">
        <f t="shared" si="0"/>
        <v>7</v>
      </c>
      <c r="F8">
        <f t="shared" si="1"/>
        <v>170.5</v>
      </c>
    </row>
    <row r="9" spans="1:6" hidden="1" x14ac:dyDescent="0.35">
      <c r="A9" s="11">
        <v>48648</v>
      </c>
      <c r="B9" s="12" t="s">
        <v>11</v>
      </c>
      <c r="C9" s="13">
        <v>10.1</v>
      </c>
      <c r="D9" s="14">
        <v>7.7</v>
      </c>
      <c r="E9">
        <f>IF(E8=7,1,E8+1)</f>
        <v>1</v>
      </c>
      <c r="F9">
        <f t="shared" si="1"/>
        <v>10.1</v>
      </c>
    </row>
    <row r="10" spans="1:6" hidden="1" x14ac:dyDescent="0.35">
      <c r="A10" s="7">
        <v>48649</v>
      </c>
      <c r="B10" s="8" t="s">
        <v>12</v>
      </c>
      <c r="C10" s="9">
        <v>14.6</v>
      </c>
      <c r="D10" s="10">
        <v>0</v>
      </c>
      <c r="E10">
        <f t="shared" ref="E10:E73" si="2">IF(E9=7,1,E9+1)</f>
        <v>2</v>
      </c>
      <c r="F10">
        <f t="shared" si="1"/>
        <v>24.7</v>
      </c>
    </row>
    <row r="11" spans="1:6" hidden="1" x14ac:dyDescent="0.35">
      <c r="A11" s="11">
        <v>48650</v>
      </c>
      <c r="B11" s="12" t="s">
        <v>13</v>
      </c>
      <c r="C11" s="13">
        <v>11.5</v>
      </c>
      <c r="D11" s="14">
        <v>1.9</v>
      </c>
      <c r="E11">
        <f t="shared" si="2"/>
        <v>3</v>
      </c>
      <c r="F11">
        <f t="shared" si="1"/>
        <v>36.200000000000003</v>
      </c>
    </row>
    <row r="12" spans="1:6" hidden="1" x14ac:dyDescent="0.35">
      <c r="A12" s="7">
        <v>48651</v>
      </c>
      <c r="B12" s="8" t="s">
        <v>9</v>
      </c>
      <c r="C12" s="9">
        <v>15.2</v>
      </c>
      <c r="D12" s="10">
        <v>0</v>
      </c>
      <c r="E12">
        <f t="shared" si="2"/>
        <v>4</v>
      </c>
      <c r="F12">
        <f t="shared" si="1"/>
        <v>51.400000000000006</v>
      </c>
    </row>
    <row r="13" spans="1:6" hidden="1" x14ac:dyDescent="0.35">
      <c r="A13" s="11">
        <v>48652</v>
      </c>
      <c r="B13" s="12" t="s">
        <v>10</v>
      </c>
      <c r="C13" s="13">
        <v>10.199999999999999</v>
      </c>
      <c r="D13" s="14">
        <v>13.3</v>
      </c>
      <c r="E13">
        <f t="shared" si="2"/>
        <v>5</v>
      </c>
      <c r="F13">
        <f t="shared" si="1"/>
        <v>61.600000000000009</v>
      </c>
    </row>
    <row r="14" spans="1:6" hidden="1" x14ac:dyDescent="0.35">
      <c r="A14" s="7">
        <v>48653</v>
      </c>
      <c r="B14" s="8" t="s">
        <v>14</v>
      </c>
      <c r="C14" s="9">
        <v>20.399999999999999</v>
      </c>
      <c r="D14" s="10">
        <v>4.5999999999999996</v>
      </c>
      <c r="E14">
        <f t="shared" si="2"/>
        <v>6</v>
      </c>
      <c r="F14">
        <f t="shared" si="1"/>
        <v>82</v>
      </c>
    </row>
    <row r="15" spans="1:6" hidden="1" x14ac:dyDescent="0.35">
      <c r="A15" s="11">
        <v>48654</v>
      </c>
      <c r="B15" s="12" t="s">
        <v>14</v>
      </c>
      <c r="C15" s="13">
        <v>13.6</v>
      </c>
      <c r="D15" s="14">
        <v>8</v>
      </c>
      <c r="E15">
        <f t="shared" si="2"/>
        <v>7</v>
      </c>
      <c r="F15">
        <f t="shared" si="1"/>
        <v>95.6</v>
      </c>
    </row>
    <row r="16" spans="1:6" hidden="1" x14ac:dyDescent="0.35">
      <c r="A16" s="7">
        <v>48655</v>
      </c>
      <c r="B16" s="8" t="s">
        <v>15</v>
      </c>
      <c r="C16" s="9">
        <v>11</v>
      </c>
      <c r="D16" s="10">
        <v>11.6</v>
      </c>
      <c r="E16">
        <f t="shared" si="2"/>
        <v>1</v>
      </c>
      <c r="F16">
        <f t="shared" si="1"/>
        <v>11</v>
      </c>
    </row>
    <row r="17" spans="1:6" hidden="1" x14ac:dyDescent="0.35">
      <c r="A17" s="11">
        <v>48656</v>
      </c>
      <c r="B17" s="12" t="s">
        <v>16</v>
      </c>
      <c r="C17" s="13">
        <v>14.1</v>
      </c>
      <c r="D17" s="14">
        <v>0</v>
      </c>
      <c r="E17">
        <f t="shared" si="2"/>
        <v>2</v>
      </c>
      <c r="F17">
        <f t="shared" si="1"/>
        <v>25.1</v>
      </c>
    </row>
    <row r="18" spans="1:6" hidden="1" x14ac:dyDescent="0.35">
      <c r="A18" s="7">
        <v>48657</v>
      </c>
      <c r="B18" s="8" t="s">
        <v>10</v>
      </c>
      <c r="C18" s="9">
        <v>19.2</v>
      </c>
      <c r="D18" s="10">
        <v>0</v>
      </c>
      <c r="E18">
        <f t="shared" si="2"/>
        <v>3</v>
      </c>
      <c r="F18">
        <f t="shared" si="1"/>
        <v>44.3</v>
      </c>
    </row>
    <row r="19" spans="1:6" hidden="1" x14ac:dyDescent="0.35">
      <c r="A19" s="11">
        <v>48658</v>
      </c>
      <c r="B19" s="12" t="s">
        <v>10</v>
      </c>
      <c r="C19" s="13">
        <v>20.7</v>
      </c>
      <c r="D19" s="14">
        <v>0</v>
      </c>
      <c r="E19">
        <f t="shared" si="2"/>
        <v>4</v>
      </c>
      <c r="F19">
        <f t="shared" si="1"/>
        <v>65</v>
      </c>
    </row>
    <row r="20" spans="1:6" hidden="1" x14ac:dyDescent="0.35">
      <c r="A20" s="7">
        <v>48659</v>
      </c>
      <c r="B20" s="8" t="s">
        <v>17</v>
      </c>
      <c r="C20" s="9">
        <v>29.5</v>
      </c>
      <c r="D20" s="10">
        <v>2.1</v>
      </c>
      <c r="E20">
        <f t="shared" si="2"/>
        <v>5</v>
      </c>
      <c r="F20">
        <f t="shared" si="1"/>
        <v>94.5</v>
      </c>
    </row>
    <row r="21" spans="1:6" hidden="1" x14ac:dyDescent="0.35">
      <c r="A21" s="11">
        <v>48660</v>
      </c>
      <c r="B21" s="12" t="s">
        <v>11</v>
      </c>
      <c r="C21" s="13">
        <v>24.4</v>
      </c>
      <c r="D21" s="14">
        <v>10.1</v>
      </c>
      <c r="E21">
        <f t="shared" si="2"/>
        <v>6</v>
      </c>
      <c r="F21">
        <f t="shared" si="1"/>
        <v>118.9</v>
      </c>
    </row>
    <row r="22" spans="1:6" hidden="1" x14ac:dyDescent="0.35">
      <c r="A22" s="7">
        <v>48661</v>
      </c>
      <c r="B22" s="8" t="s">
        <v>18</v>
      </c>
      <c r="C22" s="9">
        <v>15.6</v>
      </c>
      <c r="D22" s="10">
        <v>6.6</v>
      </c>
      <c r="E22">
        <f t="shared" si="2"/>
        <v>7</v>
      </c>
      <c r="F22">
        <f t="shared" si="1"/>
        <v>134.5</v>
      </c>
    </row>
    <row r="23" spans="1:6" hidden="1" x14ac:dyDescent="0.35">
      <c r="A23" s="11">
        <v>48662</v>
      </c>
      <c r="B23" s="12" t="s">
        <v>9</v>
      </c>
      <c r="C23" s="13">
        <v>22.7</v>
      </c>
      <c r="D23" s="14">
        <v>2.9</v>
      </c>
      <c r="E23">
        <f t="shared" si="2"/>
        <v>1</v>
      </c>
      <c r="F23">
        <f t="shared" si="1"/>
        <v>22.7</v>
      </c>
    </row>
    <row r="24" spans="1:6" hidden="1" x14ac:dyDescent="0.35">
      <c r="A24" s="7">
        <v>48663</v>
      </c>
      <c r="B24" s="8" t="s">
        <v>15</v>
      </c>
      <c r="C24" s="9">
        <v>15.1</v>
      </c>
      <c r="D24" s="10">
        <v>0</v>
      </c>
      <c r="E24">
        <f t="shared" si="2"/>
        <v>2</v>
      </c>
      <c r="F24">
        <f t="shared" si="1"/>
        <v>37.799999999999997</v>
      </c>
    </row>
    <row r="25" spans="1:6" hidden="1" x14ac:dyDescent="0.35">
      <c r="A25" s="11">
        <v>48664</v>
      </c>
      <c r="B25" s="12" t="s">
        <v>19</v>
      </c>
      <c r="C25" s="13">
        <v>14.1</v>
      </c>
      <c r="D25" s="14">
        <v>0.8</v>
      </c>
      <c r="E25">
        <f t="shared" si="2"/>
        <v>3</v>
      </c>
      <c r="F25">
        <f t="shared" si="1"/>
        <v>51.9</v>
      </c>
    </row>
    <row r="26" spans="1:6" hidden="1" x14ac:dyDescent="0.35">
      <c r="A26" s="7">
        <v>48665</v>
      </c>
      <c r="B26" s="8" t="s">
        <v>7</v>
      </c>
      <c r="C26" s="9">
        <v>24.9</v>
      </c>
      <c r="D26" s="10">
        <v>2.2000000000000002</v>
      </c>
      <c r="E26">
        <f t="shared" si="2"/>
        <v>4</v>
      </c>
      <c r="F26">
        <f t="shared" si="1"/>
        <v>76.8</v>
      </c>
    </row>
    <row r="27" spans="1:6" hidden="1" x14ac:dyDescent="0.35">
      <c r="A27" s="11">
        <v>48666</v>
      </c>
      <c r="B27" s="12" t="s">
        <v>20</v>
      </c>
      <c r="C27" s="13">
        <v>14.8</v>
      </c>
      <c r="D27" s="14">
        <v>0</v>
      </c>
      <c r="E27">
        <f t="shared" si="2"/>
        <v>5</v>
      </c>
      <c r="F27">
        <f t="shared" si="1"/>
        <v>91.6</v>
      </c>
    </row>
    <row r="28" spans="1:6" hidden="1" x14ac:dyDescent="0.35">
      <c r="A28" s="7">
        <v>48667</v>
      </c>
      <c r="B28" s="8" t="s">
        <v>14</v>
      </c>
      <c r="C28" s="9">
        <v>18.8</v>
      </c>
      <c r="D28" s="10">
        <v>0</v>
      </c>
      <c r="E28">
        <f t="shared" si="2"/>
        <v>6</v>
      </c>
      <c r="F28">
        <f t="shared" si="1"/>
        <v>110.39999999999999</v>
      </c>
    </row>
    <row r="29" spans="1:6" hidden="1" x14ac:dyDescent="0.35">
      <c r="A29" s="11">
        <v>48668</v>
      </c>
      <c r="B29" s="12" t="s">
        <v>15</v>
      </c>
      <c r="C29" s="13">
        <v>29.3</v>
      </c>
      <c r="D29" s="14">
        <v>8</v>
      </c>
      <c r="E29">
        <f t="shared" si="2"/>
        <v>7</v>
      </c>
      <c r="F29">
        <f t="shared" si="1"/>
        <v>139.69999999999999</v>
      </c>
    </row>
    <row r="30" spans="1:6" hidden="1" x14ac:dyDescent="0.35">
      <c r="A30" s="7">
        <v>48669</v>
      </c>
      <c r="B30" s="8" t="s">
        <v>21</v>
      </c>
      <c r="C30" s="9">
        <v>29.4</v>
      </c>
      <c r="D30" s="10">
        <v>2.4</v>
      </c>
      <c r="E30">
        <f t="shared" si="2"/>
        <v>1</v>
      </c>
      <c r="F30">
        <f t="shared" si="1"/>
        <v>29.4</v>
      </c>
    </row>
    <row r="31" spans="1:6" hidden="1" x14ac:dyDescent="0.35">
      <c r="A31" s="11">
        <v>48670</v>
      </c>
      <c r="B31" s="12" t="s">
        <v>22</v>
      </c>
      <c r="C31" s="13">
        <v>16.8</v>
      </c>
      <c r="D31" s="14">
        <v>2.9</v>
      </c>
      <c r="E31">
        <f t="shared" si="2"/>
        <v>2</v>
      </c>
      <c r="F31">
        <f t="shared" si="1"/>
        <v>46.2</v>
      </c>
    </row>
    <row r="32" spans="1:6" hidden="1" x14ac:dyDescent="0.35">
      <c r="A32" s="7">
        <v>48671</v>
      </c>
      <c r="B32" s="8" t="s">
        <v>12</v>
      </c>
      <c r="C32" s="9">
        <v>21.4</v>
      </c>
      <c r="D32" s="10">
        <v>6.3</v>
      </c>
      <c r="E32">
        <f t="shared" si="2"/>
        <v>3</v>
      </c>
      <c r="F32">
        <f t="shared" si="1"/>
        <v>67.599999999999994</v>
      </c>
    </row>
    <row r="33" spans="1:6" hidden="1" x14ac:dyDescent="0.35">
      <c r="A33" s="11">
        <v>48672</v>
      </c>
      <c r="B33" s="12" t="s">
        <v>7</v>
      </c>
      <c r="C33" s="13">
        <v>23.9</v>
      </c>
      <c r="D33" s="14">
        <v>0</v>
      </c>
      <c r="E33">
        <f t="shared" si="2"/>
        <v>4</v>
      </c>
      <c r="F33">
        <f t="shared" si="1"/>
        <v>91.5</v>
      </c>
    </row>
    <row r="34" spans="1:6" hidden="1" x14ac:dyDescent="0.35">
      <c r="A34" s="7">
        <v>48673</v>
      </c>
      <c r="B34" s="8" t="s">
        <v>12</v>
      </c>
      <c r="C34" s="9">
        <v>26.7</v>
      </c>
      <c r="D34" s="10">
        <v>0</v>
      </c>
      <c r="E34">
        <f t="shared" si="2"/>
        <v>5</v>
      </c>
      <c r="F34">
        <f t="shared" si="1"/>
        <v>118.2</v>
      </c>
    </row>
    <row r="35" spans="1:6" hidden="1" x14ac:dyDescent="0.35">
      <c r="A35" s="11">
        <v>48674</v>
      </c>
      <c r="B35" s="12" t="s">
        <v>7</v>
      </c>
      <c r="C35" s="13">
        <v>12.4</v>
      </c>
      <c r="D35" s="14">
        <v>0</v>
      </c>
      <c r="E35">
        <f t="shared" si="2"/>
        <v>6</v>
      </c>
      <c r="F35">
        <f t="shared" si="1"/>
        <v>130.6</v>
      </c>
    </row>
    <row r="36" spans="1:6" hidden="1" x14ac:dyDescent="0.35">
      <c r="A36" s="7">
        <v>48675</v>
      </c>
      <c r="B36" s="8" t="s">
        <v>12</v>
      </c>
      <c r="C36" s="9">
        <v>10.4</v>
      </c>
      <c r="D36" s="10">
        <v>10.7</v>
      </c>
      <c r="E36">
        <f t="shared" si="2"/>
        <v>7</v>
      </c>
      <c r="F36">
        <f t="shared" si="1"/>
        <v>141</v>
      </c>
    </row>
    <row r="37" spans="1:6" hidden="1" x14ac:dyDescent="0.35">
      <c r="A37" s="11">
        <v>48676</v>
      </c>
      <c r="B37" s="12" t="s">
        <v>9</v>
      </c>
      <c r="C37" s="13">
        <v>17.899999999999999</v>
      </c>
      <c r="D37" s="14">
        <v>0</v>
      </c>
      <c r="E37">
        <f t="shared" si="2"/>
        <v>1</v>
      </c>
      <c r="F37">
        <f t="shared" si="1"/>
        <v>17.899999999999999</v>
      </c>
    </row>
    <row r="38" spans="1:6" hidden="1" x14ac:dyDescent="0.35">
      <c r="A38" s="7">
        <v>48677</v>
      </c>
      <c r="B38" s="8" t="s">
        <v>20</v>
      </c>
      <c r="C38" s="9">
        <v>17.399999999999999</v>
      </c>
      <c r="D38" s="10">
        <v>1.6</v>
      </c>
      <c r="E38">
        <f t="shared" si="2"/>
        <v>2</v>
      </c>
      <c r="F38">
        <f t="shared" si="1"/>
        <v>35.299999999999997</v>
      </c>
    </row>
    <row r="39" spans="1:6" hidden="1" x14ac:dyDescent="0.35">
      <c r="A39" s="11">
        <v>48678</v>
      </c>
      <c r="B39" s="12" t="s">
        <v>11</v>
      </c>
      <c r="C39" s="13">
        <v>29.4</v>
      </c>
      <c r="D39" s="14">
        <v>21.7</v>
      </c>
      <c r="E39">
        <f t="shared" si="2"/>
        <v>3</v>
      </c>
      <c r="F39">
        <f t="shared" si="1"/>
        <v>64.699999999999989</v>
      </c>
    </row>
    <row r="40" spans="1:6" hidden="1" x14ac:dyDescent="0.35">
      <c r="A40" s="7">
        <v>48679</v>
      </c>
      <c r="B40" s="8" t="s">
        <v>19</v>
      </c>
      <c r="C40" s="9">
        <v>22.9</v>
      </c>
      <c r="D40" s="10">
        <v>26.9</v>
      </c>
      <c r="E40">
        <f t="shared" si="2"/>
        <v>4</v>
      </c>
      <c r="F40">
        <f t="shared" si="1"/>
        <v>87.6</v>
      </c>
    </row>
    <row r="41" spans="1:6" hidden="1" x14ac:dyDescent="0.35">
      <c r="A41" s="11">
        <v>48680</v>
      </c>
      <c r="B41" s="12" t="s">
        <v>19</v>
      </c>
      <c r="C41" s="13">
        <v>18.899999999999999</v>
      </c>
      <c r="D41" s="14">
        <v>11.3</v>
      </c>
      <c r="E41">
        <f t="shared" si="2"/>
        <v>5</v>
      </c>
      <c r="F41">
        <f t="shared" si="1"/>
        <v>106.5</v>
      </c>
    </row>
    <row r="42" spans="1:6" hidden="1" x14ac:dyDescent="0.35">
      <c r="A42" s="7">
        <v>48681</v>
      </c>
      <c r="B42" s="8" t="s">
        <v>5</v>
      </c>
      <c r="C42" s="9">
        <v>23.5</v>
      </c>
      <c r="D42" s="10">
        <v>0</v>
      </c>
      <c r="E42">
        <f t="shared" si="2"/>
        <v>6</v>
      </c>
      <c r="F42">
        <f t="shared" si="1"/>
        <v>130</v>
      </c>
    </row>
    <row r="43" spans="1:6" hidden="1" x14ac:dyDescent="0.35">
      <c r="A43" s="11">
        <v>48682</v>
      </c>
      <c r="B43" s="12" t="s">
        <v>18</v>
      </c>
      <c r="C43" s="13">
        <v>13.4</v>
      </c>
      <c r="D43" s="14">
        <v>14.2</v>
      </c>
      <c r="E43">
        <f t="shared" si="2"/>
        <v>7</v>
      </c>
      <c r="F43">
        <f t="shared" si="1"/>
        <v>143.4</v>
      </c>
    </row>
    <row r="44" spans="1:6" hidden="1" x14ac:dyDescent="0.35">
      <c r="A44" s="7">
        <v>48683</v>
      </c>
      <c r="B44" s="8" t="s">
        <v>20</v>
      </c>
      <c r="C44" s="9">
        <v>18.899999999999999</v>
      </c>
      <c r="D44" s="10">
        <v>1.5</v>
      </c>
      <c r="E44">
        <f t="shared" si="2"/>
        <v>1</v>
      </c>
      <c r="F44">
        <f t="shared" si="1"/>
        <v>18.899999999999999</v>
      </c>
    </row>
    <row r="45" spans="1:6" hidden="1" x14ac:dyDescent="0.35">
      <c r="A45" s="11">
        <v>48684</v>
      </c>
      <c r="B45" s="12" t="s">
        <v>17</v>
      </c>
      <c r="C45" s="13">
        <v>13.5</v>
      </c>
      <c r="D45" s="14">
        <v>1.4</v>
      </c>
      <c r="E45">
        <f t="shared" si="2"/>
        <v>2</v>
      </c>
      <c r="F45">
        <f t="shared" si="1"/>
        <v>32.4</v>
      </c>
    </row>
    <row r="46" spans="1:6" hidden="1" x14ac:dyDescent="0.35">
      <c r="A46" s="7">
        <v>48685</v>
      </c>
      <c r="B46" s="8" t="s">
        <v>5</v>
      </c>
      <c r="C46" s="9">
        <v>17.7</v>
      </c>
      <c r="D46" s="10">
        <v>5.9</v>
      </c>
      <c r="E46">
        <f t="shared" si="2"/>
        <v>3</v>
      </c>
      <c r="F46">
        <f t="shared" si="1"/>
        <v>50.099999999999994</v>
      </c>
    </row>
    <row r="47" spans="1:6" hidden="1" x14ac:dyDescent="0.35">
      <c r="A47" s="11">
        <v>48686</v>
      </c>
      <c r="B47" s="12" t="s">
        <v>11</v>
      </c>
      <c r="C47" s="13">
        <v>24.7</v>
      </c>
      <c r="D47" s="14">
        <v>0</v>
      </c>
      <c r="E47">
        <f t="shared" si="2"/>
        <v>4</v>
      </c>
      <c r="F47">
        <f t="shared" si="1"/>
        <v>74.8</v>
      </c>
    </row>
    <row r="48" spans="1:6" hidden="1" x14ac:dyDescent="0.35">
      <c r="A48" s="7">
        <v>48687</v>
      </c>
      <c r="B48" s="8" t="s">
        <v>18</v>
      </c>
      <c r="C48" s="9">
        <v>25.6</v>
      </c>
      <c r="D48" s="10">
        <v>1.9</v>
      </c>
      <c r="E48">
        <f t="shared" si="2"/>
        <v>5</v>
      </c>
      <c r="F48">
        <f t="shared" si="1"/>
        <v>100.4</v>
      </c>
    </row>
    <row r="49" spans="1:6" hidden="1" x14ac:dyDescent="0.35">
      <c r="A49" s="11">
        <v>48688</v>
      </c>
      <c r="B49" s="12" t="s">
        <v>22</v>
      </c>
      <c r="C49" s="13">
        <v>18.399999999999999</v>
      </c>
      <c r="D49" s="14">
        <v>0</v>
      </c>
      <c r="E49">
        <f t="shared" si="2"/>
        <v>6</v>
      </c>
      <c r="F49">
        <f t="shared" si="1"/>
        <v>118.80000000000001</v>
      </c>
    </row>
    <row r="50" spans="1:6" hidden="1" x14ac:dyDescent="0.35">
      <c r="A50" s="7">
        <v>48689</v>
      </c>
      <c r="B50" s="8" t="s">
        <v>23</v>
      </c>
      <c r="C50" s="9">
        <v>27</v>
      </c>
      <c r="D50" s="10">
        <v>0</v>
      </c>
      <c r="E50">
        <f t="shared" si="2"/>
        <v>7</v>
      </c>
      <c r="F50">
        <f t="shared" si="1"/>
        <v>145.80000000000001</v>
      </c>
    </row>
    <row r="51" spans="1:6" hidden="1" x14ac:dyDescent="0.35">
      <c r="A51" s="11">
        <v>48690</v>
      </c>
      <c r="B51" s="12" t="s">
        <v>10</v>
      </c>
      <c r="C51" s="13">
        <v>16</v>
      </c>
      <c r="D51" s="14">
        <v>0</v>
      </c>
      <c r="E51">
        <f t="shared" si="2"/>
        <v>1</v>
      </c>
      <c r="F51">
        <f t="shared" si="1"/>
        <v>16</v>
      </c>
    </row>
    <row r="52" spans="1:6" hidden="1" x14ac:dyDescent="0.35">
      <c r="A52" s="7">
        <v>48691</v>
      </c>
      <c r="B52" s="8" t="s">
        <v>7</v>
      </c>
      <c r="C52" s="9">
        <v>18.600000000000001</v>
      </c>
      <c r="D52" s="10">
        <v>7.4</v>
      </c>
      <c r="E52">
        <f t="shared" si="2"/>
        <v>2</v>
      </c>
      <c r="F52">
        <f t="shared" si="1"/>
        <v>34.6</v>
      </c>
    </row>
    <row r="53" spans="1:6" hidden="1" x14ac:dyDescent="0.35">
      <c r="A53" s="11">
        <v>48692</v>
      </c>
      <c r="B53" s="12" t="s">
        <v>10</v>
      </c>
      <c r="C53" s="13">
        <v>12.7</v>
      </c>
      <c r="D53" s="14">
        <v>30.8</v>
      </c>
      <c r="E53">
        <f t="shared" si="2"/>
        <v>3</v>
      </c>
      <c r="F53">
        <f t="shared" si="1"/>
        <v>47.3</v>
      </c>
    </row>
    <row r="54" spans="1:6" hidden="1" x14ac:dyDescent="0.35">
      <c r="A54" s="7">
        <v>48693</v>
      </c>
      <c r="B54" s="8" t="s">
        <v>19</v>
      </c>
      <c r="C54" s="9">
        <v>14.5</v>
      </c>
      <c r="D54" s="10">
        <v>0</v>
      </c>
      <c r="E54">
        <f t="shared" si="2"/>
        <v>4</v>
      </c>
      <c r="F54">
        <f t="shared" si="1"/>
        <v>61.8</v>
      </c>
    </row>
    <row r="55" spans="1:6" hidden="1" x14ac:dyDescent="0.35">
      <c r="A55" s="11">
        <v>48694</v>
      </c>
      <c r="B55" s="12" t="s">
        <v>24</v>
      </c>
      <c r="C55" s="13">
        <v>12.2</v>
      </c>
      <c r="D55" s="14">
        <v>3.5</v>
      </c>
      <c r="E55">
        <f t="shared" si="2"/>
        <v>5</v>
      </c>
      <c r="F55">
        <f t="shared" si="1"/>
        <v>74</v>
      </c>
    </row>
    <row r="56" spans="1:6" hidden="1" x14ac:dyDescent="0.35">
      <c r="A56" s="7">
        <v>48695</v>
      </c>
      <c r="B56" s="8" t="s">
        <v>25</v>
      </c>
      <c r="C56" s="9">
        <v>19.899999999999999</v>
      </c>
      <c r="D56" s="10">
        <v>0</v>
      </c>
      <c r="E56">
        <f t="shared" si="2"/>
        <v>6</v>
      </c>
      <c r="F56">
        <f t="shared" si="1"/>
        <v>93.9</v>
      </c>
    </row>
    <row r="57" spans="1:6" hidden="1" x14ac:dyDescent="0.35">
      <c r="A57" s="11">
        <v>48696</v>
      </c>
      <c r="B57" s="12" t="s">
        <v>26</v>
      </c>
      <c r="C57" s="13">
        <v>28.1</v>
      </c>
      <c r="D57" s="14">
        <v>5.3</v>
      </c>
      <c r="E57">
        <f t="shared" si="2"/>
        <v>7</v>
      </c>
      <c r="F57">
        <f t="shared" si="1"/>
        <v>122</v>
      </c>
    </row>
    <row r="58" spans="1:6" hidden="1" x14ac:dyDescent="0.35">
      <c r="A58" s="7">
        <v>48697</v>
      </c>
      <c r="B58" s="8" t="s">
        <v>10</v>
      </c>
      <c r="C58" s="9">
        <v>27.7</v>
      </c>
      <c r="D58" s="10">
        <v>45.3</v>
      </c>
      <c r="E58">
        <f t="shared" si="2"/>
        <v>1</v>
      </c>
      <c r="F58">
        <f t="shared" si="1"/>
        <v>27.7</v>
      </c>
    </row>
    <row r="59" spans="1:6" hidden="1" x14ac:dyDescent="0.35">
      <c r="A59" s="11">
        <v>48698</v>
      </c>
      <c r="B59" s="12" t="s">
        <v>5</v>
      </c>
      <c r="C59" s="13">
        <v>14.6</v>
      </c>
      <c r="D59" s="14">
        <v>5.2</v>
      </c>
      <c r="E59">
        <f t="shared" si="2"/>
        <v>2</v>
      </c>
      <c r="F59">
        <f t="shared" si="1"/>
        <v>42.3</v>
      </c>
    </row>
    <row r="60" spans="1:6" hidden="1" x14ac:dyDescent="0.35">
      <c r="A60" s="7">
        <v>48699</v>
      </c>
      <c r="B60" s="8" t="s">
        <v>18</v>
      </c>
      <c r="C60" s="9">
        <v>10.8</v>
      </c>
      <c r="D60" s="10">
        <v>0</v>
      </c>
      <c r="E60">
        <f t="shared" si="2"/>
        <v>3</v>
      </c>
      <c r="F60">
        <f t="shared" si="1"/>
        <v>53.099999999999994</v>
      </c>
    </row>
    <row r="61" spans="1:6" hidden="1" x14ac:dyDescent="0.35">
      <c r="A61" s="11">
        <v>48700</v>
      </c>
      <c r="B61" s="12" t="s">
        <v>27</v>
      </c>
      <c r="C61" s="13">
        <v>12.4</v>
      </c>
      <c r="D61" s="14">
        <v>3.2</v>
      </c>
      <c r="E61">
        <f t="shared" si="2"/>
        <v>4</v>
      </c>
      <c r="F61">
        <f t="shared" si="1"/>
        <v>65.5</v>
      </c>
    </row>
    <row r="62" spans="1:6" hidden="1" x14ac:dyDescent="0.35">
      <c r="A62" s="7">
        <v>48701</v>
      </c>
      <c r="B62" s="8" t="s">
        <v>10</v>
      </c>
      <c r="C62" s="9">
        <v>25.2</v>
      </c>
      <c r="D62" s="10">
        <v>0</v>
      </c>
      <c r="E62">
        <f t="shared" si="2"/>
        <v>5</v>
      </c>
      <c r="F62">
        <f t="shared" si="1"/>
        <v>90.7</v>
      </c>
    </row>
    <row r="63" spans="1:6" hidden="1" x14ac:dyDescent="0.35">
      <c r="A63" s="11">
        <v>48702</v>
      </c>
      <c r="B63" s="12" t="s">
        <v>10</v>
      </c>
      <c r="C63" s="13">
        <v>28.9</v>
      </c>
      <c r="D63" s="14">
        <v>0</v>
      </c>
      <c r="E63">
        <f t="shared" si="2"/>
        <v>6</v>
      </c>
      <c r="F63">
        <f t="shared" si="1"/>
        <v>119.6</v>
      </c>
    </row>
    <row r="64" spans="1:6" hidden="1" x14ac:dyDescent="0.35">
      <c r="A64" s="7">
        <v>48703</v>
      </c>
      <c r="B64" s="8" t="s">
        <v>19</v>
      </c>
      <c r="C64" s="9">
        <v>13.2</v>
      </c>
      <c r="D64" s="10">
        <v>23.3</v>
      </c>
      <c r="E64">
        <f t="shared" si="2"/>
        <v>7</v>
      </c>
      <c r="F64">
        <f t="shared" si="1"/>
        <v>132.79999999999998</v>
      </c>
    </row>
    <row r="65" spans="1:6" hidden="1" x14ac:dyDescent="0.35">
      <c r="A65" s="11">
        <v>48704</v>
      </c>
      <c r="B65" s="12" t="s">
        <v>10</v>
      </c>
      <c r="C65" s="13">
        <v>27.9</v>
      </c>
      <c r="D65" s="14">
        <v>0</v>
      </c>
      <c r="E65">
        <f t="shared" si="2"/>
        <v>1</v>
      </c>
      <c r="F65">
        <f t="shared" si="1"/>
        <v>27.9</v>
      </c>
    </row>
    <row r="66" spans="1:6" hidden="1" x14ac:dyDescent="0.35">
      <c r="A66" s="7">
        <v>48705</v>
      </c>
      <c r="B66" s="8" t="s">
        <v>7</v>
      </c>
      <c r="C66" s="9">
        <v>10.9</v>
      </c>
      <c r="D66" s="10">
        <v>3.5</v>
      </c>
      <c r="E66">
        <f t="shared" si="2"/>
        <v>2</v>
      </c>
      <c r="F66">
        <f t="shared" si="1"/>
        <v>38.799999999999997</v>
      </c>
    </row>
    <row r="67" spans="1:6" hidden="1" x14ac:dyDescent="0.35">
      <c r="A67" s="11">
        <v>48706</v>
      </c>
      <c r="B67" s="12" t="s">
        <v>15</v>
      </c>
      <c r="C67" s="13">
        <v>25.5</v>
      </c>
      <c r="D67" s="14">
        <v>20</v>
      </c>
      <c r="E67">
        <f t="shared" si="2"/>
        <v>3</v>
      </c>
      <c r="F67">
        <f t="shared" si="1"/>
        <v>64.3</v>
      </c>
    </row>
    <row r="68" spans="1:6" hidden="1" x14ac:dyDescent="0.35">
      <c r="A68" s="7">
        <v>48707</v>
      </c>
      <c r="B68" s="8" t="s">
        <v>9</v>
      </c>
      <c r="C68" s="9">
        <v>26</v>
      </c>
      <c r="D68" s="10">
        <v>0</v>
      </c>
      <c r="E68">
        <f t="shared" si="2"/>
        <v>4</v>
      </c>
      <c r="F68">
        <f t="shared" ref="F68:F131" si="3">IF(E67=7,C68,C68+F67)</f>
        <v>90.3</v>
      </c>
    </row>
    <row r="69" spans="1:6" hidden="1" x14ac:dyDescent="0.35">
      <c r="A69" s="11">
        <v>48708</v>
      </c>
      <c r="B69" s="12" t="s">
        <v>25</v>
      </c>
      <c r="C69" s="13">
        <v>25.8</v>
      </c>
      <c r="D69" s="14">
        <v>0.1</v>
      </c>
      <c r="E69">
        <f t="shared" si="2"/>
        <v>5</v>
      </c>
      <c r="F69">
        <f t="shared" si="3"/>
        <v>116.1</v>
      </c>
    </row>
    <row r="70" spans="1:6" hidden="1" x14ac:dyDescent="0.35">
      <c r="A70" s="7">
        <v>48709</v>
      </c>
      <c r="B70" s="8" t="s">
        <v>14</v>
      </c>
      <c r="C70" s="9">
        <v>17.5</v>
      </c>
      <c r="D70" s="10">
        <v>0.5</v>
      </c>
      <c r="E70">
        <f t="shared" si="2"/>
        <v>6</v>
      </c>
      <c r="F70">
        <f t="shared" si="3"/>
        <v>133.6</v>
      </c>
    </row>
    <row r="71" spans="1:6" hidden="1" x14ac:dyDescent="0.35">
      <c r="A71" s="11">
        <v>48710</v>
      </c>
      <c r="B71" s="12" t="s">
        <v>10</v>
      </c>
      <c r="C71" s="13">
        <v>17.8</v>
      </c>
      <c r="D71" s="14">
        <v>3.3</v>
      </c>
      <c r="E71">
        <f t="shared" si="2"/>
        <v>7</v>
      </c>
      <c r="F71">
        <f t="shared" si="3"/>
        <v>151.4</v>
      </c>
    </row>
    <row r="72" spans="1:6" hidden="1" x14ac:dyDescent="0.35">
      <c r="A72" s="7">
        <v>48711</v>
      </c>
      <c r="B72" s="8" t="s">
        <v>10</v>
      </c>
      <c r="C72" s="9">
        <v>17.5</v>
      </c>
      <c r="D72" s="10">
        <v>0</v>
      </c>
      <c r="E72">
        <f t="shared" si="2"/>
        <v>1</v>
      </c>
      <c r="F72">
        <f t="shared" si="3"/>
        <v>17.5</v>
      </c>
    </row>
    <row r="73" spans="1:6" hidden="1" x14ac:dyDescent="0.35">
      <c r="A73" s="11">
        <v>48712</v>
      </c>
      <c r="B73" s="12" t="s">
        <v>13</v>
      </c>
      <c r="C73" s="13">
        <v>16.100000000000001</v>
      </c>
      <c r="D73" s="14">
        <v>0</v>
      </c>
      <c r="E73">
        <f t="shared" si="2"/>
        <v>2</v>
      </c>
      <c r="F73">
        <f t="shared" si="3"/>
        <v>33.6</v>
      </c>
    </row>
    <row r="74" spans="1:6" hidden="1" x14ac:dyDescent="0.35">
      <c r="A74" s="7">
        <v>48713</v>
      </c>
      <c r="B74" s="8" t="s">
        <v>5</v>
      </c>
      <c r="C74" s="9">
        <v>11.8</v>
      </c>
      <c r="D74" s="10">
        <v>7</v>
      </c>
      <c r="E74">
        <f t="shared" ref="E74:E137" si="4">IF(E73=7,1,E73+1)</f>
        <v>3</v>
      </c>
      <c r="F74">
        <f t="shared" si="3"/>
        <v>45.400000000000006</v>
      </c>
    </row>
    <row r="75" spans="1:6" hidden="1" x14ac:dyDescent="0.35">
      <c r="A75" s="11">
        <v>48714</v>
      </c>
      <c r="B75" s="12" t="s">
        <v>15</v>
      </c>
      <c r="C75" s="13">
        <v>26.2</v>
      </c>
      <c r="D75" s="14">
        <v>0</v>
      </c>
      <c r="E75">
        <f t="shared" si="4"/>
        <v>4</v>
      </c>
      <c r="F75">
        <f t="shared" si="3"/>
        <v>71.600000000000009</v>
      </c>
    </row>
    <row r="76" spans="1:6" hidden="1" x14ac:dyDescent="0.35">
      <c r="A76" s="7">
        <v>48715</v>
      </c>
      <c r="B76" s="8" t="s">
        <v>6</v>
      </c>
      <c r="C76" s="9">
        <v>28.8</v>
      </c>
      <c r="D76" s="10">
        <v>2.9</v>
      </c>
      <c r="E76">
        <f t="shared" si="4"/>
        <v>5</v>
      </c>
      <c r="F76">
        <f t="shared" si="3"/>
        <v>100.4</v>
      </c>
    </row>
    <row r="77" spans="1:6" hidden="1" x14ac:dyDescent="0.35">
      <c r="A77" s="11">
        <v>48716</v>
      </c>
      <c r="B77" s="12" t="s">
        <v>10</v>
      </c>
      <c r="C77" s="13">
        <v>18.7</v>
      </c>
      <c r="D77" s="14">
        <v>0</v>
      </c>
      <c r="E77">
        <f t="shared" si="4"/>
        <v>6</v>
      </c>
      <c r="F77">
        <f t="shared" si="3"/>
        <v>119.10000000000001</v>
      </c>
    </row>
    <row r="78" spans="1:6" hidden="1" x14ac:dyDescent="0.35">
      <c r="A78" s="7">
        <v>48717</v>
      </c>
      <c r="B78" s="8" t="s">
        <v>18</v>
      </c>
      <c r="C78" s="9">
        <v>10.3</v>
      </c>
      <c r="D78" s="10">
        <v>9.1999999999999993</v>
      </c>
      <c r="E78">
        <f t="shared" si="4"/>
        <v>7</v>
      </c>
      <c r="F78">
        <f t="shared" si="3"/>
        <v>129.4</v>
      </c>
    </row>
    <row r="79" spans="1:6" hidden="1" x14ac:dyDescent="0.35">
      <c r="A79" s="11">
        <v>48718</v>
      </c>
      <c r="B79" s="12" t="s">
        <v>6</v>
      </c>
      <c r="C79" s="13">
        <v>29.8</v>
      </c>
      <c r="D79" s="14">
        <v>3.4</v>
      </c>
      <c r="E79">
        <f t="shared" si="4"/>
        <v>1</v>
      </c>
      <c r="F79">
        <f t="shared" si="3"/>
        <v>29.8</v>
      </c>
    </row>
    <row r="80" spans="1:6" hidden="1" x14ac:dyDescent="0.35">
      <c r="A80" s="7">
        <v>48719</v>
      </c>
      <c r="B80" s="8" t="s">
        <v>10</v>
      </c>
      <c r="C80" s="9">
        <v>26.2</v>
      </c>
      <c r="D80" s="10">
        <v>32.299999999999997</v>
      </c>
      <c r="E80">
        <f t="shared" si="4"/>
        <v>2</v>
      </c>
      <c r="F80">
        <f t="shared" si="3"/>
        <v>56</v>
      </c>
    </row>
    <row r="81" spans="1:6" hidden="1" x14ac:dyDescent="0.35">
      <c r="A81" s="11">
        <v>48720</v>
      </c>
      <c r="B81" s="12" t="s">
        <v>19</v>
      </c>
      <c r="C81" s="13">
        <v>13.8</v>
      </c>
      <c r="D81" s="14">
        <v>15.9</v>
      </c>
      <c r="E81">
        <f t="shared" si="4"/>
        <v>3</v>
      </c>
      <c r="F81">
        <f t="shared" si="3"/>
        <v>69.8</v>
      </c>
    </row>
    <row r="82" spans="1:6" hidden="1" x14ac:dyDescent="0.35">
      <c r="A82" s="7">
        <v>48721</v>
      </c>
      <c r="B82" s="8" t="s">
        <v>19</v>
      </c>
      <c r="C82" s="9">
        <v>22.4</v>
      </c>
      <c r="D82" s="10">
        <v>24.5</v>
      </c>
      <c r="E82">
        <f t="shared" si="4"/>
        <v>4</v>
      </c>
      <c r="F82">
        <f t="shared" si="3"/>
        <v>92.199999999999989</v>
      </c>
    </row>
    <row r="83" spans="1:6" hidden="1" x14ac:dyDescent="0.35">
      <c r="A83" s="11">
        <v>48722</v>
      </c>
      <c r="B83" s="12" t="s">
        <v>19</v>
      </c>
      <c r="C83" s="13">
        <v>24.5</v>
      </c>
      <c r="D83" s="14">
        <v>0.9</v>
      </c>
      <c r="E83">
        <f t="shared" si="4"/>
        <v>5</v>
      </c>
      <c r="F83">
        <f t="shared" si="3"/>
        <v>116.69999999999999</v>
      </c>
    </row>
    <row r="84" spans="1:6" hidden="1" x14ac:dyDescent="0.35">
      <c r="A84" s="7">
        <v>48723</v>
      </c>
      <c r="B84" s="8" t="s">
        <v>28</v>
      </c>
      <c r="C84" s="9">
        <v>23.1</v>
      </c>
      <c r="D84" s="10">
        <v>0.3</v>
      </c>
      <c r="E84">
        <f t="shared" si="4"/>
        <v>6</v>
      </c>
      <c r="F84">
        <f t="shared" si="3"/>
        <v>139.79999999999998</v>
      </c>
    </row>
    <row r="85" spans="1:6" hidden="1" x14ac:dyDescent="0.35">
      <c r="A85" s="11">
        <v>48724</v>
      </c>
      <c r="B85" s="12" t="s">
        <v>25</v>
      </c>
      <c r="C85" s="13">
        <v>29.8</v>
      </c>
      <c r="D85" s="14">
        <v>0</v>
      </c>
      <c r="E85">
        <f t="shared" si="4"/>
        <v>7</v>
      </c>
      <c r="F85">
        <f t="shared" si="3"/>
        <v>169.6</v>
      </c>
    </row>
    <row r="86" spans="1:6" hidden="1" x14ac:dyDescent="0.35">
      <c r="A86" s="7">
        <v>48725</v>
      </c>
      <c r="B86" s="8" t="s">
        <v>4</v>
      </c>
      <c r="C86" s="9">
        <v>11.2</v>
      </c>
      <c r="D86" s="10">
        <v>0</v>
      </c>
      <c r="E86">
        <f t="shared" si="4"/>
        <v>1</v>
      </c>
      <c r="F86">
        <f t="shared" si="3"/>
        <v>11.2</v>
      </c>
    </row>
    <row r="87" spans="1:6" hidden="1" x14ac:dyDescent="0.35">
      <c r="A87" s="11">
        <v>48726</v>
      </c>
      <c r="B87" s="12" t="s">
        <v>19</v>
      </c>
      <c r="C87" s="13">
        <v>18.7</v>
      </c>
      <c r="D87" s="14">
        <v>0</v>
      </c>
      <c r="E87">
        <f t="shared" si="4"/>
        <v>2</v>
      </c>
      <c r="F87">
        <f t="shared" si="3"/>
        <v>29.9</v>
      </c>
    </row>
    <row r="88" spans="1:6" hidden="1" x14ac:dyDescent="0.35">
      <c r="A88" s="7">
        <v>48727</v>
      </c>
      <c r="B88" s="8" t="s">
        <v>18</v>
      </c>
      <c r="C88" s="9">
        <v>11.4</v>
      </c>
      <c r="D88" s="10">
        <v>8.1</v>
      </c>
      <c r="E88">
        <f t="shared" si="4"/>
        <v>3</v>
      </c>
      <c r="F88">
        <f t="shared" si="3"/>
        <v>41.3</v>
      </c>
    </row>
    <row r="89" spans="1:6" hidden="1" x14ac:dyDescent="0.35">
      <c r="A89" s="11">
        <v>48728</v>
      </c>
      <c r="B89" s="12" t="s">
        <v>13</v>
      </c>
      <c r="C89" s="13">
        <v>21.3</v>
      </c>
      <c r="D89" s="14">
        <v>13.4</v>
      </c>
      <c r="E89">
        <f t="shared" si="4"/>
        <v>4</v>
      </c>
      <c r="F89">
        <f t="shared" si="3"/>
        <v>62.599999999999994</v>
      </c>
    </row>
    <row r="90" spans="1:6" hidden="1" x14ac:dyDescent="0.35">
      <c r="A90" s="7">
        <v>48729</v>
      </c>
      <c r="B90" s="8" t="s">
        <v>5</v>
      </c>
      <c r="C90" s="9">
        <v>24.5</v>
      </c>
      <c r="D90" s="10">
        <v>2.6</v>
      </c>
      <c r="E90">
        <f t="shared" si="4"/>
        <v>5</v>
      </c>
      <c r="F90">
        <f t="shared" si="3"/>
        <v>87.1</v>
      </c>
    </row>
    <row r="91" spans="1:6" hidden="1" x14ac:dyDescent="0.35">
      <c r="A91" s="11">
        <v>48730</v>
      </c>
      <c r="B91" s="12" t="s">
        <v>19</v>
      </c>
      <c r="C91" s="13">
        <v>20</v>
      </c>
      <c r="D91" s="14">
        <v>13.2</v>
      </c>
      <c r="E91">
        <f t="shared" si="4"/>
        <v>6</v>
      </c>
      <c r="F91">
        <f t="shared" si="3"/>
        <v>107.1</v>
      </c>
    </row>
    <row r="92" spans="1:6" hidden="1" x14ac:dyDescent="0.35">
      <c r="A92" s="7">
        <v>48731</v>
      </c>
      <c r="B92" s="8" t="s">
        <v>10</v>
      </c>
      <c r="C92" s="9">
        <v>28.4</v>
      </c>
      <c r="D92" s="10">
        <v>12</v>
      </c>
      <c r="E92">
        <f t="shared" si="4"/>
        <v>7</v>
      </c>
      <c r="F92">
        <f t="shared" si="3"/>
        <v>135.5</v>
      </c>
    </row>
    <row r="93" spans="1:6" hidden="1" x14ac:dyDescent="0.35">
      <c r="A93" s="11">
        <v>48732</v>
      </c>
      <c r="B93" s="12" t="s">
        <v>11</v>
      </c>
      <c r="C93" s="13">
        <v>14.8</v>
      </c>
      <c r="D93" s="14">
        <v>10.1</v>
      </c>
      <c r="E93">
        <f t="shared" si="4"/>
        <v>1</v>
      </c>
      <c r="F93">
        <f t="shared" si="3"/>
        <v>14.8</v>
      </c>
    </row>
    <row r="94" spans="1:6" hidden="1" x14ac:dyDescent="0.35">
      <c r="A94" s="7">
        <v>48733</v>
      </c>
      <c r="B94" s="8" t="s">
        <v>29</v>
      </c>
      <c r="C94" s="9">
        <v>27.9</v>
      </c>
      <c r="D94" s="10">
        <v>0.6</v>
      </c>
      <c r="E94">
        <f t="shared" si="4"/>
        <v>2</v>
      </c>
      <c r="F94">
        <f t="shared" si="3"/>
        <v>42.7</v>
      </c>
    </row>
    <row r="95" spans="1:6" hidden="1" x14ac:dyDescent="0.35">
      <c r="A95" s="11">
        <v>48734</v>
      </c>
      <c r="B95" s="12" t="s">
        <v>12</v>
      </c>
      <c r="C95" s="13">
        <v>19.899999999999999</v>
      </c>
      <c r="D95" s="14">
        <v>9.8000000000000007</v>
      </c>
      <c r="E95">
        <f t="shared" si="4"/>
        <v>3</v>
      </c>
      <c r="F95">
        <f t="shared" si="3"/>
        <v>62.6</v>
      </c>
    </row>
    <row r="96" spans="1:6" hidden="1" x14ac:dyDescent="0.35">
      <c r="A96" s="7">
        <v>48735</v>
      </c>
      <c r="B96" s="8" t="s">
        <v>19</v>
      </c>
      <c r="C96" s="9">
        <v>22.5</v>
      </c>
      <c r="D96" s="10">
        <v>0</v>
      </c>
      <c r="E96">
        <f t="shared" si="4"/>
        <v>4</v>
      </c>
      <c r="F96">
        <f t="shared" si="3"/>
        <v>85.1</v>
      </c>
    </row>
    <row r="97" spans="1:6" hidden="1" x14ac:dyDescent="0.35">
      <c r="A97" s="11">
        <v>48736</v>
      </c>
      <c r="B97" s="12" t="s">
        <v>8</v>
      </c>
      <c r="C97" s="13">
        <v>21.6</v>
      </c>
      <c r="D97" s="14">
        <v>4.9000000000000004</v>
      </c>
      <c r="E97">
        <f t="shared" si="4"/>
        <v>5</v>
      </c>
      <c r="F97">
        <f t="shared" si="3"/>
        <v>106.69999999999999</v>
      </c>
    </row>
    <row r="98" spans="1:6" hidden="1" x14ac:dyDescent="0.35">
      <c r="A98" s="7">
        <v>48737</v>
      </c>
      <c r="B98" s="8" t="s">
        <v>10</v>
      </c>
      <c r="C98" s="9">
        <v>28.1</v>
      </c>
      <c r="D98" s="10">
        <v>0</v>
      </c>
      <c r="E98">
        <f t="shared" si="4"/>
        <v>6</v>
      </c>
      <c r="F98">
        <f t="shared" si="3"/>
        <v>134.79999999999998</v>
      </c>
    </row>
    <row r="99" spans="1:6" hidden="1" x14ac:dyDescent="0.35">
      <c r="A99" s="11">
        <v>48738</v>
      </c>
      <c r="B99" s="12" t="s">
        <v>12</v>
      </c>
      <c r="C99" s="13">
        <v>21.5</v>
      </c>
      <c r="D99" s="14">
        <v>8.6</v>
      </c>
      <c r="E99">
        <f t="shared" si="4"/>
        <v>7</v>
      </c>
      <c r="F99">
        <f t="shared" si="3"/>
        <v>156.29999999999998</v>
      </c>
    </row>
    <row r="100" spans="1:6" hidden="1" x14ac:dyDescent="0.35">
      <c r="A100" s="7">
        <v>48739</v>
      </c>
      <c r="B100" s="8" t="s">
        <v>14</v>
      </c>
      <c r="C100" s="9">
        <v>22.7</v>
      </c>
      <c r="D100" s="10">
        <v>0.1</v>
      </c>
      <c r="E100">
        <f t="shared" si="4"/>
        <v>1</v>
      </c>
      <c r="F100">
        <f t="shared" si="3"/>
        <v>22.7</v>
      </c>
    </row>
    <row r="101" spans="1:6" hidden="1" x14ac:dyDescent="0.35">
      <c r="A101" s="11">
        <v>48740</v>
      </c>
      <c r="B101" s="12" t="s">
        <v>10</v>
      </c>
      <c r="C101" s="13">
        <v>27.4</v>
      </c>
      <c r="D101" s="14">
        <v>21.8</v>
      </c>
      <c r="E101">
        <f t="shared" si="4"/>
        <v>2</v>
      </c>
      <c r="F101">
        <f t="shared" si="3"/>
        <v>50.099999999999994</v>
      </c>
    </row>
    <row r="102" spans="1:6" hidden="1" x14ac:dyDescent="0.35">
      <c r="A102" s="7">
        <v>48741</v>
      </c>
      <c r="B102" s="8" t="s">
        <v>19</v>
      </c>
      <c r="C102" s="9">
        <v>18.3</v>
      </c>
      <c r="D102" s="10">
        <v>17.3</v>
      </c>
      <c r="E102">
        <f t="shared" si="4"/>
        <v>3</v>
      </c>
      <c r="F102">
        <f t="shared" si="3"/>
        <v>68.399999999999991</v>
      </c>
    </row>
    <row r="103" spans="1:6" hidden="1" x14ac:dyDescent="0.35">
      <c r="A103" s="11">
        <v>48742</v>
      </c>
      <c r="B103" s="12" t="s">
        <v>19</v>
      </c>
      <c r="C103" s="13">
        <v>29</v>
      </c>
      <c r="D103" s="14">
        <v>27.3</v>
      </c>
      <c r="E103">
        <f t="shared" si="4"/>
        <v>4</v>
      </c>
      <c r="F103">
        <f t="shared" si="3"/>
        <v>97.399999999999991</v>
      </c>
    </row>
    <row r="104" spans="1:6" hidden="1" x14ac:dyDescent="0.35">
      <c r="A104" s="7">
        <v>48743</v>
      </c>
      <c r="B104" s="8" t="s">
        <v>18</v>
      </c>
      <c r="C104" s="9">
        <v>18.100000000000001</v>
      </c>
      <c r="D104" s="10">
        <v>0</v>
      </c>
      <c r="E104">
        <f t="shared" si="4"/>
        <v>5</v>
      </c>
      <c r="F104">
        <f t="shared" si="3"/>
        <v>115.5</v>
      </c>
    </row>
    <row r="105" spans="1:6" hidden="1" x14ac:dyDescent="0.35">
      <c r="A105" s="11">
        <v>48744</v>
      </c>
      <c r="B105" s="12" t="s">
        <v>20</v>
      </c>
      <c r="C105" s="13">
        <v>16.399999999999999</v>
      </c>
      <c r="D105" s="14">
        <v>1.1000000000000001</v>
      </c>
      <c r="E105">
        <f t="shared" si="4"/>
        <v>6</v>
      </c>
      <c r="F105">
        <f t="shared" si="3"/>
        <v>131.9</v>
      </c>
    </row>
    <row r="106" spans="1:6" hidden="1" x14ac:dyDescent="0.35">
      <c r="A106" s="7">
        <v>48745</v>
      </c>
      <c r="B106" s="8" t="s">
        <v>6</v>
      </c>
      <c r="C106" s="9">
        <v>21.8</v>
      </c>
      <c r="D106" s="10">
        <v>0</v>
      </c>
      <c r="E106">
        <f t="shared" si="4"/>
        <v>7</v>
      </c>
      <c r="F106">
        <f t="shared" si="3"/>
        <v>153.70000000000002</v>
      </c>
    </row>
    <row r="107" spans="1:6" hidden="1" x14ac:dyDescent="0.35">
      <c r="A107" s="11">
        <v>48746</v>
      </c>
      <c r="B107" s="12" t="s">
        <v>29</v>
      </c>
      <c r="C107" s="13">
        <v>27.2</v>
      </c>
      <c r="D107" s="14">
        <v>0</v>
      </c>
      <c r="E107">
        <f t="shared" si="4"/>
        <v>1</v>
      </c>
      <c r="F107">
        <f t="shared" si="3"/>
        <v>27.2</v>
      </c>
    </row>
    <row r="108" spans="1:6" hidden="1" x14ac:dyDescent="0.35">
      <c r="A108" s="7">
        <v>48747</v>
      </c>
      <c r="B108" s="8" t="s">
        <v>22</v>
      </c>
      <c r="C108" s="9">
        <v>21.2</v>
      </c>
      <c r="D108" s="10">
        <v>0</v>
      </c>
      <c r="E108">
        <f t="shared" si="4"/>
        <v>2</v>
      </c>
      <c r="F108">
        <f t="shared" si="3"/>
        <v>48.4</v>
      </c>
    </row>
    <row r="109" spans="1:6" hidden="1" x14ac:dyDescent="0.35">
      <c r="A109" s="11">
        <v>48748</v>
      </c>
      <c r="B109" s="12" t="s">
        <v>19</v>
      </c>
      <c r="C109" s="13">
        <v>17.7</v>
      </c>
      <c r="D109" s="14">
        <v>13.9</v>
      </c>
      <c r="E109">
        <f t="shared" si="4"/>
        <v>3</v>
      </c>
      <c r="F109">
        <f t="shared" si="3"/>
        <v>66.099999999999994</v>
      </c>
    </row>
    <row r="110" spans="1:6" hidden="1" x14ac:dyDescent="0.35">
      <c r="A110" s="7">
        <v>48749</v>
      </c>
      <c r="B110" s="8" t="s">
        <v>22</v>
      </c>
      <c r="C110" s="9">
        <v>10.6</v>
      </c>
      <c r="D110" s="10">
        <v>6.9</v>
      </c>
      <c r="E110">
        <f t="shared" si="4"/>
        <v>4</v>
      </c>
      <c r="F110">
        <f t="shared" si="3"/>
        <v>76.699999999999989</v>
      </c>
    </row>
    <row r="111" spans="1:6" hidden="1" x14ac:dyDescent="0.35">
      <c r="A111" s="11">
        <v>48750</v>
      </c>
      <c r="B111" s="12" t="s">
        <v>27</v>
      </c>
      <c r="C111" s="13">
        <v>10.4</v>
      </c>
      <c r="D111" s="14">
        <v>1.1000000000000001</v>
      </c>
      <c r="E111">
        <f t="shared" si="4"/>
        <v>5</v>
      </c>
      <c r="F111">
        <f t="shared" si="3"/>
        <v>87.1</v>
      </c>
    </row>
    <row r="112" spans="1:6" hidden="1" x14ac:dyDescent="0.35">
      <c r="A112" s="7">
        <v>48751</v>
      </c>
      <c r="B112" s="8" t="s">
        <v>10</v>
      </c>
      <c r="C112" s="9">
        <v>15.8</v>
      </c>
      <c r="D112" s="10">
        <v>7.1</v>
      </c>
      <c r="E112">
        <f t="shared" si="4"/>
        <v>6</v>
      </c>
      <c r="F112">
        <f t="shared" si="3"/>
        <v>102.89999999999999</v>
      </c>
    </row>
    <row r="113" spans="1:6" hidden="1" x14ac:dyDescent="0.35">
      <c r="A113" s="11">
        <v>48752</v>
      </c>
      <c r="B113" s="12" t="s">
        <v>9</v>
      </c>
      <c r="C113" s="13">
        <v>19.899999999999999</v>
      </c>
      <c r="D113" s="14">
        <v>10.8</v>
      </c>
      <c r="E113">
        <f t="shared" si="4"/>
        <v>7</v>
      </c>
      <c r="F113">
        <f t="shared" si="3"/>
        <v>122.79999999999998</v>
      </c>
    </row>
    <row r="114" spans="1:6" hidden="1" x14ac:dyDescent="0.35">
      <c r="A114" s="7">
        <v>48753</v>
      </c>
      <c r="B114" s="8" t="s">
        <v>11</v>
      </c>
      <c r="C114" s="9">
        <v>13</v>
      </c>
      <c r="D114" s="10">
        <v>0</v>
      </c>
      <c r="E114">
        <f t="shared" si="4"/>
        <v>1</v>
      </c>
      <c r="F114">
        <f t="shared" si="3"/>
        <v>13</v>
      </c>
    </row>
    <row r="115" spans="1:6" hidden="1" x14ac:dyDescent="0.35">
      <c r="A115" s="11">
        <v>48754</v>
      </c>
      <c r="B115" s="12" t="s">
        <v>7</v>
      </c>
      <c r="C115" s="13">
        <v>28.1</v>
      </c>
      <c r="D115" s="14">
        <v>15</v>
      </c>
      <c r="E115">
        <f t="shared" si="4"/>
        <v>2</v>
      </c>
      <c r="F115">
        <f t="shared" si="3"/>
        <v>41.1</v>
      </c>
    </row>
    <row r="116" spans="1:6" hidden="1" x14ac:dyDescent="0.35">
      <c r="A116" s="7">
        <v>48755</v>
      </c>
      <c r="B116" s="8" t="s">
        <v>12</v>
      </c>
      <c r="C116" s="9">
        <v>22.5</v>
      </c>
      <c r="D116" s="10">
        <v>8.6</v>
      </c>
      <c r="E116">
        <f t="shared" si="4"/>
        <v>3</v>
      </c>
      <c r="F116">
        <f t="shared" si="3"/>
        <v>63.6</v>
      </c>
    </row>
    <row r="117" spans="1:6" hidden="1" x14ac:dyDescent="0.35">
      <c r="A117" s="11">
        <v>48756</v>
      </c>
      <c r="B117" s="12" t="s">
        <v>19</v>
      </c>
      <c r="C117" s="13">
        <v>14</v>
      </c>
      <c r="D117" s="14">
        <v>36.1</v>
      </c>
      <c r="E117">
        <f t="shared" si="4"/>
        <v>4</v>
      </c>
      <c r="F117">
        <f t="shared" si="3"/>
        <v>77.599999999999994</v>
      </c>
    </row>
    <row r="118" spans="1:6" hidden="1" x14ac:dyDescent="0.35">
      <c r="A118" s="7">
        <v>48757</v>
      </c>
      <c r="B118" s="8" t="s">
        <v>10</v>
      </c>
      <c r="C118" s="9">
        <v>10.6</v>
      </c>
      <c r="D118" s="10">
        <v>18.399999999999999</v>
      </c>
      <c r="E118">
        <f t="shared" si="4"/>
        <v>5</v>
      </c>
      <c r="F118">
        <f t="shared" si="3"/>
        <v>88.199999999999989</v>
      </c>
    </row>
    <row r="119" spans="1:6" hidden="1" x14ac:dyDescent="0.35">
      <c r="A119" s="11">
        <v>48758</v>
      </c>
      <c r="B119" s="12" t="s">
        <v>23</v>
      </c>
      <c r="C119" s="13">
        <v>22.3</v>
      </c>
      <c r="D119" s="14">
        <v>0</v>
      </c>
      <c r="E119">
        <f t="shared" si="4"/>
        <v>6</v>
      </c>
      <c r="F119">
        <f t="shared" si="3"/>
        <v>110.49999999999999</v>
      </c>
    </row>
    <row r="120" spans="1:6" hidden="1" x14ac:dyDescent="0.35">
      <c r="A120" s="7">
        <v>48759</v>
      </c>
      <c r="B120" s="8" t="s">
        <v>19</v>
      </c>
      <c r="C120" s="9">
        <v>14.5</v>
      </c>
      <c r="D120" s="10">
        <v>26</v>
      </c>
      <c r="E120">
        <f t="shared" si="4"/>
        <v>7</v>
      </c>
      <c r="F120">
        <f t="shared" si="3"/>
        <v>124.99999999999999</v>
      </c>
    </row>
    <row r="121" spans="1:6" hidden="1" x14ac:dyDescent="0.35">
      <c r="A121" s="11">
        <v>48760</v>
      </c>
      <c r="B121" s="12" t="s">
        <v>5</v>
      </c>
      <c r="C121" s="13">
        <v>21</v>
      </c>
      <c r="D121" s="14">
        <v>1.7</v>
      </c>
      <c r="E121">
        <f t="shared" si="4"/>
        <v>1</v>
      </c>
      <c r="F121">
        <f t="shared" si="3"/>
        <v>21</v>
      </c>
    </row>
    <row r="122" spans="1:6" hidden="1" x14ac:dyDescent="0.35">
      <c r="A122" s="7">
        <v>48761</v>
      </c>
      <c r="B122" s="8" t="s">
        <v>4</v>
      </c>
      <c r="C122" s="9">
        <v>17.7</v>
      </c>
      <c r="D122" s="10">
        <v>0.4</v>
      </c>
      <c r="E122">
        <f t="shared" si="4"/>
        <v>2</v>
      </c>
      <c r="F122">
        <f t="shared" si="3"/>
        <v>38.700000000000003</v>
      </c>
    </row>
    <row r="123" spans="1:6" hidden="1" x14ac:dyDescent="0.35">
      <c r="A123" s="11">
        <v>48762</v>
      </c>
      <c r="B123" s="12" t="s">
        <v>7</v>
      </c>
      <c r="C123" s="13">
        <v>24.3</v>
      </c>
      <c r="D123" s="14">
        <v>9.6999999999999993</v>
      </c>
      <c r="E123">
        <f t="shared" si="4"/>
        <v>3</v>
      </c>
      <c r="F123">
        <f t="shared" si="3"/>
        <v>63</v>
      </c>
    </row>
    <row r="124" spans="1:6" hidden="1" x14ac:dyDescent="0.35">
      <c r="A124" s="7">
        <v>48763</v>
      </c>
      <c r="B124" s="8" t="s">
        <v>15</v>
      </c>
      <c r="C124" s="9">
        <v>18.8</v>
      </c>
      <c r="D124" s="10">
        <v>6.4</v>
      </c>
      <c r="E124">
        <f t="shared" si="4"/>
        <v>4</v>
      </c>
      <c r="F124">
        <f t="shared" si="3"/>
        <v>81.8</v>
      </c>
    </row>
    <row r="125" spans="1:6" hidden="1" x14ac:dyDescent="0.35">
      <c r="A125" s="11">
        <v>48764</v>
      </c>
      <c r="B125" s="12" t="s">
        <v>13</v>
      </c>
      <c r="C125" s="13">
        <v>15.9</v>
      </c>
      <c r="D125" s="14">
        <v>5.2</v>
      </c>
      <c r="E125">
        <f t="shared" si="4"/>
        <v>5</v>
      </c>
      <c r="F125">
        <f t="shared" si="3"/>
        <v>97.7</v>
      </c>
    </row>
    <row r="126" spans="1:6" hidden="1" x14ac:dyDescent="0.35">
      <c r="A126" s="7">
        <v>48765</v>
      </c>
      <c r="B126" s="8" t="s">
        <v>7</v>
      </c>
      <c r="C126" s="9">
        <v>26.1</v>
      </c>
      <c r="D126" s="10">
        <v>0</v>
      </c>
      <c r="E126">
        <f t="shared" si="4"/>
        <v>6</v>
      </c>
      <c r="F126">
        <f t="shared" si="3"/>
        <v>123.80000000000001</v>
      </c>
    </row>
    <row r="127" spans="1:6" hidden="1" x14ac:dyDescent="0.35">
      <c r="A127" s="11">
        <v>48766</v>
      </c>
      <c r="B127" s="12" t="s">
        <v>19</v>
      </c>
      <c r="C127" s="13">
        <v>29.4</v>
      </c>
      <c r="D127" s="14">
        <v>8.8000000000000007</v>
      </c>
      <c r="E127">
        <f t="shared" si="4"/>
        <v>7</v>
      </c>
      <c r="F127">
        <f t="shared" si="3"/>
        <v>153.20000000000002</v>
      </c>
    </row>
    <row r="128" spans="1:6" hidden="1" x14ac:dyDescent="0.35">
      <c r="A128" s="7">
        <v>48767</v>
      </c>
      <c r="B128" s="8" t="s">
        <v>13</v>
      </c>
      <c r="C128" s="9">
        <v>10.5</v>
      </c>
      <c r="D128" s="10">
        <v>14.5</v>
      </c>
      <c r="E128">
        <f t="shared" si="4"/>
        <v>1</v>
      </c>
      <c r="F128">
        <f t="shared" si="3"/>
        <v>10.5</v>
      </c>
    </row>
    <row r="129" spans="1:6" hidden="1" x14ac:dyDescent="0.35">
      <c r="A129" s="11">
        <v>48768</v>
      </c>
      <c r="B129" s="12" t="s">
        <v>30</v>
      </c>
      <c r="C129" s="13">
        <v>18.100000000000001</v>
      </c>
      <c r="D129" s="14">
        <v>0</v>
      </c>
      <c r="E129">
        <f t="shared" si="4"/>
        <v>2</v>
      </c>
      <c r="F129">
        <f t="shared" si="3"/>
        <v>28.6</v>
      </c>
    </row>
    <row r="130" spans="1:6" hidden="1" x14ac:dyDescent="0.35">
      <c r="A130" s="7">
        <v>48769</v>
      </c>
      <c r="B130" s="8" t="s">
        <v>15</v>
      </c>
      <c r="C130" s="9">
        <v>20.6</v>
      </c>
      <c r="D130" s="10">
        <v>0</v>
      </c>
      <c r="E130">
        <f t="shared" si="4"/>
        <v>3</v>
      </c>
      <c r="F130">
        <f t="shared" si="3"/>
        <v>49.2</v>
      </c>
    </row>
    <row r="131" spans="1:6" hidden="1" x14ac:dyDescent="0.35">
      <c r="A131" s="11">
        <v>48770</v>
      </c>
      <c r="B131" s="12" t="s">
        <v>15</v>
      </c>
      <c r="C131" s="13">
        <v>17.100000000000001</v>
      </c>
      <c r="D131" s="14">
        <v>0</v>
      </c>
      <c r="E131">
        <f t="shared" si="4"/>
        <v>4</v>
      </c>
      <c r="F131">
        <f t="shared" si="3"/>
        <v>66.300000000000011</v>
      </c>
    </row>
    <row r="132" spans="1:6" hidden="1" x14ac:dyDescent="0.35">
      <c r="A132" s="7">
        <v>48771</v>
      </c>
      <c r="B132" s="8" t="s">
        <v>22</v>
      </c>
      <c r="C132" s="9">
        <v>17</v>
      </c>
      <c r="D132" s="10">
        <v>0.3</v>
      </c>
      <c r="E132">
        <f t="shared" si="4"/>
        <v>5</v>
      </c>
      <c r="F132">
        <f t="shared" ref="F132:F195" si="5">IF(E131=7,C132,C132+F131)</f>
        <v>83.300000000000011</v>
      </c>
    </row>
    <row r="133" spans="1:6" hidden="1" x14ac:dyDescent="0.35">
      <c r="A133" s="11">
        <v>48772</v>
      </c>
      <c r="B133" s="12" t="s">
        <v>23</v>
      </c>
      <c r="C133" s="13">
        <v>14.7</v>
      </c>
      <c r="D133" s="14">
        <v>2.2999999999999998</v>
      </c>
      <c r="E133">
        <f t="shared" si="4"/>
        <v>6</v>
      </c>
      <c r="F133">
        <f t="shared" si="5"/>
        <v>98.000000000000014</v>
      </c>
    </row>
    <row r="134" spans="1:6" hidden="1" x14ac:dyDescent="0.35">
      <c r="A134" s="7">
        <v>48773</v>
      </c>
      <c r="B134" s="8" t="s">
        <v>15</v>
      </c>
      <c r="C134" s="9">
        <v>21.7</v>
      </c>
      <c r="D134" s="10">
        <v>0</v>
      </c>
      <c r="E134">
        <f t="shared" si="4"/>
        <v>7</v>
      </c>
      <c r="F134">
        <f t="shared" si="5"/>
        <v>119.70000000000002</v>
      </c>
    </row>
    <row r="135" spans="1:6" hidden="1" x14ac:dyDescent="0.35">
      <c r="A135" s="11">
        <v>48774</v>
      </c>
      <c r="B135" s="12" t="s">
        <v>16</v>
      </c>
      <c r="C135" s="13">
        <v>12.5</v>
      </c>
      <c r="D135" s="14">
        <v>0</v>
      </c>
      <c r="E135">
        <f t="shared" si="4"/>
        <v>1</v>
      </c>
      <c r="F135">
        <f t="shared" si="5"/>
        <v>12.5</v>
      </c>
    </row>
    <row r="136" spans="1:6" hidden="1" x14ac:dyDescent="0.35">
      <c r="A136" s="7">
        <v>48775</v>
      </c>
      <c r="B136" s="8" t="s">
        <v>8</v>
      </c>
      <c r="C136" s="9">
        <v>17.8</v>
      </c>
      <c r="D136" s="10">
        <v>4.0999999999999996</v>
      </c>
      <c r="E136">
        <f t="shared" si="4"/>
        <v>2</v>
      </c>
      <c r="F136">
        <f t="shared" si="5"/>
        <v>30.3</v>
      </c>
    </row>
    <row r="137" spans="1:6" hidden="1" x14ac:dyDescent="0.35">
      <c r="A137" s="11">
        <v>48776</v>
      </c>
      <c r="B137" s="12" t="s">
        <v>10</v>
      </c>
      <c r="C137" s="13">
        <v>28.9</v>
      </c>
      <c r="D137" s="14">
        <v>38.700000000000003</v>
      </c>
      <c r="E137">
        <f t="shared" si="4"/>
        <v>3</v>
      </c>
      <c r="F137">
        <f t="shared" si="5"/>
        <v>59.2</v>
      </c>
    </row>
    <row r="138" spans="1:6" hidden="1" x14ac:dyDescent="0.35">
      <c r="A138" s="7">
        <v>48777</v>
      </c>
      <c r="B138" s="8" t="s">
        <v>11</v>
      </c>
      <c r="C138" s="9">
        <v>21</v>
      </c>
      <c r="D138" s="10">
        <v>3.5</v>
      </c>
      <c r="E138">
        <f t="shared" ref="E138:E201" si="6">IF(E137=7,1,E137+1)</f>
        <v>4</v>
      </c>
      <c r="F138">
        <f t="shared" si="5"/>
        <v>80.2</v>
      </c>
    </row>
    <row r="139" spans="1:6" hidden="1" x14ac:dyDescent="0.35">
      <c r="A139" s="11">
        <v>48778</v>
      </c>
      <c r="B139" s="12" t="s">
        <v>21</v>
      </c>
      <c r="C139" s="13">
        <v>13</v>
      </c>
      <c r="D139" s="14">
        <v>0.1</v>
      </c>
      <c r="E139">
        <f t="shared" si="6"/>
        <v>5</v>
      </c>
      <c r="F139">
        <f t="shared" si="5"/>
        <v>93.2</v>
      </c>
    </row>
    <row r="140" spans="1:6" hidden="1" x14ac:dyDescent="0.35">
      <c r="A140" s="7">
        <v>48779</v>
      </c>
      <c r="B140" s="8" t="s">
        <v>10</v>
      </c>
      <c r="C140" s="9">
        <v>23.1</v>
      </c>
      <c r="D140" s="10">
        <v>0</v>
      </c>
      <c r="E140">
        <f t="shared" si="6"/>
        <v>6</v>
      </c>
      <c r="F140">
        <f t="shared" si="5"/>
        <v>116.30000000000001</v>
      </c>
    </row>
    <row r="141" spans="1:6" hidden="1" x14ac:dyDescent="0.35">
      <c r="A141" s="11">
        <v>48780</v>
      </c>
      <c r="B141" s="12" t="s">
        <v>15</v>
      </c>
      <c r="C141" s="13">
        <v>28.5</v>
      </c>
      <c r="D141" s="14">
        <v>0</v>
      </c>
      <c r="E141">
        <f t="shared" si="6"/>
        <v>7</v>
      </c>
      <c r="F141">
        <f t="shared" si="5"/>
        <v>144.80000000000001</v>
      </c>
    </row>
    <row r="142" spans="1:6" hidden="1" x14ac:dyDescent="0.35">
      <c r="A142" s="7">
        <v>48781</v>
      </c>
      <c r="B142" s="8" t="s">
        <v>15</v>
      </c>
      <c r="C142" s="9">
        <v>12.8</v>
      </c>
      <c r="D142" s="10">
        <v>0</v>
      </c>
      <c r="E142">
        <f t="shared" si="6"/>
        <v>1</v>
      </c>
      <c r="F142">
        <f t="shared" si="5"/>
        <v>12.8</v>
      </c>
    </row>
    <row r="143" spans="1:6" hidden="1" x14ac:dyDescent="0.35">
      <c r="A143" s="11">
        <v>48782</v>
      </c>
      <c r="B143" s="12" t="s">
        <v>31</v>
      </c>
      <c r="C143" s="13">
        <v>26.8</v>
      </c>
      <c r="D143" s="14">
        <v>0</v>
      </c>
      <c r="E143">
        <f t="shared" si="6"/>
        <v>2</v>
      </c>
      <c r="F143">
        <f t="shared" si="5"/>
        <v>39.6</v>
      </c>
    </row>
    <row r="144" spans="1:6" hidden="1" x14ac:dyDescent="0.35">
      <c r="A144" s="7">
        <v>48783</v>
      </c>
      <c r="B144" s="8" t="s">
        <v>10</v>
      </c>
      <c r="C144" s="9">
        <v>15.1</v>
      </c>
      <c r="D144" s="10">
        <v>24.8</v>
      </c>
      <c r="E144">
        <f t="shared" si="6"/>
        <v>3</v>
      </c>
      <c r="F144">
        <f t="shared" si="5"/>
        <v>54.7</v>
      </c>
    </row>
    <row r="145" spans="1:6" hidden="1" x14ac:dyDescent="0.35">
      <c r="A145" s="11">
        <v>48784</v>
      </c>
      <c r="B145" s="12" t="s">
        <v>18</v>
      </c>
      <c r="C145" s="13">
        <v>14.4</v>
      </c>
      <c r="D145" s="14">
        <v>13.5</v>
      </c>
      <c r="E145">
        <f t="shared" si="6"/>
        <v>4</v>
      </c>
      <c r="F145">
        <f t="shared" si="5"/>
        <v>69.100000000000009</v>
      </c>
    </row>
    <row r="146" spans="1:6" hidden="1" x14ac:dyDescent="0.35">
      <c r="A146" s="7">
        <v>48785</v>
      </c>
      <c r="B146" s="8" t="s">
        <v>11</v>
      </c>
      <c r="C146" s="9">
        <v>29.2</v>
      </c>
      <c r="D146" s="10">
        <v>15.7</v>
      </c>
      <c r="E146">
        <f t="shared" si="6"/>
        <v>5</v>
      </c>
      <c r="F146">
        <f t="shared" si="5"/>
        <v>98.300000000000011</v>
      </c>
    </row>
    <row r="147" spans="1:6" hidden="1" x14ac:dyDescent="0.35">
      <c r="A147" s="11">
        <v>48786</v>
      </c>
      <c r="B147" s="12" t="s">
        <v>10</v>
      </c>
      <c r="C147" s="13">
        <v>28.9</v>
      </c>
      <c r="D147" s="14">
        <v>47.2</v>
      </c>
      <c r="E147">
        <f t="shared" si="6"/>
        <v>6</v>
      </c>
      <c r="F147">
        <f t="shared" si="5"/>
        <v>127.20000000000002</v>
      </c>
    </row>
    <row r="148" spans="1:6" hidden="1" x14ac:dyDescent="0.35">
      <c r="A148" s="7">
        <v>48787</v>
      </c>
      <c r="B148" s="8" t="s">
        <v>20</v>
      </c>
      <c r="C148" s="9">
        <v>18.399999999999999</v>
      </c>
      <c r="D148" s="10">
        <v>3.9</v>
      </c>
      <c r="E148">
        <f t="shared" si="6"/>
        <v>7</v>
      </c>
      <c r="F148">
        <f t="shared" si="5"/>
        <v>145.60000000000002</v>
      </c>
    </row>
    <row r="149" spans="1:6" hidden="1" x14ac:dyDescent="0.35">
      <c r="A149" s="11">
        <v>48788</v>
      </c>
      <c r="B149" s="12" t="s">
        <v>17</v>
      </c>
      <c r="C149" s="13">
        <v>26.2</v>
      </c>
      <c r="D149" s="14">
        <v>4</v>
      </c>
      <c r="E149">
        <f t="shared" si="6"/>
        <v>1</v>
      </c>
      <c r="F149">
        <f t="shared" si="5"/>
        <v>26.2</v>
      </c>
    </row>
    <row r="150" spans="1:6" hidden="1" x14ac:dyDescent="0.35">
      <c r="A150" s="7">
        <v>48789</v>
      </c>
      <c r="B150" s="8" t="s">
        <v>10</v>
      </c>
      <c r="C150" s="9">
        <v>14.3</v>
      </c>
      <c r="D150" s="10">
        <v>45.1</v>
      </c>
      <c r="E150">
        <f t="shared" si="6"/>
        <v>2</v>
      </c>
      <c r="F150">
        <f t="shared" si="5"/>
        <v>40.5</v>
      </c>
    </row>
    <row r="151" spans="1:6" hidden="1" x14ac:dyDescent="0.35">
      <c r="A151" s="11">
        <v>48790</v>
      </c>
      <c r="B151" s="12" t="s">
        <v>7</v>
      </c>
      <c r="C151" s="13">
        <v>14.5</v>
      </c>
      <c r="D151" s="14">
        <v>0</v>
      </c>
      <c r="E151">
        <f t="shared" si="6"/>
        <v>3</v>
      </c>
      <c r="F151">
        <f t="shared" si="5"/>
        <v>55</v>
      </c>
    </row>
    <row r="152" spans="1:6" hidden="1" x14ac:dyDescent="0.35">
      <c r="A152" s="7">
        <v>48791</v>
      </c>
      <c r="B152" s="8" t="s">
        <v>10</v>
      </c>
      <c r="C152" s="9">
        <v>18.600000000000001</v>
      </c>
      <c r="D152" s="10">
        <v>5.5</v>
      </c>
      <c r="E152">
        <f t="shared" si="6"/>
        <v>4</v>
      </c>
      <c r="F152">
        <f t="shared" si="5"/>
        <v>73.599999999999994</v>
      </c>
    </row>
    <row r="153" spans="1:6" hidden="1" x14ac:dyDescent="0.35">
      <c r="A153" s="11">
        <v>48792</v>
      </c>
      <c r="B153" s="12" t="s">
        <v>7</v>
      </c>
      <c r="C153" s="13">
        <v>26.3</v>
      </c>
      <c r="D153" s="14">
        <v>14.5</v>
      </c>
      <c r="E153">
        <f t="shared" si="6"/>
        <v>5</v>
      </c>
      <c r="F153">
        <f t="shared" si="5"/>
        <v>99.899999999999991</v>
      </c>
    </row>
    <row r="154" spans="1:6" hidden="1" x14ac:dyDescent="0.35">
      <c r="A154" s="7">
        <v>48793</v>
      </c>
      <c r="B154" s="8" t="s">
        <v>32</v>
      </c>
      <c r="C154" s="9">
        <v>25.9</v>
      </c>
      <c r="D154" s="10">
        <v>0.7</v>
      </c>
      <c r="E154">
        <f t="shared" si="6"/>
        <v>6</v>
      </c>
      <c r="F154">
        <f t="shared" si="5"/>
        <v>125.79999999999998</v>
      </c>
    </row>
    <row r="155" spans="1:6" hidden="1" x14ac:dyDescent="0.35">
      <c r="A155" s="11">
        <v>48794</v>
      </c>
      <c r="B155" s="12" t="s">
        <v>12</v>
      </c>
      <c r="C155" s="13">
        <v>29.8</v>
      </c>
      <c r="D155" s="14">
        <v>0</v>
      </c>
      <c r="E155">
        <f t="shared" si="6"/>
        <v>7</v>
      </c>
      <c r="F155">
        <f t="shared" si="5"/>
        <v>155.6</v>
      </c>
    </row>
    <row r="156" spans="1:6" hidden="1" x14ac:dyDescent="0.35">
      <c r="A156" s="7">
        <v>48795</v>
      </c>
      <c r="B156" s="8" t="s">
        <v>10</v>
      </c>
      <c r="C156" s="9">
        <v>18.3</v>
      </c>
      <c r="D156" s="10">
        <v>18.7</v>
      </c>
      <c r="E156">
        <f t="shared" si="6"/>
        <v>1</v>
      </c>
      <c r="F156">
        <f t="shared" si="5"/>
        <v>18.3</v>
      </c>
    </row>
    <row r="157" spans="1:6" hidden="1" x14ac:dyDescent="0.35">
      <c r="A157" s="11">
        <v>48796</v>
      </c>
      <c r="B157" s="12" t="s">
        <v>12</v>
      </c>
      <c r="C157" s="13">
        <v>24.5</v>
      </c>
      <c r="D157" s="14">
        <v>6.7</v>
      </c>
      <c r="E157">
        <f t="shared" si="6"/>
        <v>2</v>
      </c>
      <c r="F157">
        <f t="shared" si="5"/>
        <v>42.8</v>
      </c>
    </row>
    <row r="158" spans="1:6" hidden="1" x14ac:dyDescent="0.35">
      <c r="A158" s="7">
        <v>48797</v>
      </c>
      <c r="B158" s="8" t="s">
        <v>19</v>
      </c>
      <c r="C158" s="9">
        <v>18.7</v>
      </c>
      <c r="D158" s="10">
        <v>0</v>
      </c>
      <c r="E158">
        <f t="shared" si="6"/>
        <v>3</v>
      </c>
      <c r="F158">
        <f t="shared" si="5"/>
        <v>61.5</v>
      </c>
    </row>
    <row r="159" spans="1:6" hidden="1" x14ac:dyDescent="0.35">
      <c r="A159" s="11">
        <v>48798</v>
      </c>
      <c r="B159" s="12" t="s">
        <v>19</v>
      </c>
      <c r="C159" s="13">
        <v>29.2</v>
      </c>
      <c r="D159" s="14">
        <v>34.9</v>
      </c>
      <c r="E159">
        <f t="shared" si="6"/>
        <v>4</v>
      </c>
      <c r="F159">
        <f t="shared" si="5"/>
        <v>90.7</v>
      </c>
    </row>
    <row r="160" spans="1:6" hidden="1" x14ac:dyDescent="0.35">
      <c r="A160" s="7">
        <v>48799</v>
      </c>
      <c r="B160" s="8" t="s">
        <v>9</v>
      </c>
      <c r="C160" s="9">
        <v>21.4</v>
      </c>
      <c r="D160" s="10">
        <v>10.7</v>
      </c>
      <c r="E160">
        <f t="shared" si="6"/>
        <v>5</v>
      </c>
      <c r="F160">
        <f t="shared" si="5"/>
        <v>112.1</v>
      </c>
    </row>
    <row r="161" spans="1:6" hidden="1" x14ac:dyDescent="0.35">
      <c r="A161" s="11">
        <v>48800</v>
      </c>
      <c r="B161" s="12" t="s">
        <v>15</v>
      </c>
      <c r="C161" s="13">
        <v>25.6</v>
      </c>
      <c r="D161" s="14">
        <v>3.1</v>
      </c>
      <c r="E161">
        <f t="shared" si="6"/>
        <v>6</v>
      </c>
      <c r="F161">
        <f t="shared" si="5"/>
        <v>137.69999999999999</v>
      </c>
    </row>
    <row r="162" spans="1:6" hidden="1" x14ac:dyDescent="0.35">
      <c r="A162" s="7">
        <v>48801</v>
      </c>
      <c r="B162" s="8" t="s">
        <v>15</v>
      </c>
      <c r="C162" s="9">
        <v>15.7</v>
      </c>
      <c r="D162" s="10">
        <v>5.0999999999999996</v>
      </c>
      <c r="E162">
        <f t="shared" si="6"/>
        <v>7</v>
      </c>
      <c r="F162">
        <f t="shared" si="5"/>
        <v>153.39999999999998</v>
      </c>
    </row>
    <row r="163" spans="1:6" hidden="1" x14ac:dyDescent="0.35">
      <c r="A163" s="11">
        <v>48802</v>
      </c>
      <c r="B163" s="12" t="s">
        <v>6</v>
      </c>
      <c r="C163" s="13">
        <v>27.3</v>
      </c>
      <c r="D163" s="14">
        <v>11</v>
      </c>
      <c r="E163">
        <f t="shared" si="6"/>
        <v>1</v>
      </c>
      <c r="F163">
        <f t="shared" si="5"/>
        <v>27.3</v>
      </c>
    </row>
    <row r="164" spans="1:6" hidden="1" x14ac:dyDescent="0.35">
      <c r="A164" s="7">
        <v>48803</v>
      </c>
      <c r="B164" s="8" t="s">
        <v>25</v>
      </c>
      <c r="C164" s="9">
        <v>28.4</v>
      </c>
      <c r="D164" s="10">
        <v>2.7</v>
      </c>
      <c r="E164">
        <f t="shared" si="6"/>
        <v>2</v>
      </c>
      <c r="F164">
        <f t="shared" si="5"/>
        <v>55.7</v>
      </c>
    </row>
    <row r="165" spans="1:6" hidden="1" x14ac:dyDescent="0.35">
      <c r="A165" s="11">
        <v>48804</v>
      </c>
      <c r="B165" s="12" t="s">
        <v>11</v>
      </c>
      <c r="C165" s="13">
        <v>22</v>
      </c>
      <c r="D165" s="14">
        <v>3.3</v>
      </c>
      <c r="E165">
        <f t="shared" si="6"/>
        <v>3</v>
      </c>
      <c r="F165">
        <f t="shared" si="5"/>
        <v>77.7</v>
      </c>
    </row>
    <row r="166" spans="1:6" hidden="1" x14ac:dyDescent="0.35">
      <c r="A166" s="7">
        <v>48805</v>
      </c>
      <c r="B166" s="8" t="s">
        <v>8</v>
      </c>
      <c r="C166" s="9">
        <v>19.399999999999999</v>
      </c>
      <c r="D166" s="10">
        <v>0</v>
      </c>
      <c r="E166">
        <f t="shared" si="6"/>
        <v>4</v>
      </c>
      <c r="F166">
        <f t="shared" si="5"/>
        <v>97.1</v>
      </c>
    </row>
    <row r="167" spans="1:6" hidden="1" x14ac:dyDescent="0.35">
      <c r="A167" s="11">
        <v>48806</v>
      </c>
      <c r="B167" s="12" t="s">
        <v>15</v>
      </c>
      <c r="C167" s="13">
        <v>22.7</v>
      </c>
      <c r="D167" s="14">
        <v>14.8</v>
      </c>
      <c r="E167">
        <f t="shared" si="6"/>
        <v>5</v>
      </c>
      <c r="F167">
        <f t="shared" si="5"/>
        <v>119.8</v>
      </c>
    </row>
    <row r="168" spans="1:6" hidden="1" x14ac:dyDescent="0.35">
      <c r="A168" s="7">
        <v>48807</v>
      </c>
      <c r="B168" s="8" t="s">
        <v>7</v>
      </c>
      <c r="C168" s="9">
        <v>22.6</v>
      </c>
      <c r="D168" s="10">
        <v>16.5</v>
      </c>
      <c r="E168">
        <f t="shared" si="6"/>
        <v>6</v>
      </c>
      <c r="F168">
        <f t="shared" si="5"/>
        <v>142.4</v>
      </c>
    </row>
    <row r="169" spans="1:6" hidden="1" x14ac:dyDescent="0.35">
      <c r="A169" s="11">
        <v>48808</v>
      </c>
      <c r="B169" s="12" t="s">
        <v>17</v>
      </c>
      <c r="C169" s="13">
        <v>26.1</v>
      </c>
      <c r="D169" s="14">
        <v>0</v>
      </c>
      <c r="E169">
        <f t="shared" si="6"/>
        <v>7</v>
      </c>
      <c r="F169">
        <f t="shared" si="5"/>
        <v>168.5</v>
      </c>
    </row>
    <row r="170" spans="1:6" hidden="1" x14ac:dyDescent="0.35">
      <c r="A170" s="7">
        <v>48809</v>
      </c>
      <c r="B170" s="8" t="s">
        <v>15</v>
      </c>
      <c r="C170" s="9">
        <v>27.6</v>
      </c>
      <c r="D170" s="10">
        <v>6.7</v>
      </c>
      <c r="E170">
        <f t="shared" si="6"/>
        <v>1</v>
      </c>
      <c r="F170">
        <f t="shared" si="5"/>
        <v>27.6</v>
      </c>
    </row>
    <row r="171" spans="1:6" hidden="1" x14ac:dyDescent="0.35">
      <c r="A171" s="11">
        <v>48810</v>
      </c>
      <c r="B171" s="12" t="s">
        <v>12</v>
      </c>
      <c r="C171" s="13">
        <v>13.2</v>
      </c>
      <c r="D171" s="14">
        <v>0</v>
      </c>
      <c r="E171">
        <f t="shared" si="6"/>
        <v>2</v>
      </c>
      <c r="F171">
        <f t="shared" si="5"/>
        <v>40.799999999999997</v>
      </c>
    </row>
    <row r="172" spans="1:6" hidden="1" x14ac:dyDescent="0.35">
      <c r="A172" s="7">
        <v>48811</v>
      </c>
      <c r="B172" s="8" t="s">
        <v>21</v>
      </c>
      <c r="C172" s="9">
        <v>22</v>
      </c>
      <c r="D172" s="10">
        <v>0</v>
      </c>
      <c r="E172">
        <f t="shared" si="6"/>
        <v>3</v>
      </c>
      <c r="F172">
        <f t="shared" si="5"/>
        <v>62.8</v>
      </c>
    </row>
    <row r="173" spans="1:6" hidden="1" x14ac:dyDescent="0.35">
      <c r="A173" s="11">
        <v>48812</v>
      </c>
      <c r="B173" s="12" t="s">
        <v>9</v>
      </c>
      <c r="C173" s="13">
        <v>10.8</v>
      </c>
      <c r="D173" s="14">
        <v>7.6</v>
      </c>
      <c r="E173">
        <f t="shared" si="6"/>
        <v>4</v>
      </c>
      <c r="F173">
        <f t="shared" si="5"/>
        <v>73.599999999999994</v>
      </c>
    </row>
    <row r="174" spans="1:6" hidden="1" x14ac:dyDescent="0.35">
      <c r="A174" s="7">
        <v>48813</v>
      </c>
      <c r="B174" s="8" t="s">
        <v>10</v>
      </c>
      <c r="C174" s="9">
        <v>15.6</v>
      </c>
      <c r="D174" s="10">
        <v>38.4</v>
      </c>
      <c r="E174">
        <f t="shared" si="6"/>
        <v>5</v>
      </c>
      <c r="F174">
        <f t="shared" si="5"/>
        <v>89.199999999999989</v>
      </c>
    </row>
    <row r="175" spans="1:6" hidden="1" x14ac:dyDescent="0.35">
      <c r="A175" s="11">
        <v>48814</v>
      </c>
      <c r="B175" s="12" t="s">
        <v>26</v>
      </c>
      <c r="C175" s="13">
        <v>11.7</v>
      </c>
      <c r="D175" s="14">
        <v>0.5</v>
      </c>
      <c r="E175">
        <f t="shared" si="6"/>
        <v>6</v>
      </c>
      <c r="F175">
        <f t="shared" si="5"/>
        <v>100.89999999999999</v>
      </c>
    </row>
    <row r="176" spans="1:6" hidden="1" x14ac:dyDescent="0.35">
      <c r="A176" s="7">
        <v>48815</v>
      </c>
      <c r="B176" s="8" t="s">
        <v>10</v>
      </c>
      <c r="C176" s="9">
        <v>27.2</v>
      </c>
      <c r="D176" s="10">
        <v>8.3000000000000007</v>
      </c>
      <c r="E176">
        <f t="shared" si="6"/>
        <v>7</v>
      </c>
      <c r="F176">
        <f t="shared" si="5"/>
        <v>128.1</v>
      </c>
    </row>
    <row r="177" spans="1:6" hidden="1" x14ac:dyDescent="0.35">
      <c r="A177" s="11">
        <v>48816</v>
      </c>
      <c r="B177" s="12" t="s">
        <v>10</v>
      </c>
      <c r="C177" s="13">
        <v>24.7</v>
      </c>
      <c r="D177" s="14">
        <v>28.9</v>
      </c>
      <c r="E177">
        <f t="shared" si="6"/>
        <v>1</v>
      </c>
      <c r="F177">
        <f t="shared" si="5"/>
        <v>24.7</v>
      </c>
    </row>
    <row r="178" spans="1:6" hidden="1" x14ac:dyDescent="0.35">
      <c r="A178" s="7">
        <v>48817</v>
      </c>
      <c r="B178" s="8" t="s">
        <v>11</v>
      </c>
      <c r="C178" s="9">
        <v>18.2</v>
      </c>
      <c r="D178" s="10">
        <v>12.5</v>
      </c>
      <c r="E178">
        <f t="shared" si="6"/>
        <v>2</v>
      </c>
      <c r="F178">
        <f t="shared" si="5"/>
        <v>42.9</v>
      </c>
    </row>
    <row r="179" spans="1:6" hidden="1" x14ac:dyDescent="0.35">
      <c r="A179" s="11">
        <v>48818</v>
      </c>
      <c r="B179" s="12" t="s">
        <v>11</v>
      </c>
      <c r="C179" s="13">
        <v>14.6</v>
      </c>
      <c r="D179" s="14">
        <v>17.899999999999999</v>
      </c>
      <c r="E179">
        <f t="shared" si="6"/>
        <v>3</v>
      </c>
      <c r="F179">
        <f t="shared" si="5"/>
        <v>57.5</v>
      </c>
    </row>
    <row r="180" spans="1:6" hidden="1" x14ac:dyDescent="0.35">
      <c r="A180" s="7">
        <v>48819</v>
      </c>
      <c r="B180" s="8" t="s">
        <v>11</v>
      </c>
      <c r="C180" s="9">
        <v>16.5</v>
      </c>
      <c r="D180" s="10">
        <v>13.9</v>
      </c>
      <c r="E180">
        <f t="shared" si="6"/>
        <v>4</v>
      </c>
      <c r="F180">
        <f t="shared" si="5"/>
        <v>74</v>
      </c>
    </row>
    <row r="181" spans="1:6" hidden="1" x14ac:dyDescent="0.35">
      <c r="A181" s="11">
        <v>48820</v>
      </c>
      <c r="B181" s="12" t="s">
        <v>18</v>
      </c>
      <c r="C181" s="13">
        <v>29.4</v>
      </c>
      <c r="D181" s="14">
        <v>0</v>
      </c>
      <c r="E181">
        <f t="shared" si="6"/>
        <v>5</v>
      </c>
      <c r="F181">
        <f t="shared" si="5"/>
        <v>103.4</v>
      </c>
    </row>
    <row r="182" spans="1:6" hidden="1" x14ac:dyDescent="0.35">
      <c r="A182" s="7">
        <v>48821</v>
      </c>
      <c r="B182" s="8" t="s">
        <v>10</v>
      </c>
      <c r="C182" s="9">
        <v>17.899999999999999</v>
      </c>
      <c r="D182" s="10">
        <v>0</v>
      </c>
      <c r="E182">
        <f t="shared" si="6"/>
        <v>6</v>
      </c>
      <c r="F182">
        <f t="shared" si="5"/>
        <v>121.30000000000001</v>
      </c>
    </row>
    <row r="183" spans="1:6" hidden="1" x14ac:dyDescent="0.35">
      <c r="A183" s="11">
        <v>48822</v>
      </c>
      <c r="B183" s="12" t="s">
        <v>17</v>
      </c>
      <c r="C183" s="13">
        <v>29.8</v>
      </c>
      <c r="D183" s="14">
        <v>0</v>
      </c>
      <c r="E183">
        <f t="shared" si="6"/>
        <v>7</v>
      </c>
      <c r="F183">
        <f t="shared" si="5"/>
        <v>151.10000000000002</v>
      </c>
    </row>
    <row r="184" spans="1:6" hidden="1" x14ac:dyDescent="0.35">
      <c r="A184" s="7">
        <v>48823</v>
      </c>
      <c r="B184" s="8" t="s">
        <v>4</v>
      </c>
      <c r="C184" s="9">
        <v>18.7</v>
      </c>
      <c r="D184" s="10">
        <v>0</v>
      </c>
      <c r="E184">
        <f t="shared" si="6"/>
        <v>1</v>
      </c>
      <c r="F184">
        <f t="shared" si="5"/>
        <v>18.7</v>
      </c>
    </row>
    <row r="185" spans="1:6" hidden="1" x14ac:dyDescent="0.35">
      <c r="A185" s="11">
        <v>48824</v>
      </c>
      <c r="B185" s="12" t="s">
        <v>12</v>
      </c>
      <c r="C185" s="13">
        <v>24.3</v>
      </c>
      <c r="D185" s="14">
        <v>7.8</v>
      </c>
      <c r="E185">
        <f t="shared" si="6"/>
        <v>2</v>
      </c>
      <c r="F185">
        <f t="shared" si="5"/>
        <v>43</v>
      </c>
    </row>
    <row r="186" spans="1:6" hidden="1" x14ac:dyDescent="0.35">
      <c r="A186" s="7">
        <v>48825</v>
      </c>
      <c r="B186" s="8" t="s">
        <v>13</v>
      </c>
      <c r="C186" s="9">
        <v>29.3</v>
      </c>
      <c r="D186" s="10">
        <v>4.5999999999999996</v>
      </c>
      <c r="E186">
        <f t="shared" si="6"/>
        <v>3</v>
      </c>
      <c r="F186">
        <f t="shared" si="5"/>
        <v>72.3</v>
      </c>
    </row>
    <row r="187" spans="1:6" hidden="1" x14ac:dyDescent="0.35">
      <c r="A187" s="11">
        <v>48826</v>
      </c>
      <c r="B187" s="12" t="s">
        <v>7</v>
      </c>
      <c r="C187" s="13">
        <v>18.399999999999999</v>
      </c>
      <c r="D187" s="14">
        <v>0</v>
      </c>
      <c r="E187">
        <f t="shared" si="6"/>
        <v>4</v>
      </c>
      <c r="F187">
        <f t="shared" si="5"/>
        <v>90.699999999999989</v>
      </c>
    </row>
    <row r="188" spans="1:6" hidden="1" x14ac:dyDescent="0.35">
      <c r="A188" s="7">
        <v>48827</v>
      </c>
      <c r="B188" s="8" t="s">
        <v>7</v>
      </c>
      <c r="C188" s="9">
        <v>10.3</v>
      </c>
      <c r="D188" s="10">
        <v>16</v>
      </c>
      <c r="E188">
        <f t="shared" si="6"/>
        <v>5</v>
      </c>
      <c r="F188">
        <f t="shared" si="5"/>
        <v>100.99999999999999</v>
      </c>
    </row>
    <row r="189" spans="1:6" hidden="1" x14ac:dyDescent="0.35">
      <c r="A189" s="11">
        <v>48828</v>
      </c>
      <c r="B189" s="12" t="s">
        <v>10</v>
      </c>
      <c r="C189" s="13">
        <v>27.5</v>
      </c>
      <c r="D189" s="14">
        <v>0</v>
      </c>
      <c r="E189">
        <f t="shared" si="6"/>
        <v>6</v>
      </c>
      <c r="F189">
        <f t="shared" si="5"/>
        <v>128.5</v>
      </c>
    </row>
    <row r="190" spans="1:6" hidden="1" x14ac:dyDescent="0.35">
      <c r="A190" s="7">
        <v>48829</v>
      </c>
      <c r="B190" s="8" t="s">
        <v>7</v>
      </c>
      <c r="C190" s="9">
        <v>20.6</v>
      </c>
      <c r="D190" s="10">
        <v>15.7</v>
      </c>
      <c r="E190">
        <f t="shared" si="6"/>
        <v>7</v>
      </c>
      <c r="F190">
        <f t="shared" si="5"/>
        <v>149.1</v>
      </c>
    </row>
    <row r="191" spans="1:6" hidden="1" x14ac:dyDescent="0.35">
      <c r="A191" s="11">
        <v>48830</v>
      </c>
      <c r="B191" s="12" t="s">
        <v>11</v>
      </c>
      <c r="C191" s="13">
        <v>21.3</v>
      </c>
      <c r="D191" s="14">
        <v>0</v>
      </c>
      <c r="E191">
        <f t="shared" si="6"/>
        <v>1</v>
      </c>
      <c r="F191">
        <f t="shared" si="5"/>
        <v>21.3</v>
      </c>
    </row>
    <row r="192" spans="1:6" hidden="1" x14ac:dyDescent="0.35">
      <c r="A192" s="7">
        <v>48831</v>
      </c>
      <c r="B192" s="8" t="s">
        <v>19</v>
      </c>
      <c r="C192" s="9">
        <v>26.2</v>
      </c>
      <c r="D192" s="10">
        <v>0</v>
      </c>
      <c r="E192">
        <f t="shared" si="6"/>
        <v>2</v>
      </c>
      <c r="F192">
        <f t="shared" si="5"/>
        <v>47.5</v>
      </c>
    </row>
    <row r="193" spans="1:6" hidden="1" x14ac:dyDescent="0.35">
      <c r="A193" s="11">
        <v>48832</v>
      </c>
      <c r="B193" s="12" t="s">
        <v>10</v>
      </c>
      <c r="C193" s="13">
        <v>23.9</v>
      </c>
      <c r="D193" s="14">
        <v>0</v>
      </c>
      <c r="E193">
        <f t="shared" si="6"/>
        <v>3</v>
      </c>
      <c r="F193">
        <f t="shared" si="5"/>
        <v>71.400000000000006</v>
      </c>
    </row>
    <row r="194" spans="1:6" hidden="1" x14ac:dyDescent="0.35">
      <c r="A194" s="7">
        <v>48833</v>
      </c>
      <c r="B194" s="8" t="s">
        <v>27</v>
      </c>
      <c r="C194" s="9">
        <v>26.6</v>
      </c>
      <c r="D194" s="10">
        <v>1.6</v>
      </c>
      <c r="E194">
        <f t="shared" si="6"/>
        <v>4</v>
      </c>
      <c r="F194">
        <f t="shared" si="5"/>
        <v>98</v>
      </c>
    </row>
    <row r="195" spans="1:6" hidden="1" x14ac:dyDescent="0.35">
      <c r="A195" s="11">
        <v>48834</v>
      </c>
      <c r="B195" s="12" t="s">
        <v>10</v>
      </c>
      <c r="C195" s="13">
        <v>18.600000000000001</v>
      </c>
      <c r="D195" s="14">
        <v>20.399999999999999</v>
      </c>
      <c r="E195">
        <f t="shared" si="6"/>
        <v>5</v>
      </c>
      <c r="F195">
        <f t="shared" si="5"/>
        <v>116.6</v>
      </c>
    </row>
    <row r="196" spans="1:6" hidden="1" x14ac:dyDescent="0.35">
      <c r="A196" s="7">
        <v>48835</v>
      </c>
      <c r="B196" s="8" t="s">
        <v>18</v>
      </c>
      <c r="C196" s="9">
        <v>22.3</v>
      </c>
      <c r="D196" s="10">
        <v>1.7</v>
      </c>
      <c r="E196">
        <f t="shared" si="6"/>
        <v>6</v>
      </c>
      <c r="F196">
        <f t="shared" ref="F196:F259" si="7">IF(E195=7,C196,C196+F195)</f>
        <v>138.9</v>
      </c>
    </row>
    <row r="197" spans="1:6" hidden="1" x14ac:dyDescent="0.35">
      <c r="A197" s="11">
        <v>48836</v>
      </c>
      <c r="B197" s="12" t="s">
        <v>17</v>
      </c>
      <c r="C197" s="13">
        <v>18.399999999999999</v>
      </c>
      <c r="D197" s="14">
        <v>3.9</v>
      </c>
      <c r="E197">
        <f t="shared" si="6"/>
        <v>7</v>
      </c>
      <c r="F197">
        <f t="shared" si="7"/>
        <v>157.30000000000001</v>
      </c>
    </row>
    <row r="198" spans="1:6" hidden="1" x14ac:dyDescent="0.35">
      <c r="A198" s="7">
        <v>48837</v>
      </c>
      <c r="B198" s="8" t="s">
        <v>27</v>
      </c>
      <c r="C198" s="9">
        <v>28</v>
      </c>
      <c r="D198" s="10">
        <v>4.4000000000000004</v>
      </c>
      <c r="E198">
        <f t="shared" si="6"/>
        <v>1</v>
      </c>
      <c r="F198">
        <f t="shared" si="7"/>
        <v>28</v>
      </c>
    </row>
    <row r="199" spans="1:6" hidden="1" x14ac:dyDescent="0.35">
      <c r="A199" s="11">
        <v>48838</v>
      </c>
      <c r="B199" s="12" t="s">
        <v>10</v>
      </c>
      <c r="C199" s="13">
        <v>10.9</v>
      </c>
      <c r="D199" s="14">
        <v>32.9</v>
      </c>
      <c r="E199">
        <f t="shared" si="6"/>
        <v>2</v>
      </c>
      <c r="F199">
        <f t="shared" si="7"/>
        <v>38.9</v>
      </c>
    </row>
    <row r="200" spans="1:6" hidden="1" x14ac:dyDescent="0.35">
      <c r="A200" s="7">
        <v>48839</v>
      </c>
      <c r="B200" s="8" t="s">
        <v>19</v>
      </c>
      <c r="C200" s="9">
        <v>25.1</v>
      </c>
      <c r="D200" s="10">
        <v>33.299999999999997</v>
      </c>
      <c r="E200">
        <f t="shared" si="6"/>
        <v>3</v>
      </c>
      <c r="F200">
        <f t="shared" si="7"/>
        <v>64</v>
      </c>
    </row>
    <row r="201" spans="1:6" hidden="1" x14ac:dyDescent="0.35">
      <c r="A201" s="11">
        <v>48840</v>
      </c>
      <c r="B201" s="12" t="s">
        <v>28</v>
      </c>
      <c r="C201" s="13">
        <v>10.7</v>
      </c>
      <c r="D201" s="14">
        <v>0.3</v>
      </c>
      <c r="E201">
        <f t="shared" si="6"/>
        <v>4</v>
      </c>
      <c r="F201">
        <f t="shared" si="7"/>
        <v>74.7</v>
      </c>
    </row>
    <row r="202" spans="1:6" hidden="1" x14ac:dyDescent="0.35">
      <c r="A202" s="7">
        <v>48841</v>
      </c>
      <c r="B202" s="8" t="s">
        <v>10</v>
      </c>
      <c r="C202" s="9">
        <v>26.1</v>
      </c>
      <c r="D202" s="10">
        <v>31</v>
      </c>
      <c r="E202">
        <f t="shared" ref="E202:E265" si="8">IF(E201=7,1,E201+1)</f>
        <v>5</v>
      </c>
      <c r="F202">
        <f t="shared" si="7"/>
        <v>100.80000000000001</v>
      </c>
    </row>
    <row r="203" spans="1:6" hidden="1" x14ac:dyDescent="0.35">
      <c r="A203" s="11">
        <v>48842</v>
      </c>
      <c r="B203" s="12" t="s">
        <v>11</v>
      </c>
      <c r="C203" s="13">
        <v>15.2</v>
      </c>
      <c r="D203" s="14">
        <v>12.7</v>
      </c>
      <c r="E203">
        <f t="shared" si="8"/>
        <v>6</v>
      </c>
      <c r="F203">
        <f t="shared" si="7"/>
        <v>116.00000000000001</v>
      </c>
    </row>
    <row r="204" spans="1:6" hidden="1" x14ac:dyDescent="0.35">
      <c r="A204" s="7">
        <v>48843</v>
      </c>
      <c r="B204" s="8" t="s">
        <v>14</v>
      </c>
      <c r="C204" s="9">
        <v>28.8</v>
      </c>
      <c r="D204" s="10">
        <v>4.3</v>
      </c>
      <c r="E204">
        <f t="shared" si="8"/>
        <v>7</v>
      </c>
      <c r="F204">
        <f t="shared" si="7"/>
        <v>144.80000000000001</v>
      </c>
    </row>
    <row r="205" spans="1:6" hidden="1" x14ac:dyDescent="0.35">
      <c r="A205" s="11">
        <v>48844</v>
      </c>
      <c r="B205" s="12" t="s">
        <v>26</v>
      </c>
      <c r="C205" s="13">
        <v>10.3</v>
      </c>
      <c r="D205" s="14">
        <v>0</v>
      </c>
      <c r="E205">
        <f t="shared" si="8"/>
        <v>1</v>
      </c>
      <c r="F205">
        <f t="shared" si="7"/>
        <v>10.3</v>
      </c>
    </row>
    <row r="206" spans="1:6" hidden="1" x14ac:dyDescent="0.35">
      <c r="A206" s="7">
        <v>48845</v>
      </c>
      <c r="B206" s="8" t="s">
        <v>6</v>
      </c>
      <c r="C206" s="9">
        <v>14.9</v>
      </c>
      <c r="D206" s="10">
        <v>0.1</v>
      </c>
      <c r="E206">
        <f t="shared" si="8"/>
        <v>2</v>
      </c>
      <c r="F206">
        <f t="shared" si="7"/>
        <v>25.200000000000003</v>
      </c>
    </row>
    <row r="207" spans="1:6" hidden="1" x14ac:dyDescent="0.35">
      <c r="A207" s="11">
        <v>48846</v>
      </c>
      <c r="B207" s="12" t="s">
        <v>10</v>
      </c>
      <c r="C207" s="13">
        <v>11.3</v>
      </c>
      <c r="D207" s="14">
        <v>0</v>
      </c>
      <c r="E207">
        <f t="shared" si="8"/>
        <v>3</v>
      </c>
      <c r="F207">
        <f t="shared" si="7"/>
        <v>36.5</v>
      </c>
    </row>
    <row r="208" spans="1:6" hidden="1" x14ac:dyDescent="0.35">
      <c r="A208" s="7">
        <v>48847</v>
      </c>
      <c r="B208" s="8" t="s">
        <v>10</v>
      </c>
      <c r="C208" s="9">
        <v>20.8</v>
      </c>
      <c r="D208" s="10">
        <v>34.9</v>
      </c>
      <c r="E208">
        <f t="shared" si="8"/>
        <v>4</v>
      </c>
      <c r="F208">
        <f t="shared" si="7"/>
        <v>57.3</v>
      </c>
    </row>
    <row r="209" spans="1:6" hidden="1" x14ac:dyDescent="0.35">
      <c r="A209" s="11">
        <v>48848</v>
      </c>
      <c r="B209" s="12" t="s">
        <v>19</v>
      </c>
      <c r="C209" s="13">
        <v>18.2</v>
      </c>
      <c r="D209" s="14">
        <v>0</v>
      </c>
      <c r="E209">
        <f t="shared" si="8"/>
        <v>5</v>
      </c>
      <c r="F209">
        <f t="shared" si="7"/>
        <v>75.5</v>
      </c>
    </row>
    <row r="210" spans="1:6" hidden="1" x14ac:dyDescent="0.35">
      <c r="A210" s="7">
        <v>48849</v>
      </c>
      <c r="B210" s="8" t="s">
        <v>17</v>
      </c>
      <c r="C210" s="9">
        <v>12.7</v>
      </c>
      <c r="D210" s="10">
        <v>5.3</v>
      </c>
      <c r="E210">
        <f t="shared" si="8"/>
        <v>6</v>
      </c>
      <c r="F210">
        <f t="shared" si="7"/>
        <v>88.2</v>
      </c>
    </row>
    <row r="211" spans="1:6" hidden="1" x14ac:dyDescent="0.35">
      <c r="A211" s="11">
        <v>48850</v>
      </c>
      <c r="B211" s="12" t="s">
        <v>14</v>
      </c>
      <c r="C211" s="13">
        <v>21.4</v>
      </c>
      <c r="D211" s="14">
        <v>8.3000000000000007</v>
      </c>
      <c r="E211">
        <f t="shared" si="8"/>
        <v>7</v>
      </c>
      <c r="F211">
        <f t="shared" si="7"/>
        <v>109.6</v>
      </c>
    </row>
    <row r="212" spans="1:6" hidden="1" x14ac:dyDescent="0.35">
      <c r="A212" s="7">
        <v>48851</v>
      </c>
      <c r="B212" s="8" t="s">
        <v>6</v>
      </c>
      <c r="C212" s="9">
        <v>21.3</v>
      </c>
      <c r="D212" s="10">
        <v>11.8</v>
      </c>
      <c r="E212">
        <f t="shared" si="8"/>
        <v>1</v>
      </c>
      <c r="F212">
        <f t="shared" si="7"/>
        <v>21.3</v>
      </c>
    </row>
    <row r="213" spans="1:6" hidden="1" x14ac:dyDescent="0.35">
      <c r="A213" s="11">
        <v>48852</v>
      </c>
      <c r="B213" s="12" t="s">
        <v>17</v>
      </c>
      <c r="C213" s="13">
        <v>20.7</v>
      </c>
      <c r="D213" s="14">
        <v>3.9</v>
      </c>
      <c r="E213">
        <f t="shared" si="8"/>
        <v>2</v>
      </c>
      <c r="F213">
        <f t="shared" si="7"/>
        <v>42</v>
      </c>
    </row>
    <row r="214" spans="1:6" hidden="1" x14ac:dyDescent="0.35">
      <c r="A214" s="7">
        <v>48853</v>
      </c>
      <c r="B214" s="8" t="s">
        <v>20</v>
      </c>
      <c r="C214" s="9">
        <v>19.7</v>
      </c>
      <c r="D214" s="10">
        <v>0</v>
      </c>
      <c r="E214">
        <f t="shared" si="8"/>
        <v>3</v>
      </c>
      <c r="F214">
        <f t="shared" si="7"/>
        <v>61.7</v>
      </c>
    </row>
    <row r="215" spans="1:6" hidden="1" x14ac:dyDescent="0.35">
      <c r="A215" s="11">
        <v>48854</v>
      </c>
      <c r="B215" s="12" t="s">
        <v>11</v>
      </c>
      <c r="C215" s="13">
        <v>27.2</v>
      </c>
      <c r="D215" s="14">
        <v>17.600000000000001</v>
      </c>
      <c r="E215">
        <f t="shared" si="8"/>
        <v>4</v>
      </c>
      <c r="F215">
        <f t="shared" si="7"/>
        <v>88.9</v>
      </c>
    </row>
    <row r="216" spans="1:6" hidden="1" x14ac:dyDescent="0.35">
      <c r="A216" s="7">
        <v>48855</v>
      </c>
      <c r="B216" s="8" t="s">
        <v>25</v>
      </c>
      <c r="C216" s="9">
        <v>16.600000000000001</v>
      </c>
      <c r="D216" s="10">
        <v>1.7</v>
      </c>
      <c r="E216">
        <f t="shared" si="8"/>
        <v>5</v>
      </c>
      <c r="F216">
        <f t="shared" si="7"/>
        <v>105.5</v>
      </c>
    </row>
    <row r="217" spans="1:6" hidden="1" x14ac:dyDescent="0.35">
      <c r="A217" s="11">
        <v>48856</v>
      </c>
      <c r="B217" s="12" t="s">
        <v>11</v>
      </c>
      <c r="C217" s="13">
        <v>22.3</v>
      </c>
      <c r="D217" s="14">
        <v>0</v>
      </c>
      <c r="E217">
        <f t="shared" si="8"/>
        <v>6</v>
      </c>
      <c r="F217">
        <f t="shared" si="7"/>
        <v>127.8</v>
      </c>
    </row>
    <row r="218" spans="1:6" hidden="1" x14ac:dyDescent="0.35">
      <c r="A218" s="7">
        <v>48857</v>
      </c>
      <c r="B218" s="8" t="s">
        <v>10</v>
      </c>
      <c r="C218" s="9">
        <v>18</v>
      </c>
      <c r="D218" s="10">
        <v>40.799999999999997</v>
      </c>
      <c r="E218">
        <f t="shared" si="8"/>
        <v>7</v>
      </c>
      <c r="F218">
        <f t="shared" si="7"/>
        <v>145.80000000000001</v>
      </c>
    </row>
    <row r="219" spans="1:6" hidden="1" x14ac:dyDescent="0.35">
      <c r="A219" s="11">
        <v>48858</v>
      </c>
      <c r="B219" s="12" t="s">
        <v>24</v>
      </c>
      <c r="C219" s="13">
        <v>21.8</v>
      </c>
      <c r="D219" s="14">
        <v>0</v>
      </c>
      <c r="E219">
        <f t="shared" si="8"/>
        <v>1</v>
      </c>
      <c r="F219">
        <f t="shared" si="7"/>
        <v>21.8</v>
      </c>
    </row>
    <row r="220" spans="1:6" hidden="1" x14ac:dyDescent="0.35">
      <c r="A220" s="7">
        <v>48859</v>
      </c>
      <c r="B220" s="8" t="s">
        <v>6</v>
      </c>
      <c r="C220" s="9">
        <v>22.2</v>
      </c>
      <c r="D220" s="10">
        <v>11.2</v>
      </c>
      <c r="E220">
        <f t="shared" si="8"/>
        <v>2</v>
      </c>
      <c r="F220">
        <f t="shared" si="7"/>
        <v>44</v>
      </c>
    </row>
    <row r="221" spans="1:6" hidden="1" x14ac:dyDescent="0.35">
      <c r="A221" s="11">
        <v>48860</v>
      </c>
      <c r="B221" s="12" t="s">
        <v>6</v>
      </c>
      <c r="C221" s="13">
        <v>20</v>
      </c>
      <c r="D221" s="14">
        <v>0</v>
      </c>
      <c r="E221">
        <f t="shared" si="8"/>
        <v>3</v>
      </c>
      <c r="F221">
        <f t="shared" si="7"/>
        <v>64</v>
      </c>
    </row>
    <row r="222" spans="1:6" hidden="1" x14ac:dyDescent="0.35">
      <c r="A222" s="7">
        <v>48861</v>
      </c>
      <c r="B222" s="8" t="s">
        <v>32</v>
      </c>
      <c r="C222" s="9">
        <v>29.4</v>
      </c>
      <c r="D222" s="10">
        <v>0.7</v>
      </c>
      <c r="E222">
        <f t="shared" si="8"/>
        <v>4</v>
      </c>
      <c r="F222">
        <f t="shared" si="7"/>
        <v>93.4</v>
      </c>
    </row>
    <row r="223" spans="1:6" hidden="1" x14ac:dyDescent="0.35">
      <c r="A223" s="11">
        <v>48862</v>
      </c>
      <c r="B223" s="12" t="s">
        <v>10</v>
      </c>
      <c r="C223" s="13">
        <v>23.6</v>
      </c>
      <c r="D223" s="14">
        <v>0</v>
      </c>
      <c r="E223">
        <f t="shared" si="8"/>
        <v>5</v>
      </c>
      <c r="F223">
        <f t="shared" si="7"/>
        <v>117</v>
      </c>
    </row>
    <row r="224" spans="1:6" hidden="1" x14ac:dyDescent="0.35">
      <c r="A224" s="7">
        <v>48863</v>
      </c>
      <c r="B224" s="8" t="s">
        <v>7</v>
      </c>
      <c r="C224" s="9">
        <v>16.3</v>
      </c>
      <c r="D224" s="10">
        <v>22</v>
      </c>
      <c r="E224">
        <f t="shared" si="8"/>
        <v>6</v>
      </c>
      <c r="F224">
        <f t="shared" si="7"/>
        <v>133.30000000000001</v>
      </c>
    </row>
    <row r="225" spans="1:6" hidden="1" x14ac:dyDescent="0.35">
      <c r="A225" s="11">
        <v>48864</v>
      </c>
      <c r="B225" s="12" t="s">
        <v>15</v>
      </c>
      <c r="C225" s="13">
        <v>15</v>
      </c>
      <c r="D225" s="14">
        <v>0</v>
      </c>
      <c r="E225">
        <f t="shared" si="8"/>
        <v>7</v>
      </c>
      <c r="F225">
        <f t="shared" si="7"/>
        <v>148.30000000000001</v>
      </c>
    </row>
    <row r="226" spans="1:6" hidden="1" x14ac:dyDescent="0.35">
      <c r="A226" s="7">
        <v>48865</v>
      </c>
      <c r="B226" s="8" t="s">
        <v>14</v>
      </c>
      <c r="C226" s="9">
        <v>10.8</v>
      </c>
      <c r="D226" s="10">
        <v>0</v>
      </c>
      <c r="E226">
        <f t="shared" si="8"/>
        <v>1</v>
      </c>
      <c r="F226">
        <f t="shared" si="7"/>
        <v>10.8</v>
      </c>
    </row>
    <row r="227" spans="1:6" hidden="1" x14ac:dyDescent="0.35">
      <c r="A227" s="11">
        <v>48866</v>
      </c>
      <c r="B227" s="12" t="s">
        <v>19</v>
      </c>
      <c r="C227" s="13">
        <v>10.5</v>
      </c>
      <c r="D227" s="14">
        <v>0</v>
      </c>
      <c r="E227">
        <f t="shared" si="8"/>
        <v>2</v>
      </c>
      <c r="F227">
        <f t="shared" si="7"/>
        <v>21.3</v>
      </c>
    </row>
    <row r="228" spans="1:6" hidden="1" x14ac:dyDescent="0.35">
      <c r="A228" s="7">
        <v>48867</v>
      </c>
      <c r="B228" s="8" t="s">
        <v>5</v>
      </c>
      <c r="C228" s="9">
        <v>20.3</v>
      </c>
      <c r="D228" s="10">
        <v>0</v>
      </c>
      <c r="E228">
        <f t="shared" si="8"/>
        <v>3</v>
      </c>
      <c r="F228">
        <f t="shared" si="7"/>
        <v>41.6</v>
      </c>
    </row>
    <row r="229" spans="1:6" hidden="1" x14ac:dyDescent="0.35">
      <c r="A229" s="11">
        <v>48868</v>
      </c>
      <c r="B229" s="12" t="s">
        <v>10</v>
      </c>
      <c r="C229" s="13">
        <v>13.1</v>
      </c>
      <c r="D229" s="14">
        <v>50.4</v>
      </c>
      <c r="E229">
        <f t="shared" si="8"/>
        <v>4</v>
      </c>
      <c r="F229">
        <f t="shared" si="7"/>
        <v>54.7</v>
      </c>
    </row>
    <row r="230" spans="1:6" hidden="1" x14ac:dyDescent="0.35">
      <c r="A230" s="7">
        <v>48869</v>
      </c>
      <c r="B230" s="8" t="s">
        <v>12</v>
      </c>
      <c r="C230" s="9">
        <v>24.8</v>
      </c>
      <c r="D230" s="10">
        <v>7.9</v>
      </c>
      <c r="E230">
        <f t="shared" si="8"/>
        <v>5</v>
      </c>
      <c r="F230">
        <f t="shared" si="7"/>
        <v>79.5</v>
      </c>
    </row>
    <row r="231" spans="1:6" hidden="1" x14ac:dyDescent="0.35">
      <c r="A231" s="11">
        <v>48870</v>
      </c>
      <c r="B231" s="12" t="s">
        <v>11</v>
      </c>
      <c r="C231" s="13">
        <v>23.6</v>
      </c>
      <c r="D231" s="14">
        <v>0.8</v>
      </c>
      <c r="E231">
        <f t="shared" si="8"/>
        <v>6</v>
      </c>
      <c r="F231">
        <f t="shared" si="7"/>
        <v>103.1</v>
      </c>
    </row>
    <row r="232" spans="1:6" hidden="1" x14ac:dyDescent="0.35">
      <c r="A232" s="7">
        <v>48871</v>
      </c>
      <c r="B232" s="8" t="s">
        <v>17</v>
      </c>
      <c r="C232" s="9">
        <v>17.899999999999999</v>
      </c>
      <c r="D232" s="10">
        <v>0</v>
      </c>
      <c r="E232">
        <f t="shared" si="8"/>
        <v>7</v>
      </c>
      <c r="F232">
        <f t="shared" si="7"/>
        <v>121</v>
      </c>
    </row>
    <row r="233" spans="1:6" hidden="1" x14ac:dyDescent="0.35">
      <c r="A233" s="11">
        <v>48872</v>
      </c>
      <c r="B233" s="12" t="s">
        <v>12</v>
      </c>
      <c r="C233" s="13">
        <v>23.2</v>
      </c>
      <c r="D233" s="14">
        <v>3</v>
      </c>
      <c r="E233">
        <f t="shared" si="8"/>
        <v>1</v>
      </c>
      <c r="F233">
        <f t="shared" si="7"/>
        <v>23.2</v>
      </c>
    </row>
    <row r="234" spans="1:6" hidden="1" x14ac:dyDescent="0.35">
      <c r="A234" s="7">
        <v>48873</v>
      </c>
      <c r="B234" s="8" t="s">
        <v>8</v>
      </c>
      <c r="C234" s="9">
        <v>21.8</v>
      </c>
      <c r="D234" s="10">
        <v>2</v>
      </c>
      <c r="E234">
        <f t="shared" si="8"/>
        <v>2</v>
      </c>
      <c r="F234">
        <f t="shared" si="7"/>
        <v>45</v>
      </c>
    </row>
    <row r="235" spans="1:6" hidden="1" x14ac:dyDescent="0.35">
      <c r="A235" s="11">
        <v>48874</v>
      </c>
      <c r="B235" s="12" t="s">
        <v>26</v>
      </c>
      <c r="C235" s="13">
        <v>22.2</v>
      </c>
      <c r="D235" s="14">
        <v>3.1</v>
      </c>
      <c r="E235">
        <f t="shared" si="8"/>
        <v>3</v>
      </c>
      <c r="F235">
        <f t="shared" si="7"/>
        <v>67.2</v>
      </c>
    </row>
    <row r="236" spans="1:6" hidden="1" x14ac:dyDescent="0.35">
      <c r="A236" s="7">
        <v>48875</v>
      </c>
      <c r="B236" s="8" t="s">
        <v>15</v>
      </c>
      <c r="C236" s="9">
        <v>29</v>
      </c>
      <c r="D236" s="10">
        <v>16.399999999999999</v>
      </c>
      <c r="E236">
        <f t="shared" si="8"/>
        <v>4</v>
      </c>
      <c r="F236">
        <f t="shared" si="7"/>
        <v>96.2</v>
      </c>
    </row>
    <row r="237" spans="1:6" hidden="1" x14ac:dyDescent="0.35">
      <c r="A237" s="11">
        <v>48876</v>
      </c>
      <c r="B237" s="12" t="s">
        <v>24</v>
      </c>
      <c r="C237" s="13">
        <v>24.6</v>
      </c>
      <c r="D237" s="14">
        <v>1.7</v>
      </c>
      <c r="E237">
        <f t="shared" si="8"/>
        <v>5</v>
      </c>
      <c r="F237">
        <f t="shared" si="7"/>
        <v>120.80000000000001</v>
      </c>
    </row>
    <row r="238" spans="1:6" hidden="1" x14ac:dyDescent="0.35">
      <c r="A238" s="7">
        <v>48877</v>
      </c>
      <c r="B238" s="8" t="s">
        <v>12</v>
      </c>
      <c r="C238" s="9">
        <v>23.4</v>
      </c>
      <c r="D238" s="10">
        <v>0.6</v>
      </c>
      <c r="E238">
        <f t="shared" si="8"/>
        <v>6</v>
      </c>
      <c r="F238">
        <f t="shared" si="7"/>
        <v>144.20000000000002</v>
      </c>
    </row>
    <row r="239" spans="1:6" hidden="1" x14ac:dyDescent="0.35">
      <c r="A239" s="11">
        <v>48878</v>
      </c>
      <c r="B239" s="12" t="s">
        <v>15</v>
      </c>
      <c r="C239" s="13">
        <v>21</v>
      </c>
      <c r="D239" s="14">
        <v>0</v>
      </c>
      <c r="E239">
        <f t="shared" si="8"/>
        <v>7</v>
      </c>
      <c r="F239">
        <f t="shared" si="7"/>
        <v>165.20000000000002</v>
      </c>
    </row>
    <row r="240" spans="1:6" hidden="1" x14ac:dyDescent="0.35">
      <c r="A240" s="7">
        <v>48879</v>
      </c>
      <c r="B240" s="8" t="s">
        <v>5</v>
      </c>
      <c r="C240" s="9">
        <v>22</v>
      </c>
      <c r="D240" s="10">
        <v>0</v>
      </c>
      <c r="E240">
        <f t="shared" si="8"/>
        <v>1</v>
      </c>
      <c r="F240">
        <f t="shared" si="7"/>
        <v>22</v>
      </c>
    </row>
    <row r="241" spans="1:6" hidden="1" x14ac:dyDescent="0.35">
      <c r="A241" s="11">
        <v>48880</v>
      </c>
      <c r="B241" s="12" t="s">
        <v>9</v>
      </c>
      <c r="C241" s="13">
        <v>29.9</v>
      </c>
      <c r="D241" s="14">
        <v>8</v>
      </c>
      <c r="E241">
        <f t="shared" si="8"/>
        <v>2</v>
      </c>
      <c r="F241">
        <f t="shared" si="7"/>
        <v>51.9</v>
      </c>
    </row>
    <row r="242" spans="1:6" hidden="1" x14ac:dyDescent="0.35">
      <c r="A242" s="7">
        <v>48881</v>
      </c>
      <c r="B242" s="8" t="s">
        <v>7</v>
      </c>
      <c r="C242" s="9">
        <v>27.2</v>
      </c>
      <c r="D242" s="10">
        <v>19.2</v>
      </c>
      <c r="E242">
        <f t="shared" si="8"/>
        <v>3</v>
      </c>
      <c r="F242">
        <f t="shared" si="7"/>
        <v>79.099999999999994</v>
      </c>
    </row>
    <row r="243" spans="1:6" hidden="1" x14ac:dyDescent="0.35">
      <c r="A243" s="11">
        <v>48882</v>
      </c>
      <c r="B243" s="12" t="s">
        <v>19</v>
      </c>
      <c r="C243" s="13">
        <v>10.9</v>
      </c>
      <c r="D243" s="14">
        <v>9</v>
      </c>
      <c r="E243">
        <f t="shared" si="8"/>
        <v>4</v>
      </c>
      <c r="F243">
        <f t="shared" si="7"/>
        <v>90</v>
      </c>
    </row>
    <row r="244" spans="1:6" hidden="1" x14ac:dyDescent="0.35">
      <c r="A244" s="7">
        <v>48883</v>
      </c>
      <c r="B244" s="8" t="s">
        <v>9</v>
      </c>
      <c r="C244" s="9">
        <v>22.6</v>
      </c>
      <c r="D244" s="10">
        <v>5.9</v>
      </c>
      <c r="E244">
        <f t="shared" si="8"/>
        <v>5</v>
      </c>
      <c r="F244">
        <f t="shared" si="7"/>
        <v>112.6</v>
      </c>
    </row>
    <row r="245" spans="1:6" hidden="1" x14ac:dyDescent="0.35">
      <c r="A245" s="11">
        <v>48884</v>
      </c>
      <c r="B245" s="12" t="s">
        <v>23</v>
      </c>
      <c r="C245" s="13">
        <v>12</v>
      </c>
      <c r="D245" s="14">
        <v>3.9</v>
      </c>
      <c r="E245">
        <f t="shared" si="8"/>
        <v>6</v>
      </c>
      <c r="F245">
        <f t="shared" si="7"/>
        <v>124.6</v>
      </c>
    </row>
    <row r="246" spans="1:6" hidden="1" x14ac:dyDescent="0.35">
      <c r="A246" s="7">
        <v>48885</v>
      </c>
      <c r="B246" s="8" t="s">
        <v>15</v>
      </c>
      <c r="C246" s="9">
        <v>19.5</v>
      </c>
      <c r="D246" s="10">
        <v>14.2</v>
      </c>
      <c r="E246">
        <f t="shared" si="8"/>
        <v>7</v>
      </c>
      <c r="F246">
        <f t="shared" si="7"/>
        <v>144.1</v>
      </c>
    </row>
    <row r="247" spans="1:6" hidden="1" x14ac:dyDescent="0.35">
      <c r="A247" s="11">
        <v>48886</v>
      </c>
      <c r="B247" s="12" t="s">
        <v>10</v>
      </c>
      <c r="C247" s="13">
        <v>27</v>
      </c>
      <c r="D247" s="14">
        <v>10.9</v>
      </c>
      <c r="E247">
        <f t="shared" si="8"/>
        <v>1</v>
      </c>
      <c r="F247">
        <f t="shared" si="7"/>
        <v>27</v>
      </c>
    </row>
    <row r="248" spans="1:6" hidden="1" x14ac:dyDescent="0.35">
      <c r="A248" s="7">
        <v>48887</v>
      </c>
      <c r="B248" s="8" t="s">
        <v>22</v>
      </c>
      <c r="C248" s="9">
        <v>10.7</v>
      </c>
      <c r="D248" s="10">
        <v>5.6</v>
      </c>
      <c r="E248">
        <f t="shared" si="8"/>
        <v>2</v>
      </c>
      <c r="F248">
        <f t="shared" si="7"/>
        <v>37.700000000000003</v>
      </c>
    </row>
    <row r="249" spans="1:6" hidden="1" x14ac:dyDescent="0.35">
      <c r="A249" s="11">
        <v>48888</v>
      </c>
      <c r="B249" s="12" t="s">
        <v>19</v>
      </c>
      <c r="C249" s="13">
        <v>29.1</v>
      </c>
      <c r="D249" s="14">
        <v>0</v>
      </c>
      <c r="E249">
        <f t="shared" si="8"/>
        <v>3</v>
      </c>
      <c r="F249">
        <f t="shared" si="7"/>
        <v>66.800000000000011</v>
      </c>
    </row>
    <row r="250" spans="1:6" hidden="1" x14ac:dyDescent="0.35">
      <c r="A250" s="7">
        <v>48889</v>
      </c>
      <c r="B250" s="8" t="s">
        <v>27</v>
      </c>
      <c r="C250" s="9">
        <v>25.3</v>
      </c>
      <c r="D250" s="10">
        <v>0</v>
      </c>
      <c r="E250">
        <f t="shared" si="8"/>
        <v>4</v>
      </c>
      <c r="F250">
        <f t="shared" si="7"/>
        <v>92.100000000000009</v>
      </c>
    </row>
    <row r="251" spans="1:6" hidden="1" x14ac:dyDescent="0.35">
      <c r="A251" s="11">
        <v>48890</v>
      </c>
      <c r="B251" s="12" t="s">
        <v>6</v>
      </c>
      <c r="C251" s="13">
        <v>13.3</v>
      </c>
      <c r="D251" s="14">
        <v>4.4000000000000004</v>
      </c>
      <c r="E251">
        <f t="shared" si="8"/>
        <v>5</v>
      </c>
      <c r="F251">
        <f t="shared" si="7"/>
        <v>105.4</v>
      </c>
    </row>
    <row r="252" spans="1:6" hidden="1" x14ac:dyDescent="0.35">
      <c r="A252" s="7">
        <v>48891</v>
      </c>
      <c r="B252" s="8" t="s">
        <v>7</v>
      </c>
      <c r="C252" s="9">
        <v>16.899999999999999</v>
      </c>
      <c r="D252" s="10">
        <v>0</v>
      </c>
      <c r="E252">
        <f t="shared" si="8"/>
        <v>6</v>
      </c>
      <c r="F252">
        <f t="shared" si="7"/>
        <v>122.30000000000001</v>
      </c>
    </row>
    <row r="253" spans="1:6" hidden="1" x14ac:dyDescent="0.35">
      <c r="A253" s="11">
        <v>48892</v>
      </c>
      <c r="B253" s="12" t="s">
        <v>15</v>
      </c>
      <c r="C253" s="13">
        <v>26.4</v>
      </c>
      <c r="D253" s="14">
        <v>6.8</v>
      </c>
      <c r="E253">
        <f t="shared" si="8"/>
        <v>7</v>
      </c>
      <c r="F253">
        <f t="shared" si="7"/>
        <v>148.70000000000002</v>
      </c>
    </row>
    <row r="254" spans="1:6" hidden="1" x14ac:dyDescent="0.35">
      <c r="A254" s="7">
        <v>48893</v>
      </c>
      <c r="B254" s="8" t="s">
        <v>14</v>
      </c>
      <c r="C254" s="9">
        <v>29.7</v>
      </c>
      <c r="D254" s="10">
        <v>0</v>
      </c>
      <c r="E254">
        <f t="shared" si="8"/>
        <v>1</v>
      </c>
      <c r="F254">
        <f t="shared" si="7"/>
        <v>29.7</v>
      </c>
    </row>
    <row r="255" spans="1:6" hidden="1" x14ac:dyDescent="0.35">
      <c r="A255" s="11">
        <v>48894</v>
      </c>
      <c r="B255" s="12" t="s">
        <v>7</v>
      </c>
      <c r="C255" s="13">
        <v>17.600000000000001</v>
      </c>
      <c r="D255" s="14">
        <v>8.6999999999999993</v>
      </c>
      <c r="E255">
        <f t="shared" si="8"/>
        <v>2</v>
      </c>
      <c r="F255">
        <f t="shared" si="7"/>
        <v>47.3</v>
      </c>
    </row>
    <row r="256" spans="1:6" hidden="1" x14ac:dyDescent="0.35">
      <c r="A256" s="7">
        <v>48895</v>
      </c>
      <c r="B256" s="8" t="s">
        <v>17</v>
      </c>
      <c r="C256" s="9">
        <v>13.2</v>
      </c>
      <c r="D256" s="10">
        <v>3.3</v>
      </c>
      <c r="E256">
        <f t="shared" si="8"/>
        <v>3</v>
      </c>
      <c r="F256">
        <f t="shared" si="7"/>
        <v>60.5</v>
      </c>
    </row>
    <row r="257" spans="1:6" hidden="1" x14ac:dyDescent="0.35">
      <c r="A257" s="11">
        <v>48896</v>
      </c>
      <c r="B257" s="12" t="s">
        <v>15</v>
      </c>
      <c r="C257" s="13">
        <v>21.2</v>
      </c>
      <c r="D257" s="14">
        <v>0</v>
      </c>
      <c r="E257">
        <f t="shared" si="8"/>
        <v>4</v>
      </c>
      <c r="F257">
        <f t="shared" si="7"/>
        <v>81.7</v>
      </c>
    </row>
    <row r="258" spans="1:6" hidden="1" x14ac:dyDescent="0.35">
      <c r="A258" s="7">
        <v>48897</v>
      </c>
      <c r="B258" s="8" t="s">
        <v>15</v>
      </c>
      <c r="C258" s="9">
        <v>23</v>
      </c>
      <c r="D258" s="10">
        <v>7.7</v>
      </c>
      <c r="E258">
        <f t="shared" si="8"/>
        <v>5</v>
      </c>
      <c r="F258">
        <f t="shared" si="7"/>
        <v>104.7</v>
      </c>
    </row>
    <row r="259" spans="1:6" hidden="1" x14ac:dyDescent="0.35">
      <c r="A259" s="11">
        <v>48898</v>
      </c>
      <c r="B259" s="12" t="s">
        <v>11</v>
      </c>
      <c r="C259" s="13">
        <v>23</v>
      </c>
      <c r="D259" s="14">
        <v>0</v>
      </c>
      <c r="E259">
        <f t="shared" si="8"/>
        <v>6</v>
      </c>
      <c r="F259">
        <f t="shared" si="7"/>
        <v>127.7</v>
      </c>
    </row>
    <row r="260" spans="1:6" hidden="1" x14ac:dyDescent="0.35">
      <c r="A260" s="7">
        <v>48899</v>
      </c>
      <c r="B260" s="8" t="s">
        <v>11</v>
      </c>
      <c r="C260" s="9">
        <v>23.4</v>
      </c>
      <c r="D260" s="10">
        <v>0</v>
      </c>
      <c r="E260">
        <f t="shared" si="8"/>
        <v>7</v>
      </c>
      <c r="F260">
        <f t="shared" ref="F260:F323" si="9">IF(E259=7,C260,C260+F259)</f>
        <v>151.1</v>
      </c>
    </row>
    <row r="261" spans="1:6" hidden="1" x14ac:dyDescent="0.35">
      <c r="A261" s="11">
        <v>48900</v>
      </c>
      <c r="B261" s="12" t="s">
        <v>7</v>
      </c>
      <c r="C261" s="13">
        <v>28.7</v>
      </c>
      <c r="D261" s="14">
        <v>3.3</v>
      </c>
      <c r="E261">
        <f t="shared" si="8"/>
        <v>1</v>
      </c>
      <c r="F261">
        <f t="shared" si="9"/>
        <v>28.7</v>
      </c>
    </row>
    <row r="262" spans="1:6" hidden="1" x14ac:dyDescent="0.35">
      <c r="A262" s="7">
        <v>48901</v>
      </c>
      <c r="B262" s="8" t="s">
        <v>26</v>
      </c>
      <c r="C262" s="9">
        <v>23.6</v>
      </c>
      <c r="D262" s="10">
        <v>4.3</v>
      </c>
      <c r="E262">
        <f t="shared" si="8"/>
        <v>2</v>
      </c>
      <c r="F262">
        <f t="shared" si="9"/>
        <v>52.3</v>
      </c>
    </row>
    <row r="263" spans="1:6" hidden="1" x14ac:dyDescent="0.35">
      <c r="A263" s="11">
        <v>48902</v>
      </c>
      <c r="B263" s="12" t="s">
        <v>6</v>
      </c>
      <c r="C263" s="13">
        <v>10.199999999999999</v>
      </c>
      <c r="D263" s="14">
        <v>8.6999999999999993</v>
      </c>
      <c r="E263">
        <f t="shared" si="8"/>
        <v>3</v>
      </c>
      <c r="F263">
        <f t="shared" si="9"/>
        <v>62.5</v>
      </c>
    </row>
    <row r="264" spans="1:6" hidden="1" x14ac:dyDescent="0.35">
      <c r="A264" s="7">
        <v>48903</v>
      </c>
      <c r="B264" s="8" t="s">
        <v>9</v>
      </c>
      <c r="C264" s="9">
        <v>13.8</v>
      </c>
      <c r="D264" s="10">
        <v>0</v>
      </c>
      <c r="E264">
        <f t="shared" si="8"/>
        <v>4</v>
      </c>
      <c r="F264">
        <f t="shared" si="9"/>
        <v>76.3</v>
      </c>
    </row>
    <row r="265" spans="1:6" hidden="1" x14ac:dyDescent="0.35">
      <c r="A265" s="11">
        <v>48904</v>
      </c>
      <c r="B265" s="12" t="s">
        <v>8</v>
      </c>
      <c r="C265" s="13">
        <v>27.7</v>
      </c>
      <c r="D265" s="14">
        <v>0</v>
      </c>
      <c r="E265">
        <f t="shared" si="8"/>
        <v>5</v>
      </c>
      <c r="F265">
        <f t="shared" si="9"/>
        <v>104</v>
      </c>
    </row>
    <row r="266" spans="1:6" hidden="1" x14ac:dyDescent="0.35">
      <c r="A266" s="7">
        <v>48905</v>
      </c>
      <c r="B266" s="8" t="s">
        <v>7</v>
      </c>
      <c r="C266" s="9">
        <v>13.3</v>
      </c>
      <c r="D266" s="10">
        <v>7.2</v>
      </c>
      <c r="E266">
        <f t="shared" ref="E266:E329" si="10">IF(E265=7,1,E265+1)</f>
        <v>6</v>
      </c>
      <c r="F266">
        <f t="shared" si="9"/>
        <v>117.3</v>
      </c>
    </row>
    <row r="267" spans="1:6" hidden="1" x14ac:dyDescent="0.35">
      <c r="A267" s="11">
        <v>48906</v>
      </c>
      <c r="B267" s="12" t="s">
        <v>11</v>
      </c>
      <c r="C267" s="13">
        <v>26</v>
      </c>
      <c r="D267" s="14">
        <v>0.7</v>
      </c>
      <c r="E267">
        <f t="shared" si="10"/>
        <v>7</v>
      </c>
      <c r="F267">
        <f t="shared" si="9"/>
        <v>143.30000000000001</v>
      </c>
    </row>
    <row r="268" spans="1:6" hidden="1" x14ac:dyDescent="0.35">
      <c r="A268" s="7">
        <v>48907</v>
      </c>
      <c r="B268" s="8" t="s">
        <v>6</v>
      </c>
      <c r="C268" s="9">
        <v>16.3</v>
      </c>
      <c r="D268" s="10">
        <v>11</v>
      </c>
      <c r="E268">
        <f t="shared" si="10"/>
        <v>1</v>
      </c>
      <c r="F268">
        <f t="shared" si="9"/>
        <v>16.3</v>
      </c>
    </row>
    <row r="269" spans="1:6" hidden="1" x14ac:dyDescent="0.35">
      <c r="A269" s="11">
        <v>48908</v>
      </c>
      <c r="B269" s="12" t="s">
        <v>15</v>
      </c>
      <c r="C269" s="13">
        <v>23.5</v>
      </c>
      <c r="D269" s="14">
        <v>15.5</v>
      </c>
      <c r="E269">
        <f t="shared" si="10"/>
        <v>2</v>
      </c>
      <c r="F269">
        <f t="shared" si="9"/>
        <v>39.799999999999997</v>
      </c>
    </row>
    <row r="270" spans="1:6" hidden="1" x14ac:dyDescent="0.35">
      <c r="A270" s="7">
        <v>48909</v>
      </c>
      <c r="B270" s="8" t="s">
        <v>27</v>
      </c>
      <c r="C270" s="9">
        <v>15.7</v>
      </c>
      <c r="D270" s="10">
        <v>0</v>
      </c>
      <c r="E270">
        <f t="shared" si="10"/>
        <v>3</v>
      </c>
      <c r="F270">
        <f t="shared" si="9"/>
        <v>55.5</v>
      </c>
    </row>
    <row r="271" spans="1:6" hidden="1" x14ac:dyDescent="0.35">
      <c r="A271" s="11">
        <v>48910</v>
      </c>
      <c r="B271" s="12" t="s">
        <v>26</v>
      </c>
      <c r="C271" s="13">
        <v>26</v>
      </c>
      <c r="D271" s="14">
        <v>6.4</v>
      </c>
      <c r="E271">
        <f t="shared" si="10"/>
        <v>4</v>
      </c>
      <c r="F271">
        <f t="shared" si="9"/>
        <v>81.5</v>
      </c>
    </row>
    <row r="272" spans="1:6" hidden="1" x14ac:dyDescent="0.35">
      <c r="A272" s="7">
        <v>48911</v>
      </c>
      <c r="B272" s="8" t="s">
        <v>19</v>
      </c>
      <c r="C272" s="9">
        <v>22.7</v>
      </c>
      <c r="D272" s="10">
        <v>0</v>
      </c>
      <c r="E272">
        <f t="shared" si="10"/>
        <v>5</v>
      </c>
      <c r="F272">
        <f t="shared" si="9"/>
        <v>104.2</v>
      </c>
    </row>
    <row r="273" spans="1:6" hidden="1" x14ac:dyDescent="0.35">
      <c r="A273" s="11">
        <v>48912</v>
      </c>
      <c r="B273" s="12" t="s">
        <v>9</v>
      </c>
      <c r="C273" s="13">
        <v>26.2</v>
      </c>
      <c r="D273" s="14">
        <v>5.7</v>
      </c>
      <c r="E273">
        <f t="shared" si="10"/>
        <v>6</v>
      </c>
      <c r="F273">
        <f t="shared" si="9"/>
        <v>130.4</v>
      </c>
    </row>
    <row r="274" spans="1:6" hidden="1" x14ac:dyDescent="0.35">
      <c r="A274" s="7">
        <v>48913</v>
      </c>
      <c r="B274" s="8" t="s">
        <v>22</v>
      </c>
      <c r="C274" s="9">
        <v>14.1</v>
      </c>
      <c r="D274" s="10">
        <v>0</v>
      </c>
      <c r="E274">
        <f t="shared" si="10"/>
        <v>7</v>
      </c>
      <c r="F274">
        <f t="shared" si="9"/>
        <v>144.5</v>
      </c>
    </row>
    <row r="275" spans="1:6" hidden="1" x14ac:dyDescent="0.35">
      <c r="A275" s="11">
        <v>48914</v>
      </c>
      <c r="B275" s="12" t="s">
        <v>11</v>
      </c>
      <c r="C275" s="13">
        <v>23.6</v>
      </c>
      <c r="D275" s="14">
        <v>19.7</v>
      </c>
      <c r="E275">
        <f t="shared" si="10"/>
        <v>1</v>
      </c>
      <c r="F275">
        <f t="shared" si="9"/>
        <v>23.6</v>
      </c>
    </row>
    <row r="276" spans="1:6" hidden="1" x14ac:dyDescent="0.35">
      <c r="A276" s="7">
        <v>48915</v>
      </c>
      <c r="B276" s="8" t="s">
        <v>19</v>
      </c>
      <c r="C276" s="9">
        <v>25.2</v>
      </c>
      <c r="D276" s="10">
        <v>37.200000000000003</v>
      </c>
      <c r="E276">
        <f t="shared" si="10"/>
        <v>2</v>
      </c>
      <c r="F276">
        <f t="shared" si="9"/>
        <v>48.8</v>
      </c>
    </row>
    <row r="277" spans="1:6" hidden="1" x14ac:dyDescent="0.35">
      <c r="A277" s="11">
        <v>48916</v>
      </c>
      <c r="B277" s="12" t="s">
        <v>13</v>
      </c>
      <c r="C277" s="13">
        <v>23</v>
      </c>
      <c r="D277" s="14">
        <v>0</v>
      </c>
      <c r="E277">
        <f t="shared" si="10"/>
        <v>3</v>
      </c>
      <c r="F277">
        <f t="shared" si="9"/>
        <v>71.8</v>
      </c>
    </row>
    <row r="278" spans="1:6" hidden="1" x14ac:dyDescent="0.35">
      <c r="A278" s="7">
        <v>48917</v>
      </c>
      <c r="B278" s="8" t="s">
        <v>6</v>
      </c>
      <c r="C278" s="9">
        <v>29.7</v>
      </c>
      <c r="D278" s="10">
        <v>6.8</v>
      </c>
      <c r="E278">
        <f t="shared" si="10"/>
        <v>4</v>
      </c>
      <c r="F278">
        <f t="shared" si="9"/>
        <v>101.5</v>
      </c>
    </row>
    <row r="279" spans="1:6" hidden="1" x14ac:dyDescent="0.35">
      <c r="A279" s="11">
        <v>48918</v>
      </c>
      <c r="B279" s="12" t="s">
        <v>9</v>
      </c>
      <c r="C279" s="13">
        <v>17.2</v>
      </c>
      <c r="D279" s="14">
        <v>3.5</v>
      </c>
      <c r="E279">
        <f t="shared" si="10"/>
        <v>5</v>
      </c>
      <c r="F279">
        <f t="shared" si="9"/>
        <v>118.7</v>
      </c>
    </row>
    <row r="280" spans="1:6" hidden="1" x14ac:dyDescent="0.35">
      <c r="A280" s="7">
        <v>48919</v>
      </c>
      <c r="B280" s="8" t="s">
        <v>9</v>
      </c>
      <c r="C280" s="9">
        <v>21.7</v>
      </c>
      <c r="D280" s="10">
        <v>2.5</v>
      </c>
      <c r="E280">
        <f t="shared" si="10"/>
        <v>6</v>
      </c>
      <c r="F280">
        <f t="shared" si="9"/>
        <v>140.4</v>
      </c>
    </row>
    <row r="281" spans="1:6" hidden="1" x14ac:dyDescent="0.35">
      <c r="A281" s="11">
        <v>48920</v>
      </c>
      <c r="B281" s="12" t="s">
        <v>11</v>
      </c>
      <c r="C281" s="13">
        <v>25.8</v>
      </c>
      <c r="D281" s="14">
        <v>3.8</v>
      </c>
      <c r="E281">
        <f t="shared" si="10"/>
        <v>7</v>
      </c>
      <c r="F281">
        <f t="shared" si="9"/>
        <v>166.20000000000002</v>
      </c>
    </row>
    <row r="282" spans="1:6" hidden="1" x14ac:dyDescent="0.35">
      <c r="A282" s="7">
        <v>48921</v>
      </c>
      <c r="B282" s="8" t="s">
        <v>26</v>
      </c>
      <c r="C282" s="9">
        <v>12.9</v>
      </c>
      <c r="D282" s="10">
        <v>1.6</v>
      </c>
      <c r="E282">
        <f t="shared" si="10"/>
        <v>1</v>
      </c>
      <c r="F282">
        <f t="shared" si="9"/>
        <v>12.9</v>
      </c>
    </row>
    <row r="283" spans="1:6" hidden="1" x14ac:dyDescent="0.35">
      <c r="A283" s="11">
        <v>48922</v>
      </c>
      <c r="B283" s="12" t="s">
        <v>16</v>
      </c>
      <c r="C283" s="13">
        <v>18.2</v>
      </c>
      <c r="D283" s="14">
        <v>0</v>
      </c>
      <c r="E283">
        <f t="shared" si="10"/>
        <v>2</v>
      </c>
      <c r="F283">
        <f t="shared" si="9"/>
        <v>31.1</v>
      </c>
    </row>
    <row r="284" spans="1:6" hidden="1" x14ac:dyDescent="0.35">
      <c r="A284" s="7">
        <v>48923</v>
      </c>
      <c r="B284" s="8" t="s">
        <v>10</v>
      </c>
      <c r="C284" s="9">
        <v>20</v>
      </c>
      <c r="D284" s="10">
        <v>25.7</v>
      </c>
      <c r="E284">
        <f t="shared" si="10"/>
        <v>3</v>
      </c>
      <c r="F284">
        <f t="shared" si="9"/>
        <v>51.1</v>
      </c>
    </row>
    <row r="285" spans="1:6" hidden="1" x14ac:dyDescent="0.35">
      <c r="A285" s="11">
        <v>48924</v>
      </c>
      <c r="B285" s="12" t="s">
        <v>19</v>
      </c>
      <c r="C285" s="13">
        <v>17.100000000000001</v>
      </c>
      <c r="D285" s="14">
        <v>33</v>
      </c>
      <c r="E285">
        <f t="shared" si="10"/>
        <v>4</v>
      </c>
      <c r="F285">
        <f t="shared" si="9"/>
        <v>68.2</v>
      </c>
    </row>
    <row r="286" spans="1:6" hidden="1" x14ac:dyDescent="0.35">
      <c r="A286" s="7">
        <v>48925</v>
      </c>
      <c r="B286" s="8" t="s">
        <v>5</v>
      </c>
      <c r="C286" s="9">
        <v>23.2</v>
      </c>
      <c r="D286" s="10">
        <v>2.2999999999999998</v>
      </c>
      <c r="E286">
        <f t="shared" si="10"/>
        <v>5</v>
      </c>
      <c r="F286">
        <f t="shared" si="9"/>
        <v>91.4</v>
      </c>
    </row>
    <row r="287" spans="1:6" hidden="1" x14ac:dyDescent="0.35">
      <c r="A287" s="11">
        <v>48926</v>
      </c>
      <c r="B287" s="12" t="s">
        <v>15</v>
      </c>
      <c r="C287" s="13">
        <v>23.1</v>
      </c>
      <c r="D287" s="14">
        <v>2.2000000000000002</v>
      </c>
      <c r="E287">
        <f t="shared" si="10"/>
        <v>6</v>
      </c>
      <c r="F287">
        <f t="shared" si="9"/>
        <v>114.5</v>
      </c>
    </row>
    <row r="288" spans="1:6" hidden="1" x14ac:dyDescent="0.35">
      <c r="A288" s="7">
        <v>48927</v>
      </c>
      <c r="B288" s="8" t="s">
        <v>10</v>
      </c>
      <c r="C288" s="9">
        <v>22.4</v>
      </c>
      <c r="D288" s="10">
        <v>33.5</v>
      </c>
      <c r="E288">
        <f t="shared" si="10"/>
        <v>7</v>
      </c>
      <c r="F288">
        <f t="shared" si="9"/>
        <v>136.9</v>
      </c>
    </row>
    <row r="289" spans="1:6" hidden="1" x14ac:dyDescent="0.35">
      <c r="A289" s="11">
        <v>48928</v>
      </c>
      <c r="B289" s="12" t="s">
        <v>33</v>
      </c>
      <c r="C289" s="13">
        <v>25.4</v>
      </c>
      <c r="D289" s="14">
        <v>0.9</v>
      </c>
      <c r="E289">
        <f t="shared" si="10"/>
        <v>1</v>
      </c>
      <c r="F289">
        <f t="shared" si="9"/>
        <v>25.4</v>
      </c>
    </row>
    <row r="290" spans="1:6" hidden="1" x14ac:dyDescent="0.35">
      <c r="A290" s="7">
        <v>48929</v>
      </c>
      <c r="B290" s="8" t="s">
        <v>10</v>
      </c>
      <c r="C290" s="9">
        <v>15.4</v>
      </c>
      <c r="D290" s="10">
        <v>1.6</v>
      </c>
      <c r="E290">
        <f t="shared" si="10"/>
        <v>2</v>
      </c>
      <c r="F290">
        <f t="shared" si="9"/>
        <v>40.799999999999997</v>
      </c>
    </row>
    <row r="291" spans="1:6" hidden="1" x14ac:dyDescent="0.35">
      <c r="A291" s="11">
        <v>48930</v>
      </c>
      <c r="B291" s="12" t="s">
        <v>25</v>
      </c>
      <c r="C291" s="13">
        <v>23.5</v>
      </c>
      <c r="D291" s="14">
        <v>0.6</v>
      </c>
      <c r="E291">
        <f t="shared" si="10"/>
        <v>3</v>
      </c>
      <c r="F291">
        <f t="shared" si="9"/>
        <v>64.3</v>
      </c>
    </row>
    <row r="292" spans="1:6" hidden="1" x14ac:dyDescent="0.35">
      <c r="A292" s="7">
        <v>48931</v>
      </c>
      <c r="B292" s="8" t="s">
        <v>15</v>
      </c>
      <c r="C292" s="9">
        <v>10.3</v>
      </c>
      <c r="D292" s="10">
        <v>15.4</v>
      </c>
      <c r="E292">
        <f t="shared" si="10"/>
        <v>4</v>
      </c>
      <c r="F292">
        <f t="shared" si="9"/>
        <v>74.599999999999994</v>
      </c>
    </row>
    <row r="293" spans="1:6" hidden="1" x14ac:dyDescent="0.35">
      <c r="A293" s="11">
        <v>48932</v>
      </c>
      <c r="B293" s="12" t="s">
        <v>10</v>
      </c>
      <c r="C293" s="13">
        <v>15.5</v>
      </c>
      <c r="D293" s="14">
        <v>20.2</v>
      </c>
      <c r="E293">
        <f t="shared" si="10"/>
        <v>5</v>
      </c>
      <c r="F293">
        <f t="shared" si="9"/>
        <v>90.1</v>
      </c>
    </row>
    <row r="294" spans="1:6" hidden="1" x14ac:dyDescent="0.35">
      <c r="A294" s="7">
        <v>48933</v>
      </c>
      <c r="B294" s="8" t="s">
        <v>24</v>
      </c>
      <c r="C294" s="9">
        <v>20.7</v>
      </c>
      <c r="D294" s="10">
        <v>3</v>
      </c>
      <c r="E294">
        <f t="shared" si="10"/>
        <v>6</v>
      </c>
      <c r="F294">
        <f t="shared" si="9"/>
        <v>110.8</v>
      </c>
    </row>
    <row r="295" spans="1:6" hidden="1" x14ac:dyDescent="0.35">
      <c r="A295" s="11">
        <v>48934</v>
      </c>
      <c r="B295" s="12" t="s">
        <v>13</v>
      </c>
      <c r="C295" s="13">
        <v>12.7</v>
      </c>
      <c r="D295" s="14">
        <v>14.4</v>
      </c>
      <c r="E295">
        <f t="shared" si="10"/>
        <v>7</v>
      </c>
      <c r="F295">
        <f t="shared" si="9"/>
        <v>123.5</v>
      </c>
    </row>
    <row r="296" spans="1:6" hidden="1" x14ac:dyDescent="0.35">
      <c r="A296" s="7">
        <v>48935</v>
      </c>
      <c r="B296" s="8" t="s">
        <v>23</v>
      </c>
      <c r="C296" s="9">
        <v>22.8</v>
      </c>
      <c r="D296" s="10">
        <v>3.3</v>
      </c>
      <c r="E296">
        <f t="shared" si="10"/>
        <v>1</v>
      </c>
      <c r="F296">
        <f t="shared" si="9"/>
        <v>22.8</v>
      </c>
    </row>
    <row r="297" spans="1:6" hidden="1" x14ac:dyDescent="0.35">
      <c r="A297" s="11">
        <v>48936</v>
      </c>
      <c r="B297" s="12" t="s">
        <v>30</v>
      </c>
      <c r="C297" s="13">
        <v>20.5</v>
      </c>
      <c r="D297" s="14">
        <v>0</v>
      </c>
      <c r="E297">
        <f t="shared" si="10"/>
        <v>2</v>
      </c>
      <c r="F297">
        <f t="shared" si="9"/>
        <v>43.3</v>
      </c>
    </row>
    <row r="298" spans="1:6" hidden="1" x14ac:dyDescent="0.35">
      <c r="A298" s="7">
        <v>48937</v>
      </c>
      <c r="B298" s="8" t="s">
        <v>22</v>
      </c>
      <c r="C298" s="9">
        <v>13.1</v>
      </c>
      <c r="D298" s="10">
        <v>5.9</v>
      </c>
      <c r="E298">
        <f t="shared" si="10"/>
        <v>3</v>
      </c>
      <c r="F298">
        <f t="shared" si="9"/>
        <v>56.4</v>
      </c>
    </row>
    <row r="299" spans="1:6" hidden="1" x14ac:dyDescent="0.35">
      <c r="A299" s="11">
        <v>48938</v>
      </c>
      <c r="B299" s="12" t="s">
        <v>21</v>
      </c>
      <c r="C299" s="13">
        <v>29</v>
      </c>
      <c r="D299" s="14">
        <v>1</v>
      </c>
      <c r="E299">
        <f t="shared" si="10"/>
        <v>4</v>
      </c>
      <c r="F299">
        <f t="shared" si="9"/>
        <v>85.4</v>
      </c>
    </row>
    <row r="300" spans="1:6" hidden="1" x14ac:dyDescent="0.35">
      <c r="A300" s="7">
        <v>48939</v>
      </c>
      <c r="B300" s="8" t="s">
        <v>19</v>
      </c>
      <c r="C300" s="9">
        <v>15.4</v>
      </c>
      <c r="D300" s="10">
        <v>0</v>
      </c>
      <c r="E300">
        <f t="shared" si="10"/>
        <v>5</v>
      </c>
      <c r="F300">
        <f t="shared" si="9"/>
        <v>100.80000000000001</v>
      </c>
    </row>
    <row r="301" spans="1:6" hidden="1" x14ac:dyDescent="0.35">
      <c r="A301" s="11">
        <v>48940</v>
      </c>
      <c r="B301" s="12" t="s">
        <v>10</v>
      </c>
      <c r="C301" s="13">
        <v>20.3</v>
      </c>
      <c r="D301" s="14">
        <v>10.7</v>
      </c>
      <c r="E301">
        <f t="shared" si="10"/>
        <v>6</v>
      </c>
      <c r="F301">
        <f t="shared" si="9"/>
        <v>121.10000000000001</v>
      </c>
    </row>
    <row r="302" spans="1:6" hidden="1" x14ac:dyDescent="0.35">
      <c r="A302" s="7">
        <v>48941</v>
      </c>
      <c r="B302" s="8" t="s">
        <v>10</v>
      </c>
      <c r="C302" s="9">
        <v>15</v>
      </c>
      <c r="D302" s="10">
        <v>0</v>
      </c>
      <c r="E302">
        <f t="shared" si="10"/>
        <v>7</v>
      </c>
      <c r="F302">
        <f t="shared" si="9"/>
        <v>136.10000000000002</v>
      </c>
    </row>
    <row r="303" spans="1:6" hidden="1" x14ac:dyDescent="0.35">
      <c r="A303" s="11">
        <v>48942</v>
      </c>
      <c r="B303" s="12" t="s">
        <v>18</v>
      </c>
      <c r="C303" s="13">
        <v>16.600000000000001</v>
      </c>
      <c r="D303" s="14">
        <v>0</v>
      </c>
      <c r="E303">
        <f t="shared" si="10"/>
        <v>1</v>
      </c>
      <c r="F303">
        <f t="shared" si="9"/>
        <v>16.600000000000001</v>
      </c>
    </row>
    <row r="304" spans="1:6" hidden="1" x14ac:dyDescent="0.35">
      <c r="A304" s="7">
        <v>48943</v>
      </c>
      <c r="B304" s="8" t="s">
        <v>11</v>
      </c>
      <c r="C304" s="9">
        <v>28.6</v>
      </c>
      <c r="D304" s="10">
        <v>0</v>
      </c>
      <c r="E304">
        <f t="shared" si="10"/>
        <v>2</v>
      </c>
      <c r="F304">
        <f t="shared" si="9"/>
        <v>45.2</v>
      </c>
    </row>
    <row r="305" spans="1:6" hidden="1" x14ac:dyDescent="0.35">
      <c r="A305" s="11">
        <v>48944</v>
      </c>
      <c r="B305" s="12" t="s">
        <v>17</v>
      </c>
      <c r="C305" s="13">
        <v>11.4</v>
      </c>
      <c r="D305" s="14">
        <v>3.6</v>
      </c>
      <c r="E305">
        <f t="shared" si="10"/>
        <v>3</v>
      </c>
      <c r="F305">
        <f t="shared" si="9"/>
        <v>56.6</v>
      </c>
    </row>
    <row r="306" spans="1:6" hidden="1" x14ac:dyDescent="0.35">
      <c r="A306" s="7">
        <v>48945</v>
      </c>
      <c r="B306" s="8" t="s">
        <v>9</v>
      </c>
      <c r="C306" s="9">
        <v>15.5</v>
      </c>
      <c r="D306" s="10">
        <v>1</v>
      </c>
      <c r="E306">
        <f t="shared" si="10"/>
        <v>4</v>
      </c>
      <c r="F306">
        <f t="shared" si="9"/>
        <v>72.099999999999994</v>
      </c>
    </row>
    <row r="307" spans="1:6" hidden="1" x14ac:dyDescent="0.35">
      <c r="A307" s="11">
        <v>48946</v>
      </c>
      <c r="B307" s="12" t="s">
        <v>6</v>
      </c>
      <c r="C307" s="13">
        <v>18.3</v>
      </c>
      <c r="D307" s="14">
        <v>0.7</v>
      </c>
      <c r="E307">
        <f t="shared" si="10"/>
        <v>5</v>
      </c>
      <c r="F307">
        <f t="shared" si="9"/>
        <v>90.399999999999991</v>
      </c>
    </row>
    <row r="308" spans="1:6" hidden="1" x14ac:dyDescent="0.35">
      <c r="A308" s="7">
        <v>48947</v>
      </c>
      <c r="B308" s="8" t="s">
        <v>19</v>
      </c>
      <c r="C308" s="9">
        <v>14.9</v>
      </c>
      <c r="D308" s="10">
        <v>6.1</v>
      </c>
      <c r="E308">
        <f t="shared" si="10"/>
        <v>6</v>
      </c>
      <c r="F308">
        <f t="shared" si="9"/>
        <v>105.3</v>
      </c>
    </row>
    <row r="309" spans="1:6" hidden="1" x14ac:dyDescent="0.35">
      <c r="A309" s="11">
        <v>48948</v>
      </c>
      <c r="B309" s="12" t="s">
        <v>11</v>
      </c>
      <c r="C309" s="13">
        <v>29.7</v>
      </c>
      <c r="D309" s="14">
        <v>13.3</v>
      </c>
      <c r="E309">
        <f t="shared" si="10"/>
        <v>7</v>
      </c>
      <c r="F309">
        <f t="shared" si="9"/>
        <v>135</v>
      </c>
    </row>
    <row r="310" spans="1:6" hidden="1" x14ac:dyDescent="0.35">
      <c r="A310" s="7">
        <v>48949</v>
      </c>
      <c r="B310" s="8" t="s">
        <v>7</v>
      </c>
      <c r="C310" s="9">
        <v>28.9</v>
      </c>
      <c r="D310" s="10">
        <v>13.8</v>
      </c>
      <c r="E310">
        <f t="shared" si="10"/>
        <v>1</v>
      </c>
      <c r="F310">
        <f t="shared" si="9"/>
        <v>28.9</v>
      </c>
    </row>
    <row r="311" spans="1:6" hidden="1" x14ac:dyDescent="0.35">
      <c r="A311" s="11">
        <v>48950</v>
      </c>
      <c r="B311" s="12" t="s">
        <v>17</v>
      </c>
      <c r="C311" s="13">
        <v>24.3</v>
      </c>
      <c r="D311" s="14">
        <v>0</v>
      </c>
      <c r="E311">
        <f t="shared" si="10"/>
        <v>2</v>
      </c>
      <c r="F311">
        <f t="shared" si="9"/>
        <v>53.2</v>
      </c>
    </row>
    <row r="312" spans="1:6" hidden="1" x14ac:dyDescent="0.35">
      <c r="A312" s="7">
        <v>48951</v>
      </c>
      <c r="B312" s="8" t="s">
        <v>10</v>
      </c>
      <c r="C312" s="9">
        <v>24</v>
      </c>
      <c r="D312" s="10">
        <v>19.7</v>
      </c>
      <c r="E312">
        <f t="shared" si="10"/>
        <v>3</v>
      </c>
      <c r="F312">
        <f t="shared" si="9"/>
        <v>77.2</v>
      </c>
    </row>
    <row r="313" spans="1:6" hidden="1" x14ac:dyDescent="0.35">
      <c r="A313" s="11">
        <v>48952</v>
      </c>
      <c r="B313" s="12" t="s">
        <v>15</v>
      </c>
      <c r="C313" s="13">
        <v>11.8</v>
      </c>
      <c r="D313" s="14">
        <v>13.3</v>
      </c>
      <c r="E313">
        <f t="shared" si="10"/>
        <v>4</v>
      </c>
      <c r="F313">
        <f t="shared" si="9"/>
        <v>89</v>
      </c>
    </row>
    <row r="314" spans="1:6" hidden="1" x14ac:dyDescent="0.35">
      <c r="A314" s="7">
        <v>48953</v>
      </c>
      <c r="B314" s="8" t="s">
        <v>10</v>
      </c>
      <c r="C314" s="9">
        <v>26.5</v>
      </c>
      <c r="D314" s="10">
        <v>19.7</v>
      </c>
      <c r="E314">
        <f t="shared" si="10"/>
        <v>5</v>
      </c>
      <c r="F314">
        <f t="shared" si="9"/>
        <v>115.5</v>
      </c>
    </row>
    <row r="315" spans="1:6" hidden="1" x14ac:dyDescent="0.35">
      <c r="A315" s="11">
        <v>48954</v>
      </c>
      <c r="B315" s="12" t="s">
        <v>26</v>
      </c>
      <c r="C315" s="13">
        <v>12.4</v>
      </c>
      <c r="D315" s="14">
        <v>5.0999999999999996</v>
      </c>
      <c r="E315">
        <f t="shared" si="10"/>
        <v>6</v>
      </c>
      <c r="F315">
        <f t="shared" si="9"/>
        <v>127.9</v>
      </c>
    </row>
    <row r="316" spans="1:6" hidden="1" x14ac:dyDescent="0.35">
      <c r="A316" s="7">
        <v>48955</v>
      </c>
      <c r="B316" s="8" t="s">
        <v>10</v>
      </c>
      <c r="C316" s="9">
        <v>21.9</v>
      </c>
      <c r="D316" s="10">
        <v>6.6</v>
      </c>
      <c r="E316">
        <f t="shared" si="10"/>
        <v>7</v>
      </c>
      <c r="F316">
        <f t="shared" si="9"/>
        <v>149.80000000000001</v>
      </c>
    </row>
    <row r="317" spans="1:6" hidden="1" x14ac:dyDescent="0.35">
      <c r="A317" s="11">
        <v>48956</v>
      </c>
      <c r="B317" s="12" t="s">
        <v>10</v>
      </c>
      <c r="C317" s="13">
        <v>20.3</v>
      </c>
      <c r="D317" s="14">
        <v>0</v>
      </c>
      <c r="E317">
        <f t="shared" si="10"/>
        <v>1</v>
      </c>
      <c r="F317">
        <f t="shared" si="9"/>
        <v>20.3</v>
      </c>
    </row>
    <row r="318" spans="1:6" hidden="1" x14ac:dyDescent="0.35">
      <c r="A318" s="7">
        <v>48957</v>
      </c>
      <c r="B318" s="8" t="s">
        <v>32</v>
      </c>
      <c r="C318" s="9">
        <v>27.7</v>
      </c>
      <c r="D318" s="10">
        <v>0.3</v>
      </c>
      <c r="E318">
        <f t="shared" si="10"/>
        <v>2</v>
      </c>
      <c r="F318">
        <f t="shared" si="9"/>
        <v>48</v>
      </c>
    </row>
    <row r="319" spans="1:6" hidden="1" x14ac:dyDescent="0.35">
      <c r="A319" s="11">
        <v>48958</v>
      </c>
      <c r="B319" s="12" t="s">
        <v>19</v>
      </c>
      <c r="C319" s="13">
        <v>28.5</v>
      </c>
      <c r="D319" s="14">
        <v>30</v>
      </c>
      <c r="E319">
        <f t="shared" si="10"/>
        <v>3</v>
      </c>
      <c r="F319">
        <f t="shared" si="9"/>
        <v>76.5</v>
      </c>
    </row>
    <row r="320" spans="1:6" hidden="1" x14ac:dyDescent="0.35">
      <c r="A320" s="7">
        <v>48959</v>
      </c>
      <c r="B320" s="8" t="s">
        <v>21</v>
      </c>
      <c r="C320" s="9">
        <v>28.7</v>
      </c>
      <c r="D320" s="10">
        <v>1.9</v>
      </c>
      <c r="E320">
        <f t="shared" si="10"/>
        <v>4</v>
      </c>
      <c r="F320">
        <f t="shared" si="9"/>
        <v>105.2</v>
      </c>
    </row>
    <row r="321" spans="1:6" hidden="1" x14ac:dyDescent="0.35">
      <c r="A321" s="11">
        <v>48960</v>
      </c>
      <c r="B321" s="12" t="s">
        <v>4</v>
      </c>
      <c r="C321" s="13">
        <v>10.9</v>
      </c>
      <c r="D321" s="14">
        <v>0</v>
      </c>
      <c r="E321">
        <f t="shared" si="10"/>
        <v>5</v>
      </c>
      <c r="F321">
        <f t="shared" si="9"/>
        <v>116.10000000000001</v>
      </c>
    </row>
    <row r="322" spans="1:6" hidden="1" x14ac:dyDescent="0.35">
      <c r="A322" s="7">
        <v>48961</v>
      </c>
      <c r="B322" s="8" t="s">
        <v>9</v>
      </c>
      <c r="C322" s="9">
        <v>13.7</v>
      </c>
      <c r="D322" s="10">
        <v>0</v>
      </c>
      <c r="E322">
        <f t="shared" si="10"/>
        <v>6</v>
      </c>
      <c r="F322">
        <f t="shared" si="9"/>
        <v>129.80000000000001</v>
      </c>
    </row>
    <row r="323" spans="1:6" hidden="1" x14ac:dyDescent="0.35">
      <c r="A323" s="11">
        <v>48962</v>
      </c>
      <c r="B323" s="12" t="s">
        <v>11</v>
      </c>
      <c r="C323" s="13">
        <v>28.2</v>
      </c>
      <c r="D323" s="14">
        <v>0</v>
      </c>
      <c r="E323">
        <f t="shared" si="10"/>
        <v>7</v>
      </c>
      <c r="F323">
        <f t="shared" si="9"/>
        <v>158</v>
      </c>
    </row>
    <row r="324" spans="1:6" hidden="1" x14ac:dyDescent="0.35">
      <c r="A324" s="7">
        <v>48963</v>
      </c>
      <c r="B324" s="8" t="s">
        <v>19</v>
      </c>
      <c r="C324" s="9">
        <v>20.100000000000001</v>
      </c>
      <c r="D324" s="10">
        <v>0</v>
      </c>
      <c r="E324">
        <f t="shared" si="10"/>
        <v>1</v>
      </c>
      <c r="F324">
        <f t="shared" ref="F324:F387" si="11">IF(E323=7,C324,C324+F323)</f>
        <v>20.100000000000001</v>
      </c>
    </row>
    <row r="325" spans="1:6" hidden="1" x14ac:dyDescent="0.35">
      <c r="A325" s="11">
        <v>48964</v>
      </c>
      <c r="B325" s="12" t="s">
        <v>11</v>
      </c>
      <c r="C325" s="13">
        <v>20.6</v>
      </c>
      <c r="D325" s="14">
        <v>0</v>
      </c>
      <c r="E325">
        <f t="shared" si="10"/>
        <v>2</v>
      </c>
      <c r="F325">
        <f t="shared" si="11"/>
        <v>40.700000000000003</v>
      </c>
    </row>
    <row r="326" spans="1:6" hidden="1" x14ac:dyDescent="0.35">
      <c r="A326" s="7">
        <v>48965</v>
      </c>
      <c r="B326" s="8" t="s">
        <v>13</v>
      </c>
      <c r="C326" s="9">
        <v>15.5</v>
      </c>
      <c r="D326" s="10">
        <v>16.8</v>
      </c>
      <c r="E326">
        <f t="shared" si="10"/>
        <v>3</v>
      </c>
      <c r="F326">
        <f t="shared" si="11"/>
        <v>56.2</v>
      </c>
    </row>
    <row r="327" spans="1:6" hidden="1" x14ac:dyDescent="0.35">
      <c r="A327" s="11">
        <v>48966</v>
      </c>
      <c r="B327" s="12" t="s">
        <v>12</v>
      </c>
      <c r="C327" s="13">
        <v>22.2</v>
      </c>
      <c r="D327" s="14">
        <v>2.4</v>
      </c>
      <c r="E327">
        <f t="shared" si="10"/>
        <v>4</v>
      </c>
      <c r="F327">
        <f t="shared" si="11"/>
        <v>78.400000000000006</v>
      </c>
    </row>
    <row r="328" spans="1:6" hidden="1" x14ac:dyDescent="0.35">
      <c r="A328" s="7">
        <v>48967</v>
      </c>
      <c r="B328" s="8" t="s">
        <v>13</v>
      </c>
      <c r="C328" s="9">
        <v>15</v>
      </c>
      <c r="D328" s="10">
        <v>4.0999999999999996</v>
      </c>
      <c r="E328">
        <f t="shared" si="10"/>
        <v>5</v>
      </c>
      <c r="F328">
        <f t="shared" si="11"/>
        <v>93.4</v>
      </c>
    </row>
    <row r="329" spans="1:6" hidden="1" x14ac:dyDescent="0.35">
      <c r="A329" s="11">
        <v>48968</v>
      </c>
      <c r="B329" s="12" t="s">
        <v>19</v>
      </c>
      <c r="C329" s="13">
        <v>18.399999999999999</v>
      </c>
      <c r="D329" s="14">
        <v>30.4</v>
      </c>
      <c r="E329">
        <f t="shared" si="10"/>
        <v>6</v>
      </c>
      <c r="F329">
        <f t="shared" si="11"/>
        <v>111.80000000000001</v>
      </c>
    </row>
    <row r="330" spans="1:6" hidden="1" x14ac:dyDescent="0.35">
      <c r="A330" s="7">
        <v>48969</v>
      </c>
      <c r="B330" s="8" t="s">
        <v>32</v>
      </c>
      <c r="C330" s="9">
        <v>29.3</v>
      </c>
      <c r="D330" s="10">
        <v>0.4</v>
      </c>
      <c r="E330">
        <f t="shared" ref="E330:E393" si="12">IF(E329=7,1,E329+1)</f>
        <v>7</v>
      </c>
      <c r="F330">
        <f t="shared" si="11"/>
        <v>141.10000000000002</v>
      </c>
    </row>
    <row r="331" spans="1:6" hidden="1" x14ac:dyDescent="0.35">
      <c r="A331" s="11">
        <v>48970</v>
      </c>
      <c r="B331" s="12" t="s">
        <v>23</v>
      </c>
      <c r="C331" s="13">
        <v>23.9</v>
      </c>
      <c r="D331" s="14">
        <v>3.3</v>
      </c>
      <c r="E331">
        <f t="shared" si="12"/>
        <v>1</v>
      </c>
      <c r="F331">
        <f t="shared" si="11"/>
        <v>23.9</v>
      </c>
    </row>
    <row r="332" spans="1:6" hidden="1" x14ac:dyDescent="0.35">
      <c r="A332" s="7">
        <v>48971</v>
      </c>
      <c r="B332" s="8" t="s">
        <v>20</v>
      </c>
      <c r="C332" s="9">
        <v>29.8</v>
      </c>
      <c r="D332" s="10">
        <v>3.3</v>
      </c>
      <c r="E332">
        <f t="shared" si="12"/>
        <v>2</v>
      </c>
      <c r="F332">
        <f t="shared" si="11"/>
        <v>53.7</v>
      </c>
    </row>
    <row r="333" spans="1:6" hidden="1" x14ac:dyDescent="0.35">
      <c r="A333" s="11">
        <v>48972</v>
      </c>
      <c r="B333" s="12" t="s">
        <v>10</v>
      </c>
      <c r="C333" s="13">
        <v>29.1</v>
      </c>
      <c r="D333" s="14">
        <v>23</v>
      </c>
      <c r="E333">
        <f t="shared" si="12"/>
        <v>3</v>
      </c>
      <c r="F333">
        <f t="shared" si="11"/>
        <v>82.800000000000011</v>
      </c>
    </row>
    <row r="334" spans="1:6" hidden="1" x14ac:dyDescent="0.35">
      <c r="A334" s="7">
        <v>48973</v>
      </c>
      <c r="B334" s="8" t="s">
        <v>11</v>
      </c>
      <c r="C334" s="9">
        <v>22.5</v>
      </c>
      <c r="D334" s="10">
        <v>17.2</v>
      </c>
      <c r="E334">
        <f t="shared" si="12"/>
        <v>4</v>
      </c>
      <c r="F334">
        <f t="shared" si="11"/>
        <v>105.30000000000001</v>
      </c>
    </row>
    <row r="335" spans="1:6" hidden="1" x14ac:dyDescent="0.35">
      <c r="A335" s="11">
        <v>48974</v>
      </c>
      <c r="B335" s="12" t="s">
        <v>19</v>
      </c>
      <c r="C335" s="13">
        <v>15.3</v>
      </c>
      <c r="D335" s="14">
        <v>21.5</v>
      </c>
      <c r="E335">
        <f t="shared" si="12"/>
        <v>5</v>
      </c>
      <c r="F335">
        <f t="shared" si="11"/>
        <v>120.60000000000001</v>
      </c>
    </row>
    <row r="336" spans="1:6" hidden="1" x14ac:dyDescent="0.35">
      <c r="A336" s="7">
        <v>48975</v>
      </c>
      <c r="B336" s="8" t="s">
        <v>10</v>
      </c>
      <c r="C336" s="9">
        <v>13.8</v>
      </c>
      <c r="D336" s="10">
        <v>40.4</v>
      </c>
      <c r="E336">
        <f t="shared" si="12"/>
        <v>6</v>
      </c>
      <c r="F336">
        <f t="shared" si="11"/>
        <v>134.4</v>
      </c>
    </row>
    <row r="337" spans="1:6" hidden="1" x14ac:dyDescent="0.35">
      <c r="A337" s="11">
        <v>48976</v>
      </c>
      <c r="B337" s="12" t="s">
        <v>7</v>
      </c>
      <c r="C337" s="13">
        <v>12.3</v>
      </c>
      <c r="D337" s="14">
        <v>0</v>
      </c>
      <c r="E337">
        <f t="shared" si="12"/>
        <v>7</v>
      </c>
      <c r="F337">
        <f t="shared" si="11"/>
        <v>146.70000000000002</v>
      </c>
    </row>
    <row r="338" spans="1:6" hidden="1" x14ac:dyDescent="0.35">
      <c r="A338" s="7">
        <v>48977</v>
      </c>
      <c r="B338" s="8" t="s">
        <v>5</v>
      </c>
      <c r="C338" s="9">
        <v>18.5</v>
      </c>
      <c r="D338" s="10">
        <v>4.2</v>
      </c>
      <c r="E338">
        <f t="shared" si="12"/>
        <v>1</v>
      </c>
      <c r="F338">
        <f t="shared" si="11"/>
        <v>18.5</v>
      </c>
    </row>
    <row r="339" spans="1:6" hidden="1" x14ac:dyDescent="0.35">
      <c r="A339" s="11">
        <v>48978</v>
      </c>
      <c r="B339" s="12" t="s">
        <v>20</v>
      </c>
      <c r="C339" s="13">
        <v>10.3</v>
      </c>
      <c r="D339" s="14">
        <v>3.2</v>
      </c>
      <c r="E339">
        <f t="shared" si="12"/>
        <v>2</v>
      </c>
      <c r="F339">
        <f t="shared" si="11"/>
        <v>28.8</v>
      </c>
    </row>
    <row r="340" spans="1:6" hidden="1" x14ac:dyDescent="0.35">
      <c r="A340" s="7">
        <v>48979</v>
      </c>
      <c r="B340" s="8" t="s">
        <v>19</v>
      </c>
      <c r="C340" s="9">
        <v>24.9</v>
      </c>
      <c r="D340" s="10">
        <v>12.1</v>
      </c>
      <c r="E340">
        <f t="shared" si="12"/>
        <v>3</v>
      </c>
      <c r="F340">
        <f t="shared" si="11"/>
        <v>53.7</v>
      </c>
    </row>
    <row r="341" spans="1:6" hidden="1" x14ac:dyDescent="0.35">
      <c r="A341" s="11">
        <v>48980</v>
      </c>
      <c r="B341" s="12" t="s">
        <v>10</v>
      </c>
      <c r="C341" s="13">
        <v>26.4</v>
      </c>
      <c r="D341" s="14">
        <v>0</v>
      </c>
      <c r="E341">
        <f t="shared" si="12"/>
        <v>4</v>
      </c>
      <c r="F341">
        <f t="shared" si="11"/>
        <v>80.099999999999994</v>
      </c>
    </row>
    <row r="342" spans="1:6" hidden="1" x14ac:dyDescent="0.35">
      <c r="A342" s="7">
        <v>48981</v>
      </c>
      <c r="B342" s="8" t="s">
        <v>7</v>
      </c>
      <c r="C342" s="9">
        <v>11.8</v>
      </c>
      <c r="D342" s="10">
        <v>0</v>
      </c>
      <c r="E342">
        <f t="shared" si="12"/>
        <v>5</v>
      </c>
      <c r="F342">
        <f t="shared" si="11"/>
        <v>91.899999999999991</v>
      </c>
    </row>
    <row r="343" spans="1:6" hidden="1" x14ac:dyDescent="0.35">
      <c r="A343" s="11">
        <v>48982</v>
      </c>
      <c r="B343" s="12" t="s">
        <v>6</v>
      </c>
      <c r="C343" s="13">
        <v>11</v>
      </c>
      <c r="D343" s="14">
        <v>7.5</v>
      </c>
      <c r="E343">
        <f t="shared" si="12"/>
        <v>6</v>
      </c>
      <c r="F343">
        <f t="shared" si="11"/>
        <v>102.89999999999999</v>
      </c>
    </row>
    <row r="344" spans="1:6" hidden="1" x14ac:dyDescent="0.35">
      <c r="A344" s="7">
        <v>48983</v>
      </c>
      <c r="B344" s="8" t="s">
        <v>10</v>
      </c>
      <c r="C344" s="9">
        <v>15.4</v>
      </c>
      <c r="D344" s="10">
        <v>5.2</v>
      </c>
      <c r="E344">
        <f t="shared" si="12"/>
        <v>7</v>
      </c>
      <c r="F344">
        <f t="shared" si="11"/>
        <v>118.3</v>
      </c>
    </row>
    <row r="345" spans="1:6" hidden="1" x14ac:dyDescent="0.35">
      <c r="A345" s="11">
        <v>48984</v>
      </c>
      <c r="B345" s="12" t="s">
        <v>27</v>
      </c>
      <c r="C345" s="13">
        <v>25.7</v>
      </c>
      <c r="D345" s="14">
        <v>5.8</v>
      </c>
      <c r="E345">
        <f t="shared" si="12"/>
        <v>1</v>
      </c>
      <c r="F345">
        <f t="shared" si="11"/>
        <v>25.7</v>
      </c>
    </row>
    <row r="346" spans="1:6" hidden="1" x14ac:dyDescent="0.35">
      <c r="A346" s="7">
        <v>48985</v>
      </c>
      <c r="B346" s="8" t="s">
        <v>13</v>
      </c>
      <c r="C346" s="9">
        <v>14.8</v>
      </c>
      <c r="D346" s="10">
        <v>0</v>
      </c>
      <c r="E346">
        <f t="shared" si="12"/>
        <v>2</v>
      </c>
      <c r="F346">
        <f t="shared" si="11"/>
        <v>40.5</v>
      </c>
    </row>
    <row r="347" spans="1:6" hidden="1" x14ac:dyDescent="0.35">
      <c r="A347" s="11">
        <v>48986</v>
      </c>
      <c r="B347" s="12" t="s">
        <v>31</v>
      </c>
      <c r="C347" s="13">
        <v>21.5</v>
      </c>
      <c r="D347" s="14">
        <v>0.8</v>
      </c>
      <c r="E347">
        <f t="shared" si="12"/>
        <v>3</v>
      </c>
      <c r="F347">
        <f t="shared" si="11"/>
        <v>62</v>
      </c>
    </row>
    <row r="348" spans="1:6" hidden="1" x14ac:dyDescent="0.35">
      <c r="A348" s="7">
        <v>48987</v>
      </c>
      <c r="B348" s="8" t="s">
        <v>19</v>
      </c>
      <c r="C348" s="9">
        <v>26.2</v>
      </c>
      <c r="D348" s="10">
        <v>8.9</v>
      </c>
      <c r="E348">
        <f t="shared" si="12"/>
        <v>4</v>
      </c>
      <c r="F348">
        <f t="shared" si="11"/>
        <v>88.2</v>
      </c>
    </row>
    <row r="349" spans="1:6" hidden="1" x14ac:dyDescent="0.35">
      <c r="A349" s="11">
        <v>48988</v>
      </c>
      <c r="B349" s="12" t="s">
        <v>4</v>
      </c>
      <c r="C349" s="13">
        <v>20.6</v>
      </c>
      <c r="D349" s="14">
        <v>0.1</v>
      </c>
      <c r="E349">
        <f t="shared" si="12"/>
        <v>5</v>
      </c>
      <c r="F349">
        <f t="shared" si="11"/>
        <v>108.80000000000001</v>
      </c>
    </row>
    <row r="350" spans="1:6" hidden="1" x14ac:dyDescent="0.35">
      <c r="A350" s="7">
        <v>48989</v>
      </c>
      <c r="B350" s="8" t="s">
        <v>10</v>
      </c>
      <c r="C350" s="9">
        <v>14.1</v>
      </c>
      <c r="D350" s="10">
        <v>20.9</v>
      </c>
      <c r="E350">
        <f t="shared" si="12"/>
        <v>6</v>
      </c>
      <c r="F350">
        <f t="shared" si="11"/>
        <v>122.9</v>
      </c>
    </row>
    <row r="351" spans="1:6" hidden="1" x14ac:dyDescent="0.35">
      <c r="A351" s="11">
        <v>48990</v>
      </c>
      <c r="B351" s="12" t="s">
        <v>24</v>
      </c>
      <c r="C351" s="13">
        <v>20.8</v>
      </c>
      <c r="D351" s="14">
        <v>0.7</v>
      </c>
      <c r="E351">
        <f t="shared" si="12"/>
        <v>7</v>
      </c>
      <c r="F351">
        <f t="shared" si="11"/>
        <v>143.70000000000002</v>
      </c>
    </row>
    <row r="352" spans="1:6" hidden="1" x14ac:dyDescent="0.35">
      <c r="A352" s="7">
        <v>48991</v>
      </c>
      <c r="B352" s="8" t="s">
        <v>18</v>
      </c>
      <c r="C352" s="9">
        <v>17.600000000000001</v>
      </c>
      <c r="D352" s="10">
        <v>10.5</v>
      </c>
      <c r="E352">
        <f t="shared" si="12"/>
        <v>1</v>
      </c>
      <c r="F352">
        <f t="shared" si="11"/>
        <v>17.600000000000001</v>
      </c>
    </row>
    <row r="353" spans="1:6" hidden="1" x14ac:dyDescent="0.35">
      <c r="A353" s="11">
        <v>48992</v>
      </c>
      <c r="B353" s="12" t="s">
        <v>10</v>
      </c>
      <c r="C353" s="13">
        <v>16.8</v>
      </c>
      <c r="D353" s="14">
        <v>38.9</v>
      </c>
      <c r="E353">
        <f t="shared" si="12"/>
        <v>2</v>
      </c>
      <c r="F353">
        <f t="shared" si="11"/>
        <v>34.400000000000006</v>
      </c>
    </row>
    <row r="354" spans="1:6" hidden="1" x14ac:dyDescent="0.35">
      <c r="A354" s="7">
        <v>48993</v>
      </c>
      <c r="B354" s="8" t="s">
        <v>4</v>
      </c>
      <c r="C354" s="9">
        <v>23.1</v>
      </c>
      <c r="D354" s="10">
        <v>0</v>
      </c>
      <c r="E354">
        <f t="shared" si="12"/>
        <v>3</v>
      </c>
      <c r="F354">
        <f t="shared" si="11"/>
        <v>57.500000000000007</v>
      </c>
    </row>
    <row r="355" spans="1:6" hidden="1" x14ac:dyDescent="0.35">
      <c r="A355" s="11">
        <v>48994</v>
      </c>
      <c r="B355" s="12" t="s">
        <v>27</v>
      </c>
      <c r="C355" s="13">
        <v>16.3</v>
      </c>
      <c r="D355" s="14">
        <v>3.4</v>
      </c>
      <c r="E355">
        <f t="shared" si="12"/>
        <v>4</v>
      </c>
      <c r="F355">
        <f t="shared" si="11"/>
        <v>73.800000000000011</v>
      </c>
    </row>
    <row r="356" spans="1:6" hidden="1" x14ac:dyDescent="0.35">
      <c r="A356" s="7">
        <v>48995</v>
      </c>
      <c r="B356" s="8" t="s">
        <v>7</v>
      </c>
      <c r="C356" s="9">
        <v>15.7</v>
      </c>
      <c r="D356" s="10">
        <v>10.9</v>
      </c>
      <c r="E356">
        <f t="shared" si="12"/>
        <v>5</v>
      </c>
      <c r="F356">
        <f t="shared" si="11"/>
        <v>89.500000000000014</v>
      </c>
    </row>
    <row r="357" spans="1:6" hidden="1" x14ac:dyDescent="0.35">
      <c r="A357" s="11">
        <v>48996</v>
      </c>
      <c r="B357" s="12" t="s">
        <v>18</v>
      </c>
      <c r="C357" s="13">
        <v>29.3</v>
      </c>
      <c r="D357" s="14">
        <v>2.1</v>
      </c>
      <c r="E357">
        <f t="shared" si="12"/>
        <v>6</v>
      </c>
      <c r="F357">
        <f t="shared" si="11"/>
        <v>118.80000000000001</v>
      </c>
    </row>
    <row r="358" spans="1:6" hidden="1" x14ac:dyDescent="0.35">
      <c r="A358" s="7">
        <v>48997</v>
      </c>
      <c r="B358" s="8" t="s">
        <v>22</v>
      </c>
      <c r="C358" s="9">
        <v>24</v>
      </c>
      <c r="D358" s="10">
        <v>7.3</v>
      </c>
      <c r="E358">
        <f t="shared" si="12"/>
        <v>7</v>
      </c>
      <c r="F358">
        <f t="shared" si="11"/>
        <v>142.80000000000001</v>
      </c>
    </row>
    <row r="359" spans="1:6" hidden="1" x14ac:dyDescent="0.35">
      <c r="A359" s="11">
        <v>48998</v>
      </c>
      <c r="B359" s="12" t="s">
        <v>6</v>
      </c>
      <c r="C359" s="13">
        <v>27</v>
      </c>
      <c r="D359" s="14">
        <v>0.6</v>
      </c>
      <c r="E359">
        <f t="shared" si="12"/>
        <v>1</v>
      </c>
      <c r="F359">
        <f t="shared" si="11"/>
        <v>27</v>
      </c>
    </row>
    <row r="360" spans="1:6" hidden="1" x14ac:dyDescent="0.35">
      <c r="A360" s="7">
        <v>48999</v>
      </c>
      <c r="B360" s="8" t="s">
        <v>10</v>
      </c>
      <c r="C360" s="9">
        <v>26.3</v>
      </c>
      <c r="D360" s="10">
        <v>1.2</v>
      </c>
      <c r="E360">
        <f t="shared" si="12"/>
        <v>2</v>
      </c>
      <c r="F360">
        <f t="shared" si="11"/>
        <v>53.3</v>
      </c>
    </row>
    <row r="361" spans="1:6" hidden="1" x14ac:dyDescent="0.35">
      <c r="A361" s="11">
        <v>49000</v>
      </c>
      <c r="B361" s="12" t="s">
        <v>15</v>
      </c>
      <c r="C361" s="13">
        <v>26.3</v>
      </c>
      <c r="D361" s="14">
        <v>8.1999999999999993</v>
      </c>
      <c r="E361">
        <f t="shared" si="12"/>
        <v>3</v>
      </c>
      <c r="F361">
        <f t="shared" si="11"/>
        <v>79.599999999999994</v>
      </c>
    </row>
    <row r="362" spans="1:6" hidden="1" x14ac:dyDescent="0.35">
      <c r="A362" s="7">
        <v>49001</v>
      </c>
      <c r="B362" s="8" t="s">
        <v>6</v>
      </c>
      <c r="C362" s="9">
        <v>25.2</v>
      </c>
      <c r="D362" s="10">
        <v>4.7</v>
      </c>
      <c r="E362">
        <f t="shared" si="12"/>
        <v>4</v>
      </c>
      <c r="F362">
        <f t="shared" si="11"/>
        <v>104.8</v>
      </c>
    </row>
    <row r="363" spans="1:6" hidden="1" x14ac:dyDescent="0.35">
      <c r="A363" s="11">
        <v>49002</v>
      </c>
      <c r="B363" s="12" t="s">
        <v>10</v>
      </c>
      <c r="C363" s="13">
        <v>22.1</v>
      </c>
      <c r="D363" s="14">
        <v>0</v>
      </c>
      <c r="E363">
        <f t="shared" si="12"/>
        <v>5</v>
      </c>
      <c r="F363">
        <f t="shared" si="11"/>
        <v>126.9</v>
      </c>
    </row>
    <row r="364" spans="1:6" hidden="1" x14ac:dyDescent="0.35">
      <c r="A364" s="7">
        <v>49003</v>
      </c>
      <c r="B364" s="8" t="s">
        <v>10</v>
      </c>
      <c r="C364" s="9">
        <v>11.9</v>
      </c>
      <c r="D364" s="10">
        <v>41.6</v>
      </c>
      <c r="E364">
        <f t="shared" si="12"/>
        <v>6</v>
      </c>
      <c r="F364">
        <f t="shared" si="11"/>
        <v>138.80000000000001</v>
      </c>
    </row>
    <row r="365" spans="1:6" hidden="1" x14ac:dyDescent="0.35">
      <c r="A365" s="11">
        <v>49004</v>
      </c>
      <c r="B365" s="12" t="s">
        <v>13</v>
      </c>
      <c r="C365" s="13">
        <v>19.600000000000001</v>
      </c>
      <c r="D365" s="14">
        <v>0</v>
      </c>
      <c r="E365">
        <f t="shared" si="12"/>
        <v>7</v>
      </c>
      <c r="F365">
        <f t="shared" si="11"/>
        <v>158.4</v>
      </c>
    </row>
    <row r="366" spans="1:6" hidden="1" x14ac:dyDescent="0.35">
      <c r="A366" s="7">
        <v>49005</v>
      </c>
      <c r="B366" s="8" t="s">
        <v>27</v>
      </c>
      <c r="C366" s="9">
        <v>15.9</v>
      </c>
      <c r="D366" s="10">
        <v>0</v>
      </c>
      <c r="E366">
        <f t="shared" si="12"/>
        <v>1</v>
      </c>
      <c r="F366">
        <f t="shared" si="11"/>
        <v>15.9</v>
      </c>
    </row>
    <row r="367" spans="1:6" hidden="1" x14ac:dyDescent="0.35">
      <c r="A367" s="11">
        <v>49006</v>
      </c>
      <c r="B367" s="12" t="s">
        <v>12</v>
      </c>
      <c r="C367" s="13">
        <v>24.3</v>
      </c>
      <c r="D367" s="14">
        <v>1.7</v>
      </c>
      <c r="E367">
        <f t="shared" si="12"/>
        <v>2</v>
      </c>
      <c r="F367">
        <f t="shared" si="11"/>
        <v>40.200000000000003</v>
      </c>
    </row>
    <row r="368" spans="1:6" hidden="1" x14ac:dyDescent="0.35">
      <c r="A368" s="7">
        <v>49007</v>
      </c>
      <c r="B368" s="8" t="s">
        <v>14</v>
      </c>
      <c r="C368" s="9">
        <v>20</v>
      </c>
      <c r="D368" s="10">
        <v>0</v>
      </c>
      <c r="E368">
        <f t="shared" si="12"/>
        <v>3</v>
      </c>
      <c r="F368">
        <f t="shared" si="11"/>
        <v>60.2</v>
      </c>
    </row>
    <row r="369" spans="1:6" hidden="1" x14ac:dyDescent="0.35">
      <c r="A369" s="11">
        <v>49008</v>
      </c>
      <c r="B369" s="12" t="s">
        <v>10</v>
      </c>
      <c r="C369" s="13">
        <v>14.2</v>
      </c>
      <c r="D369" s="14">
        <v>32.200000000000003</v>
      </c>
      <c r="E369">
        <f t="shared" si="12"/>
        <v>4</v>
      </c>
      <c r="F369">
        <f t="shared" si="11"/>
        <v>74.400000000000006</v>
      </c>
    </row>
    <row r="370" spans="1:6" hidden="1" x14ac:dyDescent="0.35">
      <c r="A370" s="7">
        <v>49009</v>
      </c>
      <c r="B370" s="8" t="s">
        <v>7</v>
      </c>
      <c r="C370" s="9">
        <v>20.5</v>
      </c>
      <c r="D370" s="10">
        <v>18.3</v>
      </c>
      <c r="E370">
        <f t="shared" si="12"/>
        <v>5</v>
      </c>
      <c r="F370">
        <f t="shared" si="11"/>
        <v>94.9</v>
      </c>
    </row>
    <row r="371" spans="1:6" hidden="1" x14ac:dyDescent="0.35">
      <c r="A371" s="11">
        <v>49010</v>
      </c>
      <c r="B371" s="12" t="s">
        <v>10</v>
      </c>
      <c r="C371" s="13">
        <v>22.4</v>
      </c>
      <c r="D371" s="14">
        <v>0</v>
      </c>
      <c r="E371">
        <f t="shared" si="12"/>
        <v>6</v>
      </c>
      <c r="F371">
        <f t="shared" si="11"/>
        <v>117.30000000000001</v>
      </c>
    </row>
    <row r="372" spans="1:6" hidden="1" x14ac:dyDescent="0.35">
      <c r="A372" s="7">
        <v>49011</v>
      </c>
      <c r="B372" s="8" t="s">
        <v>22</v>
      </c>
      <c r="C372" s="9">
        <v>19.100000000000001</v>
      </c>
      <c r="D372" s="10">
        <v>0</v>
      </c>
      <c r="E372">
        <f t="shared" si="12"/>
        <v>7</v>
      </c>
      <c r="F372">
        <f t="shared" si="11"/>
        <v>136.4</v>
      </c>
    </row>
    <row r="373" spans="1:6" hidden="1" x14ac:dyDescent="0.35">
      <c r="A373" s="11">
        <v>49012</v>
      </c>
      <c r="B373" s="12" t="s">
        <v>15</v>
      </c>
      <c r="C373" s="13">
        <v>20.399999999999999</v>
      </c>
      <c r="D373" s="14">
        <v>4.3</v>
      </c>
      <c r="E373">
        <f t="shared" si="12"/>
        <v>1</v>
      </c>
      <c r="F373">
        <f t="shared" si="11"/>
        <v>20.399999999999999</v>
      </c>
    </row>
    <row r="374" spans="1:6" hidden="1" x14ac:dyDescent="0.35">
      <c r="A374" s="7">
        <v>49013</v>
      </c>
      <c r="B374" s="8" t="s">
        <v>19</v>
      </c>
      <c r="C374" s="9">
        <v>29.8</v>
      </c>
      <c r="D374" s="10">
        <v>0</v>
      </c>
      <c r="E374">
        <f t="shared" si="12"/>
        <v>2</v>
      </c>
      <c r="F374">
        <f t="shared" si="11"/>
        <v>50.2</v>
      </c>
    </row>
    <row r="375" spans="1:6" hidden="1" x14ac:dyDescent="0.35">
      <c r="A375" s="11">
        <v>49014</v>
      </c>
      <c r="B375" s="12" t="s">
        <v>33</v>
      </c>
      <c r="C375" s="13">
        <v>13.7</v>
      </c>
      <c r="D375" s="14">
        <v>0.7</v>
      </c>
      <c r="E375">
        <f t="shared" si="12"/>
        <v>3</v>
      </c>
      <c r="F375">
        <f t="shared" si="11"/>
        <v>63.900000000000006</v>
      </c>
    </row>
    <row r="376" spans="1:6" hidden="1" x14ac:dyDescent="0.35">
      <c r="A376" s="7">
        <v>49015</v>
      </c>
      <c r="B376" s="8" t="s">
        <v>8</v>
      </c>
      <c r="C376" s="9">
        <v>20.2</v>
      </c>
      <c r="D376" s="10">
        <v>3.7</v>
      </c>
      <c r="E376">
        <f t="shared" si="12"/>
        <v>4</v>
      </c>
      <c r="F376">
        <f t="shared" si="11"/>
        <v>84.100000000000009</v>
      </c>
    </row>
    <row r="377" spans="1:6" hidden="1" x14ac:dyDescent="0.35">
      <c r="A377" s="11">
        <v>49016</v>
      </c>
      <c r="B377" s="12" t="s">
        <v>11</v>
      </c>
      <c r="C377" s="13">
        <v>18.2</v>
      </c>
      <c r="D377" s="14">
        <v>1.6</v>
      </c>
      <c r="E377">
        <f t="shared" si="12"/>
        <v>5</v>
      </c>
      <c r="F377">
        <f t="shared" si="11"/>
        <v>102.30000000000001</v>
      </c>
    </row>
    <row r="378" spans="1:6" hidden="1" x14ac:dyDescent="0.35">
      <c r="A378" s="7">
        <v>49017</v>
      </c>
      <c r="B378" s="8" t="s">
        <v>13</v>
      </c>
      <c r="C378" s="9">
        <v>14.2</v>
      </c>
      <c r="D378" s="10">
        <v>2</v>
      </c>
      <c r="E378">
        <f t="shared" si="12"/>
        <v>6</v>
      </c>
      <c r="F378">
        <f t="shared" si="11"/>
        <v>116.50000000000001</v>
      </c>
    </row>
    <row r="379" spans="1:6" hidden="1" x14ac:dyDescent="0.35">
      <c r="A379" s="11">
        <v>49018</v>
      </c>
      <c r="B379" s="12" t="s">
        <v>15</v>
      </c>
      <c r="C379" s="13">
        <v>11.2</v>
      </c>
      <c r="D379" s="14">
        <v>14.3</v>
      </c>
      <c r="E379">
        <f t="shared" si="12"/>
        <v>7</v>
      </c>
      <c r="F379">
        <f t="shared" si="11"/>
        <v>127.70000000000002</v>
      </c>
    </row>
    <row r="380" spans="1:6" hidden="1" x14ac:dyDescent="0.35">
      <c r="A380" s="7">
        <v>49019</v>
      </c>
      <c r="B380" s="8" t="s">
        <v>32</v>
      </c>
      <c r="C380" s="9">
        <v>13.9</v>
      </c>
      <c r="D380" s="10">
        <v>0.2</v>
      </c>
      <c r="E380">
        <f t="shared" si="12"/>
        <v>1</v>
      </c>
      <c r="F380">
        <f t="shared" si="11"/>
        <v>13.9</v>
      </c>
    </row>
    <row r="381" spans="1:6" hidden="1" x14ac:dyDescent="0.35">
      <c r="A381" s="11">
        <v>49020</v>
      </c>
      <c r="B381" s="12" t="s">
        <v>11</v>
      </c>
      <c r="C381" s="13">
        <v>22.6</v>
      </c>
      <c r="D381" s="14">
        <v>15.1</v>
      </c>
      <c r="E381">
        <f t="shared" si="12"/>
        <v>2</v>
      </c>
      <c r="F381">
        <f t="shared" si="11"/>
        <v>36.5</v>
      </c>
    </row>
    <row r="382" spans="1:6" hidden="1" x14ac:dyDescent="0.35">
      <c r="A382" s="7">
        <v>49021</v>
      </c>
      <c r="B382" s="8" t="s">
        <v>15</v>
      </c>
      <c r="C382" s="9">
        <v>29.8</v>
      </c>
      <c r="D382" s="10">
        <v>0</v>
      </c>
      <c r="E382">
        <f t="shared" si="12"/>
        <v>3</v>
      </c>
      <c r="F382">
        <f t="shared" si="11"/>
        <v>66.3</v>
      </c>
    </row>
    <row r="383" spans="1:6" hidden="1" x14ac:dyDescent="0.35">
      <c r="A383" s="11">
        <v>49022</v>
      </c>
      <c r="B383" s="12" t="s">
        <v>20</v>
      </c>
      <c r="C383" s="13">
        <v>12.7</v>
      </c>
      <c r="D383" s="14">
        <v>2.6</v>
      </c>
      <c r="E383">
        <f t="shared" si="12"/>
        <v>4</v>
      </c>
      <c r="F383">
        <f t="shared" si="11"/>
        <v>79</v>
      </c>
    </row>
    <row r="384" spans="1:6" hidden="1" x14ac:dyDescent="0.35">
      <c r="A384" s="7">
        <v>49023</v>
      </c>
      <c r="B384" s="8" t="s">
        <v>27</v>
      </c>
      <c r="C384" s="9">
        <v>14.4</v>
      </c>
      <c r="D384" s="10">
        <v>0</v>
      </c>
      <c r="E384">
        <f t="shared" si="12"/>
        <v>5</v>
      </c>
      <c r="F384">
        <f t="shared" si="11"/>
        <v>93.4</v>
      </c>
    </row>
    <row r="385" spans="1:6" hidden="1" x14ac:dyDescent="0.35">
      <c r="A385" s="11">
        <v>49024</v>
      </c>
      <c r="B385" s="12" t="s">
        <v>33</v>
      </c>
      <c r="C385" s="13">
        <v>18.399999999999999</v>
      </c>
      <c r="D385" s="14">
        <v>0.2</v>
      </c>
      <c r="E385">
        <f t="shared" si="12"/>
        <v>6</v>
      </c>
      <c r="F385">
        <f t="shared" si="11"/>
        <v>111.80000000000001</v>
      </c>
    </row>
    <row r="386" spans="1:6" hidden="1" x14ac:dyDescent="0.35">
      <c r="A386" s="7">
        <v>49025</v>
      </c>
      <c r="B386" s="8" t="s">
        <v>9</v>
      </c>
      <c r="C386" s="9">
        <v>27.2</v>
      </c>
      <c r="D386" s="10">
        <v>9.6</v>
      </c>
      <c r="E386">
        <f t="shared" si="12"/>
        <v>7</v>
      </c>
      <c r="F386">
        <f t="shared" si="11"/>
        <v>139</v>
      </c>
    </row>
    <row r="387" spans="1:6" hidden="1" x14ac:dyDescent="0.35">
      <c r="A387" s="11">
        <v>49026</v>
      </c>
      <c r="B387" s="12" t="s">
        <v>22</v>
      </c>
      <c r="C387" s="13">
        <v>12.5</v>
      </c>
      <c r="D387" s="14">
        <v>8.8000000000000007</v>
      </c>
      <c r="E387">
        <f t="shared" si="12"/>
        <v>1</v>
      </c>
      <c r="F387">
        <f t="shared" si="11"/>
        <v>12.5</v>
      </c>
    </row>
    <row r="388" spans="1:6" hidden="1" x14ac:dyDescent="0.35">
      <c r="A388" s="7">
        <v>49027</v>
      </c>
      <c r="B388" s="8" t="s">
        <v>26</v>
      </c>
      <c r="C388" s="9">
        <v>22.6</v>
      </c>
      <c r="D388" s="10">
        <v>3.5</v>
      </c>
      <c r="E388">
        <f t="shared" si="12"/>
        <v>2</v>
      </c>
      <c r="F388">
        <f t="shared" ref="F388:F451" si="13">IF(E387=7,C388,C388+F387)</f>
        <v>35.1</v>
      </c>
    </row>
    <row r="389" spans="1:6" hidden="1" x14ac:dyDescent="0.35">
      <c r="A389" s="11">
        <v>49028</v>
      </c>
      <c r="B389" s="12" t="s">
        <v>7</v>
      </c>
      <c r="C389" s="13">
        <v>21.8</v>
      </c>
      <c r="D389" s="14">
        <v>6.5</v>
      </c>
      <c r="E389">
        <f t="shared" si="12"/>
        <v>3</v>
      </c>
      <c r="F389">
        <f t="shared" si="13"/>
        <v>56.900000000000006</v>
      </c>
    </row>
    <row r="390" spans="1:6" hidden="1" x14ac:dyDescent="0.35">
      <c r="A390" s="7">
        <v>49029</v>
      </c>
      <c r="B390" s="8" t="s">
        <v>23</v>
      </c>
      <c r="C390" s="9">
        <v>17.2</v>
      </c>
      <c r="D390" s="10">
        <v>0</v>
      </c>
      <c r="E390">
        <f t="shared" si="12"/>
        <v>4</v>
      </c>
      <c r="F390">
        <f t="shared" si="13"/>
        <v>74.100000000000009</v>
      </c>
    </row>
    <row r="391" spans="1:6" hidden="1" x14ac:dyDescent="0.35">
      <c r="A391" s="11">
        <v>49030</v>
      </c>
      <c r="B391" s="12" t="s">
        <v>13</v>
      </c>
      <c r="C391" s="13">
        <v>13.4</v>
      </c>
      <c r="D391" s="14">
        <v>14.1</v>
      </c>
      <c r="E391">
        <f t="shared" si="12"/>
        <v>5</v>
      </c>
      <c r="F391">
        <f t="shared" si="13"/>
        <v>87.500000000000014</v>
      </c>
    </row>
    <row r="392" spans="1:6" hidden="1" x14ac:dyDescent="0.35">
      <c r="A392" s="7">
        <v>49031</v>
      </c>
      <c r="B392" s="8" t="s">
        <v>9</v>
      </c>
      <c r="C392" s="9">
        <v>13.8</v>
      </c>
      <c r="D392" s="10">
        <v>9.9</v>
      </c>
      <c r="E392">
        <f t="shared" si="12"/>
        <v>6</v>
      </c>
      <c r="F392">
        <f t="shared" si="13"/>
        <v>101.30000000000001</v>
      </c>
    </row>
    <row r="393" spans="1:6" hidden="1" x14ac:dyDescent="0.35">
      <c r="A393" s="11">
        <v>49032</v>
      </c>
      <c r="B393" s="12" t="s">
        <v>24</v>
      </c>
      <c r="C393" s="13">
        <v>10.6</v>
      </c>
      <c r="D393" s="14">
        <v>1.2</v>
      </c>
      <c r="E393">
        <f t="shared" si="12"/>
        <v>7</v>
      </c>
      <c r="F393">
        <f t="shared" si="13"/>
        <v>111.9</v>
      </c>
    </row>
    <row r="394" spans="1:6" hidden="1" x14ac:dyDescent="0.35">
      <c r="A394" s="7">
        <v>49033</v>
      </c>
      <c r="B394" s="8" t="s">
        <v>16</v>
      </c>
      <c r="C394" s="9">
        <v>28.8</v>
      </c>
      <c r="D394" s="10">
        <v>0.1</v>
      </c>
      <c r="E394">
        <f t="shared" ref="E394:E457" si="14">IF(E393=7,1,E393+1)</f>
        <v>1</v>
      </c>
      <c r="F394">
        <f t="shared" si="13"/>
        <v>28.8</v>
      </c>
    </row>
    <row r="395" spans="1:6" hidden="1" x14ac:dyDescent="0.35">
      <c r="A395" s="11">
        <v>49034</v>
      </c>
      <c r="B395" s="12" t="s">
        <v>28</v>
      </c>
      <c r="C395" s="13">
        <v>16.899999999999999</v>
      </c>
      <c r="D395" s="14">
        <v>0.7</v>
      </c>
      <c r="E395">
        <f t="shared" si="14"/>
        <v>2</v>
      </c>
      <c r="F395">
        <f t="shared" si="13"/>
        <v>45.7</v>
      </c>
    </row>
    <row r="396" spans="1:6" hidden="1" x14ac:dyDescent="0.35">
      <c r="A396" s="7">
        <v>49035</v>
      </c>
      <c r="B396" s="8" t="s">
        <v>18</v>
      </c>
      <c r="C396" s="9">
        <v>11.2</v>
      </c>
      <c r="D396" s="10">
        <v>4.8</v>
      </c>
      <c r="E396">
        <f t="shared" si="14"/>
        <v>3</v>
      </c>
      <c r="F396">
        <f t="shared" si="13"/>
        <v>56.900000000000006</v>
      </c>
    </row>
    <row r="397" spans="1:6" hidden="1" x14ac:dyDescent="0.35">
      <c r="A397" s="11">
        <v>49036</v>
      </c>
      <c r="B397" s="12" t="s">
        <v>10</v>
      </c>
      <c r="C397" s="13">
        <v>13.9</v>
      </c>
      <c r="D397" s="14">
        <v>23</v>
      </c>
      <c r="E397">
        <f t="shared" si="14"/>
        <v>4</v>
      </c>
      <c r="F397">
        <f t="shared" si="13"/>
        <v>70.800000000000011</v>
      </c>
    </row>
    <row r="398" spans="1:6" hidden="1" x14ac:dyDescent="0.35">
      <c r="A398" s="7">
        <v>49037</v>
      </c>
      <c r="B398" s="8" t="s">
        <v>11</v>
      </c>
      <c r="C398" s="9">
        <v>25.3</v>
      </c>
      <c r="D398" s="10">
        <v>21.9</v>
      </c>
      <c r="E398">
        <f t="shared" si="14"/>
        <v>5</v>
      </c>
      <c r="F398">
        <f t="shared" si="13"/>
        <v>96.100000000000009</v>
      </c>
    </row>
    <row r="399" spans="1:6" hidden="1" x14ac:dyDescent="0.35">
      <c r="A399" s="11">
        <v>49038</v>
      </c>
      <c r="B399" s="12" t="s">
        <v>10</v>
      </c>
      <c r="C399" s="13">
        <v>14.7</v>
      </c>
      <c r="D399" s="14">
        <v>0</v>
      </c>
      <c r="E399">
        <f t="shared" si="14"/>
        <v>6</v>
      </c>
      <c r="F399">
        <f t="shared" si="13"/>
        <v>110.80000000000001</v>
      </c>
    </row>
    <row r="400" spans="1:6" hidden="1" x14ac:dyDescent="0.35">
      <c r="A400" s="7">
        <v>49039</v>
      </c>
      <c r="B400" s="8" t="s">
        <v>12</v>
      </c>
      <c r="C400" s="9">
        <v>20.3</v>
      </c>
      <c r="D400" s="10">
        <v>5.3</v>
      </c>
      <c r="E400">
        <f t="shared" si="14"/>
        <v>7</v>
      </c>
      <c r="F400">
        <f t="shared" si="13"/>
        <v>131.10000000000002</v>
      </c>
    </row>
    <row r="401" spans="1:6" hidden="1" x14ac:dyDescent="0.35">
      <c r="A401" s="11">
        <v>49040</v>
      </c>
      <c r="B401" s="12" t="s">
        <v>15</v>
      </c>
      <c r="C401" s="13">
        <v>25</v>
      </c>
      <c r="D401" s="14">
        <v>3.8</v>
      </c>
      <c r="E401">
        <f t="shared" si="14"/>
        <v>1</v>
      </c>
      <c r="F401">
        <f t="shared" si="13"/>
        <v>25</v>
      </c>
    </row>
    <row r="402" spans="1:6" hidden="1" x14ac:dyDescent="0.35">
      <c r="A402" s="7">
        <v>49041</v>
      </c>
      <c r="B402" s="8" t="s">
        <v>18</v>
      </c>
      <c r="C402" s="9">
        <v>19.600000000000001</v>
      </c>
      <c r="D402" s="10">
        <v>0.6</v>
      </c>
      <c r="E402">
        <f t="shared" si="14"/>
        <v>2</v>
      </c>
      <c r="F402">
        <f t="shared" si="13"/>
        <v>44.6</v>
      </c>
    </row>
    <row r="403" spans="1:6" hidden="1" x14ac:dyDescent="0.35">
      <c r="A403" s="11">
        <v>49042</v>
      </c>
      <c r="B403" s="12" t="s">
        <v>12</v>
      </c>
      <c r="C403" s="13">
        <v>10.8</v>
      </c>
      <c r="D403" s="14">
        <v>0</v>
      </c>
      <c r="E403">
        <f t="shared" si="14"/>
        <v>3</v>
      </c>
      <c r="F403">
        <f t="shared" si="13"/>
        <v>55.400000000000006</v>
      </c>
    </row>
    <row r="404" spans="1:6" hidden="1" x14ac:dyDescent="0.35">
      <c r="A404" s="7">
        <v>49043</v>
      </c>
      <c r="B404" s="8" t="s">
        <v>21</v>
      </c>
      <c r="C404" s="9">
        <v>17.100000000000001</v>
      </c>
      <c r="D404" s="10">
        <v>0.7</v>
      </c>
      <c r="E404">
        <f t="shared" si="14"/>
        <v>4</v>
      </c>
      <c r="F404">
        <f t="shared" si="13"/>
        <v>72.5</v>
      </c>
    </row>
    <row r="405" spans="1:6" hidden="1" x14ac:dyDescent="0.35">
      <c r="A405" s="11">
        <v>49044</v>
      </c>
      <c r="B405" s="12" t="s">
        <v>14</v>
      </c>
      <c r="C405" s="13">
        <v>15.1</v>
      </c>
      <c r="D405" s="14">
        <v>0</v>
      </c>
      <c r="E405">
        <f t="shared" si="14"/>
        <v>5</v>
      </c>
      <c r="F405">
        <f t="shared" si="13"/>
        <v>87.6</v>
      </c>
    </row>
    <row r="406" spans="1:6" hidden="1" x14ac:dyDescent="0.35">
      <c r="A406" s="7">
        <v>49045</v>
      </c>
      <c r="B406" s="8" t="s">
        <v>18</v>
      </c>
      <c r="C406" s="9">
        <v>26.4</v>
      </c>
      <c r="D406" s="10">
        <v>1.9</v>
      </c>
      <c r="E406">
        <f t="shared" si="14"/>
        <v>6</v>
      </c>
      <c r="F406">
        <f t="shared" si="13"/>
        <v>114</v>
      </c>
    </row>
    <row r="407" spans="1:6" hidden="1" x14ac:dyDescent="0.35">
      <c r="A407" s="11">
        <v>49046</v>
      </c>
      <c r="B407" s="12" t="s">
        <v>10</v>
      </c>
      <c r="C407" s="13">
        <v>11.6</v>
      </c>
      <c r="D407" s="14">
        <v>14.4</v>
      </c>
      <c r="E407">
        <f t="shared" si="14"/>
        <v>7</v>
      </c>
      <c r="F407">
        <f t="shared" si="13"/>
        <v>125.6</v>
      </c>
    </row>
    <row r="408" spans="1:6" hidden="1" x14ac:dyDescent="0.35">
      <c r="A408" s="7">
        <v>49047</v>
      </c>
      <c r="B408" s="8" t="s">
        <v>10</v>
      </c>
      <c r="C408" s="9">
        <v>16.600000000000001</v>
      </c>
      <c r="D408" s="10">
        <v>40.6</v>
      </c>
      <c r="E408">
        <f t="shared" si="14"/>
        <v>1</v>
      </c>
      <c r="F408">
        <f t="shared" si="13"/>
        <v>16.600000000000001</v>
      </c>
    </row>
    <row r="409" spans="1:6" hidden="1" x14ac:dyDescent="0.35">
      <c r="A409" s="11">
        <v>49048</v>
      </c>
      <c r="B409" s="12" t="s">
        <v>19</v>
      </c>
      <c r="C409" s="13">
        <v>19.5</v>
      </c>
      <c r="D409" s="14">
        <v>24.9</v>
      </c>
      <c r="E409">
        <f t="shared" si="14"/>
        <v>2</v>
      </c>
      <c r="F409">
        <f t="shared" si="13"/>
        <v>36.1</v>
      </c>
    </row>
    <row r="410" spans="1:6" hidden="1" x14ac:dyDescent="0.35">
      <c r="A410" s="7">
        <v>49049</v>
      </c>
      <c r="B410" s="8" t="s">
        <v>17</v>
      </c>
      <c r="C410" s="9">
        <v>24.9</v>
      </c>
      <c r="D410" s="10">
        <v>6.5</v>
      </c>
      <c r="E410">
        <f t="shared" si="14"/>
        <v>3</v>
      </c>
      <c r="F410">
        <f t="shared" si="13"/>
        <v>61</v>
      </c>
    </row>
    <row r="411" spans="1:6" hidden="1" x14ac:dyDescent="0.35">
      <c r="A411" s="11">
        <v>49050</v>
      </c>
      <c r="B411" s="12" t="s">
        <v>23</v>
      </c>
      <c r="C411" s="13">
        <v>19.3</v>
      </c>
      <c r="D411" s="14">
        <v>0.8</v>
      </c>
      <c r="E411">
        <f t="shared" si="14"/>
        <v>4</v>
      </c>
      <c r="F411">
        <f t="shared" si="13"/>
        <v>80.3</v>
      </c>
    </row>
    <row r="412" spans="1:6" hidden="1" x14ac:dyDescent="0.35">
      <c r="A412" s="7">
        <v>49051</v>
      </c>
      <c r="B412" s="8" t="s">
        <v>17</v>
      </c>
      <c r="C412" s="9">
        <v>26.2</v>
      </c>
      <c r="D412" s="10">
        <v>2.8</v>
      </c>
      <c r="E412">
        <f t="shared" si="14"/>
        <v>5</v>
      </c>
      <c r="F412">
        <f t="shared" si="13"/>
        <v>106.5</v>
      </c>
    </row>
    <row r="413" spans="1:6" hidden="1" x14ac:dyDescent="0.35">
      <c r="A413" s="11">
        <v>49052</v>
      </c>
      <c r="B413" s="12" t="s">
        <v>7</v>
      </c>
      <c r="C413" s="13">
        <v>28.1</v>
      </c>
      <c r="D413" s="14">
        <v>0.6</v>
      </c>
      <c r="E413">
        <f t="shared" si="14"/>
        <v>6</v>
      </c>
      <c r="F413">
        <f t="shared" si="13"/>
        <v>134.6</v>
      </c>
    </row>
    <row r="414" spans="1:6" hidden="1" x14ac:dyDescent="0.35">
      <c r="A414" s="7">
        <v>49053</v>
      </c>
      <c r="B414" s="8" t="s">
        <v>14</v>
      </c>
      <c r="C414" s="9">
        <v>17</v>
      </c>
      <c r="D414" s="10">
        <v>4.8</v>
      </c>
      <c r="E414">
        <f t="shared" si="14"/>
        <v>7</v>
      </c>
      <c r="F414">
        <f t="shared" si="13"/>
        <v>151.6</v>
      </c>
    </row>
    <row r="415" spans="1:6" hidden="1" x14ac:dyDescent="0.35">
      <c r="A415" s="11">
        <v>49054</v>
      </c>
      <c r="B415" s="12" t="s">
        <v>17</v>
      </c>
      <c r="C415" s="13">
        <v>28.5</v>
      </c>
      <c r="D415" s="14">
        <v>7.1</v>
      </c>
      <c r="E415">
        <f t="shared" si="14"/>
        <v>1</v>
      </c>
      <c r="F415">
        <f t="shared" si="13"/>
        <v>28.5</v>
      </c>
    </row>
    <row r="416" spans="1:6" hidden="1" x14ac:dyDescent="0.35">
      <c r="A416" s="7">
        <v>49055</v>
      </c>
      <c r="B416" s="8" t="s">
        <v>5</v>
      </c>
      <c r="C416" s="9">
        <v>14.2</v>
      </c>
      <c r="D416" s="10">
        <v>2.1</v>
      </c>
      <c r="E416">
        <f t="shared" si="14"/>
        <v>2</v>
      </c>
      <c r="F416">
        <f t="shared" si="13"/>
        <v>42.7</v>
      </c>
    </row>
    <row r="417" spans="1:6" hidden="1" x14ac:dyDescent="0.35">
      <c r="A417" s="11">
        <v>49056</v>
      </c>
      <c r="B417" s="12" t="s">
        <v>7</v>
      </c>
      <c r="C417" s="13">
        <v>24.9</v>
      </c>
      <c r="D417" s="14">
        <v>8.3000000000000007</v>
      </c>
      <c r="E417">
        <f t="shared" si="14"/>
        <v>3</v>
      </c>
      <c r="F417">
        <f t="shared" si="13"/>
        <v>67.599999999999994</v>
      </c>
    </row>
    <row r="418" spans="1:6" hidden="1" x14ac:dyDescent="0.35">
      <c r="A418" s="7">
        <v>49057</v>
      </c>
      <c r="B418" s="8" t="s">
        <v>17</v>
      </c>
      <c r="C418" s="9">
        <v>19.100000000000001</v>
      </c>
      <c r="D418" s="10">
        <v>3.4</v>
      </c>
      <c r="E418">
        <f t="shared" si="14"/>
        <v>4</v>
      </c>
      <c r="F418">
        <f t="shared" si="13"/>
        <v>86.699999999999989</v>
      </c>
    </row>
    <row r="419" spans="1:6" hidden="1" x14ac:dyDescent="0.35">
      <c r="A419" s="11">
        <v>49058</v>
      </c>
      <c r="B419" s="12" t="s">
        <v>10</v>
      </c>
      <c r="C419" s="13">
        <v>14.9</v>
      </c>
      <c r="D419" s="14">
        <v>23.1</v>
      </c>
      <c r="E419">
        <f t="shared" si="14"/>
        <v>5</v>
      </c>
      <c r="F419">
        <f t="shared" si="13"/>
        <v>101.6</v>
      </c>
    </row>
    <row r="420" spans="1:6" hidden="1" x14ac:dyDescent="0.35">
      <c r="A420" s="7">
        <v>49059</v>
      </c>
      <c r="B420" s="8" t="s">
        <v>27</v>
      </c>
      <c r="C420" s="9">
        <v>16.899999999999999</v>
      </c>
      <c r="D420" s="10">
        <v>6.8</v>
      </c>
      <c r="E420">
        <f t="shared" si="14"/>
        <v>6</v>
      </c>
      <c r="F420">
        <f t="shared" si="13"/>
        <v>118.5</v>
      </c>
    </row>
    <row r="421" spans="1:6" hidden="1" x14ac:dyDescent="0.35">
      <c r="A421" s="11">
        <v>49060</v>
      </c>
      <c r="B421" s="12" t="s">
        <v>12</v>
      </c>
      <c r="C421" s="13">
        <v>15.9</v>
      </c>
      <c r="D421" s="14">
        <v>6.8</v>
      </c>
      <c r="E421">
        <f t="shared" si="14"/>
        <v>7</v>
      </c>
      <c r="F421">
        <f t="shared" si="13"/>
        <v>134.4</v>
      </c>
    </row>
    <row r="422" spans="1:6" hidden="1" x14ac:dyDescent="0.35">
      <c r="A422" s="7">
        <v>49061</v>
      </c>
      <c r="B422" s="8" t="s">
        <v>29</v>
      </c>
      <c r="C422" s="9">
        <v>26.3</v>
      </c>
      <c r="D422" s="10">
        <v>0.7</v>
      </c>
      <c r="E422">
        <f t="shared" si="14"/>
        <v>1</v>
      </c>
      <c r="F422">
        <f t="shared" si="13"/>
        <v>26.3</v>
      </c>
    </row>
    <row r="423" spans="1:6" hidden="1" x14ac:dyDescent="0.35">
      <c r="A423" s="11">
        <v>49062</v>
      </c>
      <c r="B423" s="12" t="s">
        <v>10</v>
      </c>
      <c r="C423" s="13">
        <v>12.2</v>
      </c>
      <c r="D423" s="14">
        <v>0</v>
      </c>
      <c r="E423">
        <f t="shared" si="14"/>
        <v>2</v>
      </c>
      <c r="F423">
        <f t="shared" si="13"/>
        <v>38.5</v>
      </c>
    </row>
    <row r="424" spans="1:6" hidden="1" x14ac:dyDescent="0.35">
      <c r="A424" s="7">
        <v>49063</v>
      </c>
      <c r="B424" s="8" t="s">
        <v>7</v>
      </c>
      <c r="C424" s="9">
        <v>27.5</v>
      </c>
      <c r="D424" s="10">
        <v>0</v>
      </c>
      <c r="E424">
        <f t="shared" si="14"/>
        <v>3</v>
      </c>
      <c r="F424">
        <f t="shared" si="13"/>
        <v>66</v>
      </c>
    </row>
    <row r="425" spans="1:6" hidden="1" x14ac:dyDescent="0.35">
      <c r="A425" s="11">
        <v>49064</v>
      </c>
      <c r="B425" s="12" t="s">
        <v>21</v>
      </c>
      <c r="C425" s="13">
        <v>23</v>
      </c>
      <c r="D425" s="14">
        <v>0</v>
      </c>
      <c r="E425">
        <f t="shared" si="14"/>
        <v>4</v>
      </c>
      <c r="F425">
        <f t="shared" si="13"/>
        <v>89</v>
      </c>
    </row>
    <row r="426" spans="1:6" hidden="1" x14ac:dyDescent="0.35">
      <c r="A426" s="7">
        <v>49065</v>
      </c>
      <c r="B426" s="8" t="s">
        <v>19</v>
      </c>
      <c r="C426" s="9">
        <v>17.899999999999999</v>
      </c>
      <c r="D426" s="10">
        <v>36.799999999999997</v>
      </c>
      <c r="E426">
        <f t="shared" si="14"/>
        <v>5</v>
      </c>
      <c r="F426">
        <f t="shared" si="13"/>
        <v>106.9</v>
      </c>
    </row>
    <row r="427" spans="1:6" hidden="1" x14ac:dyDescent="0.35">
      <c r="A427" s="11">
        <v>49066</v>
      </c>
      <c r="B427" s="12" t="s">
        <v>19</v>
      </c>
      <c r="C427" s="13">
        <v>27.3</v>
      </c>
      <c r="D427" s="14">
        <v>0</v>
      </c>
      <c r="E427">
        <f t="shared" si="14"/>
        <v>6</v>
      </c>
      <c r="F427">
        <f t="shared" si="13"/>
        <v>134.20000000000002</v>
      </c>
    </row>
    <row r="428" spans="1:6" hidden="1" x14ac:dyDescent="0.35">
      <c r="A428" s="7">
        <v>49067</v>
      </c>
      <c r="B428" s="8" t="s">
        <v>4</v>
      </c>
      <c r="C428" s="9">
        <v>19.3</v>
      </c>
      <c r="D428" s="10">
        <v>0.4</v>
      </c>
      <c r="E428">
        <f t="shared" si="14"/>
        <v>7</v>
      </c>
      <c r="F428">
        <f t="shared" si="13"/>
        <v>153.50000000000003</v>
      </c>
    </row>
    <row r="429" spans="1:6" hidden="1" x14ac:dyDescent="0.35">
      <c r="A429" s="11">
        <v>49068</v>
      </c>
      <c r="B429" s="12" t="s">
        <v>14</v>
      </c>
      <c r="C429" s="13">
        <v>25.5</v>
      </c>
      <c r="D429" s="14">
        <v>0</v>
      </c>
      <c r="E429">
        <f t="shared" si="14"/>
        <v>1</v>
      </c>
      <c r="F429">
        <f t="shared" si="13"/>
        <v>25.5</v>
      </c>
    </row>
    <row r="430" spans="1:6" hidden="1" x14ac:dyDescent="0.35">
      <c r="A430" s="7">
        <v>49069</v>
      </c>
      <c r="B430" s="8" t="s">
        <v>6</v>
      </c>
      <c r="C430" s="9">
        <v>13.7</v>
      </c>
      <c r="D430" s="10">
        <v>11.7</v>
      </c>
      <c r="E430">
        <f t="shared" si="14"/>
        <v>2</v>
      </c>
      <c r="F430">
        <f t="shared" si="13"/>
        <v>39.200000000000003</v>
      </c>
    </row>
    <row r="431" spans="1:6" hidden="1" x14ac:dyDescent="0.35">
      <c r="A431" s="11">
        <v>49070</v>
      </c>
      <c r="B431" s="12" t="s">
        <v>19</v>
      </c>
      <c r="C431" s="13">
        <v>18.399999999999999</v>
      </c>
      <c r="D431" s="14">
        <v>0</v>
      </c>
      <c r="E431">
        <f t="shared" si="14"/>
        <v>3</v>
      </c>
      <c r="F431">
        <f t="shared" si="13"/>
        <v>57.6</v>
      </c>
    </row>
    <row r="432" spans="1:6" hidden="1" x14ac:dyDescent="0.35">
      <c r="A432" s="7">
        <v>49071</v>
      </c>
      <c r="B432" s="8" t="s">
        <v>18</v>
      </c>
      <c r="C432" s="9">
        <v>11.1</v>
      </c>
      <c r="D432" s="10">
        <v>0</v>
      </c>
      <c r="E432">
        <f t="shared" si="14"/>
        <v>4</v>
      </c>
      <c r="F432">
        <f t="shared" si="13"/>
        <v>68.7</v>
      </c>
    </row>
    <row r="433" spans="1:6" hidden="1" x14ac:dyDescent="0.35">
      <c r="A433" s="11">
        <v>49072</v>
      </c>
      <c r="B433" s="12" t="s">
        <v>12</v>
      </c>
      <c r="C433" s="13">
        <v>28</v>
      </c>
      <c r="D433" s="14">
        <v>0</v>
      </c>
      <c r="E433">
        <f t="shared" si="14"/>
        <v>5</v>
      </c>
      <c r="F433">
        <f t="shared" si="13"/>
        <v>96.7</v>
      </c>
    </row>
    <row r="434" spans="1:6" hidden="1" x14ac:dyDescent="0.35">
      <c r="A434" s="7">
        <v>49073</v>
      </c>
      <c r="B434" s="8" t="s">
        <v>6</v>
      </c>
      <c r="C434" s="9">
        <v>16.2</v>
      </c>
      <c r="D434" s="10">
        <v>13.7</v>
      </c>
      <c r="E434">
        <f t="shared" si="14"/>
        <v>6</v>
      </c>
      <c r="F434">
        <f t="shared" si="13"/>
        <v>112.9</v>
      </c>
    </row>
    <row r="435" spans="1:6" hidden="1" x14ac:dyDescent="0.35">
      <c r="A435" s="11">
        <v>49074</v>
      </c>
      <c r="B435" s="12" t="s">
        <v>19</v>
      </c>
      <c r="C435" s="13">
        <v>12.1</v>
      </c>
      <c r="D435" s="14">
        <v>37.200000000000003</v>
      </c>
      <c r="E435">
        <f t="shared" si="14"/>
        <v>7</v>
      </c>
      <c r="F435">
        <f t="shared" si="13"/>
        <v>125</v>
      </c>
    </row>
    <row r="436" spans="1:6" hidden="1" x14ac:dyDescent="0.35">
      <c r="A436" s="7">
        <v>49075</v>
      </c>
      <c r="B436" s="8" t="s">
        <v>20</v>
      </c>
      <c r="C436" s="9">
        <v>21.4</v>
      </c>
      <c r="D436" s="10">
        <v>3.1</v>
      </c>
      <c r="E436">
        <f t="shared" si="14"/>
        <v>1</v>
      </c>
      <c r="F436">
        <f t="shared" si="13"/>
        <v>21.4</v>
      </c>
    </row>
    <row r="437" spans="1:6" hidden="1" x14ac:dyDescent="0.35">
      <c r="A437" s="11">
        <v>49076</v>
      </c>
      <c r="B437" s="12" t="s">
        <v>10</v>
      </c>
      <c r="C437" s="13">
        <v>11.2</v>
      </c>
      <c r="D437" s="14">
        <v>0</v>
      </c>
      <c r="E437">
        <f t="shared" si="14"/>
        <v>2</v>
      </c>
      <c r="F437">
        <f t="shared" si="13"/>
        <v>32.599999999999994</v>
      </c>
    </row>
    <row r="438" spans="1:6" hidden="1" x14ac:dyDescent="0.35">
      <c r="A438" s="7">
        <v>49077</v>
      </c>
      <c r="B438" s="8" t="s">
        <v>28</v>
      </c>
      <c r="C438" s="9">
        <v>18.399999999999999</v>
      </c>
      <c r="D438" s="10">
        <v>0.2</v>
      </c>
      <c r="E438">
        <f t="shared" si="14"/>
        <v>3</v>
      </c>
      <c r="F438">
        <f t="shared" si="13"/>
        <v>50.999999999999993</v>
      </c>
    </row>
    <row r="439" spans="1:6" hidden="1" x14ac:dyDescent="0.35">
      <c r="A439" s="11">
        <v>49078</v>
      </c>
      <c r="B439" s="12" t="s">
        <v>12</v>
      </c>
      <c r="C439" s="13">
        <v>13.7</v>
      </c>
      <c r="D439" s="14">
        <v>0</v>
      </c>
      <c r="E439">
        <f t="shared" si="14"/>
        <v>4</v>
      </c>
      <c r="F439">
        <f t="shared" si="13"/>
        <v>64.699999999999989</v>
      </c>
    </row>
    <row r="440" spans="1:6" hidden="1" x14ac:dyDescent="0.35">
      <c r="A440" s="7">
        <v>49079</v>
      </c>
      <c r="B440" s="8" t="s">
        <v>19</v>
      </c>
      <c r="C440" s="9">
        <v>10.4</v>
      </c>
      <c r="D440" s="10">
        <v>15.6</v>
      </c>
      <c r="E440">
        <f t="shared" si="14"/>
        <v>5</v>
      </c>
      <c r="F440">
        <f t="shared" si="13"/>
        <v>75.099999999999994</v>
      </c>
    </row>
    <row r="441" spans="1:6" hidden="1" x14ac:dyDescent="0.35">
      <c r="A441" s="11">
        <v>49080</v>
      </c>
      <c r="B441" s="12" t="s">
        <v>31</v>
      </c>
      <c r="C441" s="13">
        <v>21.8</v>
      </c>
      <c r="D441" s="14">
        <v>0</v>
      </c>
      <c r="E441">
        <f t="shared" si="14"/>
        <v>6</v>
      </c>
      <c r="F441">
        <f t="shared" si="13"/>
        <v>96.899999999999991</v>
      </c>
    </row>
    <row r="442" spans="1:6" hidden="1" x14ac:dyDescent="0.35">
      <c r="A442" s="7">
        <v>49081</v>
      </c>
      <c r="B442" s="8" t="s">
        <v>7</v>
      </c>
      <c r="C442" s="9">
        <v>11</v>
      </c>
      <c r="D442" s="10">
        <v>0.4</v>
      </c>
      <c r="E442">
        <f t="shared" si="14"/>
        <v>7</v>
      </c>
      <c r="F442">
        <f t="shared" si="13"/>
        <v>107.89999999999999</v>
      </c>
    </row>
    <row r="443" spans="1:6" hidden="1" x14ac:dyDescent="0.35">
      <c r="A443" s="11">
        <v>49082</v>
      </c>
      <c r="B443" s="12" t="s">
        <v>10</v>
      </c>
      <c r="C443" s="13">
        <v>19</v>
      </c>
      <c r="D443" s="14">
        <v>21.9</v>
      </c>
      <c r="E443">
        <f t="shared" si="14"/>
        <v>1</v>
      </c>
      <c r="F443">
        <f t="shared" si="13"/>
        <v>19</v>
      </c>
    </row>
    <row r="444" spans="1:6" hidden="1" x14ac:dyDescent="0.35">
      <c r="A444" s="7">
        <v>49083</v>
      </c>
      <c r="B444" s="8" t="s">
        <v>10</v>
      </c>
      <c r="C444" s="9">
        <v>12.5</v>
      </c>
      <c r="D444" s="10">
        <v>0</v>
      </c>
      <c r="E444">
        <f t="shared" si="14"/>
        <v>2</v>
      </c>
      <c r="F444">
        <f t="shared" si="13"/>
        <v>31.5</v>
      </c>
    </row>
    <row r="445" spans="1:6" hidden="1" x14ac:dyDescent="0.35">
      <c r="A445" s="11">
        <v>49084</v>
      </c>
      <c r="B445" s="12" t="s">
        <v>15</v>
      </c>
      <c r="C445" s="13">
        <v>13.6</v>
      </c>
      <c r="D445" s="14">
        <v>12.6</v>
      </c>
      <c r="E445">
        <f t="shared" si="14"/>
        <v>3</v>
      </c>
      <c r="F445">
        <f t="shared" si="13"/>
        <v>45.1</v>
      </c>
    </row>
    <row r="446" spans="1:6" hidden="1" x14ac:dyDescent="0.35">
      <c r="A446" s="7">
        <v>49085</v>
      </c>
      <c r="B446" s="8" t="s">
        <v>10</v>
      </c>
      <c r="C446" s="9">
        <v>20.2</v>
      </c>
      <c r="D446" s="10">
        <v>17.899999999999999</v>
      </c>
      <c r="E446">
        <f t="shared" si="14"/>
        <v>4</v>
      </c>
      <c r="F446">
        <f t="shared" si="13"/>
        <v>65.3</v>
      </c>
    </row>
    <row r="447" spans="1:6" hidden="1" x14ac:dyDescent="0.35">
      <c r="A447" s="11">
        <v>49086</v>
      </c>
      <c r="B447" s="12" t="s">
        <v>10</v>
      </c>
      <c r="C447" s="13">
        <v>28.7</v>
      </c>
      <c r="D447" s="14">
        <v>0</v>
      </c>
      <c r="E447">
        <f t="shared" si="14"/>
        <v>5</v>
      </c>
      <c r="F447">
        <f t="shared" si="13"/>
        <v>94</v>
      </c>
    </row>
    <row r="448" spans="1:6" hidden="1" x14ac:dyDescent="0.35">
      <c r="A448" s="7">
        <v>49087</v>
      </c>
      <c r="B448" s="8" t="s">
        <v>20</v>
      </c>
      <c r="C448" s="9">
        <v>13.4</v>
      </c>
      <c r="D448" s="10">
        <v>4.8</v>
      </c>
      <c r="E448">
        <f t="shared" si="14"/>
        <v>6</v>
      </c>
      <c r="F448">
        <f t="shared" si="13"/>
        <v>107.4</v>
      </c>
    </row>
    <row r="449" spans="1:6" hidden="1" x14ac:dyDescent="0.35">
      <c r="A449" s="11">
        <v>49088</v>
      </c>
      <c r="B449" s="12" t="s">
        <v>15</v>
      </c>
      <c r="C449" s="13">
        <v>12</v>
      </c>
      <c r="D449" s="14">
        <v>8.9</v>
      </c>
      <c r="E449">
        <f t="shared" si="14"/>
        <v>7</v>
      </c>
      <c r="F449">
        <f t="shared" si="13"/>
        <v>119.4</v>
      </c>
    </row>
    <row r="450" spans="1:6" hidden="1" x14ac:dyDescent="0.35">
      <c r="A450" s="7">
        <v>49089</v>
      </c>
      <c r="B450" s="8" t="s">
        <v>11</v>
      </c>
      <c r="C450" s="9">
        <v>28.9</v>
      </c>
      <c r="D450" s="10">
        <v>13.9</v>
      </c>
      <c r="E450">
        <f t="shared" si="14"/>
        <v>1</v>
      </c>
      <c r="F450">
        <f t="shared" si="13"/>
        <v>28.9</v>
      </c>
    </row>
    <row r="451" spans="1:6" hidden="1" x14ac:dyDescent="0.35">
      <c r="A451" s="11">
        <v>49090</v>
      </c>
      <c r="B451" s="12" t="s">
        <v>22</v>
      </c>
      <c r="C451" s="13">
        <v>25.2</v>
      </c>
      <c r="D451" s="14">
        <v>0</v>
      </c>
      <c r="E451">
        <f t="shared" si="14"/>
        <v>2</v>
      </c>
      <c r="F451">
        <f t="shared" si="13"/>
        <v>54.099999999999994</v>
      </c>
    </row>
    <row r="452" spans="1:6" hidden="1" x14ac:dyDescent="0.35">
      <c r="A452" s="7">
        <v>49091</v>
      </c>
      <c r="B452" s="8" t="s">
        <v>11</v>
      </c>
      <c r="C452" s="9">
        <v>18.600000000000001</v>
      </c>
      <c r="D452" s="10">
        <v>1.8</v>
      </c>
      <c r="E452">
        <f t="shared" si="14"/>
        <v>3</v>
      </c>
      <c r="F452">
        <f t="shared" ref="F452:F515" si="15">IF(E451=7,C452,C452+F451)</f>
        <v>72.699999999999989</v>
      </c>
    </row>
    <row r="453" spans="1:6" hidden="1" x14ac:dyDescent="0.35">
      <c r="A453" s="11">
        <v>49092</v>
      </c>
      <c r="B453" s="12" t="s">
        <v>26</v>
      </c>
      <c r="C453" s="13">
        <v>20</v>
      </c>
      <c r="D453" s="14">
        <v>2.4</v>
      </c>
      <c r="E453">
        <f t="shared" si="14"/>
        <v>4</v>
      </c>
      <c r="F453">
        <f t="shared" si="15"/>
        <v>92.699999999999989</v>
      </c>
    </row>
    <row r="454" spans="1:6" hidden="1" x14ac:dyDescent="0.35">
      <c r="A454" s="7">
        <v>49093</v>
      </c>
      <c r="B454" s="8" t="s">
        <v>9</v>
      </c>
      <c r="C454" s="9">
        <v>14.3</v>
      </c>
      <c r="D454" s="10">
        <v>3.9</v>
      </c>
      <c r="E454">
        <f t="shared" si="14"/>
        <v>5</v>
      </c>
      <c r="F454">
        <f t="shared" si="15"/>
        <v>106.99999999999999</v>
      </c>
    </row>
    <row r="455" spans="1:6" hidden="1" x14ac:dyDescent="0.35">
      <c r="A455" s="11">
        <v>49094</v>
      </c>
      <c r="B455" s="12" t="s">
        <v>10</v>
      </c>
      <c r="C455" s="13">
        <v>28.8</v>
      </c>
      <c r="D455" s="14">
        <v>25.1</v>
      </c>
      <c r="E455">
        <f t="shared" si="14"/>
        <v>6</v>
      </c>
      <c r="F455">
        <f t="shared" si="15"/>
        <v>135.79999999999998</v>
      </c>
    </row>
    <row r="456" spans="1:6" hidden="1" x14ac:dyDescent="0.35">
      <c r="A456" s="7">
        <v>49095</v>
      </c>
      <c r="B456" s="8" t="s">
        <v>19</v>
      </c>
      <c r="C456" s="9">
        <v>26.8</v>
      </c>
      <c r="D456" s="10">
        <v>10.8</v>
      </c>
      <c r="E456">
        <f t="shared" si="14"/>
        <v>7</v>
      </c>
      <c r="F456">
        <f t="shared" si="15"/>
        <v>162.6</v>
      </c>
    </row>
    <row r="457" spans="1:6" hidden="1" x14ac:dyDescent="0.35">
      <c r="A457" s="11">
        <v>49096</v>
      </c>
      <c r="B457" s="12" t="s">
        <v>19</v>
      </c>
      <c r="C457" s="13">
        <v>20.399999999999999</v>
      </c>
      <c r="D457" s="14">
        <v>0</v>
      </c>
      <c r="E457">
        <f t="shared" si="14"/>
        <v>1</v>
      </c>
      <c r="F457">
        <f t="shared" si="15"/>
        <v>20.399999999999999</v>
      </c>
    </row>
    <row r="458" spans="1:6" hidden="1" x14ac:dyDescent="0.35">
      <c r="A458" s="7">
        <v>49097</v>
      </c>
      <c r="B458" s="8" t="s">
        <v>22</v>
      </c>
      <c r="C458" s="9">
        <v>14.1</v>
      </c>
      <c r="D458" s="10">
        <v>4.5</v>
      </c>
      <c r="E458">
        <f t="shared" ref="E458:E521" si="16">IF(E457=7,1,E457+1)</f>
        <v>2</v>
      </c>
      <c r="F458">
        <f t="shared" si="15"/>
        <v>34.5</v>
      </c>
    </row>
    <row r="459" spans="1:6" hidden="1" x14ac:dyDescent="0.35">
      <c r="A459" s="11">
        <v>49098</v>
      </c>
      <c r="B459" s="12" t="s">
        <v>14</v>
      </c>
      <c r="C459" s="13">
        <v>28.1</v>
      </c>
      <c r="D459" s="14">
        <v>6.3</v>
      </c>
      <c r="E459">
        <f t="shared" si="16"/>
        <v>3</v>
      </c>
      <c r="F459">
        <f t="shared" si="15"/>
        <v>62.6</v>
      </c>
    </row>
    <row r="460" spans="1:6" hidden="1" x14ac:dyDescent="0.35">
      <c r="A460" s="7">
        <v>49099</v>
      </c>
      <c r="B460" s="8" t="s">
        <v>13</v>
      </c>
      <c r="C460" s="9">
        <v>15.7</v>
      </c>
      <c r="D460" s="10">
        <v>11.5</v>
      </c>
      <c r="E460">
        <f t="shared" si="16"/>
        <v>4</v>
      </c>
      <c r="F460">
        <f t="shared" si="15"/>
        <v>78.3</v>
      </c>
    </row>
    <row r="461" spans="1:6" hidden="1" x14ac:dyDescent="0.35">
      <c r="A461" s="11">
        <v>49100</v>
      </c>
      <c r="B461" s="12" t="s">
        <v>29</v>
      </c>
      <c r="C461" s="13">
        <v>27.7</v>
      </c>
      <c r="D461" s="14">
        <v>0.6</v>
      </c>
      <c r="E461">
        <f t="shared" si="16"/>
        <v>5</v>
      </c>
      <c r="F461">
        <f t="shared" si="15"/>
        <v>106</v>
      </c>
    </row>
    <row r="462" spans="1:6" hidden="1" x14ac:dyDescent="0.35">
      <c r="A462" s="7">
        <v>49101</v>
      </c>
      <c r="B462" s="8" t="s">
        <v>7</v>
      </c>
      <c r="C462" s="9">
        <v>22.9</v>
      </c>
      <c r="D462" s="10">
        <v>22.6</v>
      </c>
      <c r="E462">
        <f t="shared" si="16"/>
        <v>6</v>
      </c>
      <c r="F462">
        <f t="shared" si="15"/>
        <v>128.9</v>
      </c>
    </row>
    <row r="463" spans="1:6" hidden="1" x14ac:dyDescent="0.35">
      <c r="A463" s="11">
        <v>49102</v>
      </c>
      <c r="B463" s="12" t="s">
        <v>13</v>
      </c>
      <c r="C463" s="13">
        <v>10.3</v>
      </c>
      <c r="D463" s="14">
        <v>0</v>
      </c>
      <c r="E463">
        <f t="shared" si="16"/>
        <v>7</v>
      </c>
      <c r="F463">
        <f t="shared" si="15"/>
        <v>139.20000000000002</v>
      </c>
    </row>
    <row r="464" spans="1:6" hidden="1" x14ac:dyDescent="0.35">
      <c r="A464" s="7">
        <v>49103</v>
      </c>
      <c r="B464" s="8" t="s">
        <v>23</v>
      </c>
      <c r="C464" s="9">
        <v>28.4</v>
      </c>
      <c r="D464" s="10">
        <v>4</v>
      </c>
      <c r="E464">
        <f t="shared" si="16"/>
        <v>1</v>
      </c>
      <c r="F464">
        <f t="shared" si="15"/>
        <v>28.4</v>
      </c>
    </row>
    <row r="465" spans="1:6" hidden="1" x14ac:dyDescent="0.35">
      <c r="A465" s="11">
        <v>49104</v>
      </c>
      <c r="B465" s="12" t="s">
        <v>18</v>
      </c>
      <c r="C465" s="13">
        <v>18.7</v>
      </c>
      <c r="D465" s="14">
        <v>15</v>
      </c>
      <c r="E465">
        <f t="shared" si="16"/>
        <v>2</v>
      </c>
      <c r="F465">
        <f t="shared" si="15"/>
        <v>47.099999999999994</v>
      </c>
    </row>
    <row r="466" spans="1:6" hidden="1" x14ac:dyDescent="0.35">
      <c r="A466" s="7">
        <v>49105</v>
      </c>
      <c r="B466" s="8" t="s">
        <v>19</v>
      </c>
      <c r="C466" s="9">
        <v>13.7</v>
      </c>
      <c r="D466" s="10">
        <v>9.4</v>
      </c>
      <c r="E466">
        <f t="shared" si="16"/>
        <v>3</v>
      </c>
      <c r="F466">
        <f t="shared" si="15"/>
        <v>60.8</v>
      </c>
    </row>
    <row r="467" spans="1:6" hidden="1" x14ac:dyDescent="0.35">
      <c r="A467" s="11">
        <v>49106</v>
      </c>
      <c r="B467" s="12" t="s">
        <v>14</v>
      </c>
      <c r="C467" s="13">
        <v>16.3</v>
      </c>
      <c r="D467" s="14">
        <v>3.6</v>
      </c>
      <c r="E467">
        <f t="shared" si="16"/>
        <v>4</v>
      </c>
      <c r="F467">
        <f t="shared" si="15"/>
        <v>77.099999999999994</v>
      </c>
    </row>
    <row r="468" spans="1:6" hidden="1" x14ac:dyDescent="0.35">
      <c r="A468" s="7">
        <v>49107</v>
      </c>
      <c r="B468" s="8" t="s">
        <v>27</v>
      </c>
      <c r="C468" s="9">
        <v>14</v>
      </c>
      <c r="D468" s="10">
        <v>0</v>
      </c>
      <c r="E468">
        <f t="shared" si="16"/>
        <v>5</v>
      </c>
      <c r="F468">
        <f t="shared" si="15"/>
        <v>91.1</v>
      </c>
    </row>
    <row r="469" spans="1:6" hidden="1" x14ac:dyDescent="0.35">
      <c r="A469" s="11">
        <v>49108</v>
      </c>
      <c r="B469" s="12" t="s">
        <v>15</v>
      </c>
      <c r="C469" s="13">
        <v>26</v>
      </c>
      <c r="D469" s="14">
        <v>5.5</v>
      </c>
      <c r="E469">
        <f t="shared" si="16"/>
        <v>6</v>
      </c>
      <c r="F469">
        <f t="shared" si="15"/>
        <v>117.1</v>
      </c>
    </row>
    <row r="470" spans="1:6" hidden="1" x14ac:dyDescent="0.35">
      <c r="A470" s="7">
        <v>49109</v>
      </c>
      <c r="B470" s="8" t="s">
        <v>19</v>
      </c>
      <c r="C470" s="9">
        <v>27</v>
      </c>
      <c r="D470" s="10">
        <v>38.6</v>
      </c>
      <c r="E470">
        <f t="shared" si="16"/>
        <v>7</v>
      </c>
      <c r="F470">
        <f t="shared" si="15"/>
        <v>144.1</v>
      </c>
    </row>
    <row r="471" spans="1:6" hidden="1" x14ac:dyDescent="0.35">
      <c r="A471" s="11">
        <v>49110</v>
      </c>
      <c r="B471" s="12" t="s">
        <v>10</v>
      </c>
      <c r="C471" s="13">
        <v>26.6</v>
      </c>
      <c r="D471" s="14">
        <v>49.7</v>
      </c>
      <c r="E471">
        <f t="shared" si="16"/>
        <v>1</v>
      </c>
      <c r="F471">
        <f t="shared" si="15"/>
        <v>26.6</v>
      </c>
    </row>
    <row r="472" spans="1:6" hidden="1" x14ac:dyDescent="0.35">
      <c r="A472" s="7">
        <v>49111</v>
      </c>
      <c r="B472" s="8" t="s">
        <v>19</v>
      </c>
      <c r="C472" s="9">
        <v>20.9</v>
      </c>
      <c r="D472" s="10">
        <v>30</v>
      </c>
      <c r="E472">
        <f t="shared" si="16"/>
        <v>2</v>
      </c>
      <c r="F472">
        <f t="shared" si="15"/>
        <v>47.5</v>
      </c>
    </row>
    <row r="473" spans="1:6" hidden="1" x14ac:dyDescent="0.35">
      <c r="A473" s="11">
        <v>49112</v>
      </c>
      <c r="B473" s="12" t="s">
        <v>22</v>
      </c>
      <c r="C473" s="13">
        <v>28.5</v>
      </c>
      <c r="D473" s="14">
        <v>5.3</v>
      </c>
      <c r="E473">
        <f t="shared" si="16"/>
        <v>3</v>
      </c>
      <c r="F473">
        <f t="shared" si="15"/>
        <v>76</v>
      </c>
    </row>
    <row r="474" spans="1:6" hidden="1" x14ac:dyDescent="0.35">
      <c r="A474" s="7">
        <v>49113</v>
      </c>
      <c r="B474" s="8" t="s">
        <v>5</v>
      </c>
      <c r="C474" s="9">
        <v>10.4</v>
      </c>
      <c r="D474" s="10">
        <v>0</v>
      </c>
      <c r="E474">
        <f t="shared" si="16"/>
        <v>4</v>
      </c>
      <c r="F474">
        <f t="shared" si="15"/>
        <v>86.4</v>
      </c>
    </row>
    <row r="475" spans="1:6" hidden="1" x14ac:dyDescent="0.35">
      <c r="A475" s="11">
        <v>49114</v>
      </c>
      <c r="B475" s="12" t="s">
        <v>18</v>
      </c>
      <c r="C475" s="13">
        <v>25.9</v>
      </c>
      <c r="D475" s="14">
        <v>9.1999999999999993</v>
      </c>
      <c r="E475">
        <f t="shared" si="16"/>
        <v>5</v>
      </c>
      <c r="F475">
        <f t="shared" si="15"/>
        <v>112.30000000000001</v>
      </c>
    </row>
    <row r="476" spans="1:6" hidden="1" x14ac:dyDescent="0.35">
      <c r="A476" s="7">
        <v>49115</v>
      </c>
      <c r="B476" s="8" t="s">
        <v>11</v>
      </c>
      <c r="C476" s="9">
        <v>24.6</v>
      </c>
      <c r="D476" s="10">
        <v>11</v>
      </c>
      <c r="E476">
        <f t="shared" si="16"/>
        <v>6</v>
      </c>
      <c r="F476">
        <f t="shared" si="15"/>
        <v>136.9</v>
      </c>
    </row>
    <row r="477" spans="1:6" hidden="1" x14ac:dyDescent="0.35">
      <c r="A477" s="11">
        <v>49116</v>
      </c>
      <c r="B477" s="12" t="s">
        <v>16</v>
      </c>
      <c r="C477" s="13">
        <v>22</v>
      </c>
      <c r="D477" s="14">
        <v>0</v>
      </c>
      <c r="E477">
        <f t="shared" si="16"/>
        <v>7</v>
      </c>
      <c r="F477">
        <f t="shared" si="15"/>
        <v>158.9</v>
      </c>
    </row>
    <row r="478" spans="1:6" hidden="1" x14ac:dyDescent="0.35">
      <c r="A478" s="7">
        <v>49117</v>
      </c>
      <c r="B478" s="8" t="s">
        <v>8</v>
      </c>
      <c r="C478" s="9">
        <v>16.8</v>
      </c>
      <c r="D478" s="10">
        <v>2.4</v>
      </c>
      <c r="E478">
        <f t="shared" si="16"/>
        <v>1</v>
      </c>
      <c r="F478">
        <f t="shared" si="15"/>
        <v>16.8</v>
      </c>
    </row>
    <row r="479" spans="1:6" hidden="1" x14ac:dyDescent="0.35">
      <c r="A479" s="11">
        <v>49118</v>
      </c>
      <c r="B479" s="12" t="s">
        <v>10</v>
      </c>
      <c r="C479" s="13">
        <v>21.7</v>
      </c>
      <c r="D479" s="14">
        <v>44.1</v>
      </c>
      <c r="E479">
        <f t="shared" si="16"/>
        <v>2</v>
      </c>
      <c r="F479">
        <f t="shared" si="15"/>
        <v>38.5</v>
      </c>
    </row>
    <row r="480" spans="1:6" hidden="1" x14ac:dyDescent="0.35">
      <c r="A480" s="7">
        <v>49119</v>
      </c>
      <c r="B480" s="8" t="s">
        <v>12</v>
      </c>
      <c r="C480" s="9">
        <v>28.9</v>
      </c>
      <c r="D480" s="10">
        <v>0</v>
      </c>
      <c r="E480">
        <f t="shared" si="16"/>
        <v>3</v>
      </c>
      <c r="F480">
        <f t="shared" si="15"/>
        <v>67.400000000000006</v>
      </c>
    </row>
    <row r="481" spans="1:6" hidden="1" x14ac:dyDescent="0.35">
      <c r="A481" s="11">
        <v>49120</v>
      </c>
      <c r="B481" s="12" t="s">
        <v>13</v>
      </c>
      <c r="C481" s="13">
        <v>26.6</v>
      </c>
      <c r="D481" s="14">
        <v>0.4</v>
      </c>
      <c r="E481">
        <f t="shared" si="16"/>
        <v>4</v>
      </c>
      <c r="F481">
        <f t="shared" si="15"/>
        <v>94</v>
      </c>
    </row>
    <row r="482" spans="1:6" hidden="1" x14ac:dyDescent="0.35">
      <c r="A482" s="7">
        <v>49121</v>
      </c>
      <c r="B482" s="8" t="s">
        <v>15</v>
      </c>
      <c r="C482" s="9">
        <v>28</v>
      </c>
      <c r="D482" s="10">
        <v>16.7</v>
      </c>
      <c r="E482">
        <f t="shared" si="16"/>
        <v>5</v>
      </c>
      <c r="F482">
        <f t="shared" si="15"/>
        <v>122</v>
      </c>
    </row>
    <row r="483" spans="1:6" hidden="1" x14ac:dyDescent="0.35">
      <c r="A483" s="11">
        <v>49122</v>
      </c>
      <c r="B483" s="12" t="s">
        <v>17</v>
      </c>
      <c r="C483" s="13">
        <v>27.5</v>
      </c>
      <c r="D483" s="14">
        <v>0</v>
      </c>
      <c r="E483">
        <f t="shared" si="16"/>
        <v>6</v>
      </c>
      <c r="F483">
        <f t="shared" si="15"/>
        <v>149.5</v>
      </c>
    </row>
    <row r="484" spans="1:6" hidden="1" x14ac:dyDescent="0.35">
      <c r="A484" s="7">
        <v>49123</v>
      </c>
      <c r="B484" s="8" t="s">
        <v>22</v>
      </c>
      <c r="C484" s="9">
        <v>18.2</v>
      </c>
      <c r="D484" s="10">
        <v>0</v>
      </c>
      <c r="E484">
        <f t="shared" si="16"/>
        <v>7</v>
      </c>
      <c r="F484">
        <f t="shared" si="15"/>
        <v>167.7</v>
      </c>
    </row>
    <row r="485" spans="1:6" hidden="1" x14ac:dyDescent="0.35">
      <c r="A485" s="11">
        <v>49124</v>
      </c>
      <c r="B485" s="12" t="s">
        <v>18</v>
      </c>
      <c r="C485" s="13">
        <v>25.1</v>
      </c>
      <c r="D485" s="14">
        <v>0</v>
      </c>
      <c r="E485">
        <f t="shared" si="16"/>
        <v>1</v>
      </c>
      <c r="F485">
        <f t="shared" si="15"/>
        <v>25.1</v>
      </c>
    </row>
    <row r="486" spans="1:6" hidden="1" x14ac:dyDescent="0.35">
      <c r="A486" s="7">
        <v>49125</v>
      </c>
      <c r="B486" s="8" t="s">
        <v>4</v>
      </c>
      <c r="C486" s="9">
        <v>10.1</v>
      </c>
      <c r="D486" s="10">
        <v>0.2</v>
      </c>
      <c r="E486">
        <f t="shared" si="16"/>
        <v>2</v>
      </c>
      <c r="F486">
        <f t="shared" si="15"/>
        <v>35.200000000000003</v>
      </c>
    </row>
    <row r="487" spans="1:6" hidden="1" x14ac:dyDescent="0.35">
      <c r="A487" s="11">
        <v>49126</v>
      </c>
      <c r="B487" s="12" t="s">
        <v>15</v>
      </c>
      <c r="C487" s="13">
        <v>13.1</v>
      </c>
      <c r="D487" s="14">
        <v>7.9</v>
      </c>
      <c r="E487">
        <f t="shared" si="16"/>
        <v>3</v>
      </c>
      <c r="F487">
        <f t="shared" si="15"/>
        <v>48.300000000000004</v>
      </c>
    </row>
    <row r="488" spans="1:6" hidden="1" x14ac:dyDescent="0.35">
      <c r="A488" s="7">
        <v>49127</v>
      </c>
      <c r="B488" s="8" t="s">
        <v>9</v>
      </c>
      <c r="C488" s="9">
        <v>22.9</v>
      </c>
      <c r="D488" s="10">
        <v>0</v>
      </c>
      <c r="E488">
        <f t="shared" si="16"/>
        <v>4</v>
      </c>
      <c r="F488">
        <f t="shared" si="15"/>
        <v>71.2</v>
      </c>
    </row>
    <row r="489" spans="1:6" hidden="1" x14ac:dyDescent="0.35">
      <c r="A489" s="11">
        <v>49128</v>
      </c>
      <c r="B489" s="12" t="s">
        <v>9</v>
      </c>
      <c r="C489" s="13">
        <v>26.3</v>
      </c>
      <c r="D489" s="14">
        <v>4</v>
      </c>
      <c r="E489">
        <f t="shared" si="16"/>
        <v>5</v>
      </c>
      <c r="F489">
        <f t="shared" si="15"/>
        <v>97.5</v>
      </c>
    </row>
    <row r="490" spans="1:6" hidden="1" x14ac:dyDescent="0.35">
      <c r="A490" s="7">
        <v>49129</v>
      </c>
      <c r="B490" s="8" t="s">
        <v>19</v>
      </c>
      <c r="C490" s="9">
        <v>11.3</v>
      </c>
      <c r="D490" s="10">
        <v>19.8</v>
      </c>
      <c r="E490">
        <f t="shared" si="16"/>
        <v>6</v>
      </c>
      <c r="F490">
        <f t="shared" si="15"/>
        <v>108.8</v>
      </c>
    </row>
    <row r="491" spans="1:6" hidden="1" x14ac:dyDescent="0.35">
      <c r="A491" s="11">
        <v>49130</v>
      </c>
      <c r="B491" s="12" t="s">
        <v>10</v>
      </c>
      <c r="C491" s="13">
        <v>30</v>
      </c>
      <c r="D491" s="14">
        <v>0</v>
      </c>
      <c r="E491">
        <f t="shared" si="16"/>
        <v>7</v>
      </c>
      <c r="F491">
        <f t="shared" si="15"/>
        <v>138.80000000000001</v>
      </c>
    </row>
    <row r="492" spans="1:6" hidden="1" x14ac:dyDescent="0.35">
      <c r="A492" s="7">
        <v>49131</v>
      </c>
      <c r="B492" s="8" t="s">
        <v>22</v>
      </c>
      <c r="C492" s="9">
        <v>20.399999999999999</v>
      </c>
      <c r="D492" s="10">
        <v>0</v>
      </c>
      <c r="E492">
        <f t="shared" si="16"/>
        <v>1</v>
      </c>
      <c r="F492">
        <f t="shared" si="15"/>
        <v>20.399999999999999</v>
      </c>
    </row>
    <row r="493" spans="1:6" hidden="1" x14ac:dyDescent="0.35">
      <c r="A493" s="11">
        <v>49132</v>
      </c>
      <c r="B493" s="12" t="s">
        <v>7</v>
      </c>
      <c r="C493" s="13">
        <v>24.5</v>
      </c>
      <c r="D493" s="14">
        <v>8.6999999999999993</v>
      </c>
      <c r="E493">
        <f t="shared" si="16"/>
        <v>2</v>
      </c>
      <c r="F493">
        <f t="shared" si="15"/>
        <v>44.9</v>
      </c>
    </row>
    <row r="494" spans="1:6" hidden="1" x14ac:dyDescent="0.35">
      <c r="A494" s="7">
        <v>49133</v>
      </c>
      <c r="B494" s="8" t="s">
        <v>11</v>
      </c>
      <c r="C494" s="9">
        <v>17</v>
      </c>
      <c r="D494" s="10">
        <v>2.7</v>
      </c>
      <c r="E494">
        <f t="shared" si="16"/>
        <v>3</v>
      </c>
      <c r="F494">
        <f t="shared" si="15"/>
        <v>61.9</v>
      </c>
    </row>
    <row r="495" spans="1:6" hidden="1" x14ac:dyDescent="0.35">
      <c r="A495" s="11">
        <v>49134</v>
      </c>
      <c r="B495" s="12" t="s">
        <v>19</v>
      </c>
      <c r="C495" s="13">
        <v>21</v>
      </c>
      <c r="D495" s="14">
        <v>5.6</v>
      </c>
      <c r="E495">
        <f t="shared" si="16"/>
        <v>4</v>
      </c>
      <c r="F495">
        <f t="shared" si="15"/>
        <v>82.9</v>
      </c>
    </row>
    <row r="496" spans="1:6" hidden="1" x14ac:dyDescent="0.35">
      <c r="A496" s="7">
        <v>49135</v>
      </c>
      <c r="B496" s="8" t="s">
        <v>19</v>
      </c>
      <c r="C496" s="9">
        <v>20.7</v>
      </c>
      <c r="D496" s="10">
        <v>0</v>
      </c>
      <c r="E496">
        <f t="shared" si="16"/>
        <v>5</v>
      </c>
      <c r="F496">
        <f t="shared" si="15"/>
        <v>103.60000000000001</v>
      </c>
    </row>
    <row r="497" spans="1:6" hidden="1" x14ac:dyDescent="0.35">
      <c r="A497" s="11">
        <v>49136</v>
      </c>
      <c r="B497" s="12" t="s">
        <v>12</v>
      </c>
      <c r="C497" s="13">
        <v>26.7</v>
      </c>
      <c r="D497" s="14">
        <v>9.8000000000000007</v>
      </c>
      <c r="E497">
        <f t="shared" si="16"/>
        <v>6</v>
      </c>
      <c r="F497">
        <f t="shared" si="15"/>
        <v>130.30000000000001</v>
      </c>
    </row>
    <row r="498" spans="1:6" hidden="1" x14ac:dyDescent="0.35">
      <c r="A498" s="7">
        <v>49137</v>
      </c>
      <c r="B498" s="8" t="s">
        <v>30</v>
      </c>
      <c r="C498" s="9">
        <v>10.199999999999999</v>
      </c>
      <c r="D498" s="10">
        <v>0.1</v>
      </c>
      <c r="E498">
        <f t="shared" si="16"/>
        <v>7</v>
      </c>
      <c r="F498">
        <f t="shared" si="15"/>
        <v>140.5</v>
      </c>
    </row>
    <row r="499" spans="1:6" hidden="1" x14ac:dyDescent="0.35">
      <c r="A499" s="11">
        <v>49138</v>
      </c>
      <c r="B499" s="12" t="s">
        <v>10</v>
      </c>
      <c r="C499" s="13">
        <v>15.7</v>
      </c>
      <c r="D499" s="14">
        <v>5.8</v>
      </c>
      <c r="E499">
        <f t="shared" si="16"/>
        <v>1</v>
      </c>
      <c r="F499">
        <f t="shared" si="15"/>
        <v>15.7</v>
      </c>
    </row>
    <row r="500" spans="1:6" hidden="1" x14ac:dyDescent="0.35">
      <c r="A500" s="7">
        <v>49139</v>
      </c>
      <c r="B500" s="8" t="s">
        <v>33</v>
      </c>
      <c r="C500" s="9">
        <v>15.9</v>
      </c>
      <c r="D500" s="10">
        <v>2.2000000000000002</v>
      </c>
      <c r="E500">
        <f t="shared" si="16"/>
        <v>2</v>
      </c>
      <c r="F500">
        <f t="shared" si="15"/>
        <v>31.6</v>
      </c>
    </row>
    <row r="501" spans="1:6" hidden="1" x14ac:dyDescent="0.35">
      <c r="A501" s="11">
        <v>49140</v>
      </c>
      <c r="B501" s="12" t="s">
        <v>19</v>
      </c>
      <c r="C501" s="13">
        <v>21</v>
      </c>
      <c r="D501" s="14">
        <v>13.1</v>
      </c>
      <c r="E501">
        <f t="shared" si="16"/>
        <v>3</v>
      </c>
      <c r="F501">
        <f t="shared" si="15"/>
        <v>52.6</v>
      </c>
    </row>
    <row r="502" spans="1:6" hidden="1" x14ac:dyDescent="0.35">
      <c r="A502" s="7">
        <v>49141</v>
      </c>
      <c r="B502" s="8" t="s">
        <v>9</v>
      </c>
      <c r="C502" s="9">
        <v>10.9</v>
      </c>
      <c r="D502" s="10">
        <v>8.1</v>
      </c>
      <c r="E502">
        <f t="shared" si="16"/>
        <v>4</v>
      </c>
      <c r="F502">
        <f t="shared" si="15"/>
        <v>63.5</v>
      </c>
    </row>
    <row r="503" spans="1:6" hidden="1" x14ac:dyDescent="0.35">
      <c r="A503" s="11">
        <v>49142</v>
      </c>
      <c r="B503" s="12" t="s">
        <v>22</v>
      </c>
      <c r="C503" s="13">
        <v>20.9</v>
      </c>
      <c r="D503" s="14">
        <v>5.9</v>
      </c>
      <c r="E503">
        <f t="shared" si="16"/>
        <v>5</v>
      </c>
      <c r="F503">
        <f t="shared" si="15"/>
        <v>84.4</v>
      </c>
    </row>
    <row r="504" spans="1:6" hidden="1" x14ac:dyDescent="0.35">
      <c r="A504" s="7">
        <v>49143</v>
      </c>
      <c r="B504" s="8" t="s">
        <v>19</v>
      </c>
      <c r="C504" s="9">
        <v>21.8</v>
      </c>
      <c r="D504" s="10">
        <v>15.9</v>
      </c>
      <c r="E504">
        <f t="shared" si="16"/>
        <v>6</v>
      </c>
      <c r="F504">
        <f t="shared" si="15"/>
        <v>106.2</v>
      </c>
    </row>
    <row r="505" spans="1:6" hidden="1" x14ac:dyDescent="0.35">
      <c r="A505" s="11">
        <v>49144</v>
      </c>
      <c r="B505" s="12" t="s">
        <v>15</v>
      </c>
      <c r="C505" s="13">
        <v>11.9</v>
      </c>
      <c r="D505" s="14">
        <v>18.100000000000001</v>
      </c>
      <c r="E505">
        <f t="shared" si="16"/>
        <v>7</v>
      </c>
      <c r="F505">
        <f t="shared" si="15"/>
        <v>118.10000000000001</v>
      </c>
    </row>
    <row r="506" spans="1:6" hidden="1" x14ac:dyDescent="0.35">
      <c r="A506" s="7">
        <v>49145</v>
      </c>
      <c r="B506" s="8" t="s">
        <v>13</v>
      </c>
      <c r="C506" s="9">
        <v>12.9</v>
      </c>
      <c r="D506" s="10">
        <v>0</v>
      </c>
      <c r="E506">
        <f t="shared" si="16"/>
        <v>1</v>
      </c>
      <c r="F506">
        <f t="shared" si="15"/>
        <v>12.9</v>
      </c>
    </row>
    <row r="507" spans="1:6" hidden="1" x14ac:dyDescent="0.35">
      <c r="A507" s="11">
        <v>49146</v>
      </c>
      <c r="B507" s="12" t="s">
        <v>19</v>
      </c>
      <c r="C507" s="13">
        <v>14.9</v>
      </c>
      <c r="D507" s="14">
        <v>4.8</v>
      </c>
      <c r="E507">
        <f t="shared" si="16"/>
        <v>2</v>
      </c>
      <c r="F507">
        <f t="shared" si="15"/>
        <v>27.8</v>
      </c>
    </row>
    <row r="508" spans="1:6" hidden="1" x14ac:dyDescent="0.35">
      <c r="A508" s="7">
        <v>49147</v>
      </c>
      <c r="B508" s="8" t="s">
        <v>10</v>
      </c>
      <c r="C508" s="9">
        <v>29.5</v>
      </c>
      <c r="D508" s="10">
        <v>0</v>
      </c>
      <c r="E508">
        <f t="shared" si="16"/>
        <v>3</v>
      </c>
      <c r="F508">
        <f t="shared" si="15"/>
        <v>57.3</v>
      </c>
    </row>
    <row r="509" spans="1:6" hidden="1" x14ac:dyDescent="0.35">
      <c r="A509" s="11">
        <v>49148</v>
      </c>
      <c r="B509" s="12" t="s">
        <v>19</v>
      </c>
      <c r="C509" s="13">
        <v>18.100000000000001</v>
      </c>
      <c r="D509" s="14">
        <v>0</v>
      </c>
      <c r="E509">
        <f t="shared" si="16"/>
        <v>4</v>
      </c>
      <c r="F509">
        <f t="shared" si="15"/>
        <v>75.400000000000006</v>
      </c>
    </row>
    <row r="510" spans="1:6" hidden="1" x14ac:dyDescent="0.35">
      <c r="A510" s="7">
        <v>49149</v>
      </c>
      <c r="B510" s="8" t="s">
        <v>6</v>
      </c>
      <c r="C510" s="9">
        <v>10.8</v>
      </c>
      <c r="D510" s="10">
        <v>11.8</v>
      </c>
      <c r="E510">
        <f t="shared" si="16"/>
        <v>5</v>
      </c>
      <c r="F510">
        <f t="shared" si="15"/>
        <v>86.2</v>
      </c>
    </row>
    <row r="511" spans="1:6" hidden="1" x14ac:dyDescent="0.35">
      <c r="A511" s="11">
        <v>49150</v>
      </c>
      <c r="B511" s="12" t="s">
        <v>9</v>
      </c>
      <c r="C511" s="13">
        <v>13.5</v>
      </c>
      <c r="D511" s="14">
        <v>5.4</v>
      </c>
      <c r="E511">
        <f t="shared" si="16"/>
        <v>6</v>
      </c>
      <c r="F511">
        <f t="shared" si="15"/>
        <v>99.7</v>
      </c>
    </row>
    <row r="512" spans="1:6" hidden="1" x14ac:dyDescent="0.35">
      <c r="A512" s="7">
        <v>49151</v>
      </c>
      <c r="B512" s="8" t="s">
        <v>22</v>
      </c>
      <c r="C512" s="9">
        <v>15.9</v>
      </c>
      <c r="D512" s="10">
        <v>0</v>
      </c>
      <c r="E512">
        <f t="shared" si="16"/>
        <v>7</v>
      </c>
      <c r="F512">
        <f t="shared" si="15"/>
        <v>115.60000000000001</v>
      </c>
    </row>
    <row r="513" spans="1:6" hidden="1" x14ac:dyDescent="0.35">
      <c r="A513" s="11">
        <v>49152</v>
      </c>
      <c r="B513" s="12" t="s">
        <v>26</v>
      </c>
      <c r="C513" s="13">
        <v>23.1</v>
      </c>
      <c r="D513" s="14">
        <v>0</v>
      </c>
      <c r="E513">
        <f t="shared" si="16"/>
        <v>1</v>
      </c>
      <c r="F513">
        <f t="shared" si="15"/>
        <v>23.1</v>
      </c>
    </row>
    <row r="514" spans="1:6" hidden="1" x14ac:dyDescent="0.35">
      <c r="A514" s="7">
        <v>49153</v>
      </c>
      <c r="B514" s="8" t="s">
        <v>16</v>
      </c>
      <c r="C514" s="9">
        <v>26.7</v>
      </c>
      <c r="D514" s="10">
        <v>0</v>
      </c>
      <c r="E514">
        <f t="shared" si="16"/>
        <v>2</v>
      </c>
      <c r="F514">
        <f t="shared" si="15"/>
        <v>49.8</v>
      </c>
    </row>
    <row r="515" spans="1:6" hidden="1" x14ac:dyDescent="0.35">
      <c r="A515" s="11">
        <v>49154</v>
      </c>
      <c r="B515" s="12" t="s">
        <v>10</v>
      </c>
      <c r="C515" s="13">
        <v>26</v>
      </c>
      <c r="D515" s="14">
        <v>29.1</v>
      </c>
      <c r="E515">
        <f t="shared" si="16"/>
        <v>3</v>
      </c>
      <c r="F515">
        <f t="shared" si="15"/>
        <v>75.8</v>
      </c>
    </row>
    <row r="516" spans="1:6" hidden="1" x14ac:dyDescent="0.35">
      <c r="A516" s="7">
        <v>49155</v>
      </c>
      <c r="B516" s="8" t="s">
        <v>18</v>
      </c>
      <c r="C516" s="9">
        <v>23.6</v>
      </c>
      <c r="D516" s="10">
        <v>9.1</v>
      </c>
      <c r="E516">
        <f t="shared" si="16"/>
        <v>4</v>
      </c>
      <c r="F516">
        <f t="shared" ref="F516:F579" si="17">IF(E515=7,C516,C516+F515)</f>
        <v>99.4</v>
      </c>
    </row>
    <row r="517" spans="1:6" hidden="1" x14ac:dyDescent="0.35">
      <c r="A517" s="11">
        <v>49156</v>
      </c>
      <c r="B517" s="12" t="s">
        <v>26</v>
      </c>
      <c r="C517" s="13">
        <v>29.8</v>
      </c>
      <c r="D517" s="14">
        <v>5.7</v>
      </c>
      <c r="E517">
        <f t="shared" si="16"/>
        <v>5</v>
      </c>
      <c r="F517">
        <f t="shared" si="17"/>
        <v>129.20000000000002</v>
      </c>
    </row>
    <row r="518" spans="1:6" hidden="1" x14ac:dyDescent="0.35">
      <c r="A518" s="7">
        <v>49157</v>
      </c>
      <c r="B518" s="8" t="s">
        <v>19</v>
      </c>
      <c r="C518" s="9">
        <v>18.600000000000001</v>
      </c>
      <c r="D518" s="10">
        <v>0</v>
      </c>
      <c r="E518">
        <f t="shared" si="16"/>
        <v>6</v>
      </c>
      <c r="F518">
        <f t="shared" si="17"/>
        <v>147.80000000000001</v>
      </c>
    </row>
    <row r="519" spans="1:6" hidden="1" x14ac:dyDescent="0.35">
      <c r="A519" s="11">
        <v>49158</v>
      </c>
      <c r="B519" s="12" t="s">
        <v>15</v>
      </c>
      <c r="C519" s="13">
        <v>17.600000000000001</v>
      </c>
      <c r="D519" s="14">
        <v>2.4</v>
      </c>
      <c r="E519">
        <f t="shared" si="16"/>
        <v>7</v>
      </c>
      <c r="F519">
        <f t="shared" si="17"/>
        <v>165.4</v>
      </c>
    </row>
    <row r="520" spans="1:6" hidden="1" x14ac:dyDescent="0.35">
      <c r="A520" s="7">
        <v>49159</v>
      </c>
      <c r="B520" s="8" t="s">
        <v>15</v>
      </c>
      <c r="C520" s="9">
        <v>12.6</v>
      </c>
      <c r="D520" s="10">
        <v>9.1999999999999993</v>
      </c>
      <c r="E520">
        <f t="shared" si="16"/>
        <v>1</v>
      </c>
      <c r="F520">
        <f t="shared" si="17"/>
        <v>12.6</v>
      </c>
    </row>
    <row r="521" spans="1:6" hidden="1" x14ac:dyDescent="0.35">
      <c r="A521" s="11">
        <v>49160</v>
      </c>
      <c r="B521" s="12" t="s">
        <v>17</v>
      </c>
      <c r="C521" s="13">
        <v>25.4</v>
      </c>
      <c r="D521" s="14">
        <v>5.4</v>
      </c>
      <c r="E521">
        <f t="shared" si="16"/>
        <v>2</v>
      </c>
      <c r="F521">
        <f t="shared" si="17"/>
        <v>38</v>
      </c>
    </row>
    <row r="522" spans="1:6" hidden="1" x14ac:dyDescent="0.35">
      <c r="A522" s="7">
        <v>49161</v>
      </c>
      <c r="B522" s="8" t="s">
        <v>20</v>
      </c>
      <c r="C522" s="9">
        <v>12.8</v>
      </c>
      <c r="D522" s="10">
        <v>3.6</v>
      </c>
      <c r="E522">
        <f t="shared" ref="E522:E585" si="18">IF(E521=7,1,E521+1)</f>
        <v>3</v>
      </c>
      <c r="F522">
        <f t="shared" si="17"/>
        <v>50.8</v>
      </c>
    </row>
    <row r="523" spans="1:6" hidden="1" x14ac:dyDescent="0.35">
      <c r="A523" s="11">
        <v>49162</v>
      </c>
      <c r="B523" s="12" t="s">
        <v>11</v>
      </c>
      <c r="C523" s="13">
        <v>18.7</v>
      </c>
      <c r="D523" s="14">
        <v>0</v>
      </c>
      <c r="E523">
        <f t="shared" si="18"/>
        <v>4</v>
      </c>
      <c r="F523">
        <f t="shared" si="17"/>
        <v>69.5</v>
      </c>
    </row>
    <row r="524" spans="1:6" hidden="1" x14ac:dyDescent="0.35">
      <c r="A524" s="7">
        <v>49163</v>
      </c>
      <c r="B524" s="8" t="s">
        <v>33</v>
      </c>
      <c r="C524" s="9">
        <v>22.3</v>
      </c>
      <c r="D524" s="10">
        <v>0</v>
      </c>
      <c r="E524">
        <f t="shared" si="18"/>
        <v>5</v>
      </c>
      <c r="F524">
        <f t="shared" si="17"/>
        <v>91.8</v>
      </c>
    </row>
    <row r="525" spans="1:6" hidden="1" x14ac:dyDescent="0.35">
      <c r="A525" s="11">
        <v>49164</v>
      </c>
      <c r="B525" s="12" t="s">
        <v>18</v>
      </c>
      <c r="C525" s="13">
        <v>26.4</v>
      </c>
      <c r="D525" s="14">
        <v>0.5</v>
      </c>
      <c r="E525">
        <f t="shared" si="18"/>
        <v>6</v>
      </c>
      <c r="F525">
        <f t="shared" si="17"/>
        <v>118.19999999999999</v>
      </c>
    </row>
    <row r="526" spans="1:6" hidden="1" x14ac:dyDescent="0.35">
      <c r="A526" s="7">
        <v>49165</v>
      </c>
      <c r="B526" s="8" t="s">
        <v>7</v>
      </c>
      <c r="C526" s="9">
        <v>28.5</v>
      </c>
      <c r="D526" s="10">
        <v>3.2</v>
      </c>
      <c r="E526">
        <f t="shared" si="18"/>
        <v>7</v>
      </c>
      <c r="F526">
        <f t="shared" si="17"/>
        <v>146.69999999999999</v>
      </c>
    </row>
    <row r="527" spans="1:6" hidden="1" x14ac:dyDescent="0.35">
      <c r="A527" s="11">
        <v>49166</v>
      </c>
      <c r="B527" s="12" t="s">
        <v>17</v>
      </c>
      <c r="C527" s="13">
        <v>16.8</v>
      </c>
      <c r="D527" s="14">
        <v>5.5</v>
      </c>
      <c r="E527">
        <f t="shared" si="18"/>
        <v>1</v>
      </c>
      <c r="F527">
        <f t="shared" si="17"/>
        <v>16.8</v>
      </c>
    </row>
    <row r="528" spans="1:6" hidden="1" x14ac:dyDescent="0.35">
      <c r="A528" s="7">
        <v>49167</v>
      </c>
      <c r="B528" s="8" t="s">
        <v>27</v>
      </c>
      <c r="C528" s="9">
        <v>24.7</v>
      </c>
      <c r="D528" s="10">
        <v>0.8</v>
      </c>
      <c r="E528">
        <f t="shared" si="18"/>
        <v>2</v>
      </c>
      <c r="F528">
        <f t="shared" si="17"/>
        <v>41.5</v>
      </c>
    </row>
    <row r="529" spans="1:6" hidden="1" x14ac:dyDescent="0.35">
      <c r="A529" s="11">
        <v>49168</v>
      </c>
      <c r="B529" s="12" t="s">
        <v>9</v>
      </c>
      <c r="C529" s="13">
        <v>29.6</v>
      </c>
      <c r="D529" s="14">
        <v>0</v>
      </c>
      <c r="E529">
        <f t="shared" si="18"/>
        <v>3</v>
      </c>
      <c r="F529">
        <f t="shared" si="17"/>
        <v>71.099999999999994</v>
      </c>
    </row>
    <row r="530" spans="1:6" hidden="1" x14ac:dyDescent="0.35">
      <c r="A530" s="7">
        <v>49169</v>
      </c>
      <c r="B530" s="8" t="s">
        <v>10</v>
      </c>
      <c r="C530" s="9">
        <v>23.3</v>
      </c>
      <c r="D530" s="10">
        <v>29.4</v>
      </c>
      <c r="E530">
        <f t="shared" si="18"/>
        <v>4</v>
      </c>
      <c r="F530">
        <f t="shared" si="17"/>
        <v>94.399999999999991</v>
      </c>
    </row>
    <row r="531" spans="1:6" hidden="1" x14ac:dyDescent="0.35">
      <c r="A531" s="11">
        <v>49170</v>
      </c>
      <c r="B531" s="12" t="s">
        <v>9</v>
      </c>
      <c r="C531" s="13">
        <v>28.8</v>
      </c>
      <c r="D531" s="14">
        <v>11.5</v>
      </c>
      <c r="E531">
        <f t="shared" si="18"/>
        <v>5</v>
      </c>
      <c r="F531">
        <f t="shared" si="17"/>
        <v>123.19999999999999</v>
      </c>
    </row>
    <row r="532" spans="1:6" hidden="1" x14ac:dyDescent="0.35">
      <c r="A532" s="7">
        <v>49171</v>
      </c>
      <c r="B532" s="8" t="s">
        <v>9</v>
      </c>
      <c r="C532" s="9">
        <v>26.5</v>
      </c>
      <c r="D532" s="10">
        <v>0</v>
      </c>
      <c r="E532">
        <f t="shared" si="18"/>
        <v>6</v>
      </c>
      <c r="F532">
        <f t="shared" si="17"/>
        <v>149.69999999999999</v>
      </c>
    </row>
    <row r="533" spans="1:6" hidden="1" x14ac:dyDescent="0.35">
      <c r="A533" s="11">
        <v>49172</v>
      </c>
      <c r="B533" s="12" t="s">
        <v>23</v>
      </c>
      <c r="C533" s="13">
        <v>17.100000000000001</v>
      </c>
      <c r="D533" s="14">
        <v>3.6</v>
      </c>
      <c r="E533">
        <f t="shared" si="18"/>
        <v>7</v>
      </c>
      <c r="F533">
        <f t="shared" si="17"/>
        <v>166.79999999999998</v>
      </c>
    </row>
    <row r="534" spans="1:6" hidden="1" x14ac:dyDescent="0.35">
      <c r="A534" s="7">
        <v>49173</v>
      </c>
      <c r="B534" s="8" t="s">
        <v>9</v>
      </c>
      <c r="C534" s="9">
        <v>17.8</v>
      </c>
      <c r="D534" s="10">
        <v>7</v>
      </c>
      <c r="E534">
        <f t="shared" si="18"/>
        <v>1</v>
      </c>
      <c r="F534">
        <f t="shared" si="17"/>
        <v>17.8</v>
      </c>
    </row>
    <row r="535" spans="1:6" hidden="1" x14ac:dyDescent="0.35">
      <c r="A535" s="11">
        <v>49174</v>
      </c>
      <c r="B535" s="12" t="s">
        <v>27</v>
      </c>
      <c r="C535" s="13">
        <v>24.7</v>
      </c>
      <c r="D535" s="14">
        <v>1.5</v>
      </c>
      <c r="E535">
        <f t="shared" si="18"/>
        <v>2</v>
      </c>
      <c r="F535">
        <f t="shared" si="17"/>
        <v>42.5</v>
      </c>
    </row>
    <row r="536" spans="1:6" hidden="1" x14ac:dyDescent="0.35">
      <c r="A536" s="7">
        <v>49175</v>
      </c>
      <c r="B536" s="8" t="s">
        <v>19</v>
      </c>
      <c r="C536" s="9">
        <v>25.1</v>
      </c>
      <c r="D536" s="10">
        <v>0</v>
      </c>
      <c r="E536">
        <f t="shared" si="18"/>
        <v>3</v>
      </c>
      <c r="F536">
        <f t="shared" si="17"/>
        <v>67.599999999999994</v>
      </c>
    </row>
    <row r="537" spans="1:6" hidden="1" x14ac:dyDescent="0.35">
      <c r="A537" s="11">
        <v>49176</v>
      </c>
      <c r="B537" s="12" t="s">
        <v>32</v>
      </c>
      <c r="C537" s="13">
        <v>27</v>
      </c>
      <c r="D537" s="14">
        <v>0</v>
      </c>
      <c r="E537">
        <f t="shared" si="18"/>
        <v>4</v>
      </c>
      <c r="F537">
        <f t="shared" si="17"/>
        <v>94.6</v>
      </c>
    </row>
    <row r="538" spans="1:6" hidden="1" x14ac:dyDescent="0.35">
      <c r="A538" s="7">
        <v>49177</v>
      </c>
      <c r="B538" s="8" t="s">
        <v>18</v>
      </c>
      <c r="C538" s="9">
        <v>18.2</v>
      </c>
      <c r="D538" s="10">
        <v>13.9</v>
      </c>
      <c r="E538">
        <f t="shared" si="18"/>
        <v>5</v>
      </c>
      <c r="F538">
        <f t="shared" si="17"/>
        <v>112.8</v>
      </c>
    </row>
    <row r="539" spans="1:6" hidden="1" x14ac:dyDescent="0.35">
      <c r="A539" s="11">
        <v>49178</v>
      </c>
      <c r="B539" s="12" t="s">
        <v>15</v>
      </c>
      <c r="C539" s="13">
        <v>10.8</v>
      </c>
      <c r="D539" s="14">
        <v>7.9</v>
      </c>
      <c r="E539">
        <f t="shared" si="18"/>
        <v>6</v>
      </c>
      <c r="F539">
        <f t="shared" si="17"/>
        <v>123.6</v>
      </c>
    </row>
    <row r="540" spans="1:6" hidden="1" x14ac:dyDescent="0.35">
      <c r="A540" s="7">
        <v>49179</v>
      </c>
      <c r="B540" s="8" t="s">
        <v>7</v>
      </c>
      <c r="C540" s="9">
        <v>27.9</v>
      </c>
      <c r="D540" s="10">
        <v>9.9</v>
      </c>
      <c r="E540">
        <f t="shared" si="18"/>
        <v>7</v>
      </c>
      <c r="F540">
        <f t="shared" si="17"/>
        <v>151.5</v>
      </c>
    </row>
    <row r="541" spans="1:6" hidden="1" x14ac:dyDescent="0.35">
      <c r="A541" s="11">
        <v>49180</v>
      </c>
      <c r="B541" s="12" t="s">
        <v>24</v>
      </c>
      <c r="C541" s="13">
        <v>14.1</v>
      </c>
      <c r="D541" s="14">
        <v>0.7</v>
      </c>
      <c r="E541">
        <f t="shared" si="18"/>
        <v>1</v>
      </c>
      <c r="F541">
        <f t="shared" si="17"/>
        <v>14.1</v>
      </c>
    </row>
    <row r="542" spans="1:6" hidden="1" x14ac:dyDescent="0.35">
      <c r="A542" s="7">
        <v>49181</v>
      </c>
      <c r="B542" s="8" t="s">
        <v>18</v>
      </c>
      <c r="C542" s="9">
        <v>17.5</v>
      </c>
      <c r="D542" s="10">
        <v>3.2</v>
      </c>
      <c r="E542">
        <f t="shared" si="18"/>
        <v>2</v>
      </c>
      <c r="F542">
        <f t="shared" si="17"/>
        <v>31.6</v>
      </c>
    </row>
    <row r="543" spans="1:6" hidden="1" x14ac:dyDescent="0.35">
      <c r="A543" s="11">
        <v>49182</v>
      </c>
      <c r="B543" s="12" t="s">
        <v>10</v>
      </c>
      <c r="C543" s="13">
        <v>14.3</v>
      </c>
      <c r="D543" s="14">
        <v>0</v>
      </c>
      <c r="E543">
        <f t="shared" si="18"/>
        <v>3</v>
      </c>
      <c r="F543">
        <f t="shared" si="17"/>
        <v>45.900000000000006</v>
      </c>
    </row>
    <row r="544" spans="1:6" hidden="1" x14ac:dyDescent="0.35">
      <c r="A544" s="7">
        <v>49183</v>
      </c>
      <c r="B544" s="8" t="s">
        <v>20</v>
      </c>
      <c r="C544" s="9">
        <v>15.4</v>
      </c>
      <c r="D544" s="10">
        <v>0</v>
      </c>
      <c r="E544">
        <f t="shared" si="18"/>
        <v>4</v>
      </c>
      <c r="F544">
        <f t="shared" si="17"/>
        <v>61.300000000000004</v>
      </c>
    </row>
    <row r="545" spans="1:6" hidden="1" x14ac:dyDescent="0.35">
      <c r="A545" s="11">
        <v>49184</v>
      </c>
      <c r="B545" s="12" t="s">
        <v>19</v>
      </c>
      <c r="C545" s="13">
        <v>17.5</v>
      </c>
      <c r="D545" s="14">
        <v>0</v>
      </c>
      <c r="E545">
        <f t="shared" si="18"/>
        <v>5</v>
      </c>
      <c r="F545">
        <f t="shared" si="17"/>
        <v>78.800000000000011</v>
      </c>
    </row>
    <row r="546" spans="1:6" hidden="1" x14ac:dyDescent="0.35">
      <c r="A546" s="7">
        <v>49185</v>
      </c>
      <c r="B546" s="8" t="s">
        <v>13</v>
      </c>
      <c r="C546" s="9">
        <v>11.6</v>
      </c>
      <c r="D546" s="10">
        <v>4.0999999999999996</v>
      </c>
      <c r="E546">
        <f t="shared" si="18"/>
        <v>6</v>
      </c>
      <c r="F546">
        <f t="shared" si="17"/>
        <v>90.4</v>
      </c>
    </row>
    <row r="547" spans="1:6" hidden="1" x14ac:dyDescent="0.35">
      <c r="A547" s="11">
        <v>49186</v>
      </c>
      <c r="B547" s="12" t="s">
        <v>9</v>
      </c>
      <c r="C547" s="13">
        <v>27.9</v>
      </c>
      <c r="D547" s="14">
        <v>10.3</v>
      </c>
      <c r="E547">
        <f t="shared" si="18"/>
        <v>7</v>
      </c>
      <c r="F547">
        <f t="shared" si="17"/>
        <v>118.30000000000001</v>
      </c>
    </row>
    <row r="548" spans="1:6" hidden="1" x14ac:dyDescent="0.35">
      <c r="A548" s="7">
        <v>49187</v>
      </c>
      <c r="B548" s="8" t="s">
        <v>19</v>
      </c>
      <c r="C548" s="9">
        <v>11.8</v>
      </c>
      <c r="D548" s="10">
        <v>20.2</v>
      </c>
      <c r="E548">
        <f t="shared" si="18"/>
        <v>1</v>
      </c>
      <c r="F548">
        <f t="shared" si="17"/>
        <v>11.8</v>
      </c>
    </row>
    <row r="549" spans="1:6" hidden="1" x14ac:dyDescent="0.35">
      <c r="A549" s="11">
        <v>49188</v>
      </c>
      <c r="B549" s="12" t="s">
        <v>7</v>
      </c>
      <c r="C549" s="13">
        <v>12</v>
      </c>
      <c r="D549" s="14">
        <v>8.5</v>
      </c>
      <c r="E549">
        <f t="shared" si="18"/>
        <v>2</v>
      </c>
      <c r="F549">
        <f t="shared" si="17"/>
        <v>23.8</v>
      </c>
    </row>
    <row r="550" spans="1:6" hidden="1" x14ac:dyDescent="0.35">
      <c r="A550" s="7">
        <v>49189</v>
      </c>
      <c r="B550" s="8" t="s">
        <v>10</v>
      </c>
      <c r="C550" s="9">
        <v>11.8</v>
      </c>
      <c r="D550" s="10">
        <v>7.8</v>
      </c>
      <c r="E550">
        <f t="shared" si="18"/>
        <v>3</v>
      </c>
      <c r="F550">
        <f t="shared" si="17"/>
        <v>35.6</v>
      </c>
    </row>
    <row r="551" spans="1:6" hidden="1" x14ac:dyDescent="0.35">
      <c r="A551" s="11">
        <v>49190</v>
      </c>
      <c r="B551" s="12" t="s">
        <v>17</v>
      </c>
      <c r="C551" s="13">
        <v>22.2</v>
      </c>
      <c r="D551" s="14">
        <v>0</v>
      </c>
      <c r="E551">
        <f t="shared" si="18"/>
        <v>4</v>
      </c>
      <c r="F551">
        <f t="shared" si="17"/>
        <v>57.8</v>
      </c>
    </row>
    <row r="552" spans="1:6" hidden="1" x14ac:dyDescent="0.35">
      <c r="A552" s="7">
        <v>49191</v>
      </c>
      <c r="B552" s="8" t="s">
        <v>7</v>
      </c>
      <c r="C552" s="9">
        <v>13.3</v>
      </c>
      <c r="D552" s="10">
        <v>3.8</v>
      </c>
      <c r="E552">
        <f t="shared" si="18"/>
        <v>5</v>
      </c>
      <c r="F552">
        <f t="shared" si="17"/>
        <v>71.099999999999994</v>
      </c>
    </row>
    <row r="553" spans="1:6" hidden="1" x14ac:dyDescent="0.35">
      <c r="A553" s="11">
        <v>49192</v>
      </c>
      <c r="B553" s="12" t="s">
        <v>13</v>
      </c>
      <c r="C553" s="13">
        <v>24.6</v>
      </c>
      <c r="D553" s="14">
        <v>2.1</v>
      </c>
      <c r="E553">
        <f t="shared" si="18"/>
        <v>6</v>
      </c>
      <c r="F553">
        <f t="shared" si="17"/>
        <v>95.699999999999989</v>
      </c>
    </row>
    <row r="554" spans="1:6" hidden="1" x14ac:dyDescent="0.35">
      <c r="A554" s="7">
        <v>49193</v>
      </c>
      <c r="B554" s="8" t="s">
        <v>19</v>
      </c>
      <c r="C554" s="9">
        <v>15.7</v>
      </c>
      <c r="D554" s="10">
        <v>0</v>
      </c>
      <c r="E554">
        <f t="shared" si="18"/>
        <v>7</v>
      </c>
      <c r="F554">
        <f t="shared" si="17"/>
        <v>111.39999999999999</v>
      </c>
    </row>
    <row r="555" spans="1:6" hidden="1" x14ac:dyDescent="0.35">
      <c r="A555" s="11">
        <v>49194</v>
      </c>
      <c r="B555" s="12" t="s">
        <v>18</v>
      </c>
      <c r="C555" s="13">
        <v>26.7</v>
      </c>
      <c r="D555" s="14">
        <v>16.2</v>
      </c>
      <c r="E555">
        <f t="shared" si="18"/>
        <v>1</v>
      </c>
      <c r="F555">
        <f t="shared" si="17"/>
        <v>26.7</v>
      </c>
    </row>
    <row r="556" spans="1:6" hidden="1" x14ac:dyDescent="0.35">
      <c r="A556" s="7">
        <v>49195</v>
      </c>
      <c r="B556" s="8" t="s">
        <v>15</v>
      </c>
      <c r="C556" s="9">
        <v>28.1</v>
      </c>
      <c r="D556" s="10">
        <v>1.1000000000000001</v>
      </c>
      <c r="E556">
        <f t="shared" si="18"/>
        <v>2</v>
      </c>
      <c r="F556">
        <f t="shared" si="17"/>
        <v>54.8</v>
      </c>
    </row>
    <row r="557" spans="1:6" hidden="1" x14ac:dyDescent="0.35">
      <c r="A557" s="11">
        <v>49196</v>
      </c>
      <c r="B557" s="12" t="s">
        <v>10</v>
      </c>
      <c r="C557" s="13">
        <v>29.1</v>
      </c>
      <c r="D557" s="14">
        <v>3</v>
      </c>
      <c r="E557">
        <f t="shared" si="18"/>
        <v>3</v>
      </c>
      <c r="F557">
        <f t="shared" si="17"/>
        <v>83.9</v>
      </c>
    </row>
    <row r="558" spans="1:6" hidden="1" x14ac:dyDescent="0.35">
      <c r="A558" s="7">
        <v>49197</v>
      </c>
      <c r="B558" s="8" t="s">
        <v>7</v>
      </c>
      <c r="C558" s="9">
        <v>26.2</v>
      </c>
      <c r="D558" s="10">
        <v>0</v>
      </c>
      <c r="E558">
        <f t="shared" si="18"/>
        <v>4</v>
      </c>
      <c r="F558">
        <f t="shared" si="17"/>
        <v>110.10000000000001</v>
      </c>
    </row>
    <row r="559" spans="1:6" hidden="1" x14ac:dyDescent="0.35">
      <c r="A559" s="11">
        <v>49198</v>
      </c>
      <c r="B559" s="12" t="s">
        <v>31</v>
      </c>
      <c r="C559" s="13">
        <v>23.3</v>
      </c>
      <c r="D559" s="14">
        <v>0</v>
      </c>
      <c r="E559">
        <f t="shared" si="18"/>
        <v>5</v>
      </c>
      <c r="F559">
        <f t="shared" si="17"/>
        <v>133.4</v>
      </c>
    </row>
    <row r="560" spans="1:6" hidden="1" x14ac:dyDescent="0.35">
      <c r="A560" s="7">
        <v>49199</v>
      </c>
      <c r="B560" s="8" t="s">
        <v>19</v>
      </c>
      <c r="C560" s="9">
        <v>21.7</v>
      </c>
      <c r="D560" s="10">
        <v>10.4</v>
      </c>
      <c r="E560">
        <f t="shared" si="18"/>
        <v>6</v>
      </c>
      <c r="F560">
        <f t="shared" si="17"/>
        <v>155.1</v>
      </c>
    </row>
    <row r="561" spans="1:6" hidden="1" x14ac:dyDescent="0.35">
      <c r="A561" s="11">
        <v>49200</v>
      </c>
      <c r="B561" s="12" t="s">
        <v>18</v>
      </c>
      <c r="C561" s="13">
        <v>18.8</v>
      </c>
      <c r="D561" s="14">
        <v>15.6</v>
      </c>
      <c r="E561">
        <f t="shared" si="18"/>
        <v>7</v>
      </c>
      <c r="F561">
        <f t="shared" si="17"/>
        <v>173.9</v>
      </c>
    </row>
    <row r="562" spans="1:6" hidden="1" x14ac:dyDescent="0.35">
      <c r="A562" s="7">
        <v>49201</v>
      </c>
      <c r="B562" s="8" t="s">
        <v>15</v>
      </c>
      <c r="C562" s="9">
        <v>25.4</v>
      </c>
      <c r="D562" s="10">
        <v>7.4</v>
      </c>
      <c r="E562">
        <f t="shared" si="18"/>
        <v>1</v>
      </c>
      <c r="F562">
        <f t="shared" si="17"/>
        <v>25.4</v>
      </c>
    </row>
    <row r="563" spans="1:6" hidden="1" x14ac:dyDescent="0.35">
      <c r="A563" s="11">
        <v>49202</v>
      </c>
      <c r="B563" s="12" t="s">
        <v>11</v>
      </c>
      <c r="C563" s="13">
        <v>21.1</v>
      </c>
      <c r="D563" s="14">
        <v>1</v>
      </c>
      <c r="E563">
        <f t="shared" si="18"/>
        <v>2</v>
      </c>
      <c r="F563">
        <f t="shared" si="17"/>
        <v>46.5</v>
      </c>
    </row>
    <row r="564" spans="1:6" hidden="1" x14ac:dyDescent="0.35">
      <c r="A564" s="7">
        <v>49203</v>
      </c>
      <c r="B564" s="8" t="s">
        <v>11</v>
      </c>
      <c r="C564" s="9">
        <v>25.1</v>
      </c>
      <c r="D564" s="10">
        <v>20</v>
      </c>
      <c r="E564">
        <f t="shared" si="18"/>
        <v>3</v>
      </c>
      <c r="F564">
        <f t="shared" si="17"/>
        <v>71.599999999999994</v>
      </c>
    </row>
    <row r="565" spans="1:6" hidden="1" x14ac:dyDescent="0.35">
      <c r="A565" s="11">
        <v>49204</v>
      </c>
      <c r="B565" s="12" t="s">
        <v>7</v>
      </c>
      <c r="C565" s="13">
        <v>17.600000000000001</v>
      </c>
      <c r="D565" s="14">
        <v>0</v>
      </c>
      <c r="E565">
        <f t="shared" si="18"/>
        <v>4</v>
      </c>
      <c r="F565">
        <f t="shared" si="17"/>
        <v>89.199999999999989</v>
      </c>
    </row>
    <row r="566" spans="1:6" hidden="1" x14ac:dyDescent="0.35">
      <c r="A566" s="7">
        <v>49205</v>
      </c>
      <c r="B566" s="8" t="s">
        <v>15</v>
      </c>
      <c r="C566" s="9">
        <v>21.2</v>
      </c>
      <c r="D566" s="10">
        <v>3.4</v>
      </c>
      <c r="E566">
        <f t="shared" si="18"/>
        <v>5</v>
      </c>
      <c r="F566">
        <f t="shared" si="17"/>
        <v>110.39999999999999</v>
      </c>
    </row>
    <row r="567" spans="1:6" hidden="1" x14ac:dyDescent="0.35">
      <c r="A567" s="11">
        <v>49206</v>
      </c>
      <c r="B567" s="12" t="s">
        <v>7</v>
      </c>
      <c r="C567" s="13">
        <v>26.4</v>
      </c>
      <c r="D567" s="14">
        <v>14.7</v>
      </c>
      <c r="E567">
        <f t="shared" si="18"/>
        <v>6</v>
      </c>
      <c r="F567">
        <f t="shared" si="17"/>
        <v>136.79999999999998</v>
      </c>
    </row>
    <row r="568" spans="1:6" hidden="1" x14ac:dyDescent="0.35">
      <c r="A568" s="7">
        <v>49207</v>
      </c>
      <c r="B568" s="8" t="s">
        <v>5</v>
      </c>
      <c r="C568" s="9">
        <v>13.5</v>
      </c>
      <c r="D568" s="10">
        <v>0</v>
      </c>
      <c r="E568">
        <f t="shared" si="18"/>
        <v>7</v>
      </c>
      <c r="F568">
        <f t="shared" si="17"/>
        <v>150.29999999999998</v>
      </c>
    </row>
    <row r="569" spans="1:6" hidden="1" x14ac:dyDescent="0.35">
      <c r="A569" s="11">
        <v>49208</v>
      </c>
      <c r="B569" s="12" t="s">
        <v>22</v>
      </c>
      <c r="C569" s="13">
        <v>25.1</v>
      </c>
      <c r="D569" s="14">
        <v>0</v>
      </c>
      <c r="E569">
        <f t="shared" si="18"/>
        <v>1</v>
      </c>
      <c r="F569">
        <f t="shared" si="17"/>
        <v>25.1</v>
      </c>
    </row>
    <row r="570" spans="1:6" hidden="1" x14ac:dyDescent="0.35">
      <c r="A570" s="7">
        <v>49209</v>
      </c>
      <c r="B570" s="8" t="s">
        <v>11</v>
      </c>
      <c r="C570" s="9">
        <v>10.4</v>
      </c>
      <c r="D570" s="10">
        <v>11</v>
      </c>
      <c r="E570">
        <f t="shared" si="18"/>
        <v>2</v>
      </c>
      <c r="F570">
        <f t="shared" si="17"/>
        <v>35.5</v>
      </c>
    </row>
    <row r="571" spans="1:6" hidden="1" x14ac:dyDescent="0.35">
      <c r="A571" s="11">
        <v>49210</v>
      </c>
      <c r="B571" s="12" t="s">
        <v>15</v>
      </c>
      <c r="C571" s="13">
        <v>24.3</v>
      </c>
      <c r="D571" s="14">
        <v>4.9000000000000004</v>
      </c>
      <c r="E571">
        <f t="shared" si="18"/>
        <v>3</v>
      </c>
      <c r="F571">
        <f t="shared" si="17"/>
        <v>59.8</v>
      </c>
    </row>
    <row r="572" spans="1:6" hidden="1" x14ac:dyDescent="0.35">
      <c r="A572" s="7">
        <v>49211</v>
      </c>
      <c r="B572" s="8" t="s">
        <v>12</v>
      </c>
      <c r="C572" s="9">
        <v>18.7</v>
      </c>
      <c r="D572" s="10">
        <v>6.2</v>
      </c>
      <c r="E572">
        <f t="shared" si="18"/>
        <v>4</v>
      </c>
      <c r="F572">
        <f t="shared" si="17"/>
        <v>78.5</v>
      </c>
    </row>
    <row r="573" spans="1:6" hidden="1" x14ac:dyDescent="0.35">
      <c r="A573" s="11">
        <v>49212</v>
      </c>
      <c r="B573" s="12" t="s">
        <v>33</v>
      </c>
      <c r="C573" s="13">
        <v>14.1</v>
      </c>
      <c r="D573" s="14">
        <v>0</v>
      </c>
      <c r="E573">
        <f t="shared" si="18"/>
        <v>5</v>
      </c>
      <c r="F573">
        <f t="shared" si="17"/>
        <v>92.6</v>
      </c>
    </row>
    <row r="574" spans="1:6" hidden="1" x14ac:dyDescent="0.35">
      <c r="A574" s="7">
        <v>49213</v>
      </c>
      <c r="B574" s="8" t="s">
        <v>23</v>
      </c>
      <c r="C574" s="9">
        <v>24.2</v>
      </c>
      <c r="D574" s="10">
        <v>0</v>
      </c>
      <c r="E574">
        <f t="shared" si="18"/>
        <v>6</v>
      </c>
      <c r="F574">
        <f t="shared" si="17"/>
        <v>116.8</v>
      </c>
    </row>
    <row r="575" spans="1:6" hidden="1" x14ac:dyDescent="0.35">
      <c r="A575" s="11">
        <v>49214</v>
      </c>
      <c r="B575" s="12" t="s">
        <v>22</v>
      </c>
      <c r="C575" s="13">
        <v>26.4</v>
      </c>
      <c r="D575" s="14">
        <v>0</v>
      </c>
      <c r="E575">
        <f t="shared" si="18"/>
        <v>7</v>
      </c>
      <c r="F575">
        <f t="shared" si="17"/>
        <v>143.19999999999999</v>
      </c>
    </row>
    <row r="576" spans="1:6" hidden="1" x14ac:dyDescent="0.35">
      <c r="A576" s="7">
        <v>49215</v>
      </c>
      <c r="B576" s="8" t="s">
        <v>10</v>
      </c>
      <c r="C576" s="9">
        <v>24.5</v>
      </c>
      <c r="D576" s="10">
        <v>4</v>
      </c>
      <c r="E576">
        <f t="shared" si="18"/>
        <v>1</v>
      </c>
      <c r="F576">
        <f t="shared" si="17"/>
        <v>24.5</v>
      </c>
    </row>
    <row r="577" spans="1:6" hidden="1" x14ac:dyDescent="0.35">
      <c r="A577" s="11">
        <v>49216</v>
      </c>
      <c r="B577" s="12" t="s">
        <v>14</v>
      </c>
      <c r="C577" s="13">
        <v>25.5</v>
      </c>
      <c r="D577" s="14">
        <v>2.9</v>
      </c>
      <c r="E577">
        <f t="shared" si="18"/>
        <v>2</v>
      </c>
      <c r="F577">
        <f t="shared" si="17"/>
        <v>50</v>
      </c>
    </row>
    <row r="578" spans="1:6" hidden="1" x14ac:dyDescent="0.35">
      <c r="A578" s="7">
        <v>49217</v>
      </c>
      <c r="B578" s="8" t="s">
        <v>11</v>
      </c>
      <c r="C578" s="9">
        <v>11.8</v>
      </c>
      <c r="D578" s="10">
        <v>13.5</v>
      </c>
      <c r="E578">
        <f t="shared" si="18"/>
        <v>3</v>
      </c>
      <c r="F578">
        <f t="shared" si="17"/>
        <v>61.8</v>
      </c>
    </row>
    <row r="579" spans="1:6" hidden="1" x14ac:dyDescent="0.35">
      <c r="A579" s="11">
        <v>49218</v>
      </c>
      <c r="B579" s="12" t="s">
        <v>22</v>
      </c>
      <c r="C579" s="13">
        <v>14.3</v>
      </c>
      <c r="D579" s="14">
        <v>5.4</v>
      </c>
      <c r="E579">
        <f t="shared" si="18"/>
        <v>4</v>
      </c>
      <c r="F579">
        <f t="shared" si="17"/>
        <v>76.099999999999994</v>
      </c>
    </row>
    <row r="580" spans="1:6" hidden="1" x14ac:dyDescent="0.35">
      <c r="A580" s="7">
        <v>49219</v>
      </c>
      <c r="B580" s="8" t="s">
        <v>9</v>
      </c>
      <c r="C580" s="9">
        <v>12.4</v>
      </c>
      <c r="D580" s="10">
        <v>1.2</v>
      </c>
      <c r="E580">
        <f t="shared" si="18"/>
        <v>5</v>
      </c>
      <c r="F580">
        <f t="shared" ref="F580:F643" si="19">IF(E579=7,C580,C580+F579)</f>
        <v>88.5</v>
      </c>
    </row>
    <row r="581" spans="1:6" hidden="1" x14ac:dyDescent="0.35">
      <c r="A581" s="11">
        <v>49220</v>
      </c>
      <c r="B581" s="12" t="s">
        <v>19</v>
      </c>
      <c r="C581" s="13">
        <v>29.3</v>
      </c>
      <c r="D581" s="14">
        <v>19.8</v>
      </c>
      <c r="E581">
        <f t="shared" si="18"/>
        <v>6</v>
      </c>
      <c r="F581">
        <f t="shared" si="19"/>
        <v>117.8</v>
      </c>
    </row>
    <row r="582" spans="1:6" hidden="1" x14ac:dyDescent="0.35">
      <c r="A582" s="7">
        <v>49221</v>
      </c>
      <c r="B582" s="8" t="s">
        <v>7</v>
      </c>
      <c r="C582" s="9">
        <v>29.4</v>
      </c>
      <c r="D582" s="10">
        <v>0</v>
      </c>
      <c r="E582">
        <f t="shared" si="18"/>
        <v>7</v>
      </c>
      <c r="F582">
        <f t="shared" si="19"/>
        <v>147.19999999999999</v>
      </c>
    </row>
    <row r="583" spans="1:6" hidden="1" x14ac:dyDescent="0.35">
      <c r="A583" s="11">
        <v>49222</v>
      </c>
      <c r="B583" s="12" t="s">
        <v>13</v>
      </c>
      <c r="C583" s="13">
        <v>29.8</v>
      </c>
      <c r="D583" s="14">
        <v>16</v>
      </c>
      <c r="E583">
        <f t="shared" si="18"/>
        <v>1</v>
      </c>
      <c r="F583">
        <f t="shared" si="19"/>
        <v>29.8</v>
      </c>
    </row>
    <row r="584" spans="1:6" hidden="1" x14ac:dyDescent="0.35">
      <c r="A584" s="7">
        <v>49223</v>
      </c>
      <c r="B584" s="8" t="s">
        <v>19</v>
      </c>
      <c r="C584" s="9">
        <v>29.9</v>
      </c>
      <c r="D584" s="10">
        <v>13.3</v>
      </c>
      <c r="E584">
        <f t="shared" si="18"/>
        <v>2</v>
      </c>
      <c r="F584">
        <f t="shared" si="19"/>
        <v>59.7</v>
      </c>
    </row>
    <row r="585" spans="1:6" hidden="1" x14ac:dyDescent="0.35">
      <c r="A585" s="11">
        <v>49224</v>
      </c>
      <c r="B585" s="12" t="s">
        <v>9</v>
      </c>
      <c r="C585" s="13">
        <v>11.6</v>
      </c>
      <c r="D585" s="14">
        <v>9.6999999999999993</v>
      </c>
      <c r="E585">
        <f t="shared" si="18"/>
        <v>3</v>
      </c>
      <c r="F585">
        <f t="shared" si="19"/>
        <v>71.3</v>
      </c>
    </row>
    <row r="586" spans="1:6" hidden="1" x14ac:dyDescent="0.35">
      <c r="A586" s="7">
        <v>49225</v>
      </c>
      <c r="B586" s="8" t="s">
        <v>11</v>
      </c>
      <c r="C586" s="9">
        <v>10.199999999999999</v>
      </c>
      <c r="D586" s="10">
        <v>0</v>
      </c>
      <c r="E586">
        <f t="shared" ref="E586:E649" si="20">IF(E585=7,1,E585+1)</f>
        <v>4</v>
      </c>
      <c r="F586">
        <f t="shared" si="19"/>
        <v>81.5</v>
      </c>
    </row>
    <row r="587" spans="1:6" hidden="1" x14ac:dyDescent="0.35">
      <c r="A587" s="11">
        <v>49226</v>
      </c>
      <c r="B587" s="12" t="s">
        <v>9</v>
      </c>
      <c r="C587" s="13">
        <v>10.7</v>
      </c>
      <c r="D587" s="14">
        <v>11.9</v>
      </c>
      <c r="E587">
        <f t="shared" si="20"/>
        <v>5</v>
      </c>
      <c r="F587">
        <f t="shared" si="19"/>
        <v>92.2</v>
      </c>
    </row>
    <row r="588" spans="1:6" hidden="1" x14ac:dyDescent="0.35">
      <c r="A588" s="7">
        <v>49227</v>
      </c>
      <c r="B588" s="8" t="s">
        <v>30</v>
      </c>
      <c r="C588" s="9">
        <v>11.7</v>
      </c>
      <c r="D588" s="10">
        <v>0.1</v>
      </c>
      <c r="E588">
        <f t="shared" si="20"/>
        <v>6</v>
      </c>
      <c r="F588">
        <f t="shared" si="19"/>
        <v>103.9</v>
      </c>
    </row>
    <row r="589" spans="1:6" hidden="1" x14ac:dyDescent="0.35">
      <c r="A589" s="11">
        <v>49228</v>
      </c>
      <c r="B589" s="12" t="s">
        <v>18</v>
      </c>
      <c r="C589" s="13">
        <v>29.4</v>
      </c>
      <c r="D589" s="14">
        <v>9.6</v>
      </c>
      <c r="E589">
        <f t="shared" si="20"/>
        <v>7</v>
      </c>
      <c r="F589">
        <f t="shared" si="19"/>
        <v>133.30000000000001</v>
      </c>
    </row>
    <row r="590" spans="1:6" hidden="1" x14ac:dyDescent="0.35">
      <c r="A590" s="7">
        <v>49229</v>
      </c>
      <c r="B590" s="8" t="s">
        <v>20</v>
      </c>
      <c r="C590" s="9">
        <v>29.1</v>
      </c>
      <c r="D590" s="10">
        <v>2.6</v>
      </c>
      <c r="E590">
        <f t="shared" si="20"/>
        <v>1</v>
      </c>
      <c r="F590">
        <f t="shared" si="19"/>
        <v>29.1</v>
      </c>
    </row>
    <row r="591" spans="1:6" hidden="1" x14ac:dyDescent="0.35">
      <c r="A591" s="11">
        <v>49230</v>
      </c>
      <c r="B591" s="12" t="s">
        <v>10</v>
      </c>
      <c r="C591" s="13">
        <v>20.5</v>
      </c>
      <c r="D591" s="14">
        <v>30.1</v>
      </c>
      <c r="E591">
        <f t="shared" si="20"/>
        <v>2</v>
      </c>
      <c r="F591">
        <f t="shared" si="19"/>
        <v>49.6</v>
      </c>
    </row>
    <row r="592" spans="1:6" hidden="1" x14ac:dyDescent="0.35">
      <c r="A592" s="7">
        <v>49231</v>
      </c>
      <c r="B592" s="8" t="s">
        <v>7</v>
      </c>
      <c r="C592" s="9">
        <v>26.2</v>
      </c>
      <c r="D592" s="10">
        <v>19</v>
      </c>
      <c r="E592">
        <f t="shared" si="20"/>
        <v>3</v>
      </c>
      <c r="F592">
        <f t="shared" si="19"/>
        <v>75.8</v>
      </c>
    </row>
    <row r="593" spans="1:6" hidden="1" x14ac:dyDescent="0.35">
      <c r="A593" s="11">
        <v>49232</v>
      </c>
      <c r="B593" s="12" t="s">
        <v>15</v>
      </c>
      <c r="C593" s="13">
        <v>22.6</v>
      </c>
      <c r="D593" s="14">
        <v>0</v>
      </c>
      <c r="E593">
        <f t="shared" si="20"/>
        <v>4</v>
      </c>
      <c r="F593">
        <f t="shared" si="19"/>
        <v>98.4</v>
      </c>
    </row>
    <row r="594" spans="1:6" hidden="1" x14ac:dyDescent="0.35">
      <c r="A594" s="7">
        <v>49233</v>
      </c>
      <c r="B594" s="8" t="s">
        <v>14</v>
      </c>
      <c r="C594" s="9">
        <v>17.7</v>
      </c>
      <c r="D594" s="10">
        <v>0</v>
      </c>
      <c r="E594">
        <f t="shared" si="20"/>
        <v>5</v>
      </c>
      <c r="F594">
        <f t="shared" si="19"/>
        <v>116.10000000000001</v>
      </c>
    </row>
    <row r="595" spans="1:6" hidden="1" x14ac:dyDescent="0.35">
      <c r="A595" s="11">
        <v>49234</v>
      </c>
      <c r="B595" s="12" t="s">
        <v>19</v>
      </c>
      <c r="C595" s="13">
        <v>21.2</v>
      </c>
      <c r="D595" s="14">
        <v>0</v>
      </c>
      <c r="E595">
        <f t="shared" si="20"/>
        <v>6</v>
      </c>
      <c r="F595">
        <f t="shared" si="19"/>
        <v>137.30000000000001</v>
      </c>
    </row>
    <row r="596" spans="1:6" hidden="1" x14ac:dyDescent="0.35">
      <c r="A596" s="7">
        <v>49235</v>
      </c>
      <c r="B596" s="8" t="s">
        <v>33</v>
      </c>
      <c r="C596" s="9">
        <v>10.3</v>
      </c>
      <c r="D596" s="10">
        <v>0.2</v>
      </c>
      <c r="E596">
        <f t="shared" si="20"/>
        <v>7</v>
      </c>
      <c r="F596">
        <f t="shared" si="19"/>
        <v>147.60000000000002</v>
      </c>
    </row>
    <row r="597" spans="1:6" hidden="1" x14ac:dyDescent="0.35">
      <c r="A597" s="11">
        <v>49236</v>
      </c>
      <c r="B597" s="12" t="s">
        <v>25</v>
      </c>
      <c r="C597" s="13">
        <v>10.1</v>
      </c>
      <c r="D597" s="14">
        <v>2.1</v>
      </c>
      <c r="E597">
        <f t="shared" si="20"/>
        <v>1</v>
      </c>
      <c r="F597">
        <f t="shared" si="19"/>
        <v>10.1</v>
      </c>
    </row>
    <row r="598" spans="1:6" hidden="1" x14ac:dyDescent="0.35">
      <c r="A598" s="7">
        <v>49237</v>
      </c>
      <c r="B598" s="8" t="s">
        <v>8</v>
      </c>
      <c r="C598" s="9">
        <v>23.4</v>
      </c>
      <c r="D598" s="10">
        <v>3.9</v>
      </c>
      <c r="E598">
        <f t="shared" si="20"/>
        <v>2</v>
      </c>
      <c r="F598">
        <f t="shared" si="19"/>
        <v>33.5</v>
      </c>
    </row>
    <row r="599" spans="1:6" hidden="1" x14ac:dyDescent="0.35">
      <c r="A599" s="11">
        <v>49238</v>
      </c>
      <c r="B599" s="12" t="s">
        <v>31</v>
      </c>
      <c r="C599" s="13">
        <v>11.7</v>
      </c>
      <c r="D599" s="14">
        <v>0</v>
      </c>
      <c r="E599">
        <f t="shared" si="20"/>
        <v>3</v>
      </c>
      <c r="F599">
        <f t="shared" si="19"/>
        <v>45.2</v>
      </c>
    </row>
    <row r="600" spans="1:6" hidden="1" x14ac:dyDescent="0.35">
      <c r="A600" s="7">
        <v>49239</v>
      </c>
      <c r="B600" s="8" t="s">
        <v>5</v>
      </c>
      <c r="C600" s="9">
        <v>26</v>
      </c>
      <c r="D600" s="10">
        <v>2.1</v>
      </c>
      <c r="E600">
        <f t="shared" si="20"/>
        <v>4</v>
      </c>
      <c r="F600">
        <f t="shared" si="19"/>
        <v>71.2</v>
      </c>
    </row>
    <row r="601" spans="1:6" hidden="1" x14ac:dyDescent="0.35">
      <c r="A601" s="11">
        <v>49240</v>
      </c>
      <c r="B601" s="12" t="s">
        <v>30</v>
      </c>
      <c r="C601" s="13">
        <v>29.5</v>
      </c>
      <c r="D601" s="14">
        <v>0.4</v>
      </c>
      <c r="E601">
        <f t="shared" si="20"/>
        <v>5</v>
      </c>
      <c r="F601">
        <f t="shared" si="19"/>
        <v>100.7</v>
      </c>
    </row>
    <row r="602" spans="1:6" hidden="1" x14ac:dyDescent="0.35">
      <c r="A602" s="7">
        <v>49241</v>
      </c>
      <c r="B602" s="8" t="s">
        <v>14</v>
      </c>
      <c r="C602" s="9">
        <v>13</v>
      </c>
      <c r="D602" s="10">
        <v>4.4000000000000004</v>
      </c>
      <c r="E602">
        <f t="shared" si="20"/>
        <v>6</v>
      </c>
      <c r="F602">
        <f t="shared" si="19"/>
        <v>113.7</v>
      </c>
    </row>
    <row r="603" spans="1:6" hidden="1" x14ac:dyDescent="0.35">
      <c r="A603" s="11">
        <v>49242</v>
      </c>
      <c r="B603" s="12" t="s">
        <v>9</v>
      </c>
      <c r="C603" s="13">
        <v>17.100000000000001</v>
      </c>
      <c r="D603" s="14">
        <v>3.8</v>
      </c>
      <c r="E603">
        <f t="shared" si="20"/>
        <v>7</v>
      </c>
      <c r="F603">
        <f t="shared" si="19"/>
        <v>130.80000000000001</v>
      </c>
    </row>
    <row r="604" spans="1:6" hidden="1" x14ac:dyDescent="0.35">
      <c r="A604" s="7">
        <v>49243</v>
      </c>
      <c r="B604" s="8" t="s">
        <v>27</v>
      </c>
      <c r="C604" s="9">
        <v>12.6</v>
      </c>
      <c r="D604" s="10">
        <v>0.2</v>
      </c>
      <c r="E604">
        <f t="shared" si="20"/>
        <v>1</v>
      </c>
      <c r="F604">
        <f t="shared" si="19"/>
        <v>12.6</v>
      </c>
    </row>
    <row r="605" spans="1:6" hidden="1" x14ac:dyDescent="0.35">
      <c r="A605" s="11">
        <v>49244</v>
      </c>
      <c r="B605" s="12" t="s">
        <v>10</v>
      </c>
      <c r="C605" s="13">
        <v>23.6</v>
      </c>
      <c r="D605" s="14">
        <v>24.1</v>
      </c>
      <c r="E605">
        <f t="shared" si="20"/>
        <v>2</v>
      </c>
      <c r="F605">
        <f t="shared" si="19"/>
        <v>36.200000000000003</v>
      </c>
    </row>
    <row r="606" spans="1:6" hidden="1" x14ac:dyDescent="0.35">
      <c r="A606" s="7">
        <v>49245</v>
      </c>
      <c r="B606" s="8" t="s">
        <v>11</v>
      </c>
      <c r="C606" s="9">
        <v>14.9</v>
      </c>
      <c r="D606" s="10">
        <v>14.2</v>
      </c>
      <c r="E606">
        <f t="shared" si="20"/>
        <v>3</v>
      </c>
      <c r="F606">
        <f t="shared" si="19"/>
        <v>51.1</v>
      </c>
    </row>
    <row r="607" spans="1:6" hidden="1" x14ac:dyDescent="0.35">
      <c r="A607" s="11">
        <v>49246</v>
      </c>
      <c r="B607" s="12" t="s">
        <v>12</v>
      </c>
      <c r="C607" s="13">
        <v>17</v>
      </c>
      <c r="D607" s="14">
        <v>0</v>
      </c>
      <c r="E607">
        <f t="shared" si="20"/>
        <v>4</v>
      </c>
      <c r="F607">
        <f t="shared" si="19"/>
        <v>68.099999999999994</v>
      </c>
    </row>
    <row r="608" spans="1:6" hidden="1" x14ac:dyDescent="0.35">
      <c r="A608" s="7">
        <v>49247</v>
      </c>
      <c r="B608" s="8" t="s">
        <v>11</v>
      </c>
      <c r="C608" s="9">
        <v>12.8</v>
      </c>
      <c r="D608" s="10">
        <v>0</v>
      </c>
      <c r="E608">
        <f t="shared" si="20"/>
        <v>5</v>
      </c>
      <c r="F608">
        <f t="shared" si="19"/>
        <v>80.899999999999991</v>
      </c>
    </row>
    <row r="609" spans="1:6" hidden="1" x14ac:dyDescent="0.35">
      <c r="A609" s="11">
        <v>49248</v>
      </c>
      <c r="B609" s="12" t="s">
        <v>13</v>
      </c>
      <c r="C609" s="13">
        <v>17.5</v>
      </c>
      <c r="D609" s="14">
        <v>0</v>
      </c>
      <c r="E609">
        <f t="shared" si="20"/>
        <v>6</v>
      </c>
      <c r="F609">
        <f t="shared" si="19"/>
        <v>98.399999999999991</v>
      </c>
    </row>
    <row r="610" spans="1:6" hidden="1" x14ac:dyDescent="0.35">
      <c r="A610" s="7">
        <v>49249</v>
      </c>
      <c r="B610" s="8" t="s">
        <v>10</v>
      </c>
      <c r="C610" s="9">
        <v>13.9</v>
      </c>
      <c r="D610" s="10">
        <v>15.3</v>
      </c>
      <c r="E610">
        <f t="shared" si="20"/>
        <v>7</v>
      </c>
      <c r="F610">
        <f t="shared" si="19"/>
        <v>112.3</v>
      </c>
    </row>
    <row r="611" spans="1:6" hidden="1" x14ac:dyDescent="0.35">
      <c r="A611" s="11">
        <v>49250</v>
      </c>
      <c r="B611" s="12" t="s">
        <v>19</v>
      </c>
      <c r="C611" s="13">
        <v>25.9</v>
      </c>
      <c r="D611" s="14">
        <v>14.5</v>
      </c>
      <c r="E611">
        <f t="shared" si="20"/>
        <v>1</v>
      </c>
      <c r="F611">
        <f t="shared" si="19"/>
        <v>25.9</v>
      </c>
    </row>
    <row r="612" spans="1:6" hidden="1" x14ac:dyDescent="0.35">
      <c r="A612" s="7">
        <v>49251</v>
      </c>
      <c r="B612" s="8" t="s">
        <v>17</v>
      </c>
      <c r="C612" s="9">
        <v>12.1</v>
      </c>
      <c r="D612" s="10">
        <v>0</v>
      </c>
      <c r="E612">
        <f t="shared" si="20"/>
        <v>2</v>
      </c>
      <c r="F612">
        <f t="shared" si="19"/>
        <v>38</v>
      </c>
    </row>
    <row r="613" spans="1:6" hidden="1" x14ac:dyDescent="0.35">
      <c r="A613" s="11">
        <v>49252</v>
      </c>
      <c r="B613" s="12" t="s">
        <v>7</v>
      </c>
      <c r="C613" s="13">
        <v>25.8</v>
      </c>
      <c r="D613" s="14">
        <v>12.3</v>
      </c>
      <c r="E613">
        <f t="shared" si="20"/>
        <v>3</v>
      </c>
      <c r="F613">
        <f t="shared" si="19"/>
        <v>63.8</v>
      </c>
    </row>
    <row r="614" spans="1:6" hidden="1" x14ac:dyDescent="0.35">
      <c r="A614" s="7">
        <v>49253</v>
      </c>
      <c r="B614" s="8" t="s">
        <v>9</v>
      </c>
      <c r="C614" s="9">
        <v>29.1</v>
      </c>
      <c r="D614" s="10">
        <v>0</v>
      </c>
      <c r="E614">
        <f t="shared" si="20"/>
        <v>4</v>
      </c>
      <c r="F614">
        <f t="shared" si="19"/>
        <v>92.9</v>
      </c>
    </row>
    <row r="615" spans="1:6" hidden="1" x14ac:dyDescent="0.35">
      <c r="A615" s="11">
        <v>49254</v>
      </c>
      <c r="B615" s="12" t="s">
        <v>10</v>
      </c>
      <c r="C615" s="13">
        <v>13.2</v>
      </c>
      <c r="D615" s="14">
        <v>0</v>
      </c>
      <c r="E615">
        <f t="shared" si="20"/>
        <v>5</v>
      </c>
      <c r="F615">
        <f t="shared" si="19"/>
        <v>106.10000000000001</v>
      </c>
    </row>
    <row r="616" spans="1:6" hidden="1" x14ac:dyDescent="0.35">
      <c r="A616" s="7">
        <v>49255</v>
      </c>
      <c r="B616" s="8" t="s">
        <v>7</v>
      </c>
      <c r="C616" s="9">
        <v>29.4</v>
      </c>
      <c r="D616" s="10">
        <v>12.8</v>
      </c>
      <c r="E616">
        <f t="shared" si="20"/>
        <v>6</v>
      </c>
      <c r="F616">
        <f t="shared" si="19"/>
        <v>135.5</v>
      </c>
    </row>
    <row r="617" spans="1:6" hidden="1" x14ac:dyDescent="0.35">
      <c r="A617" s="11">
        <v>49256</v>
      </c>
      <c r="B617" s="12" t="s">
        <v>15</v>
      </c>
      <c r="C617" s="13">
        <v>21</v>
      </c>
      <c r="D617" s="14">
        <v>0</v>
      </c>
      <c r="E617">
        <f t="shared" si="20"/>
        <v>7</v>
      </c>
      <c r="F617">
        <f t="shared" si="19"/>
        <v>156.5</v>
      </c>
    </row>
    <row r="618" spans="1:6" hidden="1" x14ac:dyDescent="0.35">
      <c r="A618" s="7">
        <v>49257</v>
      </c>
      <c r="B618" s="8" t="s">
        <v>6</v>
      </c>
      <c r="C618" s="9">
        <v>22.7</v>
      </c>
      <c r="D618" s="10">
        <v>12.4</v>
      </c>
      <c r="E618">
        <f t="shared" si="20"/>
        <v>1</v>
      </c>
      <c r="F618">
        <f t="shared" si="19"/>
        <v>22.7</v>
      </c>
    </row>
    <row r="619" spans="1:6" hidden="1" x14ac:dyDescent="0.35">
      <c r="A619" s="11">
        <v>49258</v>
      </c>
      <c r="B619" s="12" t="s">
        <v>10</v>
      </c>
      <c r="C619" s="13">
        <v>25.1</v>
      </c>
      <c r="D619" s="14">
        <v>43.4</v>
      </c>
      <c r="E619">
        <f t="shared" si="20"/>
        <v>2</v>
      </c>
      <c r="F619">
        <f t="shared" si="19"/>
        <v>47.8</v>
      </c>
    </row>
    <row r="620" spans="1:6" hidden="1" x14ac:dyDescent="0.35">
      <c r="A620" s="7">
        <v>49259</v>
      </c>
      <c r="B620" s="8" t="s">
        <v>10</v>
      </c>
      <c r="C620" s="9">
        <v>26.8</v>
      </c>
      <c r="D620" s="10">
        <v>26.9</v>
      </c>
      <c r="E620">
        <f t="shared" si="20"/>
        <v>3</v>
      </c>
      <c r="F620">
        <f t="shared" si="19"/>
        <v>74.599999999999994</v>
      </c>
    </row>
    <row r="621" spans="1:6" hidden="1" x14ac:dyDescent="0.35">
      <c r="A621" s="11">
        <v>49260</v>
      </c>
      <c r="B621" s="12" t="s">
        <v>29</v>
      </c>
      <c r="C621" s="13">
        <v>15.9</v>
      </c>
      <c r="D621" s="14">
        <v>0.5</v>
      </c>
      <c r="E621">
        <f t="shared" si="20"/>
        <v>4</v>
      </c>
      <c r="F621">
        <f t="shared" si="19"/>
        <v>90.5</v>
      </c>
    </row>
    <row r="622" spans="1:6" hidden="1" x14ac:dyDescent="0.35">
      <c r="A622" s="7">
        <v>49261</v>
      </c>
      <c r="B622" s="8" t="s">
        <v>18</v>
      </c>
      <c r="C622" s="9">
        <v>27.6</v>
      </c>
      <c r="D622" s="10">
        <v>0</v>
      </c>
      <c r="E622">
        <f t="shared" si="20"/>
        <v>5</v>
      </c>
      <c r="F622">
        <f t="shared" si="19"/>
        <v>118.1</v>
      </c>
    </row>
    <row r="623" spans="1:6" hidden="1" x14ac:dyDescent="0.35">
      <c r="A623" s="11">
        <v>49262</v>
      </c>
      <c r="B623" s="12" t="s">
        <v>25</v>
      </c>
      <c r="C623" s="13">
        <v>20.8</v>
      </c>
      <c r="D623" s="14">
        <v>0</v>
      </c>
      <c r="E623">
        <f t="shared" si="20"/>
        <v>6</v>
      </c>
      <c r="F623">
        <f t="shared" si="19"/>
        <v>138.9</v>
      </c>
    </row>
    <row r="624" spans="1:6" hidden="1" x14ac:dyDescent="0.35">
      <c r="A624" s="7">
        <v>49263</v>
      </c>
      <c r="B624" s="8" t="s">
        <v>6</v>
      </c>
      <c r="C624" s="9">
        <v>23.9</v>
      </c>
      <c r="D624" s="10">
        <v>9.9</v>
      </c>
      <c r="E624">
        <f t="shared" si="20"/>
        <v>7</v>
      </c>
      <c r="F624">
        <f t="shared" si="19"/>
        <v>162.80000000000001</v>
      </c>
    </row>
    <row r="625" spans="1:6" hidden="1" x14ac:dyDescent="0.35">
      <c r="A625" s="11">
        <v>49264</v>
      </c>
      <c r="B625" s="12" t="s">
        <v>27</v>
      </c>
      <c r="C625" s="13">
        <v>24.8</v>
      </c>
      <c r="D625" s="14">
        <v>4.7</v>
      </c>
      <c r="E625">
        <f t="shared" si="20"/>
        <v>1</v>
      </c>
      <c r="F625">
        <f t="shared" si="19"/>
        <v>24.8</v>
      </c>
    </row>
    <row r="626" spans="1:6" hidden="1" x14ac:dyDescent="0.35">
      <c r="A626" s="7">
        <v>49265</v>
      </c>
      <c r="B626" s="8" t="s">
        <v>19</v>
      </c>
      <c r="C626" s="9">
        <v>16.3</v>
      </c>
      <c r="D626" s="10">
        <v>0</v>
      </c>
      <c r="E626">
        <f t="shared" si="20"/>
        <v>2</v>
      </c>
      <c r="F626">
        <f t="shared" si="19"/>
        <v>41.1</v>
      </c>
    </row>
    <row r="627" spans="1:6" hidden="1" x14ac:dyDescent="0.35">
      <c r="A627" s="11">
        <v>49266</v>
      </c>
      <c r="B627" s="12" t="s">
        <v>18</v>
      </c>
      <c r="C627" s="13">
        <v>20.100000000000001</v>
      </c>
      <c r="D627" s="14">
        <v>0</v>
      </c>
      <c r="E627">
        <f t="shared" si="20"/>
        <v>3</v>
      </c>
      <c r="F627">
        <f t="shared" si="19"/>
        <v>61.2</v>
      </c>
    </row>
    <row r="628" spans="1:6" hidden="1" x14ac:dyDescent="0.35">
      <c r="A628" s="7">
        <v>49267</v>
      </c>
      <c r="B628" s="8" t="s">
        <v>22</v>
      </c>
      <c r="C628" s="9">
        <v>25.9</v>
      </c>
      <c r="D628" s="10">
        <v>8.9</v>
      </c>
      <c r="E628">
        <f t="shared" si="20"/>
        <v>4</v>
      </c>
      <c r="F628">
        <f t="shared" si="19"/>
        <v>87.1</v>
      </c>
    </row>
    <row r="629" spans="1:6" hidden="1" x14ac:dyDescent="0.35">
      <c r="A629" s="11">
        <v>49268</v>
      </c>
      <c r="B629" s="12" t="s">
        <v>19</v>
      </c>
      <c r="C629" s="13">
        <v>27.3</v>
      </c>
      <c r="D629" s="14">
        <v>15.8</v>
      </c>
      <c r="E629">
        <f t="shared" si="20"/>
        <v>5</v>
      </c>
      <c r="F629">
        <f t="shared" si="19"/>
        <v>114.39999999999999</v>
      </c>
    </row>
    <row r="630" spans="1:6" hidden="1" x14ac:dyDescent="0.35">
      <c r="A630" s="7">
        <v>49269</v>
      </c>
      <c r="B630" s="8" t="s">
        <v>6</v>
      </c>
      <c r="C630" s="9">
        <v>19.100000000000001</v>
      </c>
      <c r="D630" s="10">
        <v>6.3</v>
      </c>
      <c r="E630">
        <f t="shared" si="20"/>
        <v>6</v>
      </c>
      <c r="F630">
        <f t="shared" si="19"/>
        <v>133.5</v>
      </c>
    </row>
    <row r="631" spans="1:6" hidden="1" x14ac:dyDescent="0.35">
      <c r="A631" s="11">
        <v>49270</v>
      </c>
      <c r="B631" s="12" t="s">
        <v>10</v>
      </c>
      <c r="C631" s="13">
        <v>16.899999999999999</v>
      </c>
      <c r="D631" s="14">
        <v>0</v>
      </c>
      <c r="E631">
        <f t="shared" si="20"/>
        <v>7</v>
      </c>
      <c r="F631">
        <f t="shared" si="19"/>
        <v>150.4</v>
      </c>
    </row>
    <row r="632" spans="1:6" hidden="1" x14ac:dyDescent="0.35">
      <c r="A632" s="7">
        <v>49271</v>
      </c>
      <c r="B632" s="8" t="s">
        <v>7</v>
      </c>
      <c r="C632" s="9">
        <v>13.4</v>
      </c>
      <c r="D632" s="10">
        <v>20.100000000000001</v>
      </c>
      <c r="E632">
        <f t="shared" si="20"/>
        <v>1</v>
      </c>
      <c r="F632">
        <f t="shared" si="19"/>
        <v>13.4</v>
      </c>
    </row>
    <row r="633" spans="1:6" hidden="1" x14ac:dyDescent="0.35">
      <c r="A633" s="11">
        <v>49272</v>
      </c>
      <c r="B633" s="12" t="s">
        <v>24</v>
      </c>
      <c r="C633" s="13">
        <v>24.8</v>
      </c>
      <c r="D633" s="14">
        <v>0.4</v>
      </c>
      <c r="E633">
        <f t="shared" si="20"/>
        <v>2</v>
      </c>
      <c r="F633">
        <f t="shared" si="19"/>
        <v>38.200000000000003</v>
      </c>
    </row>
    <row r="634" spans="1:6" hidden="1" x14ac:dyDescent="0.35">
      <c r="A634" s="7">
        <v>49273</v>
      </c>
      <c r="B634" s="8" t="s">
        <v>17</v>
      </c>
      <c r="C634" s="9">
        <v>28.4</v>
      </c>
      <c r="D634" s="10">
        <v>1.6</v>
      </c>
      <c r="E634">
        <f t="shared" si="20"/>
        <v>3</v>
      </c>
      <c r="F634">
        <f t="shared" si="19"/>
        <v>66.599999999999994</v>
      </c>
    </row>
    <row r="635" spans="1:6" hidden="1" x14ac:dyDescent="0.35">
      <c r="A635" s="11">
        <v>49274</v>
      </c>
      <c r="B635" s="12" t="s">
        <v>23</v>
      </c>
      <c r="C635" s="13">
        <v>25.3</v>
      </c>
      <c r="D635" s="14">
        <v>1.8</v>
      </c>
      <c r="E635">
        <f t="shared" si="20"/>
        <v>4</v>
      </c>
      <c r="F635">
        <f t="shared" si="19"/>
        <v>91.899999999999991</v>
      </c>
    </row>
    <row r="636" spans="1:6" hidden="1" x14ac:dyDescent="0.35">
      <c r="A636" s="7">
        <v>49275</v>
      </c>
      <c r="B636" s="8" t="s">
        <v>18</v>
      </c>
      <c r="C636" s="9">
        <v>25.9</v>
      </c>
      <c r="D636" s="10">
        <v>1.6</v>
      </c>
      <c r="E636">
        <f t="shared" si="20"/>
        <v>5</v>
      </c>
      <c r="F636">
        <f t="shared" si="19"/>
        <v>117.79999999999998</v>
      </c>
    </row>
    <row r="637" spans="1:6" hidden="1" x14ac:dyDescent="0.35">
      <c r="A637" s="11">
        <v>49276</v>
      </c>
      <c r="B637" s="12" t="s">
        <v>6</v>
      </c>
      <c r="C637" s="13">
        <v>12.2</v>
      </c>
      <c r="D637" s="14">
        <v>0.8</v>
      </c>
      <c r="E637">
        <f t="shared" si="20"/>
        <v>6</v>
      </c>
      <c r="F637">
        <f t="shared" si="19"/>
        <v>129.99999999999997</v>
      </c>
    </row>
    <row r="638" spans="1:6" hidden="1" x14ac:dyDescent="0.35">
      <c r="A638" s="7">
        <v>49277</v>
      </c>
      <c r="B638" s="8" t="s">
        <v>33</v>
      </c>
      <c r="C638" s="9">
        <v>22.8</v>
      </c>
      <c r="D638" s="10">
        <v>2.2999999999999998</v>
      </c>
      <c r="E638">
        <f t="shared" si="20"/>
        <v>7</v>
      </c>
      <c r="F638">
        <f t="shared" si="19"/>
        <v>152.79999999999998</v>
      </c>
    </row>
    <row r="639" spans="1:6" hidden="1" x14ac:dyDescent="0.35">
      <c r="A639" s="11">
        <v>49278</v>
      </c>
      <c r="B639" s="12" t="s">
        <v>19</v>
      </c>
      <c r="C639" s="13">
        <v>12.7</v>
      </c>
      <c r="D639" s="14">
        <v>0</v>
      </c>
      <c r="E639">
        <f t="shared" si="20"/>
        <v>1</v>
      </c>
      <c r="F639">
        <f t="shared" si="19"/>
        <v>12.7</v>
      </c>
    </row>
    <row r="640" spans="1:6" hidden="1" x14ac:dyDescent="0.35">
      <c r="A640" s="7">
        <v>49279</v>
      </c>
      <c r="B640" s="8" t="s">
        <v>26</v>
      </c>
      <c r="C640" s="9">
        <v>13</v>
      </c>
      <c r="D640" s="10">
        <v>5.0999999999999996</v>
      </c>
      <c r="E640">
        <f t="shared" si="20"/>
        <v>2</v>
      </c>
      <c r="F640">
        <f t="shared" si="19"/>
        <v>25.7</v>
      </c>
    </row>
    <row r="641" spans="1:6" hidden="1" x14ac:dyDescent="0.35">
      <c r="A641" s="11">
        <v>49280</v>
      </c>
      <c r="B641" s="12" t="s">
        <v>10</v>
      </c>
      <c r="C641" s="13">
        <v>13.5</v>
      </c>
      <c r="D641" s="14">
        <v>4.9000000000000004</v>
      </c>
      <c r="E641">
        <f t="shared" si="20"/>
        <v>3</v>
      </c>
      <c r="F641">
        <f t="shared" si="19"/>
        <v>39.200000000000003</v>
      </c>
    </row>
    <row r="642" spans="1:6" hidden="1" x14ac:dyDescent="0.35">
      <c r="A642" s="7">
        <v>49281</v>
      </c>
      <c r="B642" s="8" t="s">
        <v>13</v>
      </c>
      <c r="C642" s="9">
        <v>17.8</v>
      </c>
      <c r="D642" s="10">
        <v>5</v>
      </c>
      <c r="E642">
        <f t="shared" si="20"/>
        <v>4</v>
      </c>
      <c r="F642">
        <f t="shared" si="19"/>
        <v>57</v>
      </c>
    </row>
    <row r="643" spans="1:6" hidden="1" x14ac:dyDescent="0.35">
      <c r="A643" s="11">
        <v>49282</v>
      </c>
      <c r="B643" s="12" t="s">
        <v>10</v>
      </c>
      <c r="C643" s="13">
        <v>21.5</v>
      </c>
      <c r="D643" s="14">
        <v>47.1</v>
      </c>
      <c r="E643">
        <f t="shared" si="20"/>
        <v>5</v>
      </c>
      <c r="F643">
        <f t="shared" si="19"/>
        <v>78.5</v>
      </c>
    </row>
    <row r="644" spans="1:6" hidden="1" x14ac:dyDescent="0.35">
      <c r="A644" s="7">
        <v>49283</v>
      </c>
      <c r="B644" s="8" t="s">
        <v>8</v>
      </c>
      <c r="C644" s="9">
        <v>20.5</v>
      </c>
      <c r="D644" s="10">
        <v>0.1</v>
      </c>
      <c r="E644">
        <f t="shared" si="20"/>
        <v>6</v>
      </c>
      <c r="F644">
        <f t="shared" ref="F644:F707" si="21">IF(E643=7,C644,C644+F643)</f>
        <v>99</v>
      </c>
    </row>
    <row r="645" spans="1:6" hidden="1" x14ac:dyDescent="0.35">
      <c r="A645" s="11">
        <v>49284</v>
      </c>
      <c r="B645" s="12" t="s">
        <v>13</v>
      </c>
      <c r="C645" s="13">
        <v>14.4</v>
      </c>
      <c r="D645" s="14">
        <v>0</v>
      </c>
      <c r="E645">
        <f t="shared" si="20"/>
        <v>7</v>
      </c>
      <c r="F645">
        <f t="shared" si="21"/>
        <v>113.4</v>
      </c>
    </row>
    <row r="646" spans="1:6" hidden="1" x14ac:dyDescent="0.35">
      <c r="A646" s="7">
        <v>49285</v>
      </c>
      <c r="B646" s="8" t="s">
        <v>15</v>
      </c>
      <c r="C646" s="9">
        <v>12.3</v>
      </c>
      <c r="D646" s="10">
        <v>0</v>
      </c>
      <c r="E646">
        <f t="shared" si="20"/>
        <v>1</v>
      </c>
      <c r="F646">
        <f t="shared" si="21"/>
        <v>12.3</v>
      </c>
    </row>
    <row r="647" spans="1:6" hidden="1" x14ac:dyDescent="0.35">
      <c r="A647" s="11">
        <v>49286</v>
      </c>
      <c r="B647" s="12" t="s">
        <v>13</v>
      </c>
      <c r="C647" s="13">
        <v>26.5</v>
      </c>
      <c r="D647" s="14">
        <v>14</v>
      </c>
      <c r="E647">
        <f t="shared" si="20"/>
        <v>2</v>
      </c>
      <c r="F647">
        <f t="shared" si="21"/>
        <v>38.799999999999997</v>
      </c>
    </row>
    <row r="648" spans="1:6" hidden="1" x14ac:dyDescent="0.35">
      <c r="A648" s="7">
        <v>49287</v>
      </c>
      <c r="B648" s="8" t="s">
        <v>13</v>
      </c>
      <c r="C648" s="9">
        <v>17.7</v>
      </c>
      <c r="D648" s="10">
        <v>0</v>
      </c>
      <c r="E648">
        <f t="shared" si="20"/>
        <v>3</v>
      </c>
      <c r="F648">
        <f t="shared" si="21"/>
        <v>56.5</v>
      </c>
    </row>
    <row r="649" spans="1:6" hidden="1" x14ac:dyDescent="0.35">
      <c r="A649" s="11">
        <v>49288</v>
      </c>
      <c r="B649" s="12" t="s">
        <v>26</v>
      </c>
      <c r="C649" s="13">
        <v>15.7</v>
      </c>
      <c r="D649" s="14">
        <v>1</v>
      </c>
      <c r="E649">
        <f t="shared" si="20"/>
        <v>4</v>
      </c>
      <c r="F649">
        <f t="shared" si="21"/>
        <v>72.2</v>
      </c>
    </row>
    <row r="650" spans="1:6" hidden="1" x14ac:dyDescent="0.35">
      <c r="A650" s="7">
        <v>49289</v>
      </c>
      <c r="B650" s="8" t="s">
        <v>20</v>
      </c>
      <c r="C650" s="9">
        <v>16.2</v>
      </c>
      <c r="D650" s="10">
        <v>0</v>
      </c>
      <c r="E650">
        <f t="shared" ref="E650:E713" si="22">IF(E649=7,1,E649+1)</f>
        <v>5</v>
      </c>
      <c r="F650">
        <f t="shared" si="21"/>
        <v>88.4</v>
      </c>
    </row>
    <row r="651" spans="1:6" hidden="1" x14ac:dyDescent="0.35">
      <c r="A651" s="11">
        <v>49290</v>
      </c>
      <c r="B651" s="12" t="s">
        <v>21</v>
      </c>
      <c r="C651" s="13">
        <v>18.600000000000001</v>
      </c>
      <c r="D651" s="14">
        <v>1.4</v>
      </c>
      <c r="E651">
        <f t="shared" si="22"/>
        <v>6</v>
      </c>
      <c r="F651">
        <f t="shared" si="21"/>
        <v>107</v>
      </c>
    </row>
    <row r="652" spans="1:6" hidden="1" x14ac:dyDescent="0.35">
      <c r="A652" s="7">
        <v>49291</v>
      </c>
      <c r="B652" s="8" t="s">
        <v>18</v>
      </c>
      <c r="C652" s="9">
        <v>23.9</v>
      </c>
      <c r="D652" s="10">
        <v>4</v>
      </c>
      <c r="E652">
        <f t="shared" si="22"/>
        <v>7</v>
      </c>
      <c r="F652">
        <f t="shared" si="21"/>
        <v>130.9</v>
      </c>
    </row>
    <row r="653" spans="1:6" hidden="1" x14ac:dyDescent="0.35">
      <c r="A653" s="11">
        <v>49292</v>
      </c>
      <c r="B653" s="12" t="s">
        <v>10</v>
      </c>
      <c r="C653" s="13">
        <v>15.8</v>
      </c>
      <c r="D653" s="14">
        <v>50.3</v>
      </c>
      <c r="E653">
        <f t="shared" si="22"/>
        <v>1</v>
      </c>
      <c r="F653">
        <f t="shared" si="21"/>
        <v>15.8</v>
      </c>
    </row>
    <row r="654" spans="1:6" hidden="1" x14ac:dyDescent="0.35">
      <c r="A654" s="7">
        <v>49293</v>
      </c>
      <c r="B654" s="8" t="s">
        <v>12</v>
      </c>
      <c r="C654" s="9">
        <v>26.2</v>
      </c>
      <c r="D654" s="10">
        <v>8.5</v>
      </c>
      <c r="E654">
        <f t="shared" si="22"/>
        <v>2</v>
      </c>
      <c r="F654">
        <f t="shared" si="21"/>
        <v>42</v>
      </c>
    </row>
    <row r="655" spans="1:6" hidden="1" x14ac:dyDescent="0.35">
      <c r="A655" s="11">
        <v>49294</v>
      </c>
      <c r="B655" s="12" t="s">
        <v>10</v>
      </c>
      <c r="C655" s="13">
        <v>23.1</v>
      </c>
      <c r="D655" s="14">
        <v>0</v>
      </c>
      <c r="E655">
        <f t="shared" si="22"/>
        <v>3</v>
      </c>
      <c r="F655">
        <f t="shared" si="21"/>
        <v>65.099999999999994</v>
      </c>
    </row>
    <row r="656" spans="1:6" hidden="1" x14ac:dyDescent="0.35">
      <c r="A656" s="7">
        <v>49295</v>
      </c>
      <c r="B656" s="8" t="s">
        <v>21</v>
      </c>
      <c r="C656" s="9">
        <v>10.8</v>
      </c>
      <c r="D656" s="10">
        <v>0</v>
      </c>
      <c r="E656">
        <f t="shared" si="22"/>
        <v>4</v>
      </c>
      <c r="F656">
        <f t="shared" si="21"/>
        <v>75.899999999999991</v>
      </c>
    </row>
    <row r="657" spans="1:6" hidden="1" x14ac:dyDescent="0.35">
      <c r="A657" s="11">
        <v>49296</v>
      </c>
      <c r="B657" s="12" t="s">
        <v>18</v>
      </c>
      <c r="C657" s="13">
        <v>21.2</v>
      </c>
      <c r="D657" s="14">
        <v>16.100000000000001</v>
      </c>
      <c r="E657">
        <f t="shared" si="22"/>
        <v>5</v>
      </c>
      <c r="F657">
        <f t="shared" si="21"/>
        <v>97.1</v>
      </c>
    </row>
    <row r="658" spans="1:6" hidden="1" x14ac:dyDescent="0.35">
      <c r="A658" s="7">
        <v>49297</v>
      </c>
      <c r="B658" s="8" t="s">
        <v>7</v>
      </c>
      <c r="C658" s="9">
        <v>26.3</v>
      </c>
      <c r="D658" s="10">
        <v>21.1</v>
      </c>
      <c r="E658">
        <f t="shared" si="22"/>
        <v>6</v>
      </c>
      <c r="F658">
        <f t="shared" si="21"/>
        <v>123.39999999999999</v>
      </c>
    </row>
    <row r="659" spans="1:6" hidden="1" x14ac:dyDescent="0.35">
      <c r="A659" s="11">
        <v>49298</v>
      </c>
      <c r="B659" s="12" t="s">
        <v>7</v>
      </c>
      <c r="C659" s="13">
        <v>22.8</v>
      </c>
      <c r="D659" s="14">
        <v>22.7</v>
      </c>
      <c r="E659">
        <f t="shared" si="22"/>
        <v>7</v>
      </c>
      <c r="F659">
        <f t="shared" si="21"/>
        <v>146.19999999999999</v>
      </c>
    </row>
    <row r="660" spans="1:6" hidden="1" x14ac:dyDescent="0.35">
      <c r="A660" s="7">
        <v>49299</v>
      </c>
      <c r="B660" s="8" t="s">
        <v>18</v>
      </c>
      <c r="C660" s="9">
        <v>24</v>
      </c>
      <c r="D660" s="10">
        <v>11.5</v>
      </c>
      <c r="E660">
        <f t="shared" si="22"/>
        <v>1</v>
      </c>
      <c r="F660">
        <f t="shared" si="21"/>
        <v>24</v>
      </c>
    </row>
    <row r="661" spans="1:6" hidden="1" x14ac:dyDescent="0.35">
      <c r="A661" s="11">
        <v>49300</v>
      </c>
      <c r="B661" s="12" t="s">
        <v>14</v>
      </c>
      <c r="C661" s="13">
        <v>16.8</v>
      </c>
      <c r="D661" s="14">
        <v>2</v>
      </c>
      <c r="E661">
        <f t="shared" si="22"/>
        <v>2</v>
      </c>
      <c r="F661">
        <f t="shared" si="21"/>
        <v>40.799999999999997</v>
      </c>
    </row>
    <row r="662" spans="1:6" hidden="1" x14ac:dyDescent="0.35">
      <c r="A662" s="7">
        <v>49301</v>
      </c>
      <c r="B662" s="8" t="s">
        <v>13</v>
      </c>
      <c r="C662" s="9">
        <v>12.5</v>
      </c>
      <c r="D662" s="10">
        <v>4.7</v>
      </c>
      <c r="E662">
        <f t="shared" si="22"/>
        <v>3</v>
      </c>
      <c r="F662">
        <f t="shared" si="21"/>
        <v>53.3</v>
      </c>
    </row>
    <row r="663" spans="1:6" hidden="1" x14ac:dyDescent="0.35">
      <c r="A663" s="11">
        <v>49302</v>
      </c>
      <c r="B663" s="12" t="s">
        <v>10</v>
      </c>
      <c r="C663" s="13">
        <v>15</v>
      </c>
      <c r="D663" s="14">
        <v>1.7</v>
      </c>
      <c r="E663">
        <f t="shared" si="22"/>
        <v>4</v>
      </c>
      <c r="F663">
        <f t="shared" si="21"/>
        <v>68.3</v>
      </c>
    </row>
    <row r="664" spans="1:6" hidden="1" x14ac:dyDescent="0.35">
      <c r="A664" s="7">
        <v>49303</v>
      </c>
      <c r="B664" s="8" t="s">
        <v>18</v>
      </c>
      <c r="C664" s="9">
        <v>16.2</v>
      </c>
      <c r="D664" s="10">
        <v>0</v>
      </c>
      <c r="E664">
        <f t="shared" si="22"/>
        <v>5</v>
      </c>
      <c r="F664">
        <f t="shared" si="21"/>
        <v>84.5</v>
      </c>
    </row>
    <row r="665" spans="1:6" hidden="1" x14ac:dyDescent="0.35">
      <c r="A665" s="11">
        <v>49304</v>
      </c>
      <c r="B665" s="12" t="s">
        <v>7</v>
      </c>
      <c r="C665" s="13">
        <v>29.3</v>
      </c>
      <c r="D665" s="14">
        <v>0</v>
      </c>
      <c r="E665">
        <f t="shared" si="22"/>
        <v>6</v>
      </c>
      <c r="F665">
        <f t="shared" si="21"/>
        <v>113.8</v>
      </c>
    </row>
    <row r="666" spans="1:6" hidden="1" x14ac:dyDescent="0.35">
      <c r="A666" s="7">
        <v>49305</v>
      </c>
      <c r="B666" s="8" t="s">
        <v>32</v>
      </c>
      <c r="C666" s="9">
        <v>26.4</v>
      </c>
      <c r="D666" s="10">
        <v>0.2</v>
      </c>
      <c r="E666">
        <f t="shared" si="22"/>
        <v>7</v>
      </c>
      <c r="F666">
        <f t="shared" si="21"/>
        <v>140.19999999999999</v>
      </c>
    </row>
    <row r="667" spans="1:6" hidden="1" x14ac:dyDescent="0.35">
      <c r="A667" s="11">
        <v>49306</v>
      </c>
      <c r="B667" s="12" t="s">
        <v>18</v>
      </c>
      <c r="C667" s="13">
        <v>23</v>
      </c>
      <c r="D667" s="14">
        <v>0</v>
      </c>
      <c r="E667">
        <f t="shared" si="22"/>
        <v>1</v>
      </c>
      <c r="F667">
        <f t="shared" si="21"/>
        <v>23</v>
      </c>
    </row>
    <row r="668" spans="1:6" hidden="1" x14ac:dyDescent="0.35">
      <c r="A668" s="7">
        <v>49307</v>
      </c>
      <c r="B668" s="8" t="s">
        <v>11</v>
      </c>
      <c r="C668" s="9">
        <v>25.4</v>
      </c>
      <c r="D668" s="10">
        <v>1.2</v>
      </c>
      <c r="E668">
        <f t="shared" si="22"/>
        <v>2</v>
      </c>
      <c r="F668">
        <f t="shared" si="21"/>
        <v>48.4</v>
      </c>
    </row>
    <row r="669" spans="1:6" hidden="1" x14ac:dyDescent="0.35">
      <c r="A669" s="11">
        <v>49308</v>
      </c>
      <c r="B669" s="12" t="s">
        <v>10</v>
      </c>
      <c r="C669" s="13">
        <v>24.5</v>
      </c>
      <c r="D669" s="14">
        <v>22.5</v>
      </c>
      <c r="E669">
        <f t="shared" si="22"/>
        <v>3</v>
      </c>
      <c r="F669">
        <f t="shared" si="21"/>
        <v>72.900000000000006</v>
      </c>
    </row>
    <row r="670" spans="1:6" hidden="1" x14ac:dyDescent="0.35">
      <c r="A670" s="7">
        <v>49309</v>
      </c>
      <c r="B670" s="8" t="s">
        <v>19</v>
      </c>
      <c r="C670" s="9">
        <v>19</v>
      </c>
      <c r="D670" s="10">
        <v>18.899999999999999</v>
      </c>
      <c r="E670">
        <f t="shared" si="22"/>
        <v>4</v>
      </c>
      <c r="F670">
        <f t="shared" si="21"/>
        <v>91.9</v>
      </c>
    </row>
    <row r="671" spans="1:6" hidden="1" x14ac:dyDescent="0.35">
      <c r="A671" s="11">
        <v>49310</v>
      </c>
      <c r="B671" s="12" t="s">
        <v>19</v>
      </c>
      <c r="C671" s="13">
        <v>10</v>
      </c>
      <c r="D671" s="14">
        <v>7.6</v>
      </c>
      <c r="E671">
        <f t="shared" si="22"/>
        <v>5</v>
      </c>
      <c r="F671">
        <f t="shared" si="21"/>
        <v>101.9</v>
      </c>
    </row>
    <row r="672" spans="1:6" hidden="1" x14ac:dyDescent="0.35">
      <c r="A672" s="7">
        <v>49311</v>
      </c>
      <c r="B672" s="8" t="s">
        <v>10</v>
      </c>
      <c r="C672" s="9">
        <v>10.4</v>
      </c>
      <c r="D672" s="10">
        <v>20.6</v>
      </c>
      <c r="E672">
        <f t="shared" si="22"/>
        <v>6</v>
      </c>
      <c r="F672">
        <f t="shared" si="21"/>
        <v>112.30000000000001</v>
      </c>
    </row>
    <row r="673" spans="1:6" hidden="1" x14ac:dyDescent="0.35">
      <c r="A673" s="11">
        <v>49312</v>
      </c>
      <c r="B673" s="12" t="s">
        <v>21</v>
      </c>
      <c r="C673" s="13">
        <v>10.5</v>
      </c>
      <c r="D673" s="14">
        <v>0</v>
      </c>
      <c r="E673">
        <f t="shared" si="22"/>
        <v>7</v>
      </c>
      <c r="F673">
        <f t="shared" si="21"/>
        <v>122.80000000000001</v>
      </c>
    </row>
    <row r="674" spans="1:6" hidden="1" x14ac:dyDescent="0.35">
      <c r="A674" s="7">
        <v>49313</v>
      </c>
      <c r="B674" s="8" t="s">
        <v>6</v>
      </c>
      <c r="C674" s="9">
        <v>12.1</v>
      </c>
      <c r="D674" s="10">
        <v>8.8000000000000007</v>
      </c>
      <c r="E674">
        <f t="shared" si="22"/>
        <v>1</v>
      </c>
      <c r="F674">
        <f t="shared" si="21"/>
        <v>12.1</v>
      </c>
    </row>
    <row r="675" spans="1:6" hidden="1" x14ac:dyDescent="0.35">
      <c r="A675" s="11">
        <v>49314</v>
      </c>
      <c r="B675" s="12" t="s">
        <v>10</v>
      </c>
      <c r="C675" s="13">
        <v>20.5</v>
      </c>
      <c r="D675" s="14">
        <v>0</v>
      </c>
      <c r="E675">
        <f t="shared" si="22"/>
        <v>2</v>
      </c>
      <c r="F675">
        <f t="shared" si="21"/>
        <v>32.6</v>
      </c>
    </row>
    <row r="676" spans="1:6" hidden="1" x14ac:dyDescent="0.35">
      <c r="A676" s="7">
        <v>49315</v>
      </c>
      <c r="B676" s="8" t="s">
        <v>13</v>
      </c>
      <c r="C676" s="9">
        <v>13.1</v>
      </c>
      <c r="D676" s="10">
        <v>0</v>
      </c>
      <c r="E676">
        <f t="shared" si="22"/>
        <v>3</v>
      </c>
      <c r="F676">
        <f t="shared" si="21"/>
        <v>45.7</v>
      </c>
    </row>
    <row r="677" spans="1:6" hidden="1" x14ac:dyDescent="0.35">
      <c r="A677" s="11">
        <v>49316</v>
      </c>
      <c r="B677" s="12" t="s">
        <v>26</v>
      </c>
      <c r="C677" s="13">
        <v>29.8</v>
      </c>
      <c r="D677" s="14">
        <v>1.1000000000000001</v>
      </c>
      <c r="E677">
        <f t="shared" si="22"/>
        <v>4</v>
      </c>
      <c r="F677">
        <f t="shared" si="21"/>
        <v>75.5</v>
      </c>
    </row>
    <row r="678" spans="1:6" hidden="1" x14ac:dyDescent="0.35">
      <c r="A678" s="7">
        <v>49317</v>
      </c>
      <c r="B678" s="8" t="s">
        <v>15</v>
      </c>
      <c r="C678" s="9">
        <v>17.100000000000001</v>
      </c>
      <c r="D678" s="10">
        <v>5.5</v>
      </c>
      <c r="E678">
        <f t="shared" si="22"/>
        <v>5</v>
      </c>
      <c r="F678">
        <f t="shared" si="21"/>
        <v>92.6</v>
      </c>
    </row>
    <row r="679" spans="1:6" hidden="1" x14ac:dyDescent="0.35">
      <c r="A679" s="11">
        <v>49318</v>
      </c>
      <c r="B679" s="12" t="s">
        <v>14</v>
      </c>
      <c r="C679" s="13">
        <v>29.1</v>
      </c>
      <c r="D679" s="14">
        <v>0.4</v>
      </c>
      <c r="E679">
        <f t="shared" si="22"/>
        <v>6</v>
      </c>
      <c r="F679">
        <f t="shared" si="21"/>
        <v>121.69999999999999</v>
      </c>
    </row>
    <row r="680" spans="1:6" hidden="1" x14ac:dyDescent="0.35">
      <c r="A680" s="7">
        <v>49319</v>
      </c>
      <c r="B680" s="8" t="s">
        <v>18</v>
      </c>
      <c r="C680" s="9">
        <v>10.9</v>
      </c>
      <c r="D680" s="10">
        <v>0</v>
      </c>
      <c r="E680">
        <f t="shared" si="22"/>
        <v>7</v>
      </c>
      <c r="F680">
        <f t="shared" si="21"/>
        <v>132.6</v>
      </c>
    </row>
    <row r="681" spans="1:6" hidden="1" x14ac:dyDescent="0.35">
      <c r="A681" s="11">
        <v>49320</v>
      </c>
      <c r="B681" s="12" t="s">
        <v>32</v>
      </c>
      <c r="C681" s="13">
        <v>27.4</v>
      </c>
      <c r="D681" s="14">
        <v>0.3</v>
      </c>
      <c r="E681">
        <f t="shared" si="22"/>
        <v>1</v>
      </c>
      <c r="F681">
        <f t="shared" si="21"/>
        <v>27.4</v>
      </c>
    </row>
    <row r="682" spans="1:6" hidden="1" x14ac:dyDescent="0.35">
      <c r="A682" s="7">
        <v>49321</v>
      </c>
      <c r="B682" s="8" t="s">
        <v>19</v>
      </c>
      <c r="C682" s="9">
        <v>16.3</v>
      </c>
      <c r="D682" s="10">
        <v>9.8000000000000007</v>
      </c>
      <c r="E682">
        <f t="shared" si="22"/>
        <v>2</v>
      </c>
      <c r="F682">
        <f t="shared" si="21"/>
        <v>43.7</v>
      </c>
    </row>
    <row r="683" spans="1:6" hidden="1" x14ac:dyDescent="0.35">
      <c r="A683" s="11">
        <v>49322</v>
      </c>
      <c r="B683" s="12" t="s">
        <v>7</v>
      </c>
      <c r="C683" s="13">
        <v>14.7</v>
      </c>
      <c r="D683" s="14">
        <v>0</v>
      </c>
      <c r="E683">
        <f t="shared" si="22"/>
        <v>3</v>
      </c>
      <c r="F683">
        <f t="shared" si="21"/>
        <v>58.400000000000006</v>
      </c>
    </row>
    <row r="684" spans="1:6" hidden="1" x14ac:dyDescent="0.35">
      <c r="A684" s="7">
        <v>49323</v>
      </c>
      <c r="B684" s="8" t="s">
        <v>12</v>
      </c>
      <c r="C684" s="9">
        <v>17.2</v>
      </c>
      <c r="D684" s="10">
        <v>2</v>
      </c>
      <c r="E684">
        <f t="shared" si="22"/>
        <v>4</v>
      </c>
      <c r="F684">
        <f t="shared" si="21"/>
        <v>75.600000000000009</v>
      </c>
    </row>
    <row r="685" spans="1:6" hidden="1" x14ac:dyDescent="0.35">
      <c r="A685" s="11">
        <v>49324</v>
      </c>
      <c r="B685" s="12" t="s">
        <v>15</v>
      </c>
      <c r="C685" s="13">
        <v>24.2</v>
      </c>
      <c r="D685" s="14">
        <v>9.9</v>
      </c>
      <c r="E685">
        <f t="shared" si="22"/>
        <v>5</v>
      </c>
      <c r="F685">
        <f t="shared" si="21"/>
        <v>99.800000000000011</v>
      </c>
    </row>
    <row r="686" spans="1:6" hidden="1" x14ac:dyDescent="0.35">
      <c r="A686" s="7">
        <v>49325</v>
      </c>
      <c r="B686" s="8" t="s">
        <v>13</v>
      </c>
      <c r="C686" s="9">
        <v>22.3</v>
      </c>
      <c r="D686" s="10">
        <v>0</v>
      </c>
      <c r="E686">
        <f t="shared" si="22"/>
        <v>6</v>
      </c>
      <c r="F686">
        <f t="shared" si="21"/>
        <v>122.10000000000001</v>
      </c>
    </row>
    <row r="687" spans="1:6" hidden="1" x14ac:dyDescent="0.35">
      <c r="A687" s="11">
        <v>49326</v>
      </c>
      <c r="B687" s="12" t="s">
        <v>29</v>
      </c>
      <c r="C687" s="13">
        <v>26.7</v>
      </c>
      <c r="D687" s="14">
        <v>0.6</v>
      </c>
      <c r="E687">
        <f t="shared" si="22"/>
        <v>7</v>
      </c>
      <c r="F687">
        <f t="shared" si="21"/>
        <v>148.80000000000001</v>
      </c>
    </row>
    <row r="688" spans="1:6" hidden="1" x14ac:dyDescent="0.35">
      <c r="A688" s="7">
        <v>49327</v>
      </c>
      <c r="B688" s="8" t="s">
        <v>12</v>
      </c>
      <c r="C688" s="9">
        <v>10.9</v>
      </c>
      <c r="D688" s="10">
        <v>3.8</v>
      </c>
      <c r="E688">
        <f t="shared" si="22"/>
        <v>1</v>
      </c>
      <c r="F688">
        <f t="shared" si="21"/>
        <v>10.9</v>
      </c>
    </row>
    <row r="689" spans="1:6" hidden="1" x14ac:dyDescent="0.35">
      <c r="A689" s="11">
        <v>49328</v>
      </c>
      <c r="B689" s="12" t="s">
        <v>21</v>
      </c>
      <c r="C689" s="13">
        <v>23.7</v>
      </c>
      <c r="D689" s="14">
        <v>0</v>
      </c>
      <c r="E689">
        <f t="shared" si="22"/>
        <v>2</v>
      </c>
      <c r="F689">
        <f t="shared" si="21"/>
        <v>34.6</v>
      </c>
    </row>
    <row r="690" spans="1:6" hidden="1" x14ac:dyDescent="0.35">
      <c r="A690" s="7">
        <v>49329</v>
      </c>
      <c r="B690" s="8" t="s">
        <v>10</v>
      </c>
      <c r="C690" s="9">
        <v>16</v>
      </c>
      <c r="D690" s="10">
        <v>22.3</v>
      </c>
      <c r="E690">
        <f t="shared" si="22"/>
        <v>3</v>
      </c>
      <c r="F690">
        <f t="shared" si="21"/>
        <v>50.6</v>
      </c>
    </row>
    <row r="691" spans="1:6" hidden="1" x14ac:dyDescent="0.35">
      <c r="A691" s="11">
        <v>49330</v>
      </c>
      <c r="B691" s="12" t="s">
        <v>10</v>
      </c>
      <c r="C691" s="13">
        <v>19.399999999999999</v>
      </c>
      <c r="D691" s="14">
        <v>41.6</v>
      </c>
      <c r="E691">
        <f t="shared" si="22"/>
        <v>4</v>
      </c>
      <c r="F691">
        <f t="shared" si="21"/>
        <v>70</v>
      </c>
    </row>
    <row r="692" spans="1:6" hidden="1" x14ac:dyDescent="0.35">
      <c r="A692" s="7">
        <v>49331</v>
      </c>
      <c r="B692" s="8" t="s">
        <v>11</v>
      </c>
      <c r="C692" s="9">
        <v>26.7</v>
      </c>
      <c r="D692" s="10">
        <v>10</v>
      </c>
      <c r="E692">
        <f t="shared" si="22"/>
        <v>5</v>
      </c>
      <c r="F692">
        <f t="shared" si="21"/>
        <v>96.7</v>
      </c>
    </row>
    <row r="693" spans="1:6" hidden="1" x14ac:dyDescent="0.35">
      <c r="A693" s="11">
        <v>49332</v>
      </c>
      <c r="B693" s="12" t="s">
        <v>19</v>
      </c>
      <c r="C693" s="13">
        <v>20.8</v>
      </c>
      <c r="D693" s="14">
        <v>0</v>
      </c>
      <c r="E693">
        <f t="shared" si="22"/>
        <v>6</v>
      </c>
      <c r="F693">
        <f t="shared" si="21"/>
        <v>117.5</v>
      </c>
    </row>
    <row r="694" spans="1:6" hidden="1" x14ac:dyDescent="0.35">
      <c r="A694" s="7">
        <v>49333</v>
      </c>
      <c r="B694" s="8" t="s">
        <v>10</v>
      </c>
      <c r="C694" s="9">
        <v>25.6</v>
      </c>
      <c r="D694" s="10">
        <v>0</v>
      </c>
      <c r="E694">
        <f t="shared" si="22"/>
        <v>7</v>
      </c>
      <c r="F694">
        <f t="shared" si="21"/>
        <v>143.1</v>
      </c>
    </row>
    <row r="695" spans="1:6" hidden="1" x14ac:dyDescent="0.35">
      <c r="A695" s="11">
        <v>49334</v>
      </c>
      <c r="B695" s="12" t="s">
        <v>18</v>
      </c>
      <c r="C695" s="13">
        <v>18.3</v>
      </c>
      <c r="D695" s="14">
        <v>0.5</v>
      </c>
      <c r="E695">
        <f t="shared" si="22"/>
        <v>1</v>
      </c>
      <c r="F695">
        <f t="shared" si="21"/>
        <v>18.3</v>
      </c>
    </row>
    <row r="696" spans="1:6" hidden="1" x14ac:dyDescent="0.35">
      <c r="A696" s="7">
        <v>49335</v>
      </c>
      <c r="B696" s="8" t="s">
        <v>9</v>
      </c>
      <c r="C696" s="9">
        <v>27.4</v>
      </c>
      <c r="D696" s="10">
        <v>4.2</v>
      </c>
      <c r="E696">
        <f t="shared" si="22"/>
        <v>2</v>
      </c>
      <c r="F696">
        <f t="shared" si="21"/>
        <v>45.7</v>
      </c>
    </row>
    <row r="697" spans="1:6" hidden="1" x14ac:dyDescent="0.35">
      <c r="A697" s="11">
        <v>49336</v>
      </c>
      <c r="B697" s="12" t="s">
        <v>23</v>
      </c>
      <c r="C697" s="13">
        <v>16.100000000000001</v>
      </c>
      <c r="D697" s="14">
        <v>3.4</v>
      </c>
      <c r="E697">
        <f t="shared" si="22"/>
        <v>3</v>
      </c>
      <c r="F697">
        <f t="shared" si="21"/>
        <v>61.800000000000004</v>
      </c>
    </row>
    <row r="698" spans="1:6" hidden="1" x14ac:dyDescent="0.35">
      <c r="A698" s="7">
        <v>49337</v>
      </c>
      <c r="B698" s="8" t="s">
        <v>14</v>
      </c>
      <c r="C698" s="9">
        <v>27.5</v>
      </c>
      <c r="D698" s="10">
        <v>8</v>
      </c>
      <c r="E698">
        <f t="shared" si="22"/>
        <v>4</v>
      </c>
      <c r="F698">
        <f t="shared" si="21"/>
        <v>89.300000000000011</v>
      </c>
    </row>
    <row r="699" spans="1:6" hidden="1" x14ac:dyDescent="0.35">
      <c r="A699" s="11">
        <v>49338</v>
      </c>
      <c r="B699" s="12" t="s">
        <v>9</v>
      </c>
      <c r="C699" s="13">
        <v>28.4</v>
      </c>
      <c r="D699" s="14">
        <v>10.199999999999999</v>
      </c>
      <c r="E699">
        <f t="shared" si="22"/>
        <v>5</v>
      </c>
      <c r="F699">
        <f t="shared" si="21"/>
        <v>117.70000000000002</v>
      </c>
    </row>
    <row r="700" spans="1:6" hidden="1" x14ac:dyDescent="0.35">
      <c r="A700" s="7">
        <v>49339</v>
      </c>
      <c r="B700" s="8" t="s">
        <v>13</v>
      </c>
      <c r="C700" s="9">
        <v>16.100000000000001</v>
      </c>
      <c r="D700" s="10">
        <v>4</v>
      </c>
      <c r="E700">
        <f t="shared" si="22"/>
        <v>6</v>
      </c>
      <c r="F700">
        <f t="shared" si="21"/>
        <v>133.80000000000001</v>
      </c>
    </row>
    <row r="701" spans="1:6" hidden="1" x14ac:dyDescent="0.35">
      <c r="A701" s="11">
        <v>49340</v>
      </c>
      <c r="B701" s="12" t="s">
        <v>23</v>
      </c>
      <c r="C701" s="13">
        <v>28.4</v>
      </c>
      <c r="D701" s="14">
        <v>2.6</v>
      </c>
      <c r="E701">
        <f t="shared" si="22"/>
        <v>7</v>
      </c>
      <c r="F701">
        <f t="shared" si="21"/>
        <v>162.20000000000002</v>
      </c>
    </row>
    <row r="702" spans="1:6" hidden="1" x14ac:dyDescent="0.35">
      <c r="A702" s="7">
        <v>49341</v>
      </c>
      <c r="B702" s="8" t="s">
        <v>14</v>
      </c>
      <c r="C702" s="9">
        <v>29.3</v>
      </c>
      <c r="D702" s="10">
        <v>0</v>
      </c>
      <c r="E702">
        <f t="shared" si="22"/>
        <v>1</v>
      </c>
      <c r="F702">
        <f t="shared" si="21"/>
        <v>29.3</v>
      </c>
    </row>
    <row r="703" spans="1:6" hidden="1" x14ac:dyDescent="0.35">
      <c r="A703" s="11">
        <v>49342</v>
      </c>
      <c r="B703" s="12" t="s">
        <v>13</v>
      </c>
      <c r="C703" s="13">
        <v>19.7</v>
      </c>
      <c r="D703" s="14">
        <v>16.2</v>
      </c>
      <c r="E703">
        <f t="shared" si="22"/>
        <v>2</v>
      </c>
      <c r="F703">
        <f t="shared" si="21"/>
        <v>49</v>
      </c>
    </row>
    <row r="704" spans="1:6" hidden="1" x14ac:dyDescent="0.35">
      <c r="A704" s="7">
        <v>49343</v>
      </c>
      <c r="B704" s="8" t="s">
        <v>31</v>
      </c>
      <c r="C704" s="9">
        <v>11.5</v>
      </c>
      <c r="D704" s="10">
        <v>0.3</v>
      </c>
      <c r="E704">
        <f t="shared" si="22"/>
        <v>3</v>
      </c>
      <c r="F704">
        <f t="shared" si="21"/>
        <v>60.5</v>
      </c>
    </row>
    <row r="705" spans="1:6" hidden="1" x14ac:dyDescent="0.35">
      <c r="A705" s="11">
        <v>49344</v>
      </c>
      <c r="B705" s="12" t="s">
        <v>19</v>
      </c>
      <c r="C705" s="13">
        <v>19.5</v>
      </c>
      <c r="D705" s="14">
        <v>0</v>
      </c>
      <c r="E705">
        <f t="shared" si="22"/>
        <v>4</v>
      </c>
      <c r="F705">
        <f t="shared" si="21"/>
        <v>80</v>
      </c>
    </row>
    <row r="706" spans="1:6" hidden="1" x14ac:dyDescent="0.35">
      <c r="A706" s="7">
        <v>49345</v>
      </c>
      <c r="B706" s="8" t="s">
        <v>20</v>
      </c>
      <c r="C706" s="9">
        <v>22.7</v>
      </c>
      <c r="D706" s="10">
        <v>0.7</v>
      </c>
      <c r="E706">
        <f t="shared" si="22"/>
        <v>5</v>
      </c>
      <c r="F706">
        <f t="shared" si="21"/>
        <v>102.7</v>
      </c>
    </row>
    <row r="707" spans="1:6" hidden="1" x14ac:dyDescent="0.35">
      <c r="A707" s="11">
        <v>49346</v>
      </c>
      <c r="B707" s="12" t="s">
        <v>7</v>
      </c>
      <c r="C707" s="13">
        <v>19.7</v>
      </c>
      <c r="D707" s="14">
        <v>7.3</v>
      </c>
      <c r="E707">
        <f t="shared" si="22"/>
        <v>6</v>
      </c>
      <c r="F707">
        <f t="shared" si="21"/>
        <v>122.4</v>
      </c>
    </row>
    <row r="708" spans="1:6" hidden="1" x14ac:dyDescent="0.35">
      <c r="A708" s="7">
        <v>49347</v>
      </c>
      <c r="B708" s="8" t="s">
        <v>26</v>
      </c>
      <c r="C708" s="9">
        <v>19.399999999999999</v>
      </c>
      <c r="D708" s="10">
        <v>0.4</v>
      </c>
      <c r="E708">
        <f t="shared" si="22"/>
        <v>7</v>
      </c>
      <c r="F708">
        <f t="shared" ref="F708:F771" si="23">IF(E707=7,C708,C708+F707)</f>
        <v>141.80000000000001</v>
      </c>
    </row>
    <row r="709" spans="1:6" hidden="1" x14ac:dyDescent="0.35">
      <c r="A709" s="11">
        <v>49348</v>
      </c>
      <c r="B709" s="12" t="s">
        <v>23</v>
      </c>
      <c r="C709" s="13">
        <v>13.8</v>
      </c>
      <c r="D709" s="14">
        <v>1.1000000000000001</v>
      </c>
      <c r="E709">
        <f t="shared" si="22"/>
        <v>1</v>
      </c>
      <c r="F709">
        <f t="shared" si="23"/>
        <v>13.8</v>
      </c>
    </row>
    <row r="710" spans="1:6" hidden="1" x14ac:dyDescent="0.35">
      <c r="A710" s="7">
        <v>49349</v>
      </c>
      <c r="B710" s="8" t="s">
        <v>13</v>
      </c>
      <c r="C710" s="9">
        <v>19.600000000000001</v>
      </c>
      <c r="D710" s="10">
        <v>2.2999999999999998</v>
      </c>
      <c r="E710">
        <f t="shared" si="22"/>
        <v>2</v>
      </c>
      <c r="F710">
        <f t="shared" si="23"/>
        <v>33.400000000000006</v>
      </c>
    </row>
    <row r="711" spans="1:6" hidden="1" x14ac:dyDescent="0.35">
      <c r="A711" s="11">
        <v>49350</v>
      </c>
      <c r="B711" s="12" t="s">
        <v>19</v>
      </c>
      <c r="C711" s="13">
        <v>22.6</v>
      </c>
      <c r="D711" s="14">
        <v>13.3</v>
      </c>
      <c r="E711">
        <f t="shared" si="22"/>
        <v>3</v>
      </c>
      <c r="F711">
        <f t="shared" si="23"/>
        <v>56.000000000000007</v>
      </c>
    </row>
    <row r="712" spans="1:6" hidden="1" x14ac:dyDescent="0.35">
      <c r="A712" s="7">
        <v>49351</v>
      </c>
      <c r="B712" s="8" t="s">
        <v>6</v>
      </c>
      <c r="C712" s="9">
        <v>18.2</v>
      </c>
      <c r="D712" s="10">
        <v>7.6</v>
      </c>
      <c r="E712">
        <f t="shared" si="22"/>
        <v>4</v>
      </c>
      <c r="F712">
        <f t="shared" si="23"/>
        <v>74.2</v>
      </c>
    </row>
    <row r="713" spans="1:6" hidden="1" x14ac:dyDescent="0.35">
      <c r="A713" s="11">
        <v>49352</v>
      </c>
      <c r="B713" s="12" t="s">
        <v>19</v>
      </c>
      <c r="C713" s="13">
        <v>27.3</v>
      </c>
      <c r="D713" s="14">
        <v>38.4</v>
      </c>
      <c r="E713">
        <f t="shared" si="22"/>
        <v>5</v>
      </c>
      <c r="F713">
        <f t="shared" si="23"/>
        <v>101.5</v>
      </c>
    </row>
    <row r="714" spans="1:6" hidden="1" x14ac:dyDescent="0.35">
      <c r="A714" s="7">
        <v>49353</v>
      </c>
      <c r="B714" s="8" t="s">
        <v>19</v>
      </c>
      <c r="C714" s="9">
        <v>14.7</v>
      </c>
      <c r="D714" s="10">
        <v>31.8</v>
      </c>
      <c r="E714">
        <f t="shared" ref="E714:E777" si="24">IF(E713=7,1,E713+1)</f>
        <v>6</v>
      </c>
      <c r="F714">
        <f t="shared" si="23"/>
        <v>116.2</v>
      </c>
    </row>
    <row r="715" spans="1:6" hidden="1" x14ac:dyDescent="0.35">
      <c r="A715" s="11">
        <v>49354</v>
      </c>
      <c r="B715" s="12" t="s">
        <v>22</v>
      </c>
      <c r="C715" s="13">
        <v>20.6</v>
      </c>
      <c r="D715" s="14">
        <v>5.9</v>
      </c>
      <c r="E715">
        <f t="shared" si="24"/>
        <v>7</v>
      </c>
      <c r="F715">
        <f t="shared" si="23"/>
        <v>136.80000000000001</v>
      </c>
    </row>
    <row r="716" spans="1:6" hidden="1" x14ac:dyDescent="0.35">
      <c r="A716" s="7">
        <v>49355</v>
      </c>
      <c r="B716" s="8" t="s">
        <v>10</v>
      </c>
      <c r="C716" s="9">
        <v>12.6</v>
      </c>
      <c r="D716" s="10">
        <v>14.4</v>
      </c>
      <c r="E716">
        <f t="shared" si="24"/>
        <v>1</v>
      </c>
      <c r="F716">
        <f t="shared" si="23"/>
        <v>12.6</v>
      </c>
    </row>
    <row r="717" spans="1:6" hidden="1" x14ac:dyDescent="0.35">
      <c r="A717" s="11">
        <v>49356</v>
      </c>
      <c r="B717" s="12" t="s">
        <v>11</v>
      </c>
      <c r="C717" s="13">
        <v>14.5</v>
      </c>
      <c r="D717" s="14">
        <v>0</v>
      </c>
      <c r="E717">
        <f t="shared" si="24"/>
        <v>2</v>
      </c>
      <c r="F717">
        <f t="shared" si="23"/>
        <v>27.1</v>
      </c>
    </row>
    <row r="718" spans="1:6" hidden="1" x14ac:dyDescent="0.35">
      <c r="A718" s="7">
        <v>49357</v>
      </c>
      <c r="B718" s="8" t="s">
        <v>10</v>
      </c>
      <c r="C718" s="9">
        <v>24.7</v>
      </c>
      <c r="D718" s="10">
        <v>36</v>
      </c>
      <c r="E718">
        <f t="shared" si="24"/>
        <v>3</v>
      </c>
      <c r="F718">
        <f t="shared" si="23"/>
        <v>51.8</v>
      </c>
    </row>
    <row r="719" spans="1:6" hidden="1" x14ac:dyDescent="0.35">
      <c r="A719" s="11">
        <v>49358</v>
      </c>
      <c r="B719" s="12" t="s">
        <v>19</v>
      </c>
      <c r="C719" s="13">
        <v>17.899999999999999</v>
      </c>
      <c r="D719" s="14">
        <v>24.9</v>
      </c>
      <c r="E719">
        <f t="shared" si="24"/>
        <v>4</v>
      </c>
      <c r="F719">
        <f t="shared" si="23"/>
        <v>69.699999999999989</v>
      </c>
    </row>
    <row r="720" spans="1:6" hidden="1" x14ac:dyDescent="0.35">
      <c r="A720" s="7">
        <v>49359</v>
      </c>
      <c r="B720" s="8" t="s">
        <v>14</v>
      </c>
      <c r="C720" s="9">
        <v>20.2</v>
      </c>
      <c r="D720" s="10">
        <v>2.9</v>
      </c>
      <c r="E720">
        <f t="shared" si="24"/>
        <v>5</v>
      </c>
      <c r="F720">
        <f t="shared" si="23"/>
        <v>89.899999999999991</v>
      </c>
    </row>
    <row r="721" spans="1:6" hidden="1" x14ac:dyDescent="0.35">
      <c r="A721" s="11">
        <v>49360</v>
      </c>
      <c r="B721" s="12" t="s">
        <v>8</v>
      </c>
      <c r="C721" s="13">
        <v>13.4</v>
      </c>
      <c r="D721" s="14">
        <v>1.7</v>
      </c>
      <c r="E721">
        <f t="shared" si="24"/>
        <v>6</v>
      </c>
      <c r="F721">
        <f t="shared" si="23"/>
        <v>103.3</v>
      </c>
    </row>
    <row r="722" spans="1:6" hidden="1" x14ac:dyDescent="0.35">
      <c r="A722" s="7">
        <v>49361</v>
      </c>
      <c r="B722" s="8" t="s">
        <v>17</v>
      </c>
      <c r="C722" s="9">
        <v>12.2</v>
      </c>
      <c r="D722" s="10">
        <v>6</v>
      </c>
      <c r="E722">
        <f t="shared" si="24"/>
        <v>7</v>
      </c>
      <c r="F722">
        <f t="shared" si="23"/>
        <v>115.5</v>
      </c>
    </row>
    <row r="723" spans="1:6" hidden="1" x14ac:dyDescent="0.35">
      <c r="A723" s="11">
        <v>49362</v>
      </c>
      <c r="B723" s="12" t="s">
        <v>30</v>
      </c>
      <c r="C723" s="13">
        <v>29.8</v>
      </c>
      <c r="D723" s="14">
        <v>0.4</v>
      </c>
      <c r="E723">
        <f t="shared" si="24"/>
        <v>1</v>
      </c>
      <c r="F723">
        <f t="shared" si="23"/>
        <v>29.8</v>
      </c>
    </row>
    <row r="724" spans="1:6" hidden="1" x14ac:dyDescent="0.35">
      <c r="A724" s="7">
        <v>49363</v>
      </c>
      <c r="B724" s="8" t="s">
        <v>19</v>
      </c>
      <c r="C724" s="9">
        <v>16.100000000000001</v>
      </c>
      <c r="D724" s="10">
        <v>28.7</v>
      </c>
      <c r="E724">
        <f t="shared" si="24"/>
        <v>2</v>
      </c>
      <c r="F724">
        <f t="shared" si="23"/>
        <v>45.900000000000006</v>
      </c>
    </row>
    <row r="725" spans="1:6" hidden="1" x14ac:dyDescent="0.35">
      <c r="A725" s="11">
        <v>49364</v>
      </c>
      <c r="B725" s="12" t="s">
        <v>10</v>
      </c>
      <c r="C725" s="13">
        <v>18.8</v>
      </c>
      <c r="D725" s="14">
        <v>0</v>
      </c>
      <c r="E725">
        <f t="shared" si="24"/>
        <v>3</v>
      </c>
      <c r="F725">
        <f t="shared" si="23"/>
        <v>64.7</v>
      </c>
    </row>
    <row r="726" spans="1:6" hidden="1" x14ac:dyDescent="0.35">
      <c r="A726" s="7">
        <v>49365</v>
      </c>
      <c r="B726" s="8" t="s">
        <v>15</v>
      </c>
      <c r="C726" s="9">
        <v>17.100000000000001</v>
      </c>
      <c r="D726" s="10">
        <v>0</v>
      </c>
      <c r="E726">
        <f t="shared" si="24"/>
        <v>4</v>
      </c>
      <c r="F726">
        <f t="shared" si="23"/>
        <v>81.800000000000011</v>
      </c>
    </row>
    <row r="727" spans="1:6" hidden="1" x14ac:dyDescent="0.35">
      <c r="A727" s="11">
        <v>49366</v>
      </c>
      <c r="B727" s="12" t="s">
        <v>9</v>
      </c>
      <c r="C727" s="13">
        <v>11.7</v>
      </c>
      <c r="D727" s="14">
        <v>7.7</v>
      </c>
      <c r="E727">
        <f t="shared" si="24"/>
        <v>5</v>
      </c>
      <c r="F727">
        <f t="shared" si="23"/>
        <v>93.500000000000014</v>
      </c>
    </row>
    <row r="728" spans="1:6" hidden="1" x14ac:dyDescent="0.35">
      <c r="A728" s="7">
        <v>49367</v>
      </c>
      <c r="B728" s="8" t="s">
        <v>18</v>
      </c>
      <c r="C728" s="9">
        <v>25.4</v>
      </c>
      <c r="D728" s="10">
        <v>14.2</v>
      </c>
      <c r="E728">
        <f t="shared" si="24"/>
        <v>6</v>
      </c>
      <c r="F728">
        <f t="shared" si="23"/>
        <v>118.9</v>
      </c>
    </row>
    <row r="729" spans="1:6" hidden="1" x14ac:dyDescent="0.35">
      <c r="A729" s="11">
        <v>49368</v>
      </c>
      <c r="B729" s="12" t="s">
        <v>22</v>
      </c>
      <c r="C729" s="13">
        <v>12.6</v>
      </c>
      <c r="D729" s="14">
        <v>9</v>
      </c>
      <c r="E729">
        <f t="shared" si="24"/>
        <v>7</v>
      </c>
      <c r="F729">
        <f t="shared" si="23"/>
        <v>131.5</v>
      </c>
    </row>
    <row r="730" spans="1:6" hidden="1" x14ac:dyDescent="0.35">
      <c r="A730" s="7">
        <v>49369</v>
      </c>
      <c r="B730" s="8" t="s">
        <v>10</v>
      </c>
      <c r="C730" s="9">
        <v>15.8</v>
      </c>
      <c r="D730" s="10">
        <v>0</v>
      </c>
      <c r="E730">
        <f t="shared" si="24"/>
        <v>1</v>
      </c>
      <c r="F730">
        <f t="shared" si="23"/>
        <v>15.8</v>
      </c>
    </row>
    <row r="731" spans="1:6" hidden="1" x14ac:dyDescent="0.35">
      <c r="A731" s="11">
        <v>49370</v>
      </c>
      <c r="B731" s="12" t="s">
        <v>18</v>
      </c>
      <c r="C731" s="13">
        <v>24.7</v>
      </c>
      <c r="D731" s="14">
        <v>13.9</v>
      </c>
      <c r="E731">
        <f t="shared" si="24"/>
        <v>2</v>
      </c>
      <c r="F731">
        <f t="shared" si="23"/>
        <v>40.5</v>
      </c>
    </row>
    <row r="732" spans="1:6" hidden="1" x14ac:dyDescent="0.35">
      <c r="A732" s="7">
        <v>49371</v>
      </c>
      <c r="B732" s="8" t="s">
        <v>27</v>
      </c>
      <c r="C732" s="9">
        <v>26.7</v>
      </c>
      <c r="D732" s="10">
        <v>0</v>
      </c>
      <c r="E732">
        <f t="shared" si="24"/>
        <v>3</v>
      </c>
      <c r="F732">
        <f t="shared" si="23"/>
        <v>67.2</v>
      </c>
    </row>
    <row r="733" spans="1:6" hidden="1" x14ac:dyDescent="0.35">
      <c r="A733" s="11">
        <v>49372</v>
      </c>
      <c r="B733" s="12" t="s">
        <v>19</v>
      </c>
      <c r="C733" s="13">
        <v>21.2</v>
      </c>
      <c r="D733" s="14">
        <v>5.3</v>
      </c>
      <c r="E733">
        <f t="shared" si="24"/>
        <v>4</v>
      </c>
      <c r="F733">
        <f t="shared" si="23"/>
        <v>88.4</v>
      </c>
    </row>
    <row r="734" spans="1:6" hidden="1" x14ac:dyDescent="0.35">
      <c r="A734" s="7">
        <v>49373</v>
      </c>
      <c r="B734" s="8" t="s">
        <v>6</v>
      </c>
      <c r="C734" s="9">
        <v>10.4</v>
      </c>
      <c r="D734" s="10">
        <v>8.6</v>
      </c>
      <c r="E734">
        <f t="shared" si="24"/>
        <v>5</v>
      </c>
      <c r="F734">
        <f t="shared" si="23"/>
        <v>98.800000000000011</v>
      </c>
    </row>
    <row r="735" spans="1:6" hidden="1" x14ac:dyDescent="0.35">
      <c r="A735" s="11">
        <v>49374</v>
      </c>
      <c r="B735" s="12" t="s">
        <v>26</v>
      </c>
      <c r="C735" s="13">
        <v>25.1</v>
      </c>
      <c r="D735" s="14">
        <v>3.3</v>
      </c>
      <c r="E735">
        <f t="shared" si="24"/>
        <v>6</v>
      </c>
      <c r="F735">
        <f t="shared" si="23"/>
        <v>123.9</v>
      </c>
    </row>
    <row r="736" spans="1:6" hidden="1" x14ac:dyDescent="0.35">
      <c r="A736" s="7">
        <v>49375</v>
      </c>
      <c r="B736" s="8" t="s">
        <v>19</v>
      </c>
      <c r="C736" s="9">
        <v>27.8</v>
      </c>
      <c r="D736" s="10">
        <v>20.9</v>
      </c>
      <c r="E736">
        <f t="shared" si="24"/>
        <v>7</v>
      </c>
      <c r="F736">
        <f t="shared" si="23"/>
        <v>151.70000000000002</v>
      </c>
    </row>
    <row r="737" spans="1:6" hidden="1" x14ac:dyDescent="0.35">
      <c r="A737" s="11">
        <v>49376</v>
      </c>
      <c r="B737" s="12" t="s">
        <v>11</v>
      </c>
      <c r="C737" s="13">
        <v>26.1</v>
      </c>
      <c r="D737" s="14">
        <v>0</v>
      </c>
      <c r="E737">
        <f t="shared" si="24"/>
        <v>1</v>
      </c>
      <c r="F737">
        <f t="shared" si="23"/>
        <v>26.1</v>
      </c>
    </row>
    <row r="738" spans="1:6" hidden="1" x14ac:dyDescent="0.35">
      <c r="A738" s="7">
        <v>49377</v>
      </c>
      <c r="B738" s="8" t="s">
        <v>13</v>
      </c>
      <c r="C738" s="9">
        <v>18.3</v>
      </c>
      <c r="D738" s="10">
        <v>7.8</v>
      </c>
      <c r="E738">
        <f t="shared" si="24"/>
        <v>2</v>
      </c>
      <c r="F738">
        <f t="shared" si="23"/>
        <v>44.400000000000006</v>
      </c>
    </row>
    <row r="739" spans="1:6" hidden="1" x14ac:dyDescent="0.35">
      <c r="A739" s="11">
        <v>49378</v>
      </c>
      <c r="B739" s="12" t="s">
        <v>11</v>
      </c>
      <c r="C739" s="13">
        <v>16.3</v>
      </c>
      <c r="D739" s="14">
        <v>0</v>
      </c>
      <c r="E739">
        <f t="shared" si="24"/>
        <v>3</v>
      </c>
      <c r="F739">
        <f t="shared" si="23"/>
        <v>60.7</v>
      </c>
    </row>
    <row r="740" spans="1:6" hidden="1" x14ac:dyDescent="0.35">
      <c r="A740" s="7">
        <v>49379</v>
      </c>
      <c r="B740" s="8" t="s">
        <v>11</v>
      </c>
      <c r="C740" s="9">
        <v>17.2</v>
      </c>
      <c r="D740" s="10">
        <v>12.5</v>
      </c>
      <c r="E740">
        <f t="shared" si="24"/>
        <v>4</v>
      </c>
      <c r="F740">
        <f t="shared" si="23"/>
        <v>77.900000000000006</v>
      </c>
    </row>
    <row r="741" spans="1:6" hidden="1" x14ac:dyDescent="0.35">
      <c r="A741" s="11">
        <v>49380</v>
      </c>
      <c r="B741" s="12" t="s">
        <v>24</v>
      </c>
      <c r="C741" s="13">
        <v>22.1</v>
      </c>
      <c r="D741" s="14">
        <v>3.7</v>
      </c>
      <c r="E741">
        <f t="shared" si="24"/>
        <v>5</v>
      </c>
      <c r="F741">
        <f t="shared" si="23"/>
        <v>100</v>
      </c>
    </row>
    <row r="742" spans="1:6" hidden="1" x14ac:dyDescent="0.35">
      <c r="A742" s="7">
        <v>49381</v>
      </c>
      <c r="B742" s="8" t="s">
        <v>23</v>
      </c>
      <c r="C742" s="9">
        <v>18.8</v>
      </c>
      <c r="D742" s="10">
        <v>0</v>
      </c>
      <c r="E742">
        <f t="shared" si="24"/>
        <v>6</v>
      </c>
      <c r="F742">
        <f t="shared" si="23"/>
        <v>118.8</v>
      </c>
    </row>
    <row r="743" spans="1:6" hidden="1" x14ac:dyDescent="0.35">
      <c r="A743" s="11">
        <v>49382</v>
      </c>
      <c r="B743" s="12" t="s">
        <v>18</v>
      </c>
      <c r="C743" s="13">
        <v>12.3</v>
      </c>
      <c r="D743" s="14">
        <v>7.1</v>
      </c>
      <c r="E743">
        <f t="shared" si="24"/>
        <v>7</v>
      </c>
      <c r="F743">
        <f t="shared" si="23"/>
        <v>131.1</v>
      </c>
    </row>
    <row r="744" spans="1:6" hidden="1" x14ac:dyDescent="0.35">
      <c r="A744" s="7">
        <v>49383</v>
      </c>
      <c r="B744" s="8" t="s">
        <v>10</v>
      </c>
      <c r="C744" s="9">
        <v>27.5</v>
      </c>
      <c r="D744" s="10">
        <v>34.299999999999997</v>
      </c>
      <c r="E744">
        <f t="shared" si="24"/>
        <v>1</v>
      </c>
      <c r="F744">
        <f t="shared" si="23"/>
        <v>27.5</v>
      </c>
    </row>
    <row r="745" spans="1:6" hidden="1" x14ac:dyDescent="0.35">
      <c r="A745" s="11">
        <v>49384</v>
      </c>
      <c r="B745" s="12" t="s">
        <v>18</v>
      </c>
      <c r="C745" s="13">
        <v>23.1</v>
      </c>
      <c r="D745" s="14">
        <v>0</v>
      </c>
      <c r="E745">
        <f t="shared" si="24"/>
        <v>2</v>
      </c>
      <c r="F745">
        <f t="shared" si="23"/>
        <v>50.6</v>
      </c>
    </row>
    <row r="746" spans="1:6" hidden="1" x14ac:dyDescent="0.35">
      <c r="A746" s="7">
        <v>49385</v>
      </c>
      <c r="B746" s="8" t="s">
        <v>11</v>
      </c>
      <c r="C746" s="9">
        <v>21.3</v>
      </c>
      <c r="D746" s="10">
        <v>0</v>
      </c>
      <c r="E746">
        <f t="shared" si="24"/>
        <v>3</v>
      </c>
      <c r="F746">
        <f t="shared" si="23"/>
        <v>71.900000000000006</v>
      </c>
    </row>
    <row r="747" spans="1:6" hidden="1" x14ac:dyDescent="0.35">
      <c r="A747" s="11">
        <v>49386</v>
      </c>
      <c r="B747" s="12" t="s">
        <v>26</v>
      </c>
      <c r="C747" s="13">
        <v>13.8</v>
      </c>
      <c r="D747" s="14">
        <v>5.9</v>
      </c>
      <c r="E747">
        <f t="shared" si="24"/>
        <v>4</v>
      </c>
      <c r="F747">
        <f t="shared" si="23"/>
        <v>85.7</v>
      </c>
    </row>
    <row r="748" spans="1:6" hidden="1" x14ac:dyDescent="0.35">
      <c r="A748" s="7">
        <v>49387</v>
      </c>
      <c r="B748" s="8" t="s">
        <v>13</v>
      </c>
      <c r="C748" s="9">
        <v>20</v>
      </c>
      <c r="D748" s="10">
        <v>16</v>
      </c>
      <c r="E748">
        <f t="shared" si="24"/>
        <v>5</v>
      </c>
      <c r="F748">
        <f t="shared" si="23"/>
        <v>105.7</v>
      </c>
    </row>
    <row r="749" spans="1:6" hidden="1" x14ac:dyDescent="0.35">
      <c r="A749" s="11">
        <v>49388</v>
      </c>
      <c r="B749" s="12" t="s">
        <v>12</v>
      </c>
      <c r="C749" s="13">
        <v>23.9</v>
      </c>
      <c r="D749" s="14">
        <v>0</v>
      </c>
      <c r="E749">
        <f t="shared" si="24"/>
        <v>6</v>
      </c>
      <c r="F749">
        <f t="shared" si="23"/>
        <v>129.6</v>
      </c>
    </row>
    <row r="750" spans="1:6" hidden="1" x14ac:dyDescent="0.35">
      <c r="A750" s="7">
        <v>49389</v>
      </c>
      <c r="B750" s="8" t="s">
        <v>29</v>
      </c>
      <c r="C750" s="9">
        <v>15.3</v>
      </c>
      <c r="D750" s="10">
        <v>0.1</v>
      </c>
      <c r="E750">
        <f t="shared" si="24"/>
        <v>7</v>
      </c>
      <c r="F750">
        <f t="shared" si="23"/>
        <v>144.9</v>
      </c>
    </row>
    <row r="751" spans="1:6" hidden="1" x14ac:dyDescent="0.35">
      <c r="A751" s="11">
        <v>49390</v>
      </c>
      <c r="B751" s="12" t="s">
        <v>14</v>
      </c>
      <c r="C751" s="13">
        <v>16.600000000000001</v>
      </c>
      <c r="D751" s="14">
        <v>0</v>
      </c>
      <c r="E751">
        <f t="shared" si="24"/>
        <v>1</v>
      </c>
      <c r="F751">
        <f t="shared" si="23"/>
        <v>16.600000000000001</v>
      </c>
    </row>
    <row r="752" spans="1:6" hidden="1" x14ac:dyDescent="0.35">
      <c r="A752" s="7">
        <v>49391</v>
      </c>
      <c r="B752" s="8" t="s">
        <v>27</v>
      </c>
      <c r="C752" s="9">
        <v>20.8</v>
      </c>
      <c r="D752" s="10">
        <v>2</v>
      </c>
      <c r="E752">
        <f t="shared" si="24"/>
        <v>2</v>
      </c>
      <c r="F752">
        <f t="shared" si="23"/>
        <v>37.400000000000006</v>
      </c>
    </row>
    <row r="753" spans="1:6" hidden="1" x14ac:dyDescent="0.35">
      <c r="A753" s="11">
        <v>49392</v>
      </c>
      <c r="B753" s="12" t="s">
        <v>11</v>
      </c>
      <c r="C753" s="13">
        <v>10.8</v>
      </c>
      <c r="D753" s="14">
        <v>12.3</v>
      </c>
      <c r="E753">
        <f t="shared" si="24"/>
        <v>3</v>
      </c>
      <c r="F753">
        <f t="shared" si="23"/>
        <v>48.2</v>
      </c>
    </row>
    <row r="754" spans="1:6" hidden="1" x14ac:dyDescent="0.35">
      <c r="A754" s="7">
        <v>49393</v>
      </c>
      <c r="B754" s="8" t="s">
        <v>11</v>
      </c>
      <c r="C754" s="9">
        <v>12.5</v>
      </c>
      <c r="D754" s="10">
        <v>18.399999999999999</v>
      </c>
      <c r="E754">
        <f t="shared" si="24"/>
        <v>4</v>
      </c>
      <c r="F754">
        <f t="shared" si="23"/>
        <v>60.7</v>
      </c>
    </row>
    <row r="755" spans="1:6" hidden="1" x14ac:dyDescent="0.35">
      <c r="A755" s="11">
        <v>49394</v>
      </c>
      <c r="B755" s="12" t="s">
        <v>9</v>
      </c>
      <c r="C755" s="13">
        <v>24</v>
      </c>
      <c r="D755" s="14">
        <v>4.9000000000000004</v>
      </c>
      <c r="E755">
        <f t="shared" si="24"/>
        <v>5</v>
      </c>
      <c r="F755">
        <f t="shared" si="23"/>
        <v>84.7</v>
      </c>
    </row>
    <row r="756" spans="1:6" hidden="1" x14ac:dyDescent="0.35">
      <c r="A756" s="7">
        <v>49395</v>
      </c>
      <c r="B756" s="8" t="s">
        <v>10</v>
      </c>
      <c r="C756" s="9">
        <v>21.4</v>
      </c>
      <c r="D756" s="10">
        <v>11.1</v>
      </c>
      <c r="E756">
        <f t="shared" si="24"/>
        <v>6</v>
      </c>
      <c r="F756">
        <f t="shared" si="23"/>
        <v>106.1</v>
      </c>
    </row>
    <row r="757" spans="1:6" hidden="1" x14ac:dyDescent="0.35">
      <c r="A757" s="11">
        <v>49396</v>
      </c>
      <c r="B757" s="12" t="s">
        <v>22</v>
      </c>
      <c r="C757" s="13">
        <v>18.3</v>
      </c>
      <c r="D757" s="14">
        <v>0</v>
      </c>
      <c r="E757">
        <f t="shared" si="24"/>
        <v>7</v>
      </c>
      <c r="F757">
        <f t="shared" si="23"/>
        <v>124.39999999999999</v>
      </c>
    </row>
    <row r="758" spans="1:6" hidden="1" x14ac:dyDescent="0.35">
      <c r="A758" s="7">
        <v>49397</v>
      </c>
      <c r="B758" s="8" t="s">
        <v>15</v>
      </c>
      <c r="C758" s="9">
        <v>10.5</v>
      </c>
      <c r="D758" s="10">
        <v>3.9</v>
      </c>
      <c r="E758">
        <f t="shared" si="24"/>
        <v>1</v>
      </c>
      <c r="F758">
        <f t="shared" si="23"/>
        <v>10.5</v>
      </c>
    </row>
    <row r="759" spans="1:6" hidden="1" x14ac:dyDescent="0.35">
      <c r="A759" s="11">
        <v>49398</v>
      </c>
      <c r="B759" s="12" t="s">
        <v>10</v>
      </c>
      <c r="C759" s="13">
        <v>11.7</v>
      </c>
      <c r="D759" s="14">
        <v>0</v>
      </c>
      <c r="E759">
        <f t="shared" si="24"/>
        <v>2</v>
      </c>
      <c r="F759">
        <f t="shared" si="23"/>
        <v>22.2</v>
      </c>
    </row>
    <row r="760" spans="1:6" hidden="1" x14ac:dyDescent="0.35">
      <c r="A760" s="7">
        <v>49399</v>
      </c>
      <c r="B760" s="8" t="s">
        <v>7</v>
      </c>
      <c r="C760" s="9">
        <v>26.8</v>
      </c>
      <c r="D760" s="10">
        <v>0</v>
      </c>
      <c r="E760">
        <f t="shared" si="24"/>
        <v>3</v>
      </c>
      <c r="F760">
        <f t="shared" si="23"/>
        <v>49</v>
      </c>
    </row>
    <row r="761" spans="1:6" hidden="1" x14ac:dyDescent="0.35">
      <c r="A761" s="11">
        <v>49400</v>
      </c>
      <c r="B761" s="12" t="s">
        <v>10</v>
      </c>
      <c r="C761" s="13">
        <v>22.1</v>
      </c>
      <c r="D761" s="14">
        <v>33.799999999999997</v>
      </c>
      <c r="E761">
        <f t="shared" si="24"/>
        <v>4</v>
      </c>
      <c r="F761">
        <f t="shared" si="23"/>
        <v>71.099999999999994</v>
      </c>
    </row>
    <row r="762" spans="1:6" hidden="1" x14ac:dyDescent="0.35">
      <c r="A762" s="7">
        <v>49401</v>
      </c>
      <c r="B762" s="8" t="s">
        <v>32</v>
      </c>
      <c r="C762" s="9">
        <v>17.100000000000001</v>
      </c>
      <c r="D762" s="10">
        <v>0</v>
      </c>
      <c r="E762">
        <f t="shared" si="24"/>
        <v>5</v>
      </c>
      <c r="F762">
        <f t="shared" si="23"/>
        <v>88.199999999999989</v>
      </c>
    </row>
    <row r="763" spans="1:6" hidden="1" x14ac:dyDescent="0.35">
      <c r="A763" s="11">
        <v>49402</v>
      </c>
      <c r="B763" s="12" t="s">
        <v>13</v>
      </c>
      <c r="C763" s="13">
        <v>12.1</v>
      </c>
      <c r="D763" s="14">
        <v>14.4</v>
      </c>
      <c r="E763">
        <f t="shared" si="24"/>
        <v>6</v>
      </c>
      <c r="F763">
        <f t="shared" si="23"/>
        <v>100.29999999999998</v>
      </c>
    </row>
    <row r="764" spans="1:6" hidden="1" x14ac:dyDescent="0.35">
      <c r="A764" s="7">
        <v>49403</v>
      </c>
      <c r="B764" s="8" t="s">
        <v>19</v>
      </c>
      <c r="C764" s="9">
        <v>28.6</v>
      </c>
      <c r="D764" s="10">
        <v>23.2</v>
      </c>
      <c r="E764">
        <f t="shared" si="24"/>
        <v>7</v>
      </c>
      <c r="F764">
        <f t="shared" si="23"/>
        <v>128.89999999999998</v>
      </c>
    </row>
    <row r="765" spans="1:6" hidden="1" x14ac:dyDescent="0.35">
      <c r="A765" s="11">
        <v>49404</v>
      </c>
      <c r="B765" s="12" t="s">
        <v>6</v>
      </c>
      <c r="C765" s="13">
        <v>21.2</v>
      </c>
      <c r="D765" s="14">
        <v>1.5</v>
      </c>
      <c r="E765">
        <f t="shared" si="24"/>
        <v>1</v>
      </c>
      <c r="F765">
        <f t="shared" si="23"/>
        <v>21.2</v>
      </c>
    </row>
    <row r="766" spans="1:6" hidden="1" x14ac:dyDescent="0.35">
      <c r="A766" s="7">
        <v>49405</v>
      </c>
      <c r="B766" s="8" t="s">
        <v>9</v>
      </c>
      <c r="C766" s="9">
        <v>17.2</v>
      </c>
      <c r="D766" s="10">
        <v>2.4</v>
      </c>
      <c r="E766">
        <f t="shared" si="24"/>
        <v>2</v>
      </c>
      <c r="F766">
        <f t="shared" si="23"/>
        <v>38.4</v>
      </c>
    </row>
    <row r="767" spans="1:6" hidden="1" x14ac:dyDescent="0.35">
      <c r="A767" s="11">
        <v>49406</v>
      </c>
      <c r="B767" s="12" t="s">
        <v>10</v>
      </c>
      <c r="C767" s="13">
        <v>22.3</v>
      </c>
      <c r="D767" s="14">
        <v>0</v>
      </c>
      <c r="E767">
        <f t="shared" si="24"/>
        <v>3</v>
      </c>
      <c r="F767">
        <f t="shared" si="23"/>
        <v>60.7</v>
      </c>
    </row>
    <row r="768" spans="1:6" hidden="1" x14ac:dyDescent="0.35">
      <c r="A768" s="7">
        <v>49407</v>
      </c>
      <c r="B768" s="8" t="s">
        <v>15</v>
      </c>
      <c r="C768" s="9">
        <v>13.2</v>
      </c>
      <c r="D768" s="10">
        <v>3.6</v>
      </c>
      <c r="E768">
        <f t="shared" si="24"/>
        <v>4</v>
      </c>
      <c r="F768">
        <f t="shared" si="23"/>
        <v>73.900000000000006</v>
      </c>
    </row>
    <row r="769" spans="1:6" hidden="1" x14ac:dyDescent="0.35">
      <c r="A769" s="11">
        <v>49408</v>
      </c>
      <c r="B769" s="12" t="s">
        <v>18</v>
      </c>
      <c r="C769" s="13">
        <v>13.6</v>
      </c>
      <c r="D769" s="14">
        <v>13.4</v>
      </c>
      <c r="E769">
        <f t="shared" si="24"/>
        <v>5</v>
      </c>
      <c r="F769">
        <f t="shared" si="23"/>
        <v>87.5</v>
      </c>
    </row>
    <row r="770" spans="1:6" hidden="1" x14ac:dyDescent="0.35">
      <c r="A770" s="7">
        <v>49409</v>
      </c>
      <c r="B770" s="8" t="s">
        <v>12</v>
      </c>
      <c r="C770" s="9">
        <v>15.7</v>
      </c>
      <c r="D770" s="10">
        <v>0</v>
      </c>
      <c r="E770">
        <f t="shared" si="24"/>
        <v>6</v>
      </c>
      <c r="F770">
        <f t="shared" si="23"/>
        <v>103.2</v>
      </c>
    </row>
    <row r="771" spans="1:6" hidden="1" x14ac:dyDescent="0.35">
      <c r="A771" s="11">
        <v>49410</v>
      </c>
      <c r="B771" s="12" t="s">
        <v>9</v>
      </c>
      <c r="C771" s="13">
        <v>24.8</v>
      </c>
      <c r="D771" s="14">
        <v>0</v>
      </c>
      <c r="E771">
        <f t="shared" si="24"/>
        <v>7</v>
      </c>
      <c r="F771">
        <f t="shared" si="23"/>
        <v>128</v>
      </c>
    </row>
    <row r="772" spans="1:6" hidden="1" x14ac:dyDescent="0.35">
      <c r="A772" s="7">
        <v>49411</v>
      </c>
      <c r="B772" s="8" t="s">
        <v>10</v>
      </c>
      <c r="C772" s="9">
        <v>25.1</v>
      </c>
      <c r="D772" s="10">
        <v>5.0999999999999996</v>
      </c>
      <c r="E772">
        <f t="shared" si="24"/>
        <v>1</v>
      </c>
      <c r="F772">
        <f t="shared" ref="F772:F835" si="25">IF(E771=7,C772,C772+F771)</f>
        <v>25.1</v>
      </c>
    </row>
    <row r="773" spans="1:6" hidden="1" x14ac:dyDescent="0.35">
      <c r="A773" s="11">
        <v>49412</v>
      </c>
      <c r="B773" s="12" t="s">
        <v>19</v>
      </c>
      <c r="C773" s="13">
        <v>14.2</v>
      </c>
      <c r="D773" s="14">
        <v>23.5</v>
      </c>
      <c r="E773">
        <f t="shared" si="24"/>
        <v>2</v>
      </c>
      <c r="F773">
        <f t="shared" si="25"/>
        <v>39.299999999999997</v>
      </c>
    </row>
    <row r="774" spans="1:6" hidden="1" x14ac:dyDescent="0.35">
      <c r="A774" s="7">
        <v>49413</v>
      </c>
      <c r="B774" s="8" t="s">
        <v>14</v>
      </c>
      <c r="C774" s="9">
        <v>21.1</v>
      </c>
      <c r="D774" s="10">
        <v>1.4</v>
      </c>
      <c r="E774">
        <f t="shared" si="24"/>
        <v>3</v>
      </c>
      <c r="F774">
        <f t="shared" si="25"/>
        <v>60.4</v>
      </c>
    </row>
    <row r="775" spans="1:6" hidden="1" x14ac:dyDescent="0.35">
      <c r="A775" s="11">
        <v>49414</v>
      </c>
      <c r="B775" s="12" t="s">
        <v>10</v>
      </c>
      <c r="C775" s="13">
        <v>25.4</v>
      </c>
      <c r="D775" s="14">
        <v>28</v>
      </c>
      <c r="E775">
        <f t="shared" si="24"/>
        <v>4</v>
      </c>
      <c r="F775">
        <f t="shared" si="25"/>
        <v>85.8</v>
      </c>
    </row>
    <row r="776" spans="1:6" hidden="1" x14ac:dyDescent="0.35">
      <c r="A776" s="7">
        <v>49415</v>
      </c>
      <c r="B776" s="8" t="s">
        <v>10</v>
      </c>
      <c r="C776" s="9">
        <v>24.7</v>
      </c>
      <c r="D776" s="10">
        <v>5.7</v>
      </c>
      <c r="E776">
        <f t="shared" si="24"/>
        <v>5</v>
      </c>
      <c r="F776">
        <f t="shared" si="25"/>
        <v>110.5</v>
      </c>
    </row>
    <row r="777" spans="1:6" hidden="1" x14ac:dyDescent="0.35">
      <c r="A777" s="11">
        <v>49416</v>
      </c>
      <c r="B777" s="12" t="s">
        <v>13</v>
      </c>
      <c r="C777" s="13">
        <v>19.8</v>
      </c>
      <c r="D777" s="14">
        <v>0</v>
      </c>
      <c r="E777">
        <f t="shared" si="24"/>
        <v>6</v>
      </c>
      <c r="F777">
        <f t="shared" si="25"/>
        <v>130.30000000000001</v>
      </c>
    </row>
    <row r="778" spans="1:6" hidden="1" x14ac:dyDescent="0.35">
      <c r="A778" s="7">
        <v>49417</v>
      </c>
      <c r="B778" s="8" t="s">
        <v>27</v>
      </c>
      <c r="C778" s="9">
        <v>28.4</v>
      </c>
      <c r="D778" s="10">
        <v>2.9</v>
      </c>
      <c r="E778">
        <f t="shared" ref="E778:E841" si="26">IF(E777=7,1,E777+1)</f>
        <v>7</v>
      </c>
      <c r="F778">
        <f t="shared" si="25"/>
        <v>158.70000000000002</v>
      </c>
    </row>
    <row r="779" spans="1:6" hidden="1" x14ac:dyDescent="0.35">
      <c r="A779" s="11">
        <v>49418</v>
      </c>
      <c r="B779" s="12" t="s">
        <v>11</v>
      </c>
      <c r="C779" s="13">
        <v>26.5</v>
      </c>
      <c r="D779" s="14">
        <v>0</v>
      </c>
      <c r="E779">
        <f t="shared" si="26"/>
        <v>1</v>
      </c>
      <c r="F779">
        <f t="shared" si="25"/>
        <v>26.5</v>
      </c>
    </row>
    <row r="780" spans="1:6" hidden="1" x14ac:dyDescent="0.35">
      <c r="A780" s="7">
        <v>49419</v>
      </c>
      <c r="B780" s="8" t="s">
        <v>10</v>
      </c>
      <c r="C780" s="9">
        <v>14.1</v>
      </c>
      <c r="D780" s="10">
        <v>13.1</v>
      </c>
      <c r="E780">
        <f t="shared" si="26"/>
        <v>2</v>
      </c>
      <c r="F780">
        <f t="shared" si="25"/>
        <v>40.6</v>
      </c>
    </row>
    <row r="781" spans="1:6" hidden="1" x14ac:dyDescent="0.35">
      <c r="A781" s="11">
        <v>49420</v>
      </c>
      <c r="B781" s="12" t="s">
        <v>28</v>
      </c>
      <c r="C781" s="13">
        <v>15.9</v>
      </c>
      <c r="D781" s="14">
        <v>0.5</v>
      </c>
      <c r="E781">
        <f t="shared" si="26"/>
        <v>3</v>
      </c>
      <c r="F781">
        <f t="shared" si="25"/>
        <v>56.5</v>
      </c>
    </row>
    <row r="782" spans="1:6" hidden="1" x14ac:dyDescent="0.35">
      <c r="A782" s="7">
        <v>49421</v>
      </c>
      <c r="B782" s="8" t="s">
        <v>19</v>
      </c>
      <c r="C782" s="9">
        <v>28.2</v>
      </c>
      <c r="D782" s="10">
        <v>26.9</v>
      </c>
      <c r="E782">
        <f t="shared" si="26"/>
        <v>4</v>
      </c>
      <c r="F782">
        <f t="shared" si="25"/>
        <v>84.7</v>
      </c>
    </row>
    <row r="783" spans="1:6" hidden="1" x14ac:dyDescent="0.35">
      <c r="A783" s="11">
        <v>49422</v>
      </c>
      <c r="B783" s="12" t="s">
        <v>28</v>
      </c>
      <c r="C783" s="13">
        <v>17.100000000000001</v>
      </c>
      <c r="D783" s="14">
        <v>0.5</v>
      </c>
      <c r="E783">
        <f t="shared" si="26"/>
        <v>5</v>
      </c>
      <c r="F783">
        <f t="shared" si="25"/>
        <v>101.80000000000001</v>
      </c>
    </row>
    <row r="784" spans="1:6" hidden="1" x14ac:dyDescent="0.35">
      <c r="A784" s="7">
        <v>49423</v>
      </c>
      <c r="B784" s="8" t="s">
        <v>19</v>
      </c>
      <c r="C784" s="9">
        <v>27</v>
      </c>
      <c r="D784" s="10">
        <v>0</v>
      </c>
      <c r="E784">
        <f t="shared" si="26"/>
        <v>6</v>
      </c>
      <c r="F784">
        <f t="shared" si="25"/>
        <v>128.80000000000001</v>
      </c>
    </row>
    <row r="785" spans="1:6" hidden="1" x14ac:dyDescent="0.35">
      <c r="A785" s="11">
        <v>49424</v>
      </c>
      <c r="B785" s="12" t="s">
        <v>18</v>
      </c>
      <c r="C785" s="13">
        <v>24.1</v>
      </c>
      <c r="D785" s="14">
        <v>0</v>
      </c>
      <c r="E785">
        <f t="shared" si="26"/>
        <v>7</v>
      </c>
      <c r="F785">
        <f t="shared" si="25"/>
        <v>152.9</v>
      </c>
    </row>
    <row r="786" spans="1:6" hidden="1" x14ac:dyDescent="0.35">
      <c r="A786" s="7">
        <v>49425</v>
      </c>
      <c r="B786" s="8" t="s">
        <v>12</v>
      </c>
      <c r="C786" s="9">
        <v>10.4</v>
      </c>
      <c r="D786" s="10">
        <v>7.2</v>
      </c>
      <c r="E786">
        <f t="shared" si="26"/>
        <v>1</v>
      </c>
      <c r="F786">
        <f t="shared" si="25"/>
        <v>10.4</v>
      </c>
    </row>
    <row r="787" spans="1:6" hidden="1" x14ac:dyDescent="0.35">
      <c r="A787" s="11">
        <v>49426</v>
      </c>
      <c r="B787" s="12" t="s">
        <v>13</v>
      </c>
      <c r="C787" s="13">
        <v>27.2</v>
      </c>
      <c r="D787" s="14">
        <v>15.1</v>
      </c>
      <c r="E787">
        <f t="shared" si="26"/>
        <v>2</v>
      </c>
      <c r="F787">
        <f t="shared" si="25"/>
        <v>37.6</v>
      </c>
    </row>
    <row r="788" spans="1:6" hidden="1" x14ac:dyDescent="0.35">
      <c r="A788" s="7">
        <v>49427</v>
      </c>
      <c r="B788" s="8" t="s">
        <v>22</v>
      </c>
      <c r="C788" s="9">
        <v>22.1</v>
      </c>
      <c r="D788" s="10">
        <v>0</v>
      </c>
      <c r="E788">
        <f t="shared" si="26"/>
        <v>3</v>
      </c>
      <c r="F788">
        <f t="shared" si="25"/>
        <v>59.7</v>
      </c>
    </row>
    <row r="789" spans="1:6" hidden="1" x14ac:dyDescent="0.35">
      <c r="A789" s="11">
        <v>49428</v>
      </c>
      <c r="B789" s="12" t="s">
        <v>14</v>
      </c>
      <c r="C789" s="13">
        <v>13.3</v>
      </c>
      <c r="D789" s="14">
        <v>8.5</v>
      </c>
      <c r="E789">
        <f t="shared" si="26"/>
        <v>4</v>
      </c>
      <c r="F789">
        <f t="shared" si="25"/>
        <v>73</v>
      </c>
    </row>
    <row r="790" spans="1:6" hidden="1" x14ac:dyDescent="0.35">
      <c r="A790" s="7">
        <v>49429</v>
      </c>
      <c r="B790" s="8" t="s">
        <v>12</v>
      </c>
      <c r="C790" s="9">
        <v>26.4</v>
      </c>
      <c r="D790" s="10">
        <v>0</v>
      </c>
      <c r="E790">
        <f t="shared" si="26"/>
        <v>5</v>
      </c>
      <c r="F790">
        <f t="shared" si="25"/>
        <v>99.4</v>
      </c>
    </row>
    <row r="791" spans="1:6" hidden="1" x14ac:dyDescent="0.35">
      <c r="A791" s="11">
        <v>49430</v>
      </c>
      <c r="B791" s="12" t="s">
        <v>25</v>
      </c>
      <c r="C791" s="13">
        <v>25.8</v>
      </c>
      <c r="D791" s="14">
        <v>2.9</v>
      </c>
      <c r="E791">
        <f t="shared" si="26"/>
        <v>6</v>
      </c>
      <c r="F791">
        <f t="shared" si="25"/>
        <v>125.2</v>
      </c>
    </row>
    <row r="792" spans="1:6" hidden="1" x14ac:dyDescent="0.35">
      <c r="A792" s="7">
        <v>49431</v>
      </c>
      <c r="B792" s="8" t="s">
        <v>15</v>
      </c>
      <c r="C792" s="9">
        <v>23</v>
      </c>
      <c r="D792" s="10">
        <v>3.8</v>
      </c>
      <c r="E792">
        <f t="shared" si="26"/>
        <v>7</v>
      </c>
      <c r="F792">
        <f t="shared" si="25"/>
        <v>148.19999999999999</v>
      </c>
    </row>
    <row r="793" spans="1:6" hidden="1" x14ac:dyDescent="0.35">
      <c r="A793" s="11">
        <v>49432</v>
      </c>
      <c r="B793" s="12" t="s">
        <v>13</v>
      </c>
      <c r="C793" s="13">
        <v>22.7</v>
      </c>
      <c r="D793" s="14">
        <v>0</v>
      </c>
      <c r="E793">
        <f t="shared" si="26"/>
        <v>1</v>
      </c>
      <c r="F793">
        <f t="shared" si="25"/>
        <v>22.7</v>
      </c>
    </row>
    <row r="794" spans="1:6" hidden="1" x14ac:dyDescent="0.35">
      <c r="A794" s="7">
        <v>49433</v>
      </c>
      <c r="B794" s="8" t="s">
        <v>26</v>
      </c>
      <c r="C794" s="9">
        <v>26.2</v>
      </c>
      <c r="D794" s="10">
        <v>5.0999999999999996</v>
      </c>
      <c r="E794">
        <f t="shared" si="26"/>
        <v>2</v>
      </c>
      <c r="F794">
        <f t="shared" si="25"/>
        <v>48.9</v>
      </c>
    </row>
    <row r="795" spans="1:6" hidden="1" x14ac:dyDescent="0.35">
      <c r="A795" s="11">
        <v>49434</v>
      </c>
      <c r="B795" s="12" t="s">
        <v>14</v>
      </c>
      <c r="C795" s="13">
        <v>16.600000000000001</v>
      </c>
      <c r="D795" s="14">
        <v>0</v>
      </c>
      <c r="E795">
        <f t="shared" si="26"/>
        <v>3</v>
      </c>
      <c r="F795">
        <f t="shared" si="25"/>
        <v>65.5</v>
      </c>
    </row>
    <row r="796" spans="1:6" hidden="1" x14ac:dyDescent="0.35">
      <c r="A796" s="7">
        <v>49435</v>
      </c>
      <c r="B796" s="8" t="s">
        <v>23</v>
      </c>
      <c r="C796" s="9">
        <v>23.9</v>
      </c>
      <c r="D796" s="10">
        <v>0</v>
      </c>
      <c r="E796">
        <f t="shared" si="26"/>
        <v>4</v>
      </c>
      <c r="F796">
        <f t="shared" si="25"/>
        <v>89.4</v>
      </c>
    </row>
    <row r="797" spans="1:6" hidden="1" x14ac:dyDescent="0.35">
      <c r="A797" s="11">
        <v>49436</v>
      </c>
      <c r="B797" s="12" t="s">
        <v>7</v>
      </c>
      <c r="C797" s="13">
        <v>10.6</v>
      </c>
      <c r="D797" s="14">
        <v>21.3</v>
      </c>
      <c r="E797">
        <f t="shared" si="26"/>
        <v>5</v>
      </c>
      <c r="F797">
        <f t="shared" si="25"/>
        <v>100</v>
      </c>
    </row>
    <row r="798" spans="1:6" hidden="1" x14ac:dyDescent="0.35">
      <c r="A798" s="7">
        <v>49437</v>
      </c>
      <c r="B798" s="8" t="s">
        <v>10</v>
      </c>
      <c r="C798" s="9">
        <v>22.8</v>
      </c>
      <c r="D798" s="10">
        <v>24.6</v>
      </c>
      <c r="E798">
        <f t="shared" si="26"/>
        <v>6</v>
      </c>
      <c r="F798">
        <f t="shared" si="25"/>
        <v>122.8</v>
      </c>
    </row>
    <row r="799" spans="1:6" hidden="1" x14ac:dyDescent="0.35">
      <c r="A799" s="11">
        <v>49438</v>
      </c>
      <c r="B799" s="12" t="s">
        <v>5</v>
      </c>
      <c r="C799" s="13">
        <v>26.8</v>
      </c>
      <c r="D799" s="14">
        <v>7.5</v>
      </c>
      <c r="E799">
        <f t="shared" si="26"/>
        <v>7</v>
      </c>
      <c r="F799">
        <f t="shared" si="25"/>
        <v>149.6</v>
      </c>
    </row>
    <row r="800" spans="1:6" hidden="1" x14ac:dyDescent="0.35">
      <c r="A800" s="7">
        <v>49439</v>
      </c>
      <c r="B800" s="8" t="s">
        <v>19</v>
      </c>
      <c r="C800" s="9">
        <v>21.3</v>
      </c>
      <c r="D800" s="10">
        <v>37.700000000000003</v>
      </c>
      <c r="E800">
        <f t="shared" si="26"/>
        <v>1</v>
      </c>
      <c r="F800">
        <f t="shared" si="25"/>
        <v>21.3</v>
      </c>
    </row>
    <row r="801" spans="1:6" hidden="1" x14ac:dyDescent="0.35">
      <c r="A801" s="11">
        <v>49440</v>
      </c>
      <c r="B801" s="12" t="s">
        <v>12</v>
      </c>
      <c r="C801" s="13">
        <v>20.3</v>
      </c>
      <c r="D801" s="14">
        <v>11</v>
      </c>
      <c r="E801">
        <f t="shared" si="26"/>
        <v>2</v>
      </c>
      <c r="F801">
        <f t="shared" si="25"/>
        <v>41.6</v>
      </c>
    </row>
    <row r="802" spans="1:6" hidden="1" x14ac:dyDescent="0.35">
      <c r="A802" s="7">
        <v>49441</v>
      </c>
      <c r="B802" s="8" t="s">
        <v>19</v>
      </c>
      <c r="C802" s="9">
        <v>25.6</v>
      </c>
      <c r="D802" s="10">
        <v>20.100000000000001</v>
      </c>
      <c r="E802">
        <f t="shared" si="26"/>
        <v>3</v>
      </c>
      <c r="F802">
        <f t="shared" si="25"/>
        <v>67.2</v>
      </c>
    </row>
    <row r="803" spans="1:6" hidden="1" x14ac:dyDescent="0.35">
      <c r="A803" s="11">
        <v>49442</v>
      </c>
      <c r="B803" s="12" t="s">
        <v>13</v>
      </c>
      <c r="C803" s="13">
        <v>25.1</v>
      </c>
      <c r="D803" s="14">
        <v>14.7</v>
      </c>
      <c r="E803">
        <f t="shared" si="26"/>
        <v>4</v>
      </c>
      <c r="F803">
        <f t="shared" si="25"/>
        <v>92.300000000000011</v>
      </c>
    </row>
    <row r="804" spans="1:6" hidden="1" x14ac:dyDescent="0.35">
      <c r="A804" s="7">
        <v>49443</v>
      </c>
      <c r="B804" s="8" t="s">
        <v>7</v>
      </c>
      <c r="C804" s="9">
        <v>24.3</v>
      </c>
      <c r="D804" s="10">
        <v>24.3</v>
      </c>
      <c r="E804">
        <f t="shared" si="26"/>
        <v>5</v>
      </c>
      <c r="F804">
        <f t="shared" si="25"/>
        <v>116.60000000000001</v>
      </c>
    </row>
    <row r="805" spans="1:6" hidden="1" x14ac:dyDescent="0.35">
      <c r="A805" s="11">
        <v>49444</v>
      </c>
      <c r="B805" s="12" t="s">
        <v>14</v>
      </c>
      <c r="C805" s="13">
        <v>12.9</v>
      </c>
      <c r="D805" s="14">
        <v>2.7</v>
      </c>
      <c r="E805">
        <f t="shared" si="26"/>
        <v>6</v>
      </c>
      <c r="F805">
        <f t="shared" si="25"/>
        <v>129.5</v>
      </c>
    </row>
    <row r="806" spans="1:6" hidden="1" x14ac:dyDescent="0.35">
      <c r="A806" s="7">
        <v>49445</v>
      </c>
      <c r="B806" s="8" t="s">
        <v>19</v>
      </c>
      <c r="C806" s="9">
        <v>16.7</v>
      </c>
      <c r="D806" s="10">
        <v>27.7</v>
      </c>
      <c r="E806">
        <f t="shared" si="26"/>
        <v>7</v>
      </c>
      <c r="F806">
        <f t="shared" si="25"/>
        <v>146.19999999999999</v>
      </c>
    </row>
    <row r="807" spans="1:6" hidden="1" x14ac:dyDescent="0.35">
      <c r="A807" s="11">
        <v>49446</v>
      </c>
      <c r="B807" s="12" t="s">
        <v>10</v>
      </c>
      <c r="C807" s="13">
        <v>16.2</v>
      </c>
      <c r="D807" s="14">
        <v>20.5</v>
      </c>
      <c r="E807">
        <f t="shared" si="26"/>
        <v>1</v>
      </c>
      <c r="F807">
        <f t="shared" si="25"/>
        <v>16.2</v>
      </c>
    </row>
    <row r="808" spans="1:6" hidden="1" x14ac:dyDescent="0.35">
      <c r="A808" s="7">
        <v>49447</v>
      </c>
      <c r="B808" s="8" t="s">
        <v>12</v>
      </c>
      <c r="C808" s="9">
        <v>19.5</v>
      </c>
      <c r="D808" s="10">
        <v>5.0999999999999996</v>
      </c>
      <c r="E808">
        <f t="shared" si="26"/>
        <v>2</v>
      </c>
      <c r="F808">
        <f t="shared" si="25"/>
        <v>35.700000000000003</v>
      </c>
    </row>
    <row r="809" spans="1:6" hidden="1" x14ac:dyDescent="0.35">
      <c r="A809" s="11">
        <v>49448</v>
      </c>
      <c r="B809" s="12" t="s">
        <v>10</v>
      </c>
      <c r="C809" s="13">
        <v>22.9</v>
      </c>
      <c r="D809" s="14">
        <v>6.6</v>
      </c>
      <c r="E809">
        <f t="shared" si="26"/>
        <v>3</v>
      </c>
      <c r="F809">
        <f t="shared" si="25"/>
        <v>58.6</v>
      </c>
    </row>
    <row r="810" spans="1:6" hidden="1" x14ac:dyDescent="0.35">
      <c r="A810" s="7">
        <v>49449</v>
      </c>
      <c r="B810" s="8" t="s">
        <v>19</v>
      </c>
      <c r="C810" s="9">
        <v>25.9</v>
      </c>
      <c r="D810" s="10">
        <v>4.4000000000000004</v>
      </c>
      <c r="E810">
        <f t="shared" si="26"/>
        <v>4</v>
      </c>
      <c r="F810">
        <f t="shared" si="25"/>
        <v>84.5</v>
      </c>
    </row>
    <row r="811" spans="1:6" hidden="1" x14ac:dyDescent="0.35">
      <c r="A811" s="11">
        <v>49450</v>
      </c>
      <c r="B811" s="12" t="s">
        <v>18</v>
      </c>
      <c r="C811" s="13">
        <v>20.3</v>
      </c>
      <c r="D811" s="14">
        <v>4.5999999999999996</v>
      </c>
      <c r="E811">
        <f t="shared" si="26"/>
        <v>5</v>
      </c>
      <c r="F811">
        <f t="shared" si="25"/>
        <v>104.8</v>
      </c>
    </row>
    <row r="812" spans="1:6" hidden="1" x14ac:dyDescent="0.35">
      <c r="A812" s="7">
        <v>49451</v>
      </c>
      <c r="B812" s="8" t="s">
        <v>28</v>
      </c>
      <c r="C812" s="9">
        <v>11.3</v>
      </c>
      <c r="D812" s="10">
        <v>0.3</v>
      </c>
      <c r="E812">
        <f t="shared" si="26"/>
        <v>6</v>
      </c>
      <c r="F812">
        <f t="shared" si="25"/>
        <v>116.1</v>
      </c>
    </row>
    <row r="813" spans="1:6" hidden="1" x14ac:dyDescent="0.35">
      <c r="A813" s="11">
        <v>49452</v>
      </c>
      <c r="B813" s="12" t="s">
        <v>10</v>
      </c>
      <c r="C813" s="13">
        <v>27.4</v>
      </c>
      <c r="D813" s="14">
        <v>29.9</v>
      </c>
      <c r="E813">
        <f t="shared" si="26"/>
        <v>7</v>
      </c>
      <c r="F813">
        <f t="shared" si="25"/>
        <v>143.5</v>
      </c>
    </row>
    <row r="814" spans="1:6" hidden="1" x14ac:dyDescent="0.35">
      <c r="A814" s="7">
        <v>49453</v>
      </c>
      <c r="B814" s="8" t="s">
        <v>19</v>
      </c>
      <c r="C814" s="9">
        <v>29.2</v>
      </c>
      <c r="D814" s="10">
        <v>0</v>
      </c>
      <c r="E814">
        <f t="shared" si="26"/>
        <v>1</v>
      </c>
      <c r="F814">
        <f t="shared" si="25"/>
        <v>29.2</v>
      </c>
    </row>
    <row r="815" spans="1:6" hidden="1" x14ac:dyDescent="0.35">
      <c r="A815" s="11">
        <v>49454</v>
      </c>
      <c r="B815" s="12" t="s">
        <v>4</v>
      </c>
      <c r="C815" s="13">
        <v>27.4</v>
      </c>
      <c r="D815" s="14">
        <v>0</v>
      </c>
      <c r="E815">
        <f t="shared" si="26"/>
        <v>2</v>
      </c>
      <c r="F815">
        <f t="shared" si="25"/>
        <v>56.599999999999994</v>
      </c>
    </row>
    <row r="816" spans="1:6" hidden="1" x14ac:dyDescent="0.35">
      <c r="A816" s="7">
        <v>49455</v>
      </c>
      <c r="B816" s="8" t="s">
        <v>19</v>
      </c>
      <c r="C816" s="9">
        <v>10.1</v>
      </c>
      <c r="D816" s="10">
        <v>8.1</v>
      </c>
      <c r="E816">
        <f t="shared" si="26"/>
        <v>3</v>
      </c>
      <c r="F816">
        <f t="shared" si="25"/>
        <v>66.699999999999989</v>
      </c>
    </row>
    <row r="817" spans="1:6" hidden="1" x14ac:dyDescent="0.35">
      <c r="A817" s="11">
        <v>49456</v>
      </c>
      <c r="B817" s="12" t="s">
        <v>5</v>
      </c>
      <c r="C817" s="13">
        <v>12.9</v>
      </c>
      <c r="D817" s="14">
        <v>5.9</v>
      </c>
      <c r="E817">
        <f t="shared" si="26"/>
        <v>4</v>
      </c>
      <c r="F817">
        <f t="shared" si="25"/>
        <v>79.599999999999994</v>
      </c>
    </row>
    <row r="818" spans="1:6" hidden="1" x14ac:dyDescent="0.35">
      <c r="A818" s="7">
        <v>49457</v>
      </c>
      <c r="B818" s="8" t="s">
        <v>14</v>
      </c>
      <c r="C818" s="9">
        <v>18.7</v>
      </c>
      <c r="D818" s="10">
        <v>0</v>
      </c>
      <c r="E818">
        <f t="shared" si="26"/>
        <v>5</v>
      </c>
      <c r="F818">
        <f t="shared" si="25"/>
        <v>98.3</v>
      </c>
    </row>
    <row r="819" spans="1:6" hidden="1" x14ac:dyDescent="0.35">
      <c r="A819" s="11">
        <v>49458</v>
      </c>
      <c r="B819" s="12" t="s">
        <v>32</v>
      </c>
      <c r="C819" s="13">
        <v>17.8</v>
      </c>
      <c r="D819" s="14">
        <v>0.3</v>
      </c>
      <c r="E819">
        <f t="shared" si="26"/>
        <v>6</v>
      </c>
      <c r="F819">
        <f t="shared" si="25"/>
        <v>116.1</v>
      </c>
    </row>
    <row r="820" spans="1:6" hidden="1" x14ac:dyDescent="0.35">
      <c r="A820" s="7">
        <v>49459</v>
      </c>
      <c r="B820" s="8" t="s">
        <v>10</v>
      </c>
      <c r="C820" s="9">
        <v>24.7</v>
      </c>
      <c r="D820" s="10">
        <v>42.9</v>
      </c>
      <c r="E820">
        <f t="shared" si="26"/>
        <v>7</v>
      </c>
      <c r="F820">
        <f t="shared" si="25"/>
        <v>140.79999999999998</v>
      </c>
    </row>
    <row r="821" spans="1:6" hidden="1" x14ac:dyDescent="0.35">
      <c r="A821" s="11">
        <v>49460</v>
      </c>
      <c r="B821" s="12" t="s">
        <v>10</v>
      </c>
      <c r="C821" s="13">
        <v>28.7</v>
      </c>
      <c r="D821" s="14">
        <v>33.799999999999997</v>
      </c>
      <c r="E821">
        <f t="shared" si="26"/>
        <v>1</v>
      </c>
      <c r="F821">
        <f t="shared" si="25"/>
        <v>28.7</v>
      </c>
    </row>
    <row r="822" spans="1:6" hidden="1" x14ac:dyDescent="0.35">
      <c r="A822" s="7">
        <v>49461</v>
      </c>
      <c r="B822" s="8" t="s">
        <v>18</v>
      </c>
      <c r="C822" s="9">
        <v>12.3</v>
      </c>
      <c r="D822" s="10">
        <v>1.7</v>
      </c>
      <c r="E822">
        <f t="shared" si="26"/>
        <v>2</v>
      </c>
      <c r="F822">
        <f t="shared" si="25"/>
        <v>41</v>
      </c>
    </row>
    <row r="823" spans="1:6" hidden="1" x14ac:dyDescent="0.35">
      <c r="A823" s="11">
        <v>49462</v>
      </c>
      <c r="B823" s="12" t="s">
        <v>19</v>
      </c>
      <c r="C823" s="13">
        <v>22.9</v>
      </c>
      <c r="D823" s="14">
        <v>0</v>
      </c>
      <c r="E823">
        <f t="shared" si="26"/>
        <v>3</v>
      </c>
      <c r="F823">
        <f t="shared" si="25"/>
        <v>63.9</v>
      </c>
    </row>
    <row r="824" spans="1:6" hidden="1" x14ac:dyDescent="0.35">
      <c r="A824" s="7">
        <v>49463</v>
      </c>
      <c r="B824" s="8" t="s">
        <v>17</v>
      </c>
      <c r="C824" s="9">
        <v>20</v>
      </c>
      <c r="D824" s="10">
        <v>3</v>
      </c>
      <c r="E824">
        <f t="shared" si="26"/>
        <v>4</v>
      </c>
      <c r="F824">
        <f t="shared" si="25"/>
        <v>83.9</v>
      </c>
    </row>
    <row r="825" spans="1:6" hidden="1" x14ac:dyDescent="0.35">
      <c r="A825" s="11">
        <v>49464</v>
      </c>
      <c r="B825" s="12" t="s">
        <v>10</v>
      </c>
      <c r="C825" s="13">
        <v>27.3</v>
      </c>
      <c r="D825" s="14">
        <v>0</v>
      </c>
      <c r="E825">
        <f t="shared" si="26"/>
        <v>5</v>
      </c>
      <c r="F825">
        <f t="shared" si="25"/>
        <v>111.2</v>
      </c>
    </row>
    <row r="826" spans="1:6" hidden="1" x14ac:dyDescent="0.35">
      <c r="A826" s="7">
        <v>49465</v>
      </c>
      <c r="B826" s="8" t="s">
        <v>13</v>
      </c>
      <c r="C826" s="9">
        <v>29.9</v>
      </c>
      <c r="D826" s="10">
        <v>7.7</v>
      </c>
      <c r="E826">
        <f t="shared" si="26"/>
        <v>6</v>
      </c>
      <c r="F826">
        <f t="shared" si="25"/>
        <v>141.1</v>
      </c>
    </row>
    <row r="827" spans="1:6" hidden="1" x14ac:dyDescent="0.35">
      <c r="A827" s="11">
        <v>49466</v>
      </c>
      <c r="B827" s="12" t="s">
        <v>12</v>
      </c>
      <c r="C827" s="13">
        <v>27.5</v>
      </c>
      <c r="D827" s="14">
        <v>2.7</v>
      </c>
      <c r="E827">
        <f t="shared" si="26"/>
        <v>7</v>
      </c>
      <c r="F827">
        <f t="shared" si="25"/>
        <v>168.6</v>
      </c>
    </row>
    <row r="828" spans="1:6" hidden="1" x14ac:dyDescent="0.35">
      <c r="A828" s="7">
        <v>49467</v>
      </c>
      <c r="B828" s="8" t="s">
        <v>18</v>
      </c>
      <c r="C828" s="9">
        <v>16.5</v>
      </c>
      <c r="D828" s="10">
        <v>13.3</v>
      </c>
      <c r="E828">
        <f t="shared" si="26"/>
        <v>1</v>
      </c>
      <c r="F828">
        <f t="shared" si="25"/>
        <v>16.5</v>
      </c>
    </row>
    <row r="829" spans="1:6" hidden="1" x14ac:dyDescent="0.35">
      <c r="A829" s="11">
        <v>49468</v>
      </c>
      <c r="B829" s="12" t="s">
        <v>5</v>
      </c>
      <c r="C829" s="13">
        <v>23.5</v>
      </c>
      <c r="D829" s="14">
        <v>5.9</v>
      </c>
      <c r="E829">
        <f t="shared" si="26"/>
        <v>2</v>
      </c>
      <c r="F829">
        <f t="shared" si="25"/>
        <v>40</v>
      </c>
    </row>
    <row r="830" spans="1:6" hidden="1" x14ac:dyDescent="0.35">
      <c r="A830" s="7">
        <v>49469</v>
      </c>
      <c r="B830" s="8" t="s">
        <v>5</v>
      </c>
      <c r="C830" s="9">
        <v>21.5</v>
      </c>
      <c r="D830" s="10">
        <v>4.0999999999999996</v>
      </c>
      <c r="E830">
        <f t="shared" si="26"/>
        <v>3</v>
      </c>
      <c r="F830">
        <f t="shared" si="25"/>
        <v>61.5</v>
      </c>
    </row>
    <row r="831" spans="1:6" hidden="1" x14ac:dyDescent="0.35">
      <c r="A831" s="11">
        <v>49470</v>
      </c>
      <c r="B831" s="12" t="s">
        <v>15</v>
      </c>
      <c r="C831" s="13">
        <v>10.3</v>
      </c>
      <c r="D831" s="14">
        <v>15.6</v>
      </c>
      <c r="E831">
        <f t="shared" si="26"/>
        <v>4</v>
      </c>
      <c r="F831">
        <f t="shared" si="25"/>
        <v>71.8</v>
      </c>
    </row>
    <row r="832" spans="1:6" hidden="1" x14ac:dyDescent="0.35">
      <c r="A832" s="7">
        <v>49471</v>
      </c>
      <c r="B832" s="8" t="s">
        <v>10</v>
      </c>
      <c r="C832" s="9">
        <v>15</v>
      </c>
      <c r="D832" s="10">
        <v>0</v>
      </c>
      <c r="E832">
        <f t="shared" si="26"/>
        <v>5</v>
      </c>
      <c r="F832">
        <f t="shared" si="25"/>
        <v>86.8</v>
      </c>
    </row>
    <row r="833" spans="1:6" hidden="1" x14ac:dyDescent="0.35">
      <c r="A833" s="11">
        <v>49472</v>
      </c>
      <c r="B833" s="12" t="s">
        <v>6</v>
      </c>
      <c r="C833" s="13">
        <v>23.3</v>
      </c>
      <c r="D833" s="14">
        <v>5.3</v>
      </c>
      <c r="E833">
        <f t="shared" si="26"/>
        <v>6</v>
      </c>
      <c r="F833">
        <f t="shared" si="25"/>
        <v>110.1</v>
      </c>
    </row>
    <row r="834" spans="1:6" hidden="1" x14ac:dyDescent="0.35">
      <c r="A834" s="7">
        <v>49473</v>
      </c>
      <c r="B834" s="8" t="s">
        <v>15</v>
      </c>
      <c r="C834" s="9">
        <v>10.5</v>
      </c>
      <c r="D834" s="10">
        <v>14.4</v>
      </c>
      <c r="E834">
        <f t="shared" si="26"/>
        <v>7</v>
      </c>
      <c r="F834">
        <f t="shared" si="25"/>
        <v>120.6</v>
      </c>
    </row>
    <row r="835" spans="1:6" hidden="1" x14ac:dyDescent="0.35">
      <c r="A835" s="11">
        <v>49474</v>
      </c>
      <c r="B835" s="12" t="s">
        <v>10</v>
      </c>
      <c r="C835" s="13">
        <v>18.5</v>
      </c>
      <c r="D835" s="14">
        <v>0</v>
      </c>
      <c r="E835">
        <f t="shared" si="26"/>
        <v>1</v>
      </c>
      <c r="F835">
        <f t="shared" si="25"/>
        <v>18.5</v>
      </c>
    </row>
    <row r="836" spans="1:6" hidden="1" x14ac:dyDescent="0.35">
      <c r="A836" s="7">
        <v>49475</v>
      </c>
      <c r="B836" s="8" t="s">
        <v>14</v>
      </c>
      <c r="C836" s="9">
        <v>20.2</v>
      </c>
      <c r="D836" s="10">
        <v>5.4</v>
      </c>
      <c r="E836">
        <f t="shared" si="26"/>
        <v>2</v>
      </c>
      <c r="F836">
        <f t="shared" ref="F836:F899" si="27">IF(E835=7,C836,C836+F835)</f>
        <v>38.700000000000003</v>
      </c>
    </row>
    <row r="837" spans="1:6" hidden="1" x14ac:dyDescent="0.35">
      <c r="A837" s="11">
        <v>49476</v>
      </c>
      <c r="B837" s="12" t="s">
        <v>23</v>
      </c>
      <c r="C837" s="13">
        <v>29</v>
      </c>
      <c r="D837" s="14">
        <v>4.2</v>
      </c>
      <c r="E837">
        <f t="shared" si="26"/>
        <v>3</v>
      </c>
      <c r="F837">
        <f t="shared" si="27"/>
        <v>67.7</v>
      </c>
    </row>
    <row r="838" spans="1:6" hidden="1" x14ac:dyDescent="0.35">
      <c r="A838" s="7">
        <v>49477</v>
      </c>
      <c r="B838" s="8" t="s">
        <v>15</v>
      </c>
      <c r="C838" s="9">
        <v>12.1</v>
      </c>
      <c r="D838" s="10">
        <v>18.100000000000001</v>
      </c>
      <c r="E838">
        <f t="shared" si="26"/>
        <v>4</v>
      </c>
      <c r="F838">
        <f t="shared" si="27"/>
        <v>79.8</v>
      </c>
    </row>
    <row r="839" spans="1:6" hidden="1" x14ac:dyDescent="0.35">
      <c r="A839" s="11">
        <v>49478</v>
      </c>
      <c r="B839" s="12" t="s">
        <v>13</v>
      </c>
      <c r="C839" s="13">
        <v>14.1</v>
      </c>
      <c r="D839" s="14">
        <v>5.6</v>
      </c>
      <c r="E839">
        <f t="shared" si="26"/>
        <v>5</v>
      </c>
      <c r="F839">
        <f t="shared" si="27"/>
        <v>93.899999999999991</v>
      </c>
    </row>
    <row r="840" spans="1:6" hidden="1" x14ac:dyDescent="0.35">
      <c r="A840" s="7">
        <v>49479</v>
      </c>
      <c r="B840" s="8" t="s">
        <v>10</v>
      </c>
      <c r="C840" s="9">
        <v>19.5</v>
      </c>
      <c r="D840" s="10">
        <v>2.7</v>
      </c>
      <c r="E840">
        <f t="shared" si="26"/>
        <v>6</v>
      </c>
      <c r="F840">
        <f t="shared" si="27"/>
        <v>113.39999999999999</v>
      </c>
    </row>
    <row r="841" spans="1:6" hidden="1" x14ac:dyDescent="0.35">
      <c r="A841" s="11">
        <v>49480</v>
      </c>
      <c r="B841" s="12" t="s">
        <v>27</v>
      </c>
      <c r="C841" s="13">
        <v>28.7</v>
      </c>
      <c r="D841" s="14">
        <v>0.3</v>
      </c>
      <c r="E841">
        <f t="shared" si="26"/>
        <v>7</v>
      </c>
      <c r="F841">
        <f t="shared" si="27"/>
        <v>142.1</v>
      </c>
    </row>
    <row r="842" spans="1:6" hidden="1" x14ac:dyDescent="0.35">
      <c r="A842" s="7">
        <v>49481</v>
      </c>
      <c r="B842" s="8" t="s">
        <v>19</v>
      </c>
      <c r="C842" s="9">
        <v>20.3</v>
      </c>
      <c r="D842" s="10">
        <v>15</v>
      </c>
      <c r="E842">
        <f t="shared" ref="E842:E905" si="28">IF(E841=7,1,E841+1)</f>
        <v>1</v>
      </c>
      <c r="F842">
        <f t="shared" si="27"/>
        <v>20.3</v>
      </c>
    </row>
    <row r="843" spans="1:6" hidden="1" x14ac:dyDescent="0.35">
      <c r="A843" s="11">
        <v>49482</v>
      </c>
      <c r="B843" s="12" t="s">
        <v>7</v>
      </c>
      <c r="C843" s="13">
        <v>25.9</v>
      </c>
      <c r="D843" s="14">
        <v>4.7</v>
      </c>
      <c r="E843">
        <f t="shared" si="28"/>
        <v>2</v>
      </c>
      <c r="F843">
        <f t="shared" si="27"/>
        <v>46.2</v>
      </c>
    </row>
    <row r="844" spans="1:6" hidden="1" x14ac:dyDescent="0.35">
      <c r="A844" s="7">
        <v>49483</v>
      </c>
      <c r="B844" s="8" t="s">
        <v>7</v>
      </c>
      <c r="C844" s="9">
        <v>25.3</v>
      </c>
      <c r="D844" s="10">
        <v>0</v>
      </c>
      <c r="E844">
        <f t="shared" si="28"/>
        <v>3</v>
      </c>
      <c r="F844">
        <f t="shared" si="27"/>
        <v>71.5</v>
      </c>
    </row>
    <row r="845" spans="1:6" hidden="1" x14ac:dyDescent="0.35">
      <c r="A845" s="11">
        <v>49484</v>
      </c>
      <c r="B845" s="12" t="s">
        <v>20</v>
      </c>
      <c r="C845" s="13">
        <v>22.8</v>
      </c>
      <c r="D845" s="14">
        <v>0.6</v>
      </c>
      <c r="E845">
        <f t="shared" si="28"/>
        <v>4</v>
      </c>
      <c r="F845">
        <f t="shared" si="27"/>
        <v>94.3</v>
      </c>
    </row>
    <row r="846" spans="1:6" hidden="1" x14ac:dyDescent="0.35">
      <c r="A846" s="7">
        <v>49485</v>
      </c>
      <c r="B846" s="8" t="s">
        <v>22</v>
      </c>
      <c r="C846" s="9">
        <v>28.4</v>
      </c>
      <c r="D846" s="10">
        <v>2.2999999999999998</v>
      </c>
      <c r="E846">
        <f t="shared" si="28"/>
        <v>5</v>
      </c>
      <c r="F846">
        <f t="shared" si="27"/>
        <v>122.69999999999999</v>
      </c>
    </row>
    <row r="847" spans="1:6" hidden="1" x14ac:dyDescent="0.35">
      <c r="A847" s="11">
        <v>49486</v>
      </c>
      <c r="B847" s="12" t="s">
        <v>22</v>
      </c>
      <c r="C847" s="13">
        <v>29.7</v>
      </c>
      <c r="D847" s="14">
        <v>0</v>
      </c>
      <c r="E847">
        <f t="shared" si="28"/>
        <v>6</v>
      </c>
      <c r="F847">
        <f t="shared" si="27"/>
        <v>152.39999999999998</v>
      </c>
    </row>
    <row r="848" spans="1:6" hidden="1" x14ac:dyDescent="0.35">
      <c r="A848" s="7">
        <v>49487</v>
      </c>
      <c r="B848" s="8" t="s">
        <v>15</v>
      </c>
      <c r="C848" s="9">
        <v>11.7</v>
      </c>
      <c r="D848" s="10">
        <v>6.4</v>
      </c>
      <c r="E848">
        <f t="shared" si="28"/>
        <v>7</v>
      </c>
      <c r="F848">
        <f t="shared" si="27"/>
        <v>164.09999999999997</v>
      </c>
    </row>
    <row r="849" spans="1:6" hidden="1" x14ac:dyDescent="0.35">
      <c r="A849" s="11">
        <v>49488</v>
      </c>
      <c r="B849" s="12" t="s">
        <v>22</v>
      </c>
      <c r="C849" s="13">
        <v>12.8</v>
      </c>
      <c r="D849" s="14">
        <v>6.9</v>
      </c>
      <c r="E849">
        <f t="shared" si="28"/>
        <v>1</v>
      </c>
      <c r="F849">
        <f t="shared" si="27"/>
        <v>12.8</v>
      </c>
    </row>
    <row r="850" spans="1:6" hidden="1" x14ac:dyDescent="0.35">
      <c r="A850" s="7">
        <v>49489</v>
      </c>
      <c r="B850" s="8" t="s">
        <v>10</v>
      </c>
      <c r="C850" s="9">
        <v>11</v>
      </c>
      <c r="D850" s="10">
        <v>0</v>
      </c>
      <c r="E850">
        <f t="shared" si="28"/>
        <v>2</v>
      </c>
      <c r="F850">
        <f t="shared" si="27"/>
        <v>23.8</v>
      </c>
    </row>
    <row r="851" spans="1:6" hidden="1" x14ac:dyDescent="0.35">
      <c r="A851" s="11">
        <v>49490</v>
      </c>
      <c r="B851" s="12" t="s">
        <v>33</v>
      </c>
      <c r="C851" s="13">
        <v>14.7</v>
      </c>
      <c r="D851" s="14">
        <v>0.5</v>
      </c>
      <c r="E851">
        <f t="shared" si="28"/>
        <v>3</v>
      </c>
      <c r="F851">
        <f t="shared" si="27"/>
        <v>38.5</v>
      </c>
    </row>
    <row r="852" spans="1:6" hidden="1" x14ac:dyDescent="0.35">
      <c r="A852" s="7">
        <v>49491</v>
      </c>
      <c r="B852" s="8" t="s">
        <v>26</v>
      </c>
      <c r="C852" s="9">
        <v>13.2</v>
      </c>
      <c r="D852" s="10">
        <v>2.5</v>
      </c>
      <c r="E852">
        <f t="shared" si="28"/>
        <v>4</v>
      </c>
      <c r="F852">
        <f t="shared" si="27"/>
        <v>51.7</v>
      </c>
    </row>
    <row r="853" spans="1:6" hidden="1" x14ac:dyDescent="0.35">
      <c r="A853" s="11">
        <v>49492</v>
      </c>
      <c r="B853" s="12" t="s">
        <v>26</v>
      </c>
      <c r="C853" s="13">
        <v>28</v>
      </c>
      <c r="D853" s="14">
        <v>3.8</v>
      </c>
      <c r="E853">
        <f t="shared" si="28"/>
        <v>5</v>
      </c>
      <c r="F853">
        <f t="shared" si="27"/>
        <v>79.7</v>
      </c>
    </row>
    <row r="854" spans="1:6" hidden="1" x14ac:dyDescent="0.35">
      <c r="A854" s="7">
        <v>49493</v>
      </c>
      <c r="B854" s="8" t="s">
        <v>11</v>
      </c>
      <c r="C854" s="9">
        <v>27.5</v>
      </c>
      <c r="D854" s="10">
        <v>10.3</v>
      </c>
      <c r="E854">
        <f t="shared" si="28"/>
        <v>6</v>
      </c>
      <c r="F854">
        <f t="shared" si="27"/>
        <v>107.2</v>
      </c>
    </row>
    <row r="855" spans="1:6" hidden="1" x14ac:dyDescent="0.35">
      <c r="A855" s="11">
        <v>49494</v>
      </c>
      <c r="B855" s="12" t="s">
        <v>26</v>
      </c>
      <c r="C855" s="13">
        <v>12.1</v>
      </c>
      <c r="D855" s="14">
        <v>4.7</v>
      </c>
      <c r="E855">
        <f t="shared" si="28"/>
        <v>7</v>
      </c>
      <c r="F855">
        <f t="shared" si="27"/>
        <v>119.3</v>
      </c>
    </row>
    <row r="856" spans="1:6" hidden="1" x14ac:dyDescent="0.35">
      <c r="A856" s="7">
        <v>49495</v>
      </c>
      <c r="B856" s="8" t="s">
        <v>15</v>
      </c>
      <c r="C856" s="9">
        <v>24.7</v>
      </c>
      <c r="D856" s="10">
        <v>7.2</v>
      </c>
      <c r="E856">
        <f t="shared" si="28"/>
        <v>1</v>
      </c>
      <c r="F856">
        <f t="shared" si="27"/>
        <v>24.7</v>
      </c>
    </row>
    <row r="857" spans="1:6" hidden="1" x14ac:dyDescent="0.35">
      <c r="A857" s="11">
        <v>49496</v>
      </c>
      <c r="B857" s="12" t="s">
        <v>25</v>
      </c>
      <c r="C857" s="13">
        <v>27.1</v>
      </c>
      <c r="D857" s="14">
        <v>2.6</v>
      </c>
      <c r="E857">
        <f t="shared" si="28"/>
        <v>2</v>
      </c>
      <c r="F857">
        <f t="shared" si="27"/>
        <v>51.8</v>
      </c>
    </row>
    <row r="858" spans="1:6" hidden="1" x14ac:dyDescent="0.35">
      <c r="A858" s="7">
        <v>49497</v>
      </c>
      <c r="B858" s="8" t="s">
        <v>7</v>
      </c>
      <c r="C858" s="9">
        <v>28.7</v>
      </c>
      <c r="D858" s="10">
        <v>3</v>
      </c>
      <c r="E858">
        <f t="shared" si="28"/>
        <v>3</v>
      </c>
      <c r="F858">
        <f t="shared" si="27"/>
        <v>80.5</v>
      </c>
    </row>
    <row r="859" spans="1:6" hidden="1" x14ac:dyDescent="0.35">
      <c r="A859" s="11">
        <v>49498</v>
      </c>
      <c r="B859" s="12" t="s">
        <v>10</v>
      </c>
      <c r="C859" s="13">
        <v>15</v>
      </c>
      <c r="D859" s="14">
        <v>21.4</v>
      </c>
      <c r="E859">
        <f t="shared" si="28"/>
        <v>4</v>
      </c>
      <c r="F859">
        <f t="shared" si="27"/>
        <v>95.5</v>
      </c>
    </row>
    <row r="860" spans="1:6" hidden="1" x14ac:dyDescent="0.35">
      <c r="A860" s="7">
        <v>49499</v>
      </c>
      <c r="B860" s="8" t="s">
        <v>11</v>
      </c>
      <c r="C860" s="9">
        <v>11.6</v>
      </c>
      <c r="D860" s="10">
        <v>3.7</v>
      </c>
      <c r="E860">
        <f t="shared" si="28"/>
        <v>5</v>
      </c>
      <c r="F860">
        <f t="shared" si="27"/>
        <v>107.1</v>
      </c>
    </row>
    <row r="861" spans="1:6" hidden="1" x14ac:dyDescent="0.35">
      <c r="A861" s="11">
        <v>49500</v>
      </c>
      <c r="B861" s="12" t="s">
        <v>10</v>
      </c>
      <c r="C861" s="13">
        <v>13.1</v>
      </c>
      <c r="D861" s="14">
        <v>0</v>
      </c>
      <c r="E861">
        <f t="shared" si="28"/>
        <v>6</v>
      </c>
      <c r="F861">
        <f t="shared" si="27"/>
        <v>120.19999999999999</v>
      </c>
    </row>
    <row r="862" spans="1:6" hidden="1" x14ac:dyDescent="0.35">
      <c r="A862" s="7">
        <v>49501</v>
      </c>
      <c r="B862" s="8" t="s">
        <v>26</v>
      </c>
      <c r="C862" s="9">
        <v>25.5</v>
      </c>
      <c r="D862" s="10">
        <v>0</v>
      </c>
      <c r="E862">
        <f t="shared" si="28"/>
        <v>7</v>
      </c>
      <c r="F862">
        <f t="shared" si="27"/>
        <v>145.69999999999999</v>
      </c>
    </row>
    <row r="863" spans="1:6" hidden="1" x14ac:dyDescent="0.35">
      <c r="A863" s="11">
        <v>49502</v>
      </c>
      <c r="B863" s="12" t="s">
        <v>28</v>
      </c>
      <c r="C863" s="13">
        <v>19.399999999999999</v>
      </c>
      <c r="D863" s="14">
        <v>0.7</v>
      </c>
      <c r="E863">
        <f t="shared" si="28"/>
        <v>1</v>
      </c>
      <c r="F863">
        <f t="shared" si="27"/>
        <v>19.399999999999999</v>
      </c>
    </row>
    <row r="864" spans="1:6" hidden="1" x14ac:dyDescent="0.35">
      <c r="A864" s="7">
        <v>49503</v>
      </c>
      <c r="B864" s="8" t="s">
        <v>7</v>
      </c>
      <c r="C864" s="9">
        <v>27.3</v>
      </c>
      <c r="D864" s="10">
        <v>2.6</v>
      </c>
      <c r="E864">
        <f t="shared" si="28"/>
        <v>2</v>
      </c>
      <c r="F864">
        <f t="shared" si="27"/>
        <v>46.7</v>
      </c>
    </row>
    <row r="865" spans="1:6" hidden="1" x14ac:dyDescent="0.35">
      <c r="A865" s="11">
        <v>49504</v>
      </c>
      <c r="B865" s="12" t="s">
        <v>10</v>
      </c>
      <c r="C865" s="13">
        <v>21</v>
      </c>
      <c r="D865" s="14">
        <v>27.8</v>
      </c>
      <c r="E865">
        <f t="shared" si="28"/>
        <v>3</v>
      </c>
      <c r="F865">
        <f t="shared" si="27"/>
        <v>67.7</v>
      </c>
    </row>
    <row r="866" spans="1:6" hidden="1" x14ac:dyDescent="0.35">
      <c r="A866" s="7">
        <v>49505</v>
      </c>
      <c r="B866" s="8" t="s">
        <v>14</v>
      </c>
      <c r="C866" s="9">
        <v>11.5</v>
      </c>
      <c r="D866" s="10">
        <v>0</v>
      </c>
      <c r="E866">
        <f t="shared" si="28"/>
        <v>4</v>
      </c>
      <c r="F866">
        <f t="shared" si="27"/>
        <v>79.2</v>
      </c>
    </row>
    <row r="867" spans="1:6" hidden="1" x14ac:dyDescent="0.35">
      <c r="A867" s="11">
        <v>49506</v>
      </c>
      <c r="B867" s="12" t="s">
        <v>21</v>
      </c>
      <c r="C867" s="13">
        <v>13.6</v>
      </c>
      <c r="D867" s="14">
        <v>2.7</v>
      </c>
      <c r="E867">
        <f t="shared" si="28"/>
        <v>5</v>
      </c>
      <c r="F867">
        <f t="shared" si="27"/>
        <v>92.8</v>
      </c>
    </row>
    <row r="868" spans="1:6" hidden="1" x14ac:dyDescent="0.35">
      <c r="A868" s="7">
        <v>49507</v>
      </c>
      <c r="B868" s="8" t="s">
        <v>8</v>
      </c>
      <c r="C868" s="9">
        <v>17.8</v>
      </c>
      <c r="D868" s="10">
        <v>0.3</v>
      </c>
      <c r="E868">
        <f t="shared" si="28"/>
        <v>6</v>
      </c>
      <c r="F868">
        <f t="shared" si="27"/>
        <v>110.6</v>
      </c>
    </row>
    <row r="869" spans="1:6" hidden="1" x14ac:dyDescent="0.35">
      <c r="A869" s="11">
        <v>49508</v>
      </c>
      <c r="B869" s="12" t="s">
        <v>8</v>
      </c>
      <c r="C869" s="13">
        <v>10.8</v>
      </c>
      <c r="D869" s="14">
        <v>0</v>
      </c>
      <c r="E869">
        <f t="shared" si="28"/>
        <v>7</v>
      </c>
      <c r="F869">
        <f t="shared" si="27"/>
        <v>121.39999999999999</v>
      </c>
    </row>
    <row r="870" spans="1:6" hidden="1" x14ac:dyDescent="0.35">
      <c r="A870" s="7">
        <v>49509</v>
      </c>
      <c r="B870" s="8" t="s">
        <v>10</v>
      </c>
      <c r="C870" s="9">
        <v>23</v>
      </c>
      <c r="D870" s="10">
        <v>3.3</v>
      </c>
      <c r="E870">
        <f t="shared" si="28"/>
        <v>1</v>
      </c>
      <c r="F870">
        <f t="shared" si="27"/>
        <v>23</v>
      </c>
    </row>
    <row r="871" spans="1:6" hidden="1" x14ac:dyDescent="0.35">
      <c r="A871" s="11">
        <v>49510</v>
      </c>
      <c r="B871" s="12" t="s">
        <v>11</v>
      </c>
      <c r="C871" s="13">
        <v>14</v>
      </c>
      <c r="D871" s="14">
        <v>18.100000000000001</v>
      </c>
      <c r="E871">
        <f t="shared" si="28"/>
        <v>2</v>
      </c>
      <c r="F871">
        <f t="shared" si="27"/>
        <v>37</v>
      </c>
    </row>
    <row r="872" spans="1:6" hidden="1" x14ac:dyDescent="0.35">
      <c r="A872" s="7">
        <v>49511</v>
      </c>
      <c r="B872" s="8" t="s">
        <v>26</v>
      </c>
      <c r="C872" s="9">
        <v>10.7</v>
      </c>
      <c r="D872" s="10">
        <v>0.4</v>
      </c>
      <c r="E872">
        <f t="shared" si="28"/>
        <v>3</v>
      </c>
      <c r="F872">
        <f t="shared" si="27"/>
        <v>47.7</v>
      </c>
    </row>
    <row r="873" spans="1:6" hidden="1" x14ac:dyDescent="0.35">
      <c r="A873" s="11">
        <v>49512</v>
      </c>
      <c r="B873" s="12" t="s">
        <v>13</v>
      </c>
      <c r="C873" s="13">
        <v>24.7</v>
      </c>
      <c r="D873" s="14">
        <v>9.1</v>
      </c>
      <c r="E873">
        <f t="shared" si="28"/>
        <v>4</v>
      </c>
      <c r="F873">
        <f t="shared" si="27"/>
        <v>72.400000000000006</v>
      </c>
    </row>
    <row r="874" spans="1:6" hidden="1" x14ac:dyDescent="0.35">
      <c r="A874" s="7">
        <v>49513</v>
      </c>
      <c r="B874" s="8" t="s">
        <v>19</v>
      </c>
      <c r="C874" s="9">
        <v>12.2</v>
      </c>
      <c r="D874" s="10">
        <v>18.600000000000001</v>
      </c>
      <c r="E874">
        <f t="shared" si="28"/>
        <v>5</v>
      </c>
      <c r="F874">
        <f t="shared" si="27"/>
        <v>84.600000000000009</v>
      </c>
    </row>
    <row r="875" spans="1:6" hidden="1" x14ac:dyDescent="0.35">
      <c r="A875" s="11">
        <v>49514</v>
      </c>
      <c r="B875" s="12" t="s">
        <v>6</v>
      </c>
      <c r="C875" s="13">
        <v>23.8</v>
      </c>
      <c r="D875" s="14">
        <v>7.7</v>
      </c>
      <c r="E875">
        <f t="shared" si="28"/>
        <v>6</v>
      </c>
      <c r="F875">
        <f t="shared" si="27"/>
        <v>108.4</v>
      </c>
    </row>
    <row r="876" spans="1:6" hidden="1" x14ac:dyDescent="0.35">
      <c r="A876" s="7">
        <v>49515</v>
      </c>
      <c r="B876" s="8" t="s">
        <v>12</v>
      </c>
      <c r="C876" s="9">
        <v>18.5</v>
      </c>
      <c r="D876" s="10">
        <v>0</v>
      </c>
      <c r="E876">
        <f t="shared" si="28"/>
        <v>7</v>
      </c>
      <c r="F876">
        <f t="shared" si="27"/>
        <v>126.9</v>
      </c>
    </row>
    <row r="877" spans="1:6" hidden="1" x14ac:dyDescent="0.35">
      <c r="A877" s="11">
        <v>49516</v>
      </c>
      <c r="B877" s="12" t="s">
        <v>17</v>
      </c>
      <c r="C877" s="13">
        <v>24.6</v>
      </c>
      <c r="D877" s="14">
        <v>0.4</v>
      </c>
      <c r="E877">
        <f t="shared" si="28"/>
        <v>1</v>
      </c>
      <c r="F877">
        <f t="shared" si="27"/>
        <v>24.6</v>
      </c>
    </row>
    <row r="878" spans="1:6" hidden="1" x14ac:dyDescent="0.35">
      <c r="A878" s="7">
        <v>49517</v>
      </c>
      <c r="B878" s="8" t="s">
        <v>19</v>
      </c>
      <c r="C878" s="9">
        <v>24.6</v>
      </c>
      <c r="D878" s="10">
        <v>10.4</v>
      </c>
      <c r="E878">
        <f t="shared" si="28"/>
        <v>2</v>
      </c>
      <c r="F878">
        <f t="shared" si="27"/>
        <v>49.2</v>
      </c>
    </row>
    <row r="879" spans="1:6" hidden="1" x14ac:dyDescent="0.35">
      <c r="A879" s="11">
        <v>49518</v>
      </c>
      <c r="B879" s="12" t="s">
        <v>12</v>
      </c>
      <c r="C879" s="13">
        <v>25.4</v>
      </c>
      <c r="D879" s="14">
        <v>11.2</v>
      </c>
      <c r="E879">
        <f t="shared" si="28"/>
        <v>3</v>
      </c>
      <c r="F879">
        <f t="shared" si="27"/>
        <v>74.599999999999994</v>
      </c>
    </row>
    <row r="880" spans="1:6" hidden="1" x14ac:dyDescent="0.35">
      <c r="A880" s="7">
        <v>49519</v>
      </c>
      <c r="B880" s="8" t="s">
        <v>11</v>
      </c>
      <c r="C880" s="9">
        <v>13.1</v>
      </c>
      <c r="D880" s="10">
        <v>22.2</v>
      </c>
      <c r="E880">
        <f t="shared" si="28"/>
        <v>4</v>
      </c>
      <c r="F880">
        <f t="shared" si="27"/>
        <v>87.699999999999989</v>
      </c>
    </row>
    <row r="881" spans="1:6" hidden="1" x14ac:dyDescent="0.35">
      <c r="A881" s="11">
        <v>49520</v>
      </c>
      <c r="B881" s="12" t="s">
        <v>10</v>
      </c>
      <c r="C881" s="13">
        <v>10.1</v>
      </c>
      <c r="D881" s="14">
        <v>11.6</v>
      </c>
      <c r="E881">
        <f t="shared" si="28"/>
        <v>5</v>
      </c>
      <c r="F881">
        <f t="shared" si="27"/>
        <v>97.799999999999983</v>
      </c>
    </row>
    <row r="882" spans="1:6" hidden="1" x14ac:dyDescent="0.35">
      <c r="A882" s="7">
        <v>49521</v>
      </c>
      <c r="B882" s="8" t="s">
        <v>15</v>
      </c>
      <c r="C882" s="9">
        <v>25</v>
      </c>
      <c r="D882" s="10">
        <v>0</v>
      </c>
      <c r="E882">
        <f t="shared" si="28"/>
        <v>6</v>
      </c>
      <c r="F882">
        <f t="shared" si="27"/>
        <v>122.79999999999998</v>
      </c>
    </row>
    <row r="883" spans="1:6" hidden="1" x14ac:dyDescent="0.35">
      <c r="A883" s="11">
        <v>49522</v>
      </c>
      <c r="B883" s="12" t="s">
        <v>18</v>
      </c>
      <c r="C883" s="13">
        <v>20.9</v>
      </c>
      <c r="D883" s="14">
        <v>11.4</v>
      </c>
      <c r="E883">
        <f t="shared" si="28"/>
        <v>7</v>
      </c>
      <c r="F883">
        <f t="shared" si="27"/>
        <v>143.69999999999999</v>
      </c>
    </row>
    <row r="884" spans="1:6" hidden="1" x14ac:dyDescent="0.35">
      <c r="A884" s="7">
        <v>49523</v>
      </c>
      <c r="B884" s="8" t="s">
        <v>14</v>
      </c>
      <c r="C884" s="9">
        <v>27.6</v>
      </c>
      <c r="D884" s="10">
        <v>2.5</v>
      </c>
      <c r="E884">
        <f t="shared" si="28"/>
        <v>1</v>
      </c>
      <c r="F884">
        <f t="shared" si="27"/>
        <v>27.6</v>
      </c>
    </row>
    <row r="885" spans="1:6" hidden="1" x14ac:dyDescent="0.35">
      <c r="A885" s="11">
        <v>49524</v>
      </c>
      <c r="B885" s="12" t="s">
        <v>10</v>
      </c>
      <c r="C885" s="13">
        <v>22.8</v>
      </c>
      <c r="D885" s="14">
        <v>0</v>
      </c>
      <c r="E885">
        <f t="shared" si="28"/>
        <v>2</v>
      </c>
      <c r="F885">
        <f t="shared" si="27"/>
        <v>50.400000000000006</v>
      </c>
    </row>
    <row r="886" spans="1:6" hidden="1" x14ac:dyDescent="0.35">
      <c r="A886" s="7">
        <v>49525</v>
      </c>
      <c r="B886" s="8" t="s">
        <v>9</v>
      </c>
      <c r="C886" s="9">
        <v>12</v>
      </c>
      <c r="D886" s="10">
        <v>0</v>
      </c>
      <c r="E886">
        <f t="shared" si="28"/>
        <v>3</v>
      </c>
      <c r="F886">
        <f t="shared" si="27"/>
        <v>62.400000000000006</v>
      </c>
    </row>
    <row r="887" spans="1:6" hidden="1" x14ac:dyDescent="0.35">
      <c r="A887" s="11">
        <v>49526</v>
      </c>
      <c r="B887" s="12" t="s">
        <v>23</v>
      </c>
      <c r="C887" s="13">
        <v>16.8</v>
      </c>
      <c r="D887" s="14">
        <v>4.9000000000000004</v>
      </c>
      <c r="E887">
        <f t="shared" si="28"/>
        <v>4</v>
      </c>
      <c r="F887">
        <f t="shared" si="27"/>
        <v>79.2</v>
      </c>
    </row>
    <row r="888" spans="1:6" hidden="1" x14ac:dyDescent="0.35">
      <c r="A888" s="7">
        <v>49527</v>
      </c>
      <c r="B888" s="8" t="s">
        <v>20</v>
      </c>
      <c r="C888" s="9">
        <v>12.9</v>
      </c>
      <c r="D888" s="10">
        <v>3</v>
      </c>
      <c r="E888">
        <f t="shared" si="28"/>
        <v>5</v>
      </c>
      <c r="F888">
        <f t="shared" si="27"/>
        <v>92.100000000000009</v>
      </c>
    </row>
    <row r="889" spans="1:6" hidden="1" x14ac:dyDescent="0.35">
      <c r="A889" s="11">
        <v>49528</v>
      </c>
      <c r="B889" s="12" t="s">
        <v>10</v>
      </c>
      <c r="C889" s="13">
        <v>18</v>
      </c>
      <c r="D889" s="14">
        <v>13.6</v>
      </c>
      <c r="E889">
        <f t="shared" si="28"/>
        <v>6</v>
      </c>
      <c r="F889">
        <f t="shared" si="27"/>
        <v>110.10000000000001</v>
      </c>
    </row>
    <row r="890" spans="1:6" hidden="1" x14ac:dyDescent="0.35">
      <c r="A890" s="7">
        <v>49529</v>
      </c>
      <c r="B890" s="8" t="s">
        <v>19</v>
      </c>
      <c r="C890" s="9">
        <v>26</v>
      </c>
      <c r="D890" s="10">
        <v>30.4</v>
      </c>
      <c r="E890">
        <f t="shared" si="28"/>
        <v>7</v>
      </c>
      <c r="F890">
        <f t="shared" si="27"/>
        <v>136.10000000000002</v>
      </c>
    </row>
    <row r="891" spans="1:6" hidden="1" x14ac:dyDescent="0.35">
      <c r="A891" s="11">
        <v>49530</v>
      </c>
      <c r="B891" s="12" t="s">
        <v>15</v>
      </c>
      <c r="C891" s="13">
        <v>21.3</v>
      </c>
      <c r="D891" s="14">
        <v>0</v>
      </c>
      <c r="E891">
        <f t="shared" si="28"/>
        <v>1</v>
      </c>
      <c r="F891">
        <f t="shared" si="27"/>
        <v>21.3</v>
      </c>
    </row>
    <row r="892" spans="1:6" hidden="1" x14ac:dyDescent="0.35">
      <c r="A892" s="7">
        <v>49531</v>
      </c>
      <c r="B892" s="8" t="s">
        <v>11</v>
      </c>
      <c r="C892" s="9">
        <v>15.7</v>
      </c>
      <c r="D892" s="10">
        <v>5.9</v>
      </c>
      <c r="E892">
        <f t="shared" si="28"/>
        <v>2</v>
      </c>
      <c r="F892">
        <f t="shared" si="27"/>
        <v>37</v>
      </c>
    </row>
    <row r="893" spans="1:6" hidden="1" x14ac:dyDescent="0.35">
      <c r="A893" s="11">
        <v>49532</v>
      </c>
      <c r="B893" s="12" t="s">
        <v>10</v>
      </c>
      <c r="C893" s="13">
        <v>19.100000000000001</v>
      </c>
      <c r="D893" s="14">
        <v>0</v>
      </c>
      <c r="E893">
        <f t="shared" si="28"/>
        <v>3</v>
      </c>
      <c r="F893">
        <f t="shared" si="27"/>
        <v>56.1</v>
      </c>
    </row>
    <row r="894" spans="1:6" hidden="1" x14ac:dyDescent="0.35">
      <c r="A894" s="7">
        <v>49533</v>
      </c>
      <c r="B894" s="8" t="s">
        <v>19</v>
      </c>
      <c r="C894" s="9">
        <v>24.6</v>
      </c>
      <c r="D894" s="10">
        <v>12.3</v>
      </c>
      <c r="E894">
        <f t="shared" si="28"/>
        <v>4</v>
      </c>
      <c r="F894">
        <f t="shared" si="27"/>
        <v>80.7</v>
      </c>
    </row>
    <row r="895" spans="1:6" hidden="1" x14ac:dyDescent="0.35">
      <c r="A895" s="11">
        <v>49534</v>
      </c>
      <c r="B895" s="12" t="s">
        <v>10</v>
      </c>
      <c r="C895" s="13">
        <v>18.7</v>
      </c>
      <c r="D895" s="14">
        <v>17.8</v>
      </c>
      <c r="E895">
        <f t="shared" si="28"/>
        <v>5</v>
      </c>
      <c r="F895">
        <f t="shared" si="27"/>
        <v>99.4</v>
      </c>
    </row>
    <row r="896" spans="1:6" hidden="1" x14ac:dyDescent="0.35">
      <c r="A896" s="7">
        <v>49535</v>
      </c>
      <c r="B896" s="8" t="s">
        <v>9</v>
      </c>
      <c r="C896" s="9">
        <v>13.2</v>
      </c>
      <c r="D896" s="10">
        <v>3.2</v>
      </c>
      <c r="E896">
        <f t="shared" si="28"/>
        <v>6</v>
      </c>
      <c r="F896">
        <f t="shared" si="27"/>
        <v>112.60000000000001</v>
      </c>
    </row>
    <row r="897" spans="1:6" hidden="1" x14ac:dyDescent="0.35">
      <c r="A897" s="11">
        <v>49536</v>
      </c>
      <c r="B897" s="12" t="s">
        <v>12</v>
      </c>
      <c r="C897" s="13">
        <v>24.8</v>
      </c>
      <c r="D897" s="14">
        <v>2.2999999999999998</v>
      </c>
      <c r="E897">
        <f t="shared" si="28"/>
        <v>7</v>
      </c>
      <c r="F897">
        <f t="shared" si="27"/>
        <v>137.4</v>
      </c>
    </row>
    <row r="898" spans="1:6" hidden="1" x14ac:dyDescent="0.35">
      <c r="A898" s="7">
        <v>49537</v>
      </c>
      <c r="B898" s="8" t="s">
        <v>15</v>
      </c>
      <c r="C898" s="9">
        <v>19.3</v>
      </c>
      <c r="D898" s="10">
        <v>1.8</v>
      </c>
      <c r="E898">
        <f t="shared" si="28"/>
        <v>1</v>
      </c>
      <c r="F898">
        <f t="shared" si="27"/>
        <v>19.3</v>
      </c>
    </row>
    <row r="899" spans="1:6" hidden="1" x14ac:dyDescent="0.35">
      <c r="A899" s="11">
        <v>49538</v>
      </c>
      <c r="B899" s="12" t="s">
        <v>18</v>
      </c>
      <c r="C899" s="13">
        <v>22.7</v>
      </c>
      <c r="D899" s="14">
        <v>0</v>
      </c>
      <c r="E899">
        <f t="shared" si="28"/>
        <v>2</v>
      </c>
      <c r="F899">
        <f t="shared" si="27"/>
        <v>42</v>
      </c>
    </row>
    <row r="900" spans="1:6" hidden="1" x14ac:dyDescent="0.35">
      <c r="A900" s="7">
        <v>49539</v>
      </c>
      <c r="B900" s="8" t="s">
        <v>11</v>
      </c>
      <c r="C900" s="9">
        <v>15.2</v>
      </c>
      <c r="D900" s="10">
        <v>0</v>
      </c>
      <c r="E900">
        <f t="shared" si="28"/>
        <v>3</v>
      </c>
      <c r="F900">
        <f t="shared" ref="F900:F963" si="29">IF(E899=7,C900,C900+F899)</f>
        <v>57.2</v>
      </c>
    </row>
    <row r="901" spans="1:6" hidden="1" x14ac:dyDescent="0.35">
      <c r="A901" s="11">
        <v>49540</v>
      </c>
      <c r="B901" s="12" t="s">
        <v>23</v>
      </c>
      <c r="C901" s="13">
        <v>28.6</v>
      </c>
      <c r="D901" s="14">
        <v>0.2</v>
      </c>
      <c r="E901">
        <f t="shared" si="28"/>
        <v>4</v>
      </c>
      <c r="F901">
        <f t="shared" si="29"/>
        <v>85.800000000000011</v>
      </c>
    </row>
    <row r="902" spans="1:6" hidden="1" x14ac:dyDescent="0.35">
      <c r="A902" s="7">
        <v>49541</v>
      </c>
      <c r="B902" s="8" t="s">
        <v>7</v>
      </c>
      <c r="C902" s="9">
        <v>17.899999999999999</v>
      </c>
      <c r="D902" s="10">
        <v>18.600000000000001</v>
      </c>
      <c r="E902">
        <f t="shared" si="28"/>
        <v>5</v>
      </c>
      <c r="F902">
        <f t="shared" si="29"/>
        <v>103.70000000000002</v>
      </c>
    </row>
    <row r="903" spans="1:6" hidden="1" x14ac:dyDescent="0.35">
      <c r="A903" s="11">
        <v>49542</v>
      </c>
      <c r="B903" s="12" t="s">
        <v>31</v>
      </c>
      <c r="C903" s="13">
        <v>11.6</v>
      </c>
      <c r="D903" s="14">
        <v>0</v>
      </c>
      <c r="E903">
        <f t="shared" si="28"/>
        <v>6</v>
      </c>
      <c r="F903">
        <f t="shared" si="29"/>
        <v>115.30000000000001</v>
      </c>
    </row>
    <row r="904" spans="1:6" hidden="1" x14ac:dyDescent="0.35">
      <c r="A904" s="7">
        <v>49543</v>
      </c>
      <c r="B904" s="8" t="s">
        <v>21</v>
      </c>
      <c r="C904" s="9">
        <v>19</v>
      </c>
      <c r="D904" s="10">
        <v>2.2000000000000002</v>
      </c>
      <c r="E904">
        <f t="shared" si="28"/>
        <v>7</v>
      </c>
      <c r="F904">
        <f t="shared" si="29"/>
        <v>134.30000000000001</v>
      </c>
    </row>
    <row r="905" spans="1:6" hidden="1" x14ac:dyDescent="0.35">
      <c r="A905" s="11">
        <v>49544</v>
      </c>
      <c r="B905" s="12" t="s">
        <v>12</v>
      </c>
      <c r="C905" s="13">
        <v>17.600000000000001</v>
      </c>
      <c r="D905" s="14">
        <v>7.2</v>
      </c>
      <c r="E905">
        <f t="shared" si="28"/>
        <v>1</v>
      </c>
      <c r="F905">
        <f t="shared" si="29"/>
        <v>17.600000000000001</v>
      </c>
    </row>
    <row r="906" spans="1:6" hidden="1" x14ac:dyDescent="0.35">
      <c r="A906" s="7">
        <v>49545</v>
      </c>
      <c r="B906" s="8" t="s">
        <v>7</v>
      </c>
      <c r="C906" s="9">
        <v>12.1</v>
      </c>
      <c r="D906" s="10">
        <v>7.2</v>
      </c>
      <c r="E906">
        <f t="shared" ref="E906:E969" si="30">IF(E905=7,1,E905+1)</f>
        <v>2</v>
      </c>
      <c r="F906">
        <f t="shared" si="29"/>
        <v>29.700000000000003</v>
      </c>
    </row>
    <row r="907" spans="1:6" hidden="1" x14ac:dyDescent="0.35">
      <c r="A907" s="11">
        <v>49546</v>
      </c>
      <c r="B907" s="12" t="s">
        <v>13</v>
      </c>
      <c r="C907" s="13">
        <v>28.3</v>
      </c>
      <c r="D907" s="14">
        <v>1.8</v>
      </c>
      <c r="E907">
        <f t="shared" si="30"/>
        <v>3</v>
      </c>
      <c r="F907">
        <f t="shared" si="29"/>
        <v>58</v>
      </c>
    </row>
    <row r="908" spans="1:6" hidden="1" x14ac:dyDescent="0.35">
      <c r="A908" s="7">
        <v>49547</v>
      </c>
      <c r="B908" s="8" t="s">
        <v>18</v>
      </c>
      <c r="C908" s="9">
        <v>13.3</v>
      </c>
      <c r="D908" s="10">
        <v>0</v>
      </c>
      <c r="E908">
        <f t="shared" si="30"/>
        <v>4</v>
      </c>
      <c r="F908">
        <f t="shared" si="29"/>
        <v>71.3</v>
      </c>
    </row>
    <row r="909" spans="1:6" hidden="1" x14ac:dyDescent="0.35">
      <c r="A909" s="11">
        <v>49548</v>
      </c>
      <c r="B909" s="12" t="s">
        <v>11</v>
      </c>
      <c r="C909" s="13">
        <v>21</v>
      </c>
      <c r="D909" s="14">
        <v>4.2</v>
      </c>
      <c r="E909">
        <f t="shared" si="30"/>
        <v>5</v>
      </c>
      <c r="F909">
        <f t="shared" si="29"/>
        <v>92.3</v>
      </c>
    </row>
    <row r="910" spans="1:6" hidden="1" x14ac:dyDescent="0.35">
      <c r="A910" s="7">
        <v>49549</v>
      </c>
      <c r="B910" s="8" t="s">
        <v>10</v>
      </c>
      <c r="C910" s="9">
        <v>12</v>
      </c>
      <c r="D910" s="10">
        <v>2.2000000000000002</v>
      </c>
      <c r="E910">
        <f t="shared" si="30"/>
        <v>6</v>
      </c>
      <c r="F910">
        <f t="shared" si="29"/>
        <v>104.3</v>
      </c>
    </row>
    <row r="911" spans="1:6" hidden="1" x14ac:dyDescent="0.35">
      <c r="A911" s="11">
        <v>49550</v>
      </c>
      <c r="B911" s="12" t="s">
        <v>19</v>
      </c>
      <c r="C911" s="13">
        <v>12.1</v>
      </c>
      <c r="D911" s="14">
        <v>0</v>
      </c>
      <c r="E911">
        <f t="shared" si="30"/>
        <v>7</v>
      </c>
      <c r="F911">
        <f t="shared" si="29"/>
        <v>116.39999999999999</v>
      </c>
    </row>
    <row r="912" spans="1:6" hidden="1" x14ac:dyDescent="0.35">
      <c r="A912" s="7">
        <v>49551</v>
      </c>
      <c r="B912" s="8" t="s">
        <v>11</v>
      </c>
      <c r="C912" s="9">
        <v>15.8</v>
      </c>
      <c r="D912" s="10">
        <v>17.2</v>
      </c>
      <c r="E912">
        <f t="shared" si="30"/>
        <v>1</v>
      </c>
      <c r="F912">
        <f t="shared" si="29"/>
        <v>15.8</v>
      </c>
    </row>
    <row r="913" spans="1:6" hidden="1" x14ac:dyDescent="0.35">
      <c r="A913" s="11">
        <v>49552</v>
      </c>
      <c r="B913" s="12" t="s">
        <v>12</v>
      </c>
      <c r="C913" s="13">
        <v>25.7</v>
      </c>
      <c r="D913" s="14">
        <v>5.9</v>
      </c>
      <c r="E913">
        <f t="shared" si="30"/>
        <v>2</v>
      </c>
      <c r="F913">
        <f t="shared" si="29"/>
        <v>41.5</v>
      </c>
    </row>
    <row r="914" spans="1:6" hidden="1" x14ac:dyDescent="0.35">
      <c r="A914" s="7">
        <v>49553</v>
      </c>
      <c r="B914" s="8" t="s">
        <v>10</v>
      </c>
      <c r="C914" s="9">
        <v>20.5</v>
      </c>
      <c r="D914" s="10">
        <v>26</v>
      </c>
      <c r="E914">
        <f t="shared" si="30"/>
        <v>3</v>
      </c>
      <c r="F914">
        <f t="shared" si="29"/>
        <v>62</v>
      </c>
    </row>
    <row r="915" spans="1:6" hidden="1" x14ac:dyDescent="0.35">
      <c r="A915" s="11">
        <v>49554</v>
      </c>
      <c r="B915" s="12" t="s">
        <v>13</v>
      </c>
      <c r="C915" s="13">
        <v>23.5</v>
      </c>
      <c r="D915" s="14">
        <v>15.3</v>
      </c>
      <c r="E915">
        <f t="shared" si="30"/>
        <v>4</v>
      </c>
      <c r="F915">
        <f t="shared" si="29"/>
        <v>85.5</v>
      </c>
    </row>
    <row r="916" spans="1:6" hidden="1" x14ac:dyDescent="0.35">
      <c r="A916" s="7">
        <v>49555</v>
      </c>
      <c r="B916" s="8" t="s">
        <v>12</v>
      </c>
      <c r="C916" s="9">
        <v>21.7</v>
      </c>
      <c r="D916" s="10">
        <v>1.2</v>
      </c>
      <c r="E916">
        <f t="shared" si="30"/>
        <v>5</v>
      </c>
      <c r="F916">
        <f t="shared" si="29"/>
        <v>107.2</v>
      </c>
    </row>
    <row r="917" spans="1:6" hidden="1" x14ac:dyDescent="0.35">
      <c r="A917" s="11">
        <v>49556</v>
      </c>
      <c r="B917" s="12" t="s">
        <v>10</v>
      </c>
      <c r="C917" s="13">
        <v>29.8</v>
      </c>
      <c r="D917" s="14">
        <v>0</v>
      </c>
      <c r="E917">
        <f t="shared" si="30"/>
        <v>6</v>
      </c>
      <c r="F917">
        <f t="shared" si="29"/>
        <v>137</v>
      </c>
    </row>
    <row r="918" spans="1:6" hidden="1" x14ac:dyDescent="0.35">
      <c r="A918" s="7">
        <v>49557</v>
      </c>
      <c r="B918" s="8" t="s">
        <v>7</v>
      </c>
      <c r="C918" s="9">
        <v>27.1</v>
      </c>
      <c r="D918" s="10">
        <v>0</v>
      </c>
      <c r="E918">
        <f t="shared" si="30"/>
        <v>7</v>
      </c>
      <c r="F918">
        <f t="shared" si="29"/>
        <v>164.1</v>
      </c>
    </row>
    <row r="919" spans="1:6" hidden="1" x14ac:dyDescent="0.35">
      <c r="A919" s="11">
        <v>49558</v>
      </c>
      <c r="B919" s="12" t="s">
        <v>12</v>
      </c>
      <c r="C919" s="13">
        <v>27.3</v>
      </c>
      <c r="D919" s="14">
        <v>0</v>
      </c>
      <c r="E919">
        <f t="shared" si="30"/>
        <v>1</v>
      </c>
      <c r="F919">
        <f t="shared" si="29"/>
        <v>27.3</v>
      </c>
    </row>
    <row r="920" spans="1:6" hidden="1" x14ac:dyDescent="0.35">
      <c r="A920" s="7">
        <v>49559</v>
      </c>
      <c r="B920" s="8" t="s">
        <v>19</v>
      </c>
      <c r="C920" s="9">
        <v>15.5</v>
      </c>
      <c r="D920" s="10">
        <v>27.6</v>
      </c>
      <c r="E920">
        <f t="shared" si="30"/>
        <v>2</v>
      </c>
      <c r="F920">
        <f t="shared" si="29"/>
        <v>42.8</v>
      </c>
    </row>
    <row r="921" spans="1:6" hidden="1" x14ac:dyDescent="0.35">
      <c r="A921" s="11">
        <v>49560</v>
      </c>
      <c r="B921" s="12" t="s">
        <v>13</v>
      </c>
      <c r="C921" s="13">
        <v>27.9</v>
      </c>
      <c r="D921" s="14">
        <v>5.0999999999999996</v>
      </c>
      <c r="E921">
        <f t="shared" si="30"/>
        <v>3</v>
      </c>
      <c r="F921">
        <f t="shared" si="29"/>
        <v>70.699999999999989</v>
      </c>
    </row>
    <row r="922" spans="1:6" hidden="1" x14ac:dyDescent="0.35">
      <c r="A922" s="7">
        <v>49561</v>
      </c>
      <c r="B922" s="8" t="s">
        <v>10</v>
      </c>
      <c r="C922" s="9">
        <v>19.7</v>
      </c>
      <c r="D922" s="10">
        <v>21.4</v>
      </c>
      <c r="E922">
        <f t="shared" si="30"/>
        <v>4</v>
      </c>
      <c r="F922">
        <f t="shared" si="29"/>
        <v>90.399999999999991</v>
      </c>
    </row>
    <row r="923" spans="1:6" hidden="1" x14ac:dyDescent="0.35">
      <c r="A923" s="11">
        <v>49562</v>
      </c>
      <c r="B923" s="12" t="s">
        <v>10</v>
      </c>
      <c r="C923" s="13">
        <v>27.8</v>
      </c>
      <c r="D923" s="14">
        <v>27.6</v>
      </c>
      <c r="E923">
        <f t="shared" si="30"/>
        <v>5</v>
      </c>
      <c r="F923">
        <f t="shared" si="29"/>
        <v>118.19999999999999</v>
      </c>
    </row>
    <row r="924" spans="1:6" hidden="1" x14ac:dyDescent="0.35">
      <c r="A924" s="7">
        <v>49563</v>
      </c>
      <c r="B924" s="8" t="s">
        <v>22</v>
      </c>
      <c r="C924" s="9">
        <v>12.3</v>
      </c>
      <c r="D924" s="10">
        <v>2.9</v>
      </c>
      <c r="E924">
        <f t="shared" si="30"/>
        <v>6</v>
      </c>
      <c r="F924">
        <f t="shared" si="29"/>
        <v>130.5</v>
      </c>
    </row>
    <row r="925" spans="1:6" hidden="1" x14ac:dyDescent="0.35">
      <c r="A925" s="11">
        <v>49564</v>
      </c>
      <c r="B925" s="12" t="s">
        <v>18</v>
      </c>
      <c r="C925" s="13">
        <v>12.8</v>
      </c>
      <c r="D925" s="14">
        <v>8.8000000000000007</v>
      </c>
      <c r="E925">
        <f t="shared" si="30"/>
        <v>7</v>
      </c>
      <c r="F925">
        <f t="shared" si="29"/>
        <v>143.30000000000001</v>
      </c>
    </row>
    <row r="926" spans="1:6" hidden="1" x14ac:dyDescent="0.35">
      <c r="A926" s="7">
        <v>49565</v>
      </c>
      <c r="B926" s="8" t="s">
        <v>10</v>
      </c>
      <c r="C926" s="9">
        <v>15</v>
      </c>
      <c r="D926" s="10">
        <v>0</v>
      </c>
      <c r="E926">
        <f t="shared" si="30"/>
        <v>1</v>
      </c>
      <c r="F926">
        <f t="shared" si="29"/>
        <v>15</v>
      </c>
    </row>
    <row r="927" spans="1:6" hidden="1" x14ac:dyDescent="0.35">
      <c r="A927" s="11">
        <v>49566</v>
      </c>
      <c r="B927" s="12" t="s">
        <v>23</v>
      </c>
      <c r="C927" s="13">
        <v>27.6</v>
      </c>
      <c r="D927" s="14">
        <v>4.7</v>
      </c>
      <c r="E927">
        <f t="shared" si="30"/>
        <v>2</v>
      </c>
      <c r="F927">
        <f t="shared" si="29"/>
        <v>42.6</v>
      </c>
    </row>
    <row r="928" spans="1:6" hidden="1" x14ac:dyDescent="0.35">
      <c r="A928" s="7">
        <v>49567</v>
      </c>
      <c r="B928" s="8" t="s">
        <v>10</v>
      </c>
      <c r="C928" s="9">
        <v>19.600000000000001</v>
      </c>
      <c r="D928" s="10">
        <v>0</v>
      </c>
      <c r="E928">
        <f t="shared" si="30"/>
        <v>3</v>
      </c>
      <c r="F928">
        <f t="shared" si="29"/>
        <v>62.2</v>
      </c>
    </row>
    <row r="929" spans="1:6" hidden="1" x14ac:dyDescent="0.35">
      <c r="A929" s="11">
        <v>49568</v>
      </c>
      <c r="B929" s="12" t="s">
        <v>30</v>
      </c>
      <c r="C929" s="13">
        <v>16</v>
      </c>
      <c r="D929" s="14">
        <v>0.4</v>
      </c>
      <c r="E929">
        <f t="shared" si="30"/>
        <v>4</v>
      </c>
      <c r="F929">
        <f t="shared" si="29"/>
        <v>78.2</v>
      </c>
    </row>
    <row r="930" spans="1:6" hidden="1" x14ac:dyDescent="0.35">
      <c r="A930" s="7">
        <v>49569</v>
      </c>
      <c r="B930" s="8" t="s">
        <v>10</v>
      </c>
      <c r="C930" s="9">
        <v>10.3</v>
      </c>
      <c r="D930" s="10">
        <v>0</v>
      </c>
      <c r="E930">
        <f t="shared" si="30"/>
        <v>5</v>
      </c>
      <c r="F930">
        <f t="shared" si="29"/>
        <v>88.5</v>
      </c>
    </row>
    <row r="931" spans="1:6" hidden="1" x14ac:dyDescent="0.35">
      <c r="A931" s="11">
        <v>49570</v>
      </c>
      <c r="B931" s="12" t="s">
        <v>18</v>
      </c>
      <c r="C931" s="13">
        <v>20.2</v>
      </c>
      <c r="D931" s="14">
        <v>13.9</v>
      </c>
      <c r="E931">
        <f t="shared" si="30"/>
        <v>6</v>
      </c>
      <c r="F931">
        <f t="shared" si="29"/>
        <v>108.7</v>
      </c>
    </row>
    <row r="932" spans="1:6" hidden="1" x14ac:dyDescent="0.35">
      <c r="A932" s="7">
        <v>49571</v>
      </c>
      <c r="B932" s="8" t="s">
        <v>26</v>
      </c>
      <c r="C932" s="9">
        <v>26.4</v>
      </c>
      <c r="D932" s="10">
        <v>6.8</v>
      </c>
      <c r="E932">
        <f t="shared" si="30"/>
        <v>7</v>
      </c>
      <c r="F932">
        <f t="shared" si="29"/>
        <v>135.1</v>
      </c>
    </row>
    <row r="933" spans="1:6" hidden="1" x14ac:dyDescent="0.35">
      <c r="A933" s="11">
        <v>49572</v>
      </c>
      <c r="B933" s="12" t="s">
        <v>17</v>
      </c>
      <c r="C933" s="13">
        <v>20.6</v>
      </c>
      <c r="D933" s="14">
        <v>0</v>
      </c>
      <c r="E933">
        <f t="shared" si="30"/>
        <v>1</v>
      </c>
      <c r="F933">
        <f t="shared" si="29"/>
        <v>20.6</v>
      </c>
    </row>
    <row r="934" spans="1:6" hidden="1" x14ac:dyDescent="0.35">
      <c r="A934" s="7">
        <v>49573</v>
      </c>
      <c r="B934" s="8" t="s">
        <v>19</v>
      </c>
      <c r="C934" s="9">
        <v>12.3</v>
      </c>
      <c r="D934" s="10">
        <v>0.2</v>
      </c>
      <c r="E934">
        <f t="shared" si="30"/>
        <v>2</v>
      </c>
      <c r="F934">
        <f t="shared" si="29"/>
        <v>32.900000000000006</v>
      </c>
    </row>
    <row r="935" spans="1:6" hidden="1" x14ac:dyDescent="0.35">
      <c r="A935" s="11">
        <v>49574</v>
      </c>
      <c r="B935" s="12" t="s">
        <v>19</v>
      </c>
      <c r="C935" s="13">
        <v>11.2</v>
      </c>
      <c r="D935" s="14">
        <v>36.200000000000003</v>
      </c>
      <c r="E935">
        <f t="shared" si="30"/>
        <v>3</v>
      </c>
      <c r="F935">
        <f t="shared" si="29"/>
        <v>44.100000000000009</v>
      </c>
    </row>
    <row r="936" spans="1:6" hidden="1" x14ac:dyDescent="0.35">
      <c r="A936" s="7">
        <v>49575</v>
      </c>
      <c r="B936" s="8" t="s">
        <v>8</v>
      </c>
      <c r="C936" s="9">
        <v>22.6</v>
      </c>
      <c r="D936" s="10">
        <v>2.4</v>
      </c>
      <c r="E936">
        <f t="shared" si="30"/>
        <v>4</v>
      </c>
      <c r="F936">
        <f t="shared" si="29"/>
        <v>66.700000000000017</v>
      </c>
    </row>
    <row r="937" spans="1:6" hidden="1" x14ac:dyDescent="0.35">
      <c r="A937" s="11">
        <v>49576</v>
      </c>
      <c r="B937" s="12" t="s">
        <v>25</v>
      </c>
      <c r="C937" s="13">
        <v>16.399999999999999</v>
      </c>
      <c r="D937" s="14">
        <v>0.1</v>
      </c>
      <c r="E937">
        <f t="shared" si="30"/>
        <v>5</v>
      </c>
      <c r="F937">
        <f t="shared" si="29"/>
        <v>83.100000000000023</v>
      </c>
    </row>
    <row r="938" spans="1:6" hidden="1" x14ac:dyDescent="0.35">
      <c r="A938" s="7">
        <v>49577</v>
      </c>
      <c r="B938" s="8" t="s">
        <v>27</v>
      </c>
      <c r="C938" s="9">
        <v>23.4</v>
      </c>
      <c r="D938" s="10">
        <v>0</v>
      </c>
      <c r="E938">
        <f t="shared" si="30"/>
        <v>6</v>
      </c>
      <c r="F938">
        <f t="shared" si="29"/>
        <v>106.50000000000003</v>
      </c>
    </row>
    <row r="939" spans="1:6" hidden="1" x14ac:dyDescent="0.35">
      <c r="A939" s="11">
        <v>49578</v>
      </c>
      <c r="B939" s="12" t="s">
        <v>23</v>
      </c>
      <c r="C939" s="13">
        <v>20.2</v>
      </c>
      <c r="D939" s="14">
        <v>0.3</v>
      </c>
      <c r="E939">
        <f t="shared" si="30"/>
        <v>7</v>
      </c>
      <c r="F939">
        <f t="shared" si="29"/>
        <v>126.70000000000003</v>
      </c>
    </row>
    <row r="940" spans="1:6" hidden="1" x14ac:dyDescent="0.35">
      <c r="A940" s="7">
        <v>49579</v>
      </c>
      <c r="B940" s="8" t="s">
        <v>11</v>
      </c>
      <c r="C940" s="9">
        <v>17.600000000000001</v>
      </c>
      <c r="D940" s="10">
        <v>15</v>
      </c>
      <c r="E940">
        <f t="shared" si="30"/>
        <v>1</v>
      </c>
      <c r="F940">
        <f t="shared" si="29"/>
        <v>17.600000000000001</v>
      </c>
    </row>
    <row r="941" spans="1:6" hidden="1" x14ac:dyDescent="0.35">
      <c r="A941" s="11">
        <v>49580</v>
      </c>
      <c r="B941" s="12" t="s">
        <v>10</v>
      </c>
      <c r="C941" s="13">
        <v>21.7</v>
      </c>
      <c r="D941" s="14">
        <v>33.299999999999997</v>
      </c>
      <c r="E941">
        <f t="shared" si="30"/>
        <v>2</v>
      </c>
      <c r="F941">
        <f t="shared" si="29"/>
        <v>39.299999999999997</v>
      </c>
    </row>
    <row r="942" spans="1:6" hidden="1" x14ac:dyDescent="0.35">
      <c r="A942" s="7">
        <v>49581</v>
      </c>
      <c r="B942" s="8" t="s">
        <v>10</v>
      </c>
      <c r="C942" s="9">
        <v>18.399999999999999</v>
      </c>
      <c r="D942" s="10">
        <v>19.3</v>
      </c>
      <c r="E942">
        <f t="shared" si="30"/>
        <v>3</v>
      </c>
      <c r="F942">
        <f t="shared" si="29"/>
        <v>57.699999999999996</v>
      </c>
    </row>
    <row r="943" spans="1:6" hidden="1" x14ac:dyDescent="0.35">
      <c r="A943" s="11">
        <v>49582</v>
      </c>
      <c r="B943" s="12" t="s">
        <v>7</v>
      </c>
      <c r="C943" s="13">
        <v>20.100000000000001</v>
      </c>
      <c r="D943" s="14">
        <v>15.4</v>
      </c>
      <c r="E943">
        <f t="shared" si="30"/>
        <v>4</v>
      </c>
      <c r="F943">
        <f t="shared" si="29"/>
        <v>77.8</v>
      </c>
    </row>
    <row r="944" spans="1:6" hidden="1" x14ac:dyDescent="0.35">
      <c r="A944" s="7">
        <v>49583</v>
      </c>
      <c r="B944" s="8" t="s">
        <v>18</v>
      </c>
      <c r="C944" s="9">
        <v>16.5</v>
      </c>
      <c r="D944" s="10">
        <v>14.7</v>
      </c>
      <c r="E944">
        <f t="shared" si="30"/>
        <v>5</v>
      </c>
      <c r="F944">
        <f t="shared" si="29"/>
        <v>94.3</v>
      </c>
    </row>
    <row r="945" spans="1:6" hidden="1" x14ac:dyDescent="0.35">
      <c r="A945" s="11">
        <v>49584</v>
      </c>
      <c r="B945" s="12" t="s">
        <v>10</v>
      </c>
      <c r="C945" s="13">
        <v>12.3</v>
      </c>
      <c r="D945" s="14">
        <v>30.2</v>
      </c>
      <c r="E945">
        <f t="shared" si="30"/>
        <v>6</v>
      </c>
      <c r="F945">
        <f t="shared" si="29"/>
        <v>106.6</v>
      </c>
    </row>
    <row r="946" spans="1:6" hidden="1" x14ac:dyDescent="0.35">
      <c r="A946" s="7">
        <v>49585</v>
      </c>
      <c r="B946" s="8" t="s">
        <v>10</v>
      </c>
      <c r="C946" s="9">
        <v>29.6</v>
      </c>
      <c r="D946" s="10">
        <v>42.8</v>
      </c>
      <c r="E946">
        <f t="shared" si="30"/>
        <v>7</v>
      </c>
      <c r="F946">
        <f t="shared" si="29"/>
        <v>136.19999999999999</v>
      </c>
    </row>
    <row r="947" spans="1:6" hidden="1" x14ac:dyDescent="0.35">
      <c r="A947" s="11">
        <v>49586</v>
      </c>
      <c r="B947" s="12" t="s">
        <v>12</v>
      </c>
      <c r="C947" s="13">
        <v>26.6</v>
      </c>
      <c r="D947" s="14">
        <v>9.1999999999999993</v>
      </c>
      <c r="E947">
        <f t="shared" si="30"/>
        <v>1</v>
      </c>
      <c r="F947">
        <f t="shared" si="29"/>
        <v>26.6</v>
      </c>
    </row>
    <row r="948" spans="1:6" hidden="1" x14ac:dyDescent="0.35">
      <c r="A948" s="7">
        <v>49587</v>
      </c>
      <c r="B948" s="8" t="s">
        <v>18</v>
      </c>
      <c r="C948" s="9">
        <v>26.7</v>
      </c>
      <c r="D948" s="10">
        <v>4</v>
      </c>
      <c r="E948">
        <f t="shared" si="30"/>
        <v>2</v>
      </c>
      <c r="F948">
        <f t="shared" si="29"/>
        <v>53.3</v>
      </c>
    </row>
    <row r="949" spans="1:6" hidden="1" x14ac:dyDescent="0.35">
      <c r="A949" s="11">
        <v>49588</v>
      </c>
      <c r="B949" s="12" t="s">
        <v>15</v>
      </c>
      <c r="C949" s="13">
        <v>23.6</v>
      </c>
      <c r="D949" s="14">
        <v>0</v>
      </c>
      <c r="E949">
        <f t="shared" si="30"/>
        <v>3</v>
      </c>
      <c r="F949">
        <f t="shared" si="29"/>
        <v>76.900000000000006</v>
      </c>
    </row>
    <row r="950" spans="1:6" hidden="1" x14ac:dyDescent="0.35">
      <c r="A950" s="7">
        <v>49589</v>
      </c>
      <c r="B950" s="8" t="s">
        <v>25</v>
      </c>
      <c r="C950" s="9">
        <v>13.6</v>
      </c>
      <c r="D950" s="10">
        <v>2.8</v>
      </c>
      <c r="E950">
        <f t="shared" si="30"/>
        <v>4</v>
      </c>
      <c r="F950">
        <f t="shared" si="29"/>
        <v>90.5</v>
      </c>
    </row>
    <row r="951" spans="1:6" hidden="1" x14ac:dyDescent="0.35">
      <c r="A951" s="11">
        <v>49590</v>
      </c>
      <c r="B951" s="12" t="s">
        <v>5</v>
      </c>
      <c r="C951" s="13">
        <v>13.8</v>
      </c>
      <c r="D951" s="14">
        <v>6.5</v>
      </c>
      <c r="E951">
        <f t="shared" si="30"/>
        <v>5</v>
      </c>
      <c r="F951">
        <f t="shared" si="29"/>
        <v>104.3</v>
      </c>
    </row>
    <row r="952" spans="1:6" hidden="1" x14ac:dyDescent="0.35">
      <c r="A952" s="7">
        <v>49591</v>
      </c>
      <c r="B952" s="8" t="s">
        <v>6</v>
      </c>
      <c r="C952" s="9">
        <v>12.3</v>
      </c>
      <c r="D952" s="10">
        <v>0</v>
      </c>
      <c r="E952">
        <f t="shared" si="30"/>
        <v>6</v>
      </c>
      <c r="F952">
        <f t="shared" si="29"/>
        <v>116.6</v>
      </c>
    </row>
    <row r="953" spans="1:6" hidden="1" x14ac:dyDescent="0.35">
      <c r="A953" s="11">
        <v>49592</v>
      </c>
      <c r="B953" s="12" t="s">
        <v>7</v>
      </c>
      <c r="C953" s="13">
        <v>12.3</v>
      </c>
      <c r="D953" s="14">
        <v>0</v>
      </c>
      <c r="E953">
        <f t="shared" si="30"/>
        <v>7</v>
      </c>
      <c r="F953">
        <f t="shared" si="29"/>
        <v>128.9</v>
      </c>
    </row>
    <row r="954" spans="1:6" hidden="1" x14ac:dyDescent="0.35">
      <c r="A954" s="7">
        <v>49593</v>
      </c>
      <c r="B954" s="8" t="s">
        <v>18</v>
      </c>
      <c r="C954" s="9">
        <v>22.7</v>
      </c>
      <c r="D954" s="10">
        <v>10.3</v>
      </c>
      <c r="E954">
        <f t="shared" si="30"/>
        <v>1</v>
      </c>
      <c r="F954">
        <f t="shared" si="29"/>
        <v>22.7</v>
      </c>
    </row>
    <row r="955" spans="1:6" hidden="1" x14ac:dyDescent="0.35">
      <c r="A955" s="11">
        <v>49594</v>
      </c>
      <c r="B955" s="12" t="s">
        <v>10</v>
      </c>
      <c r="C955" s="13">
        <v>19</v>
      </c>
      <c r="D955" s="14">
        <v>0</v>
      </c>
      <c r="E955">
        <f t="shared" si="30"/>
        <v>2</v>
      </c>
      <c r="F955">
        <f t="shared" si="29"/>
        <v>41.7</v>
      </c>
    </row>
    <row r="956" spans="1:6" hidden="1" x14ac:dyDescent="0.35">
      <c r="A956" s="7">
        <v>49595</v>
      </c>
      <c r="B956" s="8" t="s">
        <v>8</v>
      </c>
      <c r="C956" s="9">
        <v>23.4</v>
      </c>
      <c r="D956" s="10">
        <v>0</v>
      </c>
      <c r="E956">
        <f t="shared" si="30"/>
        <v>3</v>
      </c>
      <c r="F956">
        <f t="shared" si="29"/>
        <v>65.099999999999994</v>
      </c>
    </row>
    <row r="957" spans="1:6" hidden="1" x14ac:dyDescent="0.35">
      <c r="A957" s="11">
        <v>49596</v>
      </c>
      <c r="B957" s="12" t="s">
        <v>15</v>
      </c>
      <c r="C957" s="13">
        <v>28.2</v>
      </c>
      <c r="D957" s="14">
        <v>0</v>
      </c>
      <c r="E957">
        <f t="shared" si="30"/>
        <v>4</v>
      </c>
      <c r="F957">
        <f t="shared" si="29"/>
        <v>93.3</v>
      </c>
    </row>
    <row r="958" spans="1:6" hidden="1" x14ac:dyDescent="0.35">
      <c r="A958" s="7">
        <v>49597</v>
      </c>
      <c r="B958" s="8" t="s">
        <v>15</v>
      </c>
      <c r="C958" s="9">
        <v>20.100000000000001</v>
      </c>
      <c r="D958" s="10">
        <v>9.6999999999999993</v>
      </c>
      <c r="E958">
        <f t="shared" si="30"/>
        <v>5</v>
      </c>
      <c r="F958">
        <f t="shared" si="29"/>
        <v>113.4</v>
      </c>
    </row>
    <row r="959" spans="1:6" hidden="1" x14ac:dyDescent="0.35">
      <c r="A959" s="11">
        <v>49598</v>
      </c>
      <c r="B959" s="12" t="s">
        <v>17</v>
      </c>
      <c r="C959" s="13">
        <v>29.6</v>
      </c>
      <c r="D959" s="14">
        <v>0</v>
      </c>
      <c r="E959">
        <f t="shared" si="30"/>
        <v>6</v>
      </c>
      <c r="F959">
        <f t="shared" si="29"/>
        <v>143</v>
      </c>
    </row>
    <row r="960" spans="1:6" hidden="1" x14ac:dyDescent="0.35">
      <c r="A960" s="7">
        <v>49599</v>
      </c>
      <c r="B960" s="8" t="s">
        <v>7</v>
      </c>
      <c r="C960" s="9">
        <v>25.8</v>
      </c>
      <c r="D960" s="10">
        <v>0</v>
      </c>
      <c r="E960">
        <f t="shared" si="30"/>
        <v>7</v>
      </c>
      <c r="F960">
        <f t="shared" si="29"/>
        <v>168.8</v>
      </c>
    </row>
    <row r="961" spans="1:6" hidden="1" x14ac:dyDescent="0.35">
      <c r="A961" s="11">
        <v>49600</v>
      </c>
      <c r="B961" s="12" t="s">
        <v>10</v>
      </c>
      <c r="C961" s="13">
        <v>19.600000000000001</v>
      </c>
      <c r="D961" s="14">
        <v>18.5</v>
      </c>
      <c r="E961">
        <f t="shared" si="30"/>
        <v>1</v>
      </c>
      <c r="F961">
        <f t="shared" si="29"/>
        <v>19.600000000000001</v>
      </c>
    </row>
    <row r="962" spans="1:6" hidden="1" x14ac:dyDescent="0.35">
      <c r="A962" s="7">
        <v>49601</v>
      </c>
      <c r="B962" s="8" t="s">
        <v>19</v>
      </c>
      <c r="C962" s="9">
        <v>21.5</v>
      </c>
      <c r="D962" s="10">
        <v>3</v>
      </c>
      <c r="E962">
        <f t="shared" si="30"/>
        <v>2</v>
      </c>
      <c r="F962">
        <f t="shared" si="29"/>
        <v>41.1</v>
      </c>
    </row>
    <row r="963" spans="1:6" hidden="1" x14ac:dyDescent="0.35">
      <c r="A963" s="11">
        <v>49602</v>
      </c>
      <c r="B963" s="12" t="s">
        <v>15</v>
      </c>
      <c r="C963" s="13">
        <v>24.2</v>
      </c>
      <c r="D963" s="14">
        <v>17.399999999999999</v>
      </c>
      <c r="E963">
        <f t="shared" si="30"/>
        <v>3</v>
      </c>
      <c r="F963">
        <f t="shared" si="29"/>
        <v>65.3</v>
      </c>
    </row>
    <row r="964" spans="1:6" hidden="1" x14ac:dyDescent="0.35">
      <c r="A964" s="7">
        <v>49603</v>
      </c>
      <c r="B964" s="8" t="s">
        <v>27</v>
      </c>
      <c r="C964" s="9">
        <v>12</v>
      </c>
      <c r="D964" s="10">
        <v>0</v>
      </c>
      <c r="E964">
        <f t="shared" si="30"/>
        <v>4</v>
      </c>
      <c r="F964">
        <f t="shared" ref="F964:F1027" si="31">IF(E963=7,C964,C964+F963)</f>
        <v>77.3</v>
      </c>
    </row>
    <row r="965" spans="1:6" hidden="1" x14ac:dyDescent="0.35">
      <c r="A965" s="11">
        <v>49604</v>
      </c>
      <c r="B965" s="12" t="s">
        <v>33</v>
      </c>
      <c r="C965" s="13">
        <v>23</v>
      </c>
      <c r="D965" s="14">
        <v>0</v>
      </c>
      <c r="E965">
        <f t="shared" si="30"/>
        <v>5</v>
      </c>
      <c r="F965">
        <f t="shared" si="31"/>
        <v>100.3</v>
      </c>
    </row>
    <row r="966" spans="1:6" hidden="1" x14ac:dyDescent="0.35">
      <c r="A966" s="7">
        <v>49605</v>
      </c>
      <c r="B966" s="8" t="s">
        <v>19</v>
      </c>
      <c r="C966" s="9">
        <v>19.8</v>
      </c>
      <c r="D966" s="10">
        <v>29.2</v>
      </c>
      <c r="E966">
        <f t="shared" si="30"/>
        <v>6</v>
      </c>
      <c r="F966">
        <f t="shared" si="31"/>
        <v>120.1</v>
      </c>
    </row>
    <row r="967" spans="1:6" hidden="1" x14ac:dyDescent="0.35">
      <c r="A967" s="11">
        <v>49606</v>
      </c>
      <c r="B967" s="12" t="s">
        <v>5</v>
      </c>
      <c r="C967" s="13">
        <v>14.9</v>
      </c>
      <c r="D967" s="14">
        <v>0.8</v>
      </c>
      <c r="E967">
        <f t="shared" si="30"/>
        <v>7</v>
      </c>
      <c r="F967">
        <f t="shared" si="31"/>
        <v>135</v>
      </c>
    </row>
    <row r="968" spans="1:6" hidden="1" x14ac:dyDescent="0.35">
      <c r="A968" s="7">
        <v>49607</v>
      </c>
      <c r="B968" s="8" t="s">
        <v>15</v>
      </c>
      <c r="C968" s="9">
        <v>17.899999999999999</v>
      </c>
      <c r="D968" s="10">
        <v>10.3</v>
      </c>
      <c r="E968">
        <f t="shared" si="30"/>
        <v>1</v>
      </c>
      <c r="F968">
        <f t="shared" si="31"/>
        <v>17.899999999999999</v>
      </c>
    </row>
    <row r="969" spans="1:6" hidden="1" x14ac:dyDescent="0.35">
      <c r="A969" s="11">
        <v>49608</v>
      </c>
      <c r="B969" s="12" t="s">
        <v>7</v>
      </c>
      <c r="C969" s="13">
        <v>26</v>
      </c>
      <c r="D969" s="14">
        <v>0</v>
      </c>
      <c r="E969">
        <f t="shared" si="30"/>
        <v>2</v>
      </c>
      <c r="F969">
        <f t="shared" si="31"/>
        <v>43.9</v>
      </c>
    </row>
    <row r="970" spans="1:6" hidden="1" x14ac:dyDescent="0.35">
      <c r="A970" s="7">
        <v>49609</v>
      </c>
      <c r="B970" s="8" t="s">
        <v>12</v>
      </c>
      <c r="C970" s="9">
        <v>21.5</v>
      </c>
      <c r="D970" s="10">
        <v>9.3000000000000007</v>
      </c>
      <c r="E970">
        <f t="shared" ref="E970:E1033" si="32">IF(E969=7,1,E969+1)</f>
        <v>3</v>
      </c>
      <c r="F970">
        <f t="shared" si="31"/>
        <v>65.400000000000006</v>
      </c>
    </row>
    <row r="971" spans="1:6" hidden="1" x14ac:dyDescent="0.35">
      <c r="A971" s="11">
        <v>49610</v>
      </c>
      <c r="B971" s="12" t="s">
        <v>19</v>
      </c>
      <c r="C971" s="13">
        <v>29.9</v>
      </c>
      <c r="D971" s="14">
        <v>2.4</v>
      </c>
      <c r="E971">
        <f t="shared" si="32"/>
        <v>4</v>
      </c>
      <c r="F971">
        <f t="shared" si="31"/>
        <v>95.300000000000011</v>
      </c>
    </row>
    <row r="972" spans="1:6" hidden="1" x14ac:dyDescent="0.35">
      <c r="A972" s="7">
        <v>49611</v>
      </c>
      <c r="B972" s="8" t="s">
        <v>10</v>
      </c>
      <c r="C972" s="9">
        <v>12.3</v>
      </c>
      <c r="D972" s="10">
        <v>35.1</v>
      </c>
      <c r="E972">
        <f t="shared" si="32"/>
        <v>5</v>
      </c>
      <c r="F972">
        <f t="shared" si="31"/>
        <v>107.60000000000001</v>
      </c>
    </row>
    <row r="973" spans="1:6" hidden="1" x14ac:dyDescent="0.35">
      <c r="A973" s="11">
        <v>49612</v>
      </c>
      <c r="B973" s="12" t="s">
        <v>17</v>
      </c>
      <c r="C973" s="13">
        <v>21.7</v>
      </c>
      <c r="D973" s="14">
        <v>3.9</v>
      </c>
      <c r="E973">
        <f t="shared" si="32"/>
        <v>6</v>
      </c>
      <c r="F973">
        <f t="shared" si="31"/>
        <v>129.30000000000001</v>
      </c>
    </row>
    <row r="974" spans="1:6" hidden="1" x14ac:dyDescent="0.35">
      <c r="A974" s="7">
        <v>49613</v>
      </c>
      <c r="B974" s="8" t="s">
        <v>10</v>
      </c>
      <c r="C974" s="9">
        <v>10.7</v>
      </c>
      <c r="D974" s="10">
        <v>0</v>
      </c>
      <c r="E974">
        <f t="shared" si="32"/>
        <v>7</v>
      </c>
      <c r="F974">
        <f t="shared" si="31"/>
        <v>140</v>
      </c>
    </row>
    <row r="975" spans="1:6" hidden="1" x14ac:dyDescent="0.35">
      <c r="A975" s="11">
        <v>49614</v>
      </c>
      <c r="B975" s="12" t="s">
        <v>5</v>
      </c>
      <c r="C975" s="13">
        <v>21.5</v>
      </c>
      <c r="D975" s="14">
        <v>0</v>
      </c>
      <c r="E975">
        <f t="shared" si="32"/>
        <v>1</v>
      </c>
      <c r="F975">
        <f t="shared" si="31"/>
        <v>21.5</v>
      </c>
    </row>
    <row r="976" spans="1:6" hidden="1" x14ac:dyDescent="0.35">
      <c r="A976" s="7">
        <v>49615</v>
      </c>
      <c r="B976" s="8" t="s">
        <v>10</v>
      </c>
      <c r="C976" s="9">
        <v>26</v>
      </c>
      <c r="D976" s="10">
        <v>33.799999999999997</v>
      </c>
      <c r="E976">
        <f t="shared" si="32"/>
        <v>2</v>
      </c>
      <c r="F976">
        <f t="shared" si="31"/>
        <v>47.5</v>
      </c>
    </row>
    <row r="977" spans="1:6" hidden="1" x14ac:dyDescent="0.35">
      <c r="A977" s="11">
        <v>49616</v>
      </c>
      <c r="B977" s="12" t="s">
        <v>15</v>
      </c>
      <c r="C977" s="13">
        <v>24.4</v>
      </c>
      <c r="D977" s="14">
        <v>15.4</v>
      </c>
      <c r="E977">
        <f t="shared" si="32"/>
        <v>3</v>
      </c>
      <c r="F977">
        <f t="shared" si="31"/>
        <v>71.900000000000006</v>
      </c>
    </row>
    <row r="978" spans="1:6" hidden="1" x14ac:dyDescent="0.35">
      <c r="A978" s="7">
        <v>49617</v>
      </c>
      <c r="B978" s="8" t="s">
        <v>5</v>
      </c>
      <c r="C978" s="9">
        <v>20.8</v>
      </c>
      <c r="D978" s="10">
        <v>0</v>
      </c>
      <c r="E978">
        <f t="shared" si="32"/>
        <v>4</v>
      </c>
      <c r="F978">
        <f t="shared" si="31"/>
        <v>92.7</v>
      </c>
    </row>
    <row r="979" spans="1:6" hidden="1" x14ac:dyDescent="0.35">
      <c r="A979" s="11">
        <v>49618</v>
      </c>
      <c r="B979" s="12" t="s">
        <v>13</v>
      </c>
      <c r="C979" s="13">
        <v>18.2</v>
      </c>
      <c r="D979" s="14">
        <v>15.7</v>
      </c>
      <c r="E979">
        <f t="shared" si="32"/>
        <v>5</v>
      </c>
      <c r="F979">
        <f t="shared" si="31"/>
        <v>110.9</v>
      </c>
    </row>
    <row r="980" spans="1:6" hidden="1" x14ac:dyDescent="0.35">
      <c r="A980" s="7">
        <v>49619</v>
      </c>
      <c r="B980" s="8" t="s">
        <v>17</v>
      </c>
      <c r="C980" s="9">
        <v>25.6</v>
      </c>
      <c r="D980" s="10">
        <v>7</v>
      </c>
      <c r="E980">
        <f t="shared" si="32"/>
        <v>6</v>
      </c>
      <c r="F980">
        <f t="shared" si="31"/>
        <v>136.5</v>
      </c>
    </row>
    <row r="981" spans="1:6" hidden="1" x14ac:dyDescent="0.35">
      <c r="A981" s="11">
        <v>49620</v>
      </c>
      <c r="B981" s="12" t="s">
        <v>11</v>
      </c>
      <c r="C981" s="13">
        <v>25.2</v>
      </c>
      <c r="D981" s="14">
        <v>0</v>
      </c>
      <c r="E981">
        <f t="shared" si="32"/>
        <v>7</v>
      </c>
      <c r="F981">
        <f t="shared" si="31"/>
        <v>161.69999999999999</v>
      </c>
    </row>
    <row r="982" spans="1:6" hidden="1" x14ac:dyDescent="0.35">
      <c r="A982" s="7">
        <v>49621</v>
      </c>
      <c r="B982" s="8" t="s">
        <v>12</v>
      </c>
      <c r="C982" s="9">
        <v>19.5</v>
      </c>
      <c r="D982" s="10">
        <v>5.3</v>
      </c>
      <c r="E982">
        <f t="shared" si="32"/>
        <v>1</v>
      </c>
      <c r="F982">
        <f t="shared" si="31"/>
        <v>19.5</v>
      </c>
    </row>
    <row r="983" spans="1:6" hidden="1" x14ac:dyDescent="0.35">
      <c r="A983" s="11">
        <v>49622</v>
      </c>
      <c r="B983" s="12" t="s">
        <v>24</v>
      </c>
      <c r="C983" s="13">
        <v>15.2</v>
      </c>
      <c r="D983" s="14">
        <v>2.1</v>
      </c>
      <c r="E983">
        <f t="shared" si="32"/>
        <v>2</v>
      </c>
      <c r="F983">
        <f t="shared" si="31"/>
        <v>34.700000000000003</v>
      </c>
    </row>
    <row r="984" spans="1:6" hidden="1" x14ac:dyDescent="0.35">
      <c r="A984" s="7">
        <v>49623</v>
      </c>
      <c r="B984" s="8" t="s">
        <v>15</v>
      </c>
      <c r="C984" s="9">
        <v>21.3</v>
      </c>
      <c r="D984" s="10">
        <v>11.4</v>
      </c>
      <c r="E984">
        <f t="shared" si="32"/>
        <v>3</v>
      </c>
      <c r="F984">
        <f t="shared" si="31"/>
        <v>56</v>
      </c>
    </row>
    <row r="985" spans="1:6" hidden="1" x14ac:dyDescent="0.35">
      <c r="A985" s="11">
        <v>49624</v>
      </c>
      <c r="B985" s="12" t="s">
        <v>15</v>
      </c>
      <c r="C985" s="13">
        <v>21.8</v>
      </c>
      <c r="D985" s="14">
        <v>17.399999999999999</v>
      </c>
      <c r="E985">
        <f t="shared" si="32"/>
        <v>4</v>
      </c>
      <c r="F985">
        <f t="shared" si="31"/>
        <v>77.8</v>
      </c>
    </row>
    <row r="986" spans="1:6" hidden="1" x14ac:dyDescent="0.35">
      <c r="A986" s="7">
        <v>49625</v>
      </c>
      <c r="B986" s="8" t="s">
        <v>16</v>
      </c>
      <c r="C986" s="9">
        <v>27.7</v>
      </c>
      <c r="D986" s="10">
        <v>0.5</v>
      </c>
      <c r="E986">
        <f t="shared" si="32"/>
        <v>5</v>
      </c>
      <c r="F986">
        <f t="shared" si="31"/>
        <v>105.5</v>
      </c>
    </row>
    <row r="987" spans="1:6" hidden="1" x14ac:dyDescent="0.35">
      <c r="A987" s="11">
        <v>49626</v>
      </c>
      <c r="B987" s="12" t="s">
        <v>10</v>
      </c>
      <c r="C987" s="13">
        <v>28.5</v>
      </c>
      <c r="D987" s="14">
        <v>46</v>
      </c>
      <c r="E987">
        <f t="shared" si="32"/>
        <v>6</v>
      </c>
      <c r="F987">
        <f t="shared" si="31"/>
        <v>134</v>
      </c>
    </row>
    <row r="988" spans="1:6" hidden="1" x14ac:dyDescent="0.35">
      <c r="A988" s="7">
        <v>49627</v>
      </c>
      <c r="B988" s="8" t="s">
        <v>27</v>
      </c>
      <c r="C988" s="9">
        <v>25.7</v>
      </c>
      <c r="D988" s="10">
        <v>0</v>
      </c>
      <c r="E988">
        <f t="shared" si="32"/>
        <v>7</v>
      </c>
      <c r="F988">
        <f t="shared" si="31"/>
        <v>159.69999999999999</v>
      </c>
    </row>
    <row r="989" spans="1:6" hidden="1" x14ac:dyDescent="0.35">
      <c r="A989" s="11">
        <v>49628</v>
      </c>
      <c r="B989" s="12" t="s">
        <v>10</v>
      </c>
      <c r="C989" s="13">
        <v>18</v>
      </c>
      <c r="D989" s="14">
        <v>0.5</v>
      </c>
      <c r="E989">
        <f t="shared" si="32"/>
        <v>1</v>
      </c>
      <c r="F989">
        <f t="shared" si="31"/>
        <v>18</v>
      </c>
    </row>
    <row r="990" spans="1:6" hidden="1" x14ac:dyDescent="0.35">
      <c r="A990" s="7">
        <v>49629</v>
      </c>
      <c r="B990" s="8" t="s">
        <v>6</v>
      </c>
      <c r="C990" s="9">
        <v>29.5</v>
      </c>
      <c r="D990" s="10">
        <v>0</v>
      </c>
      <c r="E990">
        <f t="shared" si="32"/>
        <v>2</v>
      </c>
      <c r="F990">
        <f t="shared" si="31"/>
        <v>47.5</v>
      </c>
    </row>
    <row r="991" spans="1:6" hidden="1" x14ac:dyDescent="0.35">
      <c r="A991" s="11">
        <v>49630</v>
      </c>
      <c r="B991" s="12" t="s">
        <v>18</v>
      </c>
      <c r="C991" s="13">
        <v>21</v>
      </c>
      <c r="D991" s="14">
        <v>10.3</v>
      </c>
      <c r="E991">
        <f t="shared" si="32"/>
        <v>3</v>
      </c>
      <c r="F991">
        <f t="shared" si="31"/>
        <v>68.5</v>
      </c>
    </row>
    <row r="992" spans="1:6" hidden="1" x14ac:dyDescent="0.35">
      <c r="A992" s="7">
        <v>49631</v>
      </c>
      <c r="B992" s="8" t="s">
        <v>20</v>
      </c>
      <c r="C992" s="9">
        <v>11.4</v>
      </c>
      <c r="D992" s="10">
        <v>3.2</v>
      </c>
      <c r="E992">
        <f t="shared" si="32"/>
        <v>4</v>
      </c>
      <c r="F992">
        <f t="shared" si="31"/>
        <v>79.900000000000006</v>
      </c>
    </row>
    <row r="993" spans="1:6" hidden="1" x14ac:dyDescent="0.35">
      <c r="A993" s="11">
        <v>49632</v>
      </c>
      <c r="B993" s="12" t="s">
        <v>10</v>
      </c>
      <c r="C993" s="13">
        <v>12.7</v>
      </c>
      <c r="D993" s="14">
        <v>0</v>
      </c>
      <c r="E993">
        <f t="shared" si="32"/>
        <v>5</v>
      </c>
      <c r="F993">
        <f t="shared" si="31"/>
        <v>92.600000000000009</v>
      </c>
    </row>
    <row r="994" spans="1:6" hidden="1" x14ac:dyDescent="0.35">
      <c r="A994" s="7">
        <v>49633</v>
      </c>
      <c r="B994" s="8" t="s">
        <v>5</v>
      </c>
      <c r="C994" s="9">
        <v>14.1</v>
      </c>
      <c r="D994" s="10">
        <v>6.2</v>
      </c>
      <c r="E994">
        <f t="shared" si="32"/>
        <v>6</v>
      </c>
      <c r="F994">
        <f t="shared" si="31"/>
        <v>106.7</v>
      </c>
    </row>
    <row r="995" spans="1:6" hidden="1" x14ac:dyDescent="0.35">
      <c r="A995" s="11">
        <v>49634</v>
      </c>
      <c r="B995" s="12" t="s">
        <v>10</v>
      </c>
      <c r="C995" s="13">
        <v>29.5</v>
      </c>
      <c r="D995" s="14">
        <v>29.9</v>
      </c>
      <c r="E995">
        <f t="shared" si="32"/>
        <v>7</v>
      </c>
      <c r="F995">
        <f t="shared" si="31"/>
        <v>136.19999999999999</v>
      </c>
    </row>
    <row r="996" spans="1:6" hidden="1" x14ac:dyDescent="0.35">
      <c r="A996" s="7">
        <v>49635</v>
      </c>
      <c r="B996" s="8" t="s">
        <v>22</v>
      </c>
      <c r="C996" s="9">
        <v>18.399999999999999</v>
      </c>
      <c r="D996" s="10">
        <v>0</v>
      </c>
      <c r="E996">
        <f t="shared" si="32"/>
        <v>1</v>
      </c>
      <c r="F996">
        <f t="shared" si="31"/>
        <v>18.399999999999999</v>
      </c>
    </row>
    <row r="997" spans="1:6" hidden="1" x14ac:dyDescent="0.35">
      <c r="A997" s="11">
        <v>49636</v>
      </c>
      <c r="B997" s="12" t="s">
        <v>10</v>
      </c>
      <c r="C997" s="13">
        <v>29.6</v>
      </c>
      <c r="D997" s="14">
        <v>43.9</v>
      </c>
      <c r="E997">
        <f t="shared" si="32"/>
        <v>2</v>
      </c>
      <c r="F997">
        <f t="shared" si="31"/>
        <v>48</v>
      </c>
    </row>
    <row r="998" spans="1:6" hidden="1" x14ac:dyDescent="0.35">
      <c r="A998" s="7">
        <v>49637</v>
      </c>
      <c r="B998" s="8" t="s">
        <v>15</v>
      </c>
      <c r="C998" s="9">
        <v>22.6</v>
      </c>
      <c r="D998" s="10">
        <v>14.6</v>
      </c>
      <c r="E998">
        <f t="shared" si="32"/>
        <v>3</v>
      </c>
      <c r="F998">
        <f t="shared" si="31"/>
        <v>70.599999999999994</v>
      </c>
    </row>
    <row r="999" spans="1:6" hidden="1" x14ac:dyDescent="0.35">
      <c r="A999" s="11">
        <v>49638</v>
      </c>
      <c r="B999" s="12" t="s">
        <v>14</v>
      </c>
      <c r="C999" s="13">
        <v>13.2</v>
      </c>
      <c r="D999" s="14">
        <v>6.7</v>
      </c>
      <c r="E999">
        <f t="shared" si="32"/>
        <v>4</v>
      </c>
      <c r="F999">
        <f t="shared" si="31"/>
        <v>83.8</v>
      </c>
    </row>
    <row r="1000" spans="1:6" hidden="1" x14ac:dyDescent="0.35">
      <c r="A1000" s="7">
        <v>49639</v>
      </c>
      <c r="B1000" s="8" t="s">
        <v>6</v>
      </c>
      <c r="C1000" s="9">
        <v>10.4</v>
      </c>
      <c r="D1000" s="10">
        <v>8.5</v>
      </c>
      <c r="E1000">
        <f t="shared" si="32"/>
        <v>5</v>
      </c>
      <c r="F1000">
        <f t="shared" si="31"/>
        <v>94.2</v>
      </c>
    </row>
    <row r="1001" spans="1:6" hidden="1" x14ac:dyDescent="0.35">
      <c r="A1001" s="11">
        <v>49640</v>
      </c>
      <c r="B1001" s="12" t="s">
        <v>13</v>
      </c>
      <c r="C1001" s="13">
        <v>16.899999999999999</v>
      </c>
      <c r="D1001" s="14">
        <v>16.399999999999999</v>
      </c>
      <c r="E1001">
        <f t="shared" si="32"/>
        <v>6</v>
      </c>
      <c r="F1001">
        <f t="shared" si="31"/>
        <v>111.1</v>
      </c>
    </row>
    <row r="1002" spans="1:6" hidden="1" x14ac:dyDescent="0.35">
      <c r="A1002" s="7">
        <v>49641</v>
      </c>
      <c r="B1002" s="8" t="s">
        <v>15</v>
      </c>
      <c r="C1002" s="9">
        <v>19.399999999999999</v>
      </c>
      <c r="D1002" s="10">
        <v>0</v>
      </c>
      <c r="E1002">
        <f t="shared" si="32"/>
        <v>7</v>
      </c>
      <c r="F1002">
        <f t="shared" si="31"/>
        <v>130.5</v>
      </c>
    </row>
    <row r="1003" spans="1:6" hidden="1" x14ac:dyDescent="0.35">
      <c r="A1003" s="11">
        <v>49642</v>
      </c>
      <c r="B1003" s="12" t="s">
        <v>24</v>
      </c>
      <c r="C1003" s="13">
        <v>16.899999999999999</v>
      </c>
      <c r="D1003" s="14">
        <v>1</v>
      </c>
      <c r="E1003">
        <f t="shared" si="32"/>
        <v>1</v>
      </c>
      <c r="F1003">
        <f t="shared" si="31"/>
        <v>16.899999999999999</v>
      </c>
    </row>
    <row r="1004" spans="1:6" hidden="1" x14ac:dyDescent="0.35">
      <c r="A1004" s="7">
        <v>49643</v>
      </c>
      <c r="B1004" s="8" t="s">
        <v>10</v>
      </c>
      <c r="C1004" s="9">
        <v>18.399999999999999</v>
      </c>
      <c r="D1004" s="10">
        <v>0</v>
      </c>
      <c r="E1004">
        <f t="shared" si="32"/>
        <v>2</v>
      </c>
      <c r="F1004">
        <f t="shared" si="31"/>
        <v>35.299999999999997</v>
      </c>
    </row>
    <row r="1005" spans="1:6" hidden="1" x14ac:dyDescent="0.35">
      <c r="A1005" s="11">
        <v>49644</v>
      </c>
      <c r="B1005" s="12" t="s">
        <v>15</v>
      </c>
      <c r="C1005" s="13">
        <v>13.4</v>
      </c>
      <c r="D1005" s="14">
        <v>12.8</v>
      </c>
      <c r="E1005">
        <f t="shared" si="32"/>
        <v>3</v>
      </c>
      <c r="F1005">
        <f t="shared" si="31"/>
        <v>48.699999999999996</v>
      </c>
    </row>
    <row r="1006" spans="1:6" hidden="1" x14ac:dyDescent="0.35">
      <c r="A1006" s="7">
        <v>49645</v>
      </c>
      <c r="B1006" s="8" t="s">
        <v>7</v>
      </c>
      <c r="C1006" s="9">
        <v>28.8</v>
      </c>
      <c r="D1006" s="10">
        <v>0</v>
      </c>
      <c r="E1006">
        <f t="shared" si="32"/>
        <v>4</v>
      </c>
      <c r="F1006">
        <f t="shared" si="31"/>
        <v>77.5</v>
      </c>
    </row>
    <row r="1007" spans="1:6" hidden="1" x14ac:dyDescent="0.35">
      <c r="A1007" s="11">
        <v>49646</v>
      </c>
      <c r="B1007" s="12" t="s">
        <v>13</v>
      </c>
      <c r="C1007" s="13">
        <v>19.5</v>
      </c>
      <c r="D1007" s="14">
        <v>1.3</v>
      </c>
      <c r="E1007">
        <f t="shared" si="32"/>
        <v>5</v>
      </c>
      <c r="F1007">
        <f t="shared" si="31"/>
        <v>97</v>
      </c>
    </row>
    <row r="1008" spans="1:6" hidden="1" x14ac:dyDescent="0.35">
      <c r="A1008" s="7">
        <v>49647</v>
      </c>
      <c r="B1008" s="8" t="s">
        <v>11</v>
      </c>
      <c r="C1008" s="9">
        <v>29</v>
      </c>
      <c r="D1008" s="10">
        <v>14</v>
      </c>
      <c r="E1008">
        <f t="shared" si="32"/>
        <v>6</v>
      </c>
      <c r="F1008">
        <f t="shared" si="31"/>
        <v>126</v>
      </c>
    </row>
    <row r="1009" spans="1:6" hidden="1" x14ac:dyDescent="0.35">
      <c r="A1009" s="11">
        <v>49648</v>
      </c>
      <c r="B1009" s="12" t="s">
        <v>10</v>
      </c>
      <c r="C1009" s="13">
        <v>29.6</v>
      </c>
      <c r="D1009" s="14">
        <v>28.7</v>
      </c>
      <c r="E1009">
        <f t="shared" si="32"/>
        <v>7</v>
      </c>
      <c r="F1009">
        <f t="shared" si="31"/>
        <v>155.6</v>
      </c>
    </row>
    <row r="1010" spans="1:6" hidden="1" x14ac:dyDescent="0.35">
      <c r="A1010" s="7">
        <v>49649</v>
      </c>
      <c r="B1010" s="8" t="s">
        <v>6</v>
      </c>
      <c r="C1010" s="9">
        <v>26.5</v>
      </c>
      <c r="D1010" s="10">
        <v>0</v>
      </c>
      <c r="E1010">
        <f t="shared" si="32"/>
        <v>1</v>
      </c>
      <c r="F1010">
        <f t="shared" si="31"/>
        <v>26.5</v>
      </c>
    </row>
    <row r="1011" spans="1:6" hidden="1" x14ac:dyDescent="0.35">
      <c r="A1011" s="11">
        <v>49650</v>
      </c>
      <c r="B1011" s="12" t="s">
        <v>18</v>
      </c>
      <c r="C1011" s="13">
        <v>24.8</v>
      </c>
      <c r="D1011" s="14">
        <v>12.1</v>
      </c>
      <c r="E1011">
        <f t="shared" si="32"/>
        <v>2</v>
      </c>
      <c r="F1011">
        <f t="shared" si="31"/>
        <v>51.3</v>
      </c>
    </row>
    <row r="1012" spans="1:6" hidden="1" x14ac:dyDescent="0.35">
      <c r="A1012" s="7">
        <v>49651</v>
      </c>
      <c r="B1012" s="8" t="s">
        <v>10</v>
      </c>
      <c r="C1012" s="9">
        <v>20</v>
      </c>
      <c r="D1012" s="10">
        <v>14.7</v>
      </c>
      <c r="E1012">
        <f t="shared" si="32"/>
        <v>3</v>
      </c>
      <c r="F1012">
        <f t="shared" si="31"/>
        <v>71.3</v>
      </c>
    </row>
    <row r="1013" spans="1:6" hidden="1" x14ac:dyDescent="0.35">
      <c r="A1013" s="11">
        <v>49652</v>
      </c>
      <c r="B1013" s="12" t="s">
        <v>19</v>
      </c>
      <c r="C1013" s="13">
        <v>16.899999999999999</v>
      </c>
      <c r="D1013" s="14">
        <v>38.299999999999997</v>
      </c>
      <c r="E1013">
        <f t="shared" si="32"/>
        <v>4</v>
      </c>
      <c r="F1013">
        <f t="shared" si="31"/>
        <v>88.199999999999989</v>
      </c>
    </row>
    <row r="1014" spans="1:6" hidden="1" x14ac:dyDescent="0.35">
      <c r="A1014" s="7">
        <v>49653</v>
      </c>
      <c r="B1014" s="8" t="s">
        <v>10</v>
      </c>
      <c r="C1014" s="9">
        <v>11.5</v>
      </c>
      <c r="D1014" s="10">
        <v>24.7</v>
      </c>
      <c r="E1014">
        <f t="shared" si="32"/>
        <v>5</v>
      </c>
      <c r="F1014">
        <f t="shared" si="31"/>
        <v>99.699999999999989</v>
      </c>
    </row>
    <row r="1015" spans="1:6" hidden="1" x14ac:dyDescent="0.35">
      <c r="A1015" s="11">
        <v>49654</v>
      </c>
      <c r="B1015" s="12" t="s">
        <v>13</v>
      </c>
      <c r="C1015" s="13">
        <v>11.4</v>
      </c>
      <c r="D1015" s="14">
        <v>0</v>
      </c>
      <c r="E1015">
        <f t="shared" si="32"/>
        <v>6</v>
      </c>
      <c r="F1015">
        <f t="shared" si="31"/>
        <v>111.1</v>
      </c>
    </row>
    <row r="1016" spans="1:6" hidden="1" x14ac:dyDescent="0.35">
      <c r="A1016" s="7">
        <v>49655</v>
      </c>
      <c r="B1016" s="8" t="s">
        <v>6</v>
      </c>
      <c r="C1016" s="9">
        <v>28.5</v>
      </c>
      <c r="D1016" s="10">
        <v>0</v>
      </c>
      <c r="E1016">
        <f t="shared" si="32"/>
        <v>7</v>
      </c>
      <c r="F1016">
        <f t="shared" si="31"/>
        <v>139.6</v>
      </c>
    </row>
    <row r="1017" spans="1:6" hidden="1" x14ac:dyDescent="0.35">
      <c r="A1017" s="11">
        <v>49656</v>
      </c>
      <c r="B1017" s="12" t="s">
        <v>22</v>
      </c>
      <c r="C1017" s="13">
        <v>27.9</v>
      </c>
      <c r="D1017" s="14">
        <v>0.7</v>
      </c>
      <c r="E1017">
        <f t="shared" si="32"/>
        <v>1</v>
      </c>
      <c r="F1017">
        <f t="shared" si="31"/>
        <v>27.9</v>
      </c>
    </row>
    <row r="1018" spans="1:6" hidden="1" x14ac:dyDescent="0.35">
      <c r="A1018" s="7">
        <v>49657</v>
      </c>
      <c r="B1018" s="8" t="s">
        <v>7</v>
      </c>
      <c r="C1018" s="9">
        <v>26.7</v>
      </c>
      <c r="D1018" s="10">
        <v>15.5</v>
      </c>
      <c r="E1018">
        <f t="shared" si="32"/>
        <v>2</v>
      </c>
      <c r="F1018">
        <f t="shared" si="31"/>
        <v>54.599999999999994</v>
      </c>
    </row>
    <row r="1019" spans="1:6" hidden="1" x14ac:dyDescent="0.35">
      <c r="A1019" s="11">
        <v>49658</v>
      </c>
      <c r="B1019" s="12" t="s">
        <v>18</v>
      </c>
      <c r="C1019" s="13">
        <v>28.3</v>
      </c>
      <c r="D1019" s="14">
        <v>6.8</v>
      </c>
      <c r="E1019">
        <f t="shared" si="32"/>
        <v>3</v>
      </c>
      <c r="F1019">
        <f t="shared" si="31"/>
        <v>82.899999999999991</v>
      </c>
    </row>
    <row r="1020" spans="1:6" hidden="1" x14ac:dyDescent="0.35">
      <c r="A1020" s="7">
        <v>49659</v>
      </c>
      <c r="B1020" s="8" t="s">
        <v>10</v>
      </c>
      <c r="C1020" s="9">
        <v>28.9</v>
      </c>
      <c r="D1020" s="10">
        <v>0</v>
      </c>
      <c r="E1020">
        <f t="shared" si="32"/>
        <v>4</v>
      </c>
      <c r="F1020">
        <f t="shared" si="31"/>
        <v>111.79999999999998</v>
      </c>
    </row>
    <row r="1021" spans="1:6" hidden="1" x14ac:dyDescent="0.35">
      <c r="A1021" s="11">
        <v>49660</v>
      </c>
      <c r="B1021" s="12" t="s">
        <v>20</v>
      </c>
      <c r="C1021" s="13">
        <v>21.6</v>
      </c>
      <c r="D1021" s="14">
        <v>4</v>
      </c>
      <c r="E1021">
        <f t="shared" si="32"/>
        <v>5</v>
      </c>
      <c r="F1021">
        <f t="shared" si="31"/>
        <v>133.39999999999998</v>
      </c>
    </row>
    <row r="1022" spans="1:6" hidden="1" x14ac:dyDescent="0.35">
      <c r="A1022" s="7">
        <v>49661</v>
      </c>
      <c r="B1022" s="8" t="s">
        <v>23</v>
      </c>
      <c r="C1022" s="9">
        <v>16.5</v>
      </c>
      <c r="D1022" s="10">
        <v>4.2</v>
      </c>
      <c r="E1022">
        <f t="shared" si="32"/>
        <v>6</v>
      </c>
      <c r="F1022">
        <f t="shared" si="31"/>
        <v>149.89999999999998</v>
      </c>
    </row>
    <row r="1023" spans="1:6" x14ac:dyDescent="0.35">
      <c r="A1023" s="11">
        <v>49662</v>
      </c>
      <c r="B1023" s="12" t="s">
        <v>13</v>
      </c>
      <c r="C1023" s="13">
        <v>24.6</v>
      </c>
      <c r="D1023" s="14">
        <v>10.6</v>
      </c>
      <c r="E1023">
        <f t="shared" si="32"/>
        <v>7</v>
      </c>
      <c r="F1023">
        <f t="shared" si="31"/>
        <v>174.49999999999997</v>
      </c>
    </row>
    <row r="1024" spans="1:6" hidden="1" x14ac:dyDescent="0.35">
      <c r="A1024" s="7">
        <v>49663</v>
      </c>
      <c r="B1024" s="8" t="s">
        <v>10</v>
      </c>
      <c r="C1024" s="9">
        <v>28.9</v>
      </c>
      <c r="D1024" s="10">
        <v>40.799999999999997</v>
      </c>
      <c r="E1024">
        <f t="shared" si="32"/>
        <v>1</v>
      </c>
      <c r="F1024">
        <f t="shared" si="31"/>
        <v>28.9</v>
      </c>
    </row>
    <row r="1025" spans="1:6" hidden="1" x14ac:dyDescent="0.35">
      <c r="A1025" s="11">
        <v>49664</v>
      </c>
      <c r="B1025" s="12" t="s">
        <v>10</v>
      </c>
      <c r="C1025" s="13">
        <v>22.1</v>
      </c>
      <c r="D1025" s="14">
        <v>10</v>
      </c>
      <c r="E1025">
        <f t="shared" si="32"/>
        <v>2</v>
      </c>
      <c r="F1025">
        <f t="shared" si="31"/>
        <v>51</v>
      </c>
    </row>
    <row r="1026" spans="1:6" hidden="1" x14ac:dyDescent="0.35">
      <c r="A1026" s="7">
        <v>49665</v>
      </c>
      <c r="B1026" s="8" t="s">
        <v>21</v>
      </c>
      <c r="C1026" s="9">
        <v>29.3</v>
      </c>
      <c r="D1026" s="10">
        <v>0</v>
      </c>
      <c r="E1026">
        <f t="shared" si="32"/>
        <v>3</v>
      </c>
      <c r="F1026">
        <f t="shared" si="31"/>
        <v>80.3</v>
      </c>
    </row>
    <row r="1027" spans="1:6" hidden="1" x14ac:dyDescent="0.35">
      <c r="A1027" s="11">
        <v>49666</v>
      </c>
      <c r="B1027" s="12" t="s">
        <v>18</v>
      </c>
      <c r="C1027" s="13">
        <v>18.8</v>
      </c>
      <c r="D1027" s="14">
        <v>4.7</v>
      </c>
      <c r="E1027">
        <f t="shared" si="32"/>
        <v>4</v>
      </c>
      <c r="F1027">
        <f t="shared" si="31"/>
        <v>99.1</v>
      </c>
    </row>
    <row r="1028" spans="1:6" hidden="1" x14ac:dyDescent="0.35">
      <c r="A1028" s="7">
        <v>49667</v>
      </c>
      <c r="B1028" s="8" t="s">
        <v>19</v>
      </c>
      <c r="C1028" s="9">
        <v>26.5</v>
      </c>
      <c r="D1028" s="10">
        <v>7.3</v>
      </c>
      <c r="E1028">
        <f t="shared" si="32"/>
        <v>5</v>
      </c>
      <c r="F1028">
        <f t="shared" ref="F1028:F1091" si="33">IF(E1027=7,C1028,C1028+F1027)</f>
        <v>125.6</v>
      </c>
    </row>
    <row r="1029" spans="1:6" hidden="1" x14ac:dyDescent="0.35">
      <c r="A1029" s="11">
        <v>49668</v>
      </c>
      <c r="B1029" s="12" t="s">
        <v>11</v>
      </c>
      <c r="C1029" s="13">
        <v>24</v>
      </c>
      <c r="D1029" s="14">
        <v>0</v>
      </c>
      <c r="E1029">
        <f t="shared" si="32"/>
        <v>6</v>
      </c>
      <c r="F1029">
        <f t="shared" si="33"/>
        <v>149.6</v>
      </c>
    </row>
    <row r="1030" spans="1:6" hidden="1" x14ac:dyDescent="0.35">
      <c r="A1030" s="7">
        <v>49669</v>
      </c>
      <c r="B1030" s="8" t="s">
        <v>19</v>
      </c>
      <c r="C1030" s="9">
        <v>21</v>
      </c>
      <c r="D1030" s="10">
        <v>12.2</v>
      </c>
      <c r="E1030">
        <f t="shared" si="32"/>
        <v>7</v>
      </c>
      <c r="F1030">
        <f t="shared" si="33"/>
        <v>170.6</v>
      </c>
    </row>
    <row r="1031" spans="1:6" hidden="1" x14ac:dyDescent="0.35">
      <c r="A1031" s="11">
        <v>49670</v>
      </c>
      <c r="B1031" s="12" t="s">
        <v>17</v>
      </c>
      <c r="C1031" s="13">
        <v>28.1</v>
      </c>
      <c r="D1031" s="14">
        <v>6.7</v>
      </c>
      <c r="E1031">
        <f t="shared" si="32"/>
        <v>1</v>
      </c>
      <c r="F1031">
        <f t="shared" si="33"/>
        <v>28.1</v>
      </c>
    </row>
    <row r="1032" spans="1:6" hidden="1" x14ac:dyDescent="0.35">
      <c r="A1032" s="7">
        <v>49671</v>
      </c>
      <c r="B1032" s="8" t="s">
        <v>14</v>
      </c>
      <c r="C1032" s="9">
        <v>23.3</v>
      </c>
      <c r="D1032" s="10">
        <v>4.8</v>
      </c>
      <c r="E1032">
        <f t="shared" si="32"/>
        <v>2</v>
      </c>
      <c r="F1032">
        <f t="shared" si="33"/>
        <v>51.400000000000006</v>
      </c>
    </row>
    <row r="1033" spans="1:6" hidden="1" x14ac:dyDescent="0.35">
      <c r="A1033" s="11">
        <v>49672</v>
      </c>
      <c r="B1033" s="12" t="s">
        <v>17</v>
      </c>
      <c r="C1033" s="13">
        <v>14.3</v>
      </c>
      <c r="D1033" s="14">
        <v>1.5</v>
      </c>
      <c r="E1033">
        <f t="shared" si="32"/>
        <v>3</v>
      </c>
      <c r="F1033">
        <f t="shared" si="33"/>
        <v>65.7</v>
      </c>
    </row>
    <row r="1034" spans="1:6" hidden="1" x14ac:dyDescent="0.35">
      <c r="A1034" s="7">
        <v>49673</v>
      </c>
      <c r="B1034" s="8" t="s">
        <v>25</v>
      </c>
      <c r="C1034" s="9">
        <v>12.6</v>
      </c>
      <c r="D1034" s="10">
        <v>1.1000000000000001</v>
      </c>
      <c r="E1034">
        <f t="shared" ref="E1034:E1097" si="34">IF(E1033=7,1,E1033+1)</f>
        <v>4</v>
      </c>
      <c r="F1034">
        <f t="shared" si="33"/>
        <v>78.3</v>
      </c>
    </row>
    <row r="1035" spans="1:6" hidden="1" x14ac:dyDescent="0.35">
      <c r="A1035" s="11">
        <v>49674</v>
      </c>
      <c r="B1035" s="12" t="s">
        <v>19</v>
      </c>
      <c r="C1035" s="13">
        <v>18.100000000000001</v>
      </c>
      <c r="D1035" s="14">
        <v>0</v>
      </c>
      <c r="E1035">
        <f t="shared" si="34"/>
        <v>5</v>
      </c>
      <c r="F1035">
        <f t="shared" si="33"/>
        <v>96.4</v>
      </c>
    </row>
    <row r="1036" spans="1:6" hidden="1" x14ac:dyDescent="0.35">
      <c r="A1036" s="7">
        <v>49675</v>
      </c>
      <c r="B1036" s="8" t="s">
        <v>15</v>
      </c>
      <c r="C1036" s="9">
        <v>19</v>
      </c>
      <c r="D1036" s="10">
        <v>11</v>
      </c>
      <c r="E1036">
        <f t="shared" si="34"/>
        <v>6</v>
      </c>
      <c r="F1036">
        <f t="shared" si="33"/>
        <v>115.4</v>
      </c>
    </row>
    <row r="1037" spans="1:6" hidden="1" x14ac:dyDescent="0.35">
      <c r="A1037" s="11">
        <v>49676</v>
      </c>
      <c r="B1037" s="12" t="s">
        <v>14</v>
      </c>
      <c r="C1037" s="13">
        <v>13.1</v>
      </c>
      <c r="D1037" s="14">
        <v>0</v>
      </c>
      <c r="E1037">
        <f t="shared" si="34"/>
        <v>7</v>
      </c>
      <c r="F1037">
        <f t="shared" si="33"/>
        <v>128.5</v>
      </c>
    </row>
    <row r="1038" spans="1:6" hidden="1" x14ac:dyDescent="0.35">
      <c r="A1038" s="7">
        <v>49677</v>
      </c>
      <c r="B1038" s="8" t="s">
        <v>13</v>
      </c>
      <c r="C1038" s="9">
        <v>17.3</v>
      </c>
      <c r="D1038" s="10">
        <v>1.1000000000000001</v>
      </c>
      <c r="E1038">
        <f t="shared" si="34"/>
        <v>1</v>
      </c>
      <c r="F1038">
        <f t="shared" si="33"/>
        <v>17.3</v>
      </c>
    </row>
    <row r="1039" spans="1:6" hidden="1" x14ac:dyDescent="0.35">
      <c r="A1039" s="11">
        <v>49678</v>
      </c>
      <c r="B1039" s="12" t="s">
        <v>17</v>
      </c>
      <c r="C1039" s="13">
        <v>23.7</v>
      </c>
      <c r="D1039" s="14">
        <v>5.9</v>
      </c>
      <c r="E1039">
        <f t="shared" si="34"/>
        <v>2</v>
      </c>
      <c r="F1039">
        <f t="shared" si="33"/>
        <v>41</v>
      </c>
    </row>
    <row r="1040" spans="1:6" hidden="1" x14ac:dyDescent="0.35">
      <c r="A1040" s="7">
        <v>49679</v>
      </c>
      <c r="B1040" s="8" t="s">
        <v>33</v>
      </c>
      <c r="C1040" s="9">
        <v>26.3</v>
      </c>
      <c r="D1040" s="10">
        <v>0</v>
      </c>
      <c r="E1040">
        <f t="shared" si="34"/>
        <v>3</v>
      </c>
      <c r="F1040">
        <f t="shared" si="33"/>
        <v>67.3</v>
      </c>
    </row>
    <row r="1041" spans="1:6" hidden="1" x14ac:dyDescent="0.35">
      <c r="A1041" s="11">
        <v>49680</v>
      </c>
      <c r="B1041" s="12" t="s">
        <v>15</v>
      </c>
      <c r="C1041" s="13">
        <v>16.399999999999999</v>
      </c>
      <c r="D1041" s="14">
        <v>0</v>
      </c>
      <c r="E1041">
        <f t="shared" si="34"/>
        <v>4</v>
      </c>
      <c r="F1041">
        <f t="shared" si="33"/>
        <v>83.699999999999989</v>
      </c>
    </row>
    <row r="1042" spans="1:6" hidden="1" x14ac:dyDescent="0.35">
      <c r="A1042" s="7">
        <v>49681</v>
      </c>
      <c r="B1042" s="8" t="s">
        <v>9</v>
      </c>
      <c r="C1042" s="9">
        <v>13</v>
      </c>
      <c r="D1042" s="10">
        <v>0</v>
      </c>
      <c r="E1042">
        <f t="shared" si="34"/>
        <v>5</v>
      </c>
      <c r="F1042">
        <f t="shared" si="33"/>
        <v>96.699999999999989</v>
      </c>
    </row>
    <row r="1043" spans="1:6" hidden="1" x14ac:dyDescent="0.35">
      <c r="A1043" s="11">
        <v>49682</v>
      </c>
      <c r="B1043" s="12" t="s">
        <v>11</v>
      </c>
      <c r="C1043" s="13">
        <v>28.6</v>
      </c>
      <c r="D1043" s="14">
        <v>1</v>
      </c>
      <c r="E1043">
        <f t="shared" si="34"/>
        <v>6</v>
      </c>
      <c r="F1043">
        <f t="shared" si="33"/>
        <v>125.29999999999998</v>
      </c>
    </row>
    <row r="1044" spans="1:6" hidden="1" x14ac:dyDescent="0.35">
      <c r="A1044" s="7">
        <v>49683</v>
      </c>
      <c r="B1044" s="8" t="s">
        <v>10</v>
      </c>
      <c r="C1044" s="9">
        <v>11.1</v>
      </c>
      <c r="D1044" s="10">
        <v>2.4</v>
      </c>
      <c r="E1044">
        <f t="shared" si="34"/>
        <v>7</v>
      </c>
      <c r="F1044">
        <f t="shared" si="33"/>
        <v>136.39999999999998</v>
      </c>
    </row>
    <row r="1045" spans="1:6" hidden="1" x14ac:dyDescent="0.35">
      <c r="A1045" s="11">
        <v>49684</v>
      </c>
      <c r="B1045" s="12" t="s">
        <v>24</v>
      </c>
      <c r="C1045" s="13">
        <v>12.9</v>
      </c>
      <c r="D1045" s="14">
        <v>2.9</v>
      </c>
      <c r="E1045">
        <f t="shared" si="34"/>
        <v>1</v>
      </c>
      <c r="F1045">
        <f t="shared" si="33"/>
        <v>12.9</v>
      </c>
    </row>
    <row r="1046" spans="1:6" hidden="1" x14ac:dyDescent="0.35">
      <c r="A1046" s="7">
        <v>49685</v>
      </c>
      <c r="B1046" s="8" t="s">
        <v>30</v>
      </c>
      <c r="C1046" s="9">
        <v>28.4</v>
      </c>
      <c r="D1046" s="10">
        <v>0.9</v>
      </c>
      <c r="E1046">
        <f t="shared" si="34"/>
        <v>2</v>
      </c>
      <c r="F1046">
        <f t="shared" si="33"/>
        <v>41.3</v>
      </c>
    </row>
    <row r="1047" spans="1:6" hidden="1" x14ac:dyDescent="0.35">
      <c r="A1047" s="11">
        <v>49686</v>
      </c>
      <c r="B1047" s="12" t="s">
        <v>19</v>
      </c>
      <c r="C1047" s="13">
        <v>21.8</v>
      </c>
      <c r="D1047" s="14">
        <v>3.4</v>
      </c>
      <c r="E1047">
        <f t="shared" si="34"/>
        <v>3</v>
      </c>
      <c r="F1047">
        <f t="shared" si="33"/>
        <v>63.099999999999994</v>
      </c>
    </row>
    <row r="1048" spans="1:6" hidden="1" x14ac:dyDescent="0.35">
      <c r="A1048" s="7">
        <v>49687</v>
      </c>
      <c r="B1048" s="8" t="s">
        <v>6</v>
      </c>
      <c r="C1048" s="9">
        <v>20.8</v>
      </c>
      <c r="D1048" s="10">
        <v>11.8</v>
      </c>
      <c r="E1048">
        <f t="shared" si="34"/>
        <v>4</v>
      </c>
      <c r="F1048">
        <f t="shared" si="33"/>
        <v>83.899999999999991</v>
      </c>
    </row>
    <row r="1049" spans="1:6" hidden="1" x14ac:dyDescent="0.35">
      <c r="A1049" s="11">
        <v>49688</v>
      </c>
      <c r="B1049" s="12" t="s">
        <v>13</v>
      </c>
      <c r="C1049" s="13">
        <v>17.399999999999999</v>
      </c>
      <c r="D1049" s="14">
        <v>0</v>
      </c>
      <c r="E1049">
        <f t="shared" si="34"/>
        <v>5</v>
      </c>
      <c r="F1049">
        <f t="shared" si="33"/>
        <v>101.29999999999998</v>
      </c>
    </row>
    <row r="1050" spans="1:6" hidden="1" x14ac:dyDescent="0.35">
      <c r="A1050" s="7">
        <v>49689</v>
      </c>
      <c r="B1050" s="8" t="s">
        <v>6</v>
      </c>
      <c r="C1050" s="9">
        <v>24.8</v>
      </c>
      <c r="D1050" s="10">
        <v>0</v>
      </c>
      <c r="E1050">
        <f t="shared" si="34"/>
        <v>6</v>
      </c>
      <c r="F1050">
        <f t="shared" si="33"/>
        <v>126.09999999999998</v>
      </c>
    </row>
    <row r="1051" spans="1:6" hidden="1" x14ac:dyDescent="0.35">
      <c r="A1051" s="11">
        <v>49690</v>
      </c>
      <c r="B1051" s="12" t="s">
        <v>9</v>
      </c>
      <c r="C1051" s="13">
        <v>12.9</v>
      </c>
      <c r="D1051" s="14">
        <v>0</v>
      </c>
      <c r="E1051">
        <f t="shared" si="34"/>
        <v>7</v>
      </c>
      <c r="F1051">
        <f t="shared" si="33"/>
        <v>138.99999999999997</v>
      </c>
    </row>
    <row r="1052" spans="1:6" hidden="1" x14ac:dyDescent="0.35">
      <c r="A1052" s="7">
        <v>49691</v>
      </c>
      <c r="B1052" s="8" t="s">
        <v>17</v>
      </c>
      <c r="C1052" s="9">
        <v>25.9</v>
      </c>
      <c r="D1052" s="10">
        <v>0</v>
      </c>
      <c r="E1052">
        <f t="shared" si="34"/>
        <v>1</v>
      </c>
      <c r="F1052">
        <f t="shared" si="33"/>
        <v>25.9</v>
      </c>
    </row>
    <row r="1053" spans="1:6" hidden="1" x14ac:dyDescent="0.35">
      <c r="A1053" s="11">
        <v>49692</v>
      </c>
      <c r="B1053" s="12" t="s">
        <v>10</v>
      </c>
      <c r="C1053" s="13">
        <v>11.5</v>
      </c>
      <c r="D1053" s="14">
        <v>23.2</v>
      </c>
      <c r="E1053">
        <f t="shared" si="34"/>
        <v>2</v>
      </c>
      <c r="F1053">
        <f t="shared" si="33"/>
        <v>37.4</v>
      </c>
    </row>
    <row r="1054" spans="1:6" hidden="1" x14ac:dyDescent="0.35">
      <c r="A1054" s="7">
        <v>49693</v>
      </c>
      <c r="B1054" s="8" t="s">
        <v>20</v>
      </c>
      <c r="C1054" s="9">
        <v>25.5</v>
      </c>
      <c r="D1054" s="10">
        <v>0</v>
      </c>
      <c r="E1054">
        <f t="shared" si="34"/>
        <v>3</v>
      </c>
      <c r="F1054">
        <f t="shared" si="33"/>
        <v>62.9</v>
      </c>
    </row>
    <row r="1055" spans="1:6" hidden="1" x14ac:dyDescent="0.35">
      <c r="A1055" s="11">
        <v>49694</v>
      </c>
      <c r="B1055" s="12" t="s">
        <v>33</v>
      </c>
      <c r="C1055" s="13">
        <v>22.6</v>
      </c>
      <c r="D1055" s="14">
        <v>2.2000000000000002</v>
      </c>
      <c r="E1055">
        <f t="shared" si="34"/>
        <v>4</v>
      </c>
      <c r="F1055">
        <f t="shared" si="33"/>
        <v>85.5</v>
      </c>
    </row>
    <row r="1056" spans="1:6" hidden="1" x14ac:dyDescent="0.35">
      <c r="A1056" s="7">
        <v>49695</v>
      </c>
      <c r="B1056" s="8" t="s">
        <v>10</v>
      </c>
      <c r="C1056" s="9">
        <v>14.2</v>
      </c>
      <c r="D1056" s="10">
        <v>0</v>
      </c>
      <c r="E1056">
        <f t="shared" si="34"/>
        <v>5</v>
      </c>
      <c r="F1056">
        <f t="shared" si="33"/>
        <v>99.7</v>
      </c>
    </row>
    <row r="1057" spans="1:6" hidden="1" x14ac:dyDescent="0.35">
      <c r="A1057" s="11">
        <v>49696</v>
      </c>
      <c r="B1057" s="12" t="s">
        <v>13</v>
      </c>
      <c r="C1057" s="13">
        <v>26.9</v>
      </c>
      <c r="D1057" s="14">
        <v>9.1999999999999993</v>
      </c>
      <c r="E1057">
        <f t="shared" si="34"/>
        <v>6</v>
      </c>
      <c r="F1057">
        <f t="shared" si="33"/>
        <v>126.6</v>
      </c>
    </row>
    <row r="1058" spans="1:6" hidden="1" x14ac:dyDescent="0.35">
      <c r="A1058" s="7">
        <v>49697</v>
      </c>
      <c r="B1058" s="8" t="s">
        <v>19</v>
      </c>
      <c r="C1058" s="9">
        <v>30</v>
      </c>
      <c r="D1058" s="10">
        <v>32.299999999999997</v>
      </c>
      <c r="E1058">
        <f t="shared" si="34"/>
        <v>7</v>
      </c>
      <c r="F1058">
        <f t="shared" si="33"/>
        <v>156.6</v>
      </c>
    </row>
    <row r="1059" spans="1:6" hidden="1" x14ac:dyDescent="0.35">
      <c r="A1059" s="11">
        <v>49698</v>
      </c>
      <c r="B1059" s="12" t="s">
        <v>27</v>
      </c>
      <c r="C1059" s="13">
        <v>16.2</v>
      </c>
      <c r="D1059" s="14">
        <v>5.2</v>
      </c>
      <c r="E1059">
        <f t="shared" si="34"/>
        <v>1</v>
      </c>
      <c r="F1059">
        <f t="shared" si="33"/>
        <v>16.2</v>
      </c>
    </row>
    <row r="1060" spans="1:6" hidden="1" x14ac:dyDescent="0.35">
      <c r="A1060" s="7">
        <v>49699</v>
      </c>
      <c r="B1060" s="8" t="s">
        <v>11</v>
      </c>
      <c r="C1060" s="9">
        <v>12.2</v>
      </c>
      <c r="D1060" s="10">
        <v>0</v>
      </c>
      <c r="E1060">
        <f t="shared" si="34"/>
        <v>2</v>
      </c>
      <c r="F1060">
        <f t="shared" si="33"/>
        <v>28.4</v>
      </c>
    </row>
    <row r="1061" spans="1:6" hidden="1" x14ac:dyDescent="0.35">
      <c r="A1061" s="11">
        <v>49700</v>
      </c>
      <c r="B1061" s="12" t="s">
        <v>15</v>
      </c>
      <c r="C1061" s="13">
        <v>28.7</v>
      </c>
      <c r="D1061" s="14">
        <v>0.5</v>
      </c>
      <c r="E1061">
        <f t="shared" si="34"/>
        <v>3</v>
      </c>
      <c r="F1061">
        <f t="shared" si="33"/>
        <v>57.099999999999994</v>
      </c>
    </row>
    <row r="1062" spans="1:6" hidden="1" x14ac:dyDescent="0.35">
      <c r="A1062" s="7">
        <v>49701</v>
      </c>
      <c r="B1062" s="8" t="s">
        <v>6</v>
      </c>
      <c r="C1062" s="9">
        <v>23.3</v>
      </c>
      <c r="D1062" s="10">
        <v>11.1</v>
      </c>
      <c r="E1062">
        <f t="shared" si="34"/>
        <v>4</v>
      </c>
      <c r="F1062">
        <f t="shared" si="33"/>
        <v>80.399999999999991</v>
      </c>
    </row>
    <row r="1063" spans="1:6" hidden="1" x14ac:dyDescent="0.35">
      <c r="A1063" s="11">
        <v>49702</v>
      </c>
      <c r="B1063" s="12" t="s">
        <v>15</v>
      </c>
      <c r="C1063" s="13">
        <v>30</v>
      </c>
      <c r="D1063" s="14">
        <v>16.100000000000001</v>
      </c>
      <c r="E1063">
        <f t="shared" si="34"/>
        <v>5</v>
      </c>
      <c r="F1063">
        <f t="shared" si="33"/>
        <v>110.39999999999999</v>
      </c>
    </row>
    <row r="1064" spans="1:6" hidden="1" x14ac:dyDescent="0.35">
      <c r="A1064" s="7">
        <v>49703</v>
      </c>
      <c r="B1064" s="8" t="s">
        <v>18</v>
      </c>
      <c r="C1064" s="9">
        <v>16</v>
      </c>
      <c r="D1064" s="10">
        <v>9.8000000000000007</v>
      </c>
      <c r="E1064">
        <f t="shared" si="34"/>
        <v>6</v>
      </c>
      <c r="F1064">
        <f t="shared" si="33"/>
        <v>126.39999999999999</v>
      </c>
    </row>
    <row r="1065" spans="1:6" hidden="1" x14ac:dyDescent="0.35">
      <c r="A1065" s="11">
        <v>49704</v>
      </c>
      <c r="B1065" s="12" t="s">
        <v>20</v>
      </c>
      <c r="C1065" s="13">
        <v>21.6</v>
      </c>
      <c r="D1065" s="14">
        <v>3.4</v>
      </c>
      <c r="E1065">
        <f t="shared" si="34"/>
        <v>7</v>
      </c>
      <c r="F1065">
        <f t="shared" si="33"/>
        <v>148</v>
      </c>
    </row>
    <row r="1066" spans="1:6" hidden="1" x14ac:dyDescent="0.35">
      <c r="A1066" s="7">
        <v>49705</v>
      </c>
      <c r="B1066" s="8" t="s">
        <v>19</v>
      </c>
      <c r="C1066" s="9">
        <v>27.9</v>
      </c>
      <c r="D1066" s="10">
        <v>4.8</v>
      </c>
      <c r="E1066">
        <f t="shared" si="34"/>
        <v>1</v>
      </c>
      <c r="F1066">
        <f t="shared" si="33"/>
        <v>27.9</v>
      </c>
    </row>
    <row r="1067" spans="1:6" hidden="1" x14ac:dyDescent="0.35">
      <c r="A1067" s="11">
        <v>49706</v>
      </c>
      <c r="B1067" s="12" t="s">
        <v>13</v>
      </c>
      <c r="C1067" s="13">
        <v>17.5</v>
      </c>
      <c r="D1067" s="14">
        <v>14.7</v>
      </c>
      <c r="E1067">
        <f t="shared" si="34"/>
        <v>2</v>
      </c>
      <c r="F1067">
        <f t="shared" si="33"/>
        <v>45.4</v>
      </c>
    </row>
    <row r="1068" spans="1:6" hidden="1" x14ac:dyDescent="0.35">
      <c r="A1068" s="7">
        <v>49707</v>
      </c>
      <c r="B1068" s="8" t="s">
        <v>7</v>
      </c>
      <c r="C1068" s="9">
        <v>20.7</v>
      </c>
      <c r="D1068" s="10">
        <v>0</v>
      </c>
      <c r="E1068">
        <f t="shared" si="34"/>
        <v>3</v>
      </c>
      <c r="F1068">
        <f t="shared" si="33"/>
        <v>66.099999999999994</v>
      </c>
    </row>
    <row r="1069" spans="1:6" hidden="1" x14ac:dyDescent="0.35">
      <c r="A1069" s="11">
        <v>49708</v>
      </c>
      <c r="B1069" s="12" t="s">
        <v>10</v>
      </c>
      <c r="C1069" s="13">
        <v>10.8</v>
      </c>
      <c r="D1069" s="14">
        <v>36.4</v>
      </c>
      <c r="E1069">
        <f t="shared" si="34"/>
        <v>4</v>
      </c>
      <c r="F1069">
        <f t="shared" si="33"/>
        <v>76.899999999999991</v>
      </c>
    </row>
    <row r="1070" spans="1:6" hidden="1" x14ac:dyDescent="0.35">
      <c r="A1070" s="7">
        <v>49709</v>
      </c>
      <c r="B1070" s="8" t="s">
        <v>19</v>
      </c>
      <c r="C1070" s="9">
        <v>27.6</v>
      </c>
      <c r="D1070" s="10">
        <v>32.799999999999997</v>
      </c>
      <c r="E1070">
        <f t="shared" si="34"/>
        <v>5</v>
      </c>
      <c r="F1070">
        <f t="shared" si="33"/>
        <v>104.5</v>
      </c>
    </row>
    <row r="1071" spans="1:6" hidden="1" x14ac:dyDescent="0.35">
      <c r="A1071" s="11">
        <v>49710</v>
      </c>
      <c r="B1071" s="12" t="s">
        <v>11</v>
      </c>
      <c r="C1071" s="13">
        <v>10.8</v>
      </c>
      <c r="D1071" s="14">
        <v>11.6</v>
      </c>
      <c r="E1071">
        <f t="shared" si="34"/>
        <v>6</v>
      </c>
      <c r="F1071">
        <f t="shared" si="33"/>
        <v>115.3</v>
      </c>
    </row>
    <row r="1072" spans="1:6" hidden="1" x14ac:dyDescent="0.35">
      <c r="A1072" s="7">
        <v>49711</v>
      </c>
      <c r="B1072" s="8" t="s">
        <v>17</v>
      </c>
      <c r="C1072" s="9">
        <v>13.7</v>
      </c>
      <c r="D1072" s="10">
        <v>0</v>
      </c>
      <c r="E1072">
        <f t="shared" si="34"/>
        <v>7</v>
      </c>
      <c r="F1072">
        <f t="shared" si="33"/>
        <v>129</v>
      </c>
    </row>
    <row r="1073" spans="1:6" hidden="1" x14ac:dyDescent="0.35">
      <c r="A1073" s="11">
        <v>49712</v>
      </c>
      <c r="B1073" s="12" t="s">
        <v>18</v>
      </c>
      <c r="C1073" s="13">
        <v>19.5</v>
      </c>
      <c r="D1073" s="14">
        <v>0</v>
      </c>
      <c r="E1073">
        <f t="shared" si="34"/>
        <v>1</v>
      </c>
      <c r="F1073">
        <f t="shared" si="33"/>
        <v>19.5</v>
      </c>
    </row>
    <row r="1074" spans="1:6" hidden="1" x14ac:dyDescent="0.35">
      <c r="A1074" s="7">
        <v>49713</v>
      </c>
      <c r="B1074" s="8" t="s">
        <v>9</v>
      </c>
      <c r="C1074" s="9">
        <v>21.6</v>
      </c>
      <c r="D1074" s="10">
        <v>11.6</v>
      </c>
      <c r="E1074">
        <f t="shared" si="34"/>
        <v>2</v>
      </c>
      <c r="F1074">
        <f t="shared" si="33"/>
        <v>41.1</v>
      </c>
    </row>
    <row r="1075" spans="1:6" hidden="1" x14ac:dyDescent="0.35">
      <c r="A1075" s="11">
        <v>49714</v>
      </c>
      <c r="B1075" s="12" t="s">
        <v>17</v>
      </c>
      <c r="C1075" s="13">
        <v>21.6</v>
      </c>
      <c r="D1075" s="14">
        <v>2.7</v>
      </c>
      <c r="E1075">
        <f t="shared" si="34"/>
        <v>3</v>
      </c>
      <c r="F1075">
        <f t="shared" si="33"/>
        <v>62.7</v>
      </c>
    </row>
    <row r="1076" spans="1:6" hidden="1" x14ac:dyDescent="0.35">
      <c r="A1076" s="7">
        <v>49715</v>
      </c>
      <c r="B1076" s="8" t="s">
        <v>24</v>
      </c>
      <c r="C1076" s="9">
        <v>16.100000000000001</v>
      </c>
      <c r="D1076" s="10">
        <v>0</v>
      </c>
      <c r="E1076">
        <f t="shared" si="34"/>
        <v>4</v>
      </c>
      <c r="F1076">
        <f t="shared" si="33"/>
        <v>78.800000000000011</v>
      </c>
    </row>
    <row r="1077" spans="1:6" hidden="1" x14ac:dyDescent="0.35">
      <c r="A1077" s="11">
        <v>49716</v>
      </c>
      <c r="B1077" s="12" t="s">
        <v>6</v>
      </c>
      <c r="C1077" s="13">
        <v>29.4</v>
      </c>
      <c r="D1077" s="14">
        <v>12.5</v>
      </c>
      <c r="E1077">
        <f t="shared" si="34"/>
        <v>5</v>
      </c>
      <c r="F1077">
        <f t="shared" si="33"/>
        <v>108.20000000000002</v>
      </c>
    </row>
    <row r="1078" spans="1:6" hidden="1" x14ac:dyDescent="0.35">
      <c r="A1078" s="7">
        <v>49717</v>
      </c>
      <c r="B1078" s="8" t="s">
        <v>26</v>
      </c>
      <c r="C1078" s="9">
        <v>17.8</v>
      </c>
      <c r="D1078" s="10">
        <v>5.9</v>
      </c>
      <c r="E1078">
        <f t="shared" si="34"/>
        <v>6</v>
      </c>
      <c r="F1078">
        <f t="shared" si="33"/>
        <v>126.00000000000001</v>
      </c>
    </row>
    <row r="1079" spans="1:6" hidden="1" x14ac:dyDescent="0.35">
      <c r="A1079" s="11">
        <v>49718</v>
      </c>
      <c r="B1079" s="12" t="s">
        <v>19</v>
      </c>
      <c r="C1079" s="13">
        <v>26.1</v>
      </c>
      <c r="D1079" s="14">
        <v>14.8</v>
      </c>
      <c r="E1079">
        <f t="shared" si="34"/>
        <v>7</v>
      </c>
      <c r="F1079">
        <f t="shared" si="33"/>
        <v>152.10000000000002</v>
      </c>
    </row>
    <row r="1080" spans="1:6" hidden="1" x14ac:dyDescent="0.35">
      <c r="A1080" s="7">
        <v>49719</v>
      </c>
      <c r="B1080" s="8" t="s">
        <v>10</v>
      </c>
      <c r="C1080" s="9">
        <v>13.8</v>
      </c>
      <c r="D1080" s="10">
        <v>0</v>
      </c>
      <c r="E1080">
        <f t="shared" si="34"/>
        <v>1</v>
      </c>
      <c r="F1080">
        <f t="shared" si="33"/>
        <v>13.8</v>
      </c>
    </row>
    <row r="1081" spans="1:6" hidden="1" x14ac:dyDescent="0.35">
      <c r="A1081" s="11">
        <v>49720</v>
      </c>
      <c r="B1081" s="12" t="s">
        <v>12</v>
      </c>
      <c r="C1081" s="13">
        <v>16.100000000000001</v>
      </c>
      <c r="D1081" s="14">
        <v>6.2</v>
      </c>
      <c r="E1081">
        <f t="shared" si="34"/>
        <v>2</v>
      </c>
      <c r="F1081">
        <f t="shared" si="33"/>
        <v>29.900000000000002</v>
      </c>
    </row>
    <row r="1082" spans="1:6" hidden="1" x14ac:dyDescent="0.35">
      <c r="A1082" s="7">
        <v>49721</v>
      </c>
      <c r="B1082" s="8" t="s">
        <v>10</v>
      </c>
      <c r="C1082" s="9">
        <v>23.2</v>
      </c>
      <c r="D1082" s="10">
        <v>45.8</v>
      </c>
      <c r="E1082">
        <f t="shared" si="34"/>
        <v>3</v>
      </c>
      <c r="F1082">
        <f t="shared" si="33"/>
        <v>53.1</v>
      </c>
    </row>
    <row r="1083" spans="1:6" hidden="1" x14ac:dyDescent="0.35">
      <c r="A1083" s="11">
        <v>49722</v>
      </c>
      <c r="B1083" s="12" t="s">
        <v>12</v>
      </c>
      <c r="C1083" s="13">
        <v>18.899999999999999</v>
      </c>
      <c r="D1083" s="14">
        <v>0</v>
      </c>
      <c r="E1083">
        <f t="shared" si="34"/>
        <v>4</v>
      </c>
      <c r="F1083">
        <f t="shared" si="33"/>
        <v>72</v>
      </c>
    </row>
    <row r="1084" spans="1:6" hidden="1" x14ac:dyDescent="0.35">
      <c r="A1084" s="7">
        <v>49723</v>
      </c>
      <c r="B1084" s="8" t="s">
        <v>19</v>
      </c>
      <c r="C1084" s="9">
        <v>28.9</v>
      </c>
      <c r="D1084" s="10">
        <v>34.1</v>
      </c>
      <c r="E1084">
        <f t="shared" si="34"/>
        <v>5</v>
      </c>
      <c r="F1084">
        <f t="shared" si="33"/>
        <v>100.9</v>
      </c>
    </row>
    <row r="1085" spans="1:6" hidden="1" x14ac:dyDescent="0.35">
      <c r="A1085" s="11">
        <v>49724</v>
      </c>
      <c r="B1085" s="12" t="s">
        <v>10</v>
      </c>
      <c r="C1085" s="13">
        <v>19.3</v>
      </c>
      <c r="D1085" s="14">
        <v>49.6</v>
      </c>
      <c r="E1085">
        <f t="shared" si="34"/>
        <v>6</v>
      </c>
      <c r="F1085">
        <f t="shared" si="33"/>
        <v>120.2</v>
      </c>
    </row>
    <row r="1086" spans="1:6" hidden="1" x14ac:dyDescent="0.35">
      <c r="A1086" s="7">
        <v>49725</v>
      </c>
      <c r="B1086" s="8" t="s">
        <v>18</v>
      </c>
      <c r="C1086" s="9">
        <v>23.9</v>
      </c>
      <c r="D1086" s="10">
        <v>11.7</v>
      </c>
      <c r="E1086">
        <f t="shared" si="34"/>
        <v>7</v>
      </c>
      <c r="F1086">
        <f t="shared" si="33"/>
        <v>144.1</v>
      </c>
    </row>
    <row r="1087" spans="1:6" hidden="1" x14ac:dyDescent="0.35">
      <c r="A1087" s="11">
        <v>49726</v>
      </c>
      <c r="B1087" s="12" t="s">
        <v>13</v>
      </c>
      <c r="C1087" s="13">
        <v>28.6</v>
      </c>
      <c r="D1087" s="14">
        <v>11.5</v>
      </c>
      <c r="E1087">
        <f t="shared" si="34"/>
        <v>1</v>
      </c>
      <c r="F1087">
        <f t="shared" si="33"/>
        <v>28.6</v>
      </c>
    </row>
    <row r="1088" spans="1:6" hidden="1" x14ac:dyDescent="0.35">
      <c r="A1088" s="7">
        <v>49727</v>
      </c>
      <c r="B1088" s="8" t="s">
        <v>26</v>
      </c>
      <c r="C1088" s="9">
        <v>14.5</v>
      </c>
      <c r="D1088" s="10">
        <v>0.3</v>
      </c>
      <c r="E1088">
        <f t="shared" si="34"/>
        <v>2</v>
      </c>
      <c r="F1088">
        <f t="shared" si="33"/>
        <v>43.1</v>
      </c>
    </row>
    <row r="1089" spans="1:6" hidden="1" x14ac:dyDescent="0.35">
      <c r="A1089" s="11">
        <v>49728</v>
      </c>
      <c r="B1089" s="12" t="s">
        <v>10</v>
      </c>
      <c r="C1089" s="13">
        <v>13</v>
      </c>
      <c r="D1089" s="14">
        <v>0</v>
      </c>
      <c r="E1089">
        <f t="shared" si="34"/>
        <v>3</v>
      </c>
      <c r="F1089">
        <f t="shared" si="33"/>
        <v>56.1</v>
      </c>
    </row>
    <row r="1090" spans="1:6" hidden="1" x14ac:dyDescent="0.35">
      <c r="A1090" s="7">
        <v>49729</v>
      </c>
      <c r="B1090" s="8" t="s">
        <v>19</v>
      </c>
      <c r="C1090" s="9">
        <v>16.2</v>
      </c>
      <c r="D1090" s="10">
        <v>9.1999999999999993</v>
      </c>
      <c r="E1090">
        <f t="shared" si="34"/>
        <v>4</v>
      </c>
      <c r="F1090">
        <f t="shared" si="33"/>
        <v>72.3</v>
      </c>
    </row>
    <row r="1091" spans="1:6" hidden="1" x14ac:dyDescent="0.35">
      <c r="A1091" s="11">
        <v>49730</v>
      </c>
      <c r="B1091" s="12" t="s">
        <v>15</v>
      </c>
      <c r="C1091" s="13">
        <v>27.1</v>
      </c>
      <c r="D1091" s="14">
        <v>6.3</v>
      </c>
      <c r="E1091">
        <f t="shared" si="34"/>
        <v>5</v>
      </c>
      <c r="F1091">
        <f t="shared" si="33"/>
        <v>99.4</v>
      </c>
    </row>
    <row r="1092" spans="1:6" hidden="1" x14ac:dyDescent="0.35">
      <c r="A1092" s="7">
        <v>49731</v>
      </c>
      <c r="B1092" s="8" t="s">
        <v>10</v>
      </c>
      <c r="C1092" s="9">
        <v>15.6</v>
      </c>
      <c r="D1092" s="10">
        <v>28</v>
      </c>
      <c r="E1092">
        <f t="shared" si="34"/>
        <v>6</v>
      </c>
      <c r="F1092">
        <f t="shared" ref="F1092:F1155" si="35">IF(E1091=7,C1092,C1092+F1091)</f>
        <v>115</v>
      </c>
    </row>
    <row r="1093" spans="1:6" hidden="1" x14ac:dyDescent="0.35">
      <c r="A1093" s="11">
        <v>49732</v>
      </c>
      <c r="B1093" s="12" t="s">
        <v>26</v>
      </c>
      <c r="C1093" s="13">
        <v>28.9</v>
      </c>
      <c r="D1093" s="14">
        <v>6.8</v>
      </c>
      <c r="E1093">
        <f t="shared" si="34"/>
        <v>7</v>
      </c>
      <c r="F1093">
        <f t="shared" si="35"/>
        <v>143.9</v>
      </c>
    </row>
    <row r="1094" spans="1:6" hidden="1" x14ac:dyDescent="0.35">
      <c r="A1094" s="7">
        <v>49733</v>
      </c>
      <c r="B1094" s="8" t="s">
        <v>6</v>
      </c>
      <c r="C1094" s="9">
        <v>13.8</v>
      </c>
      <c r="D1094" s="10">
        <v>11.9</v>
      </c>
      <c r="E1094">
        <f t="shared" si="34"/>
        <v>1</v>
      </c>
      <c r="F1094">
        <f t="shared" si="35"/>
        <v>13.8</v>
      </c>
    </row>
    <row r="1095" spans="1:6" hidden="1" x14ac:dyDescent="0.35">
      <c r="A1095" s="11">
        <v>49734</v>
      </c>
      <c r="B1095" s="12" t="s">
        <v>6</v>
      </c>
      <c r="C1095" s="13">
        <v>17.8</v>
      </c>
      <c r="D1095" s="14">
        <v>1.5</v>
      </c>
      <c r="E1095">
        <f t="shared" si="34"/>
        <v>2</v>
      </c>
      <c r="F1095">
        <f t="shared" si="35"/>
        <v>31.6</v>
      </c>
    </row>
    <row r="1096" spans="1:6" hidden="1" x14ac:dyDescent="0.35">
      <c r="A1096" s="7">
        <v>49735</v>
      </c>
      <c r="B1096" s="8" t="s">
        <v>22</v>
      </c>
      <c r="C1096" s="9">
        <v>25.1</v>
      </c>
      <c r="D1096" s="10">
        <v>0</v>
      </c>
      <c r="E1096">
        <f t="shared" si="34"/>
        <v>3</v>
      </c>
      <c r="F1096">
        <f t="shared" si="35"/>
        <v>56.7</v>
      </c>
    </row>
    <row r="1097" spans="1:6" hidden="1" x14ac:dyDescent="0.35">
      <c r="A1097" s="11">
        <v>49736</v>
      </c>
      <c r="B1097" s="12" t="s">
        <v>22</v>
      </c>
      <c r="C1097" s="13">
        <v>29.5</v>
      </c>
      <c r="D1097" s="14">
        <v>0</v>
      </c>
      <c r="E1097">
        <f t="shared" si="34"/>
        <v>4</v>
      </c>
      <c r="F1097">
        <f t="shared" si="35"/>
        <v>86.2</v>
      </c>
    </row>
    <row r="1098" spans="1:6" hidden="1" x14ac:dyDescent="0.35">
      <c r="A1098" s="7">
        <v>49737</v>
      </c>
      <c r="B1098" s="8" t="s">
        <v>26</v>
      </c>
      <c r="C1098" s="9">
        <v>16.100000000000001</v>
      </c>
      <c r="D1098" s="10">
        <v>7.1</v>
      </c>
      <c r="E1098">
        <f t="shared" ref="E1098:E1161" si="36">IF(E1097=7,1,E1097+1)</f>
        <v>5</v>
      </c>
      <c r="F1098">
        <f t="shared" si="35"/>
        <v>102.30000000000001</v>
      </c>
    </row>
    <row r="1099" spans="1:6" hidden="1" x14ac:dyDescent="0.35">
      <c r="A1099" s="11">
        <v>49738</v>
      </c>
      <c r="B1099" s="12" t="s">
        <v>9</v>
      </c>
      <c r="C1099" s="13">
        <v>18</v>
      </c>
      <c r="D1099" s="14">
        <v>12</v>
      </c>
      <c r="E1099">
        <f t="shared" si="36"/>
        <v>6</v>
      </c>
      <c r="F1099">
        <f t="shared" si="35"/>
        <v>120.30000000000001</v>
      </c>
    </row>
    <row r="1100" spans="1:6" hidden="1" x14ac:dyDescent="0.35">
      <c r="A1100" s="7">
        <v>49739</v>
      </c>
      <c r="B1100" s="8" t="s">
        <v>10</v>
      </c>
      <c r="C1100" s="9">
        <v>12.2</v>
      </c>
      <c r="D1100" s="10">
        <v>26.8</v>
      </c>
      <c r="E1100">
        <f t="shared" si="36"/>
        <v>7</v>
      </c>
      <c r="F1100">
        <f t="shared" si="35"/>
        <v>132.5</v>
      </c>
    </row>
    <row r="1101" spans="1:6" hidden="1" x14ac:dyDescent="0.35">
      <c r="A1101" s="11">
        <v>49740</v>
      </c>
      <c r="B1101" s="12" t="s">
        <v>14</v>
      </c>
      <c r="C1101" s="13">
        <v>20.7</v>
      </c>
      <c r="D1101" s="14">
        <v>4.7</v>
      </c>
      <c r="E1101">
        <f t="shared" si="36"/>
        <v>1</v>
      </c>
      <c r="F1101">
        <f t="shared" si="35"/>
        <v>20.7</v>
      </c>
    </row>
    <row r="1102" spans="1:6" hidden="1" x14ac:dyDescent="0.35">
      <c r="A1102" s="7">
        <v>49741</v>
      </c>
      <c r="B1102" s="8" t="s">
        <v>10</v>
      </c>
      <c r="C1102" s="9">
        <v>20.100000000000001</v>
      </c>
      <c r="D1102" s="10">
        <v>47.4</v>
      </c>
      <c r="E1102">
        <f t="shared" si="36"/>
        <v>2</v>
      </c>
      <c r="F1102">
        <f t="shared" si="35"/>
        <v>40.799999999999997</v>
      </c>
    </row>
    <row r="1103" spans="1:6" hidden="1" x14ac:dyDescent="0.35">
      <c r="A1103" s="11">
        <v>49742</v>
      </c>
      <c r="B1103" s="12" t="s">
        <v>10</v>
      </c>
      <c r="C1103" s="13">
        <v>14.9</v>
      </c>
      <c r="D1103" s="14">
        <v>43.8</v>
      </c>
      <c r="E1103">
        <f t="shared" si="36"/>
        <v>3</v>
      </c>
      <c r="F1103">
        <f t="shared" si="35"/>
        <v>55.699999999999996</v>
      </c>
    </row>
    <row r="1104" spans="1:6" hidden="1" x14ac:dyDescent="0.35">
      <c r="A1104" s="7">
        <v>49743</v>
      </c>
      <c r="B1104" s="8" t="s">
        <v>10</v>
      </c>
      <c r="C1104" s="9">
        <v>19</v>
      </c>
      <c r="D1104" s="10">
        <v>0</v>
      </c>
      <c r="E1104">
        <f t="shared" si="36"/>
        <v>4</v>
      </c>
      <c r="F1104">
        <f t="shared" si="35"/>
        <v>74.699999999999989</v>
      </c>
    </row>
    <row r="1105" spans="1:6" hidden="1" x14ac:dyDescent="0.35">
      <c r="A1105" s="11">
        <v>49744</v>
      </c>
      <c r="B1105" s="12" t="s">
        <v>6</v>
      </c>
      <c r="C1105" s="13">
        <v>12.5</v>
      </c>
      <c r="D1105" s="14">
        <v>0</v>
      </c>
      <c r="E1105">
        <f t="shared" si="36"/>
        <v>5</v>
      </c>
      <c r="F1105">
        <f t="shared" si="35"/>
        <v>87.199999999999989</v>
      </c>
    </row>
    <row r="1106" spans="1:6" hidden="1" x14ac:dyDescent="0.35">
      <c r="A1106" s="7">
        <v>49745</v>
      </c>
      <c r="B1106" s="8" t="s">
        <v>13</v>
      </c>
      <c r="C1106" s="9">
        <v>15.2</v>
      </c>
      <c r="D1106" s="10">
        <v>13.9</v>
      </c>
      <c r="E1106">
        <f t="shared" si="36"/>
        <v>6</v>
      </c>
      <c r="F1106">
        <f t="shared" si="35"/>
        <v>102.39999999999999</v>
      </c>
    </row>
    <row r="1107" spans="1:6" hidden="1" x14ac:dyDescent="0.35">
      <c r="A1107" s="11">
        <v>49746</v>
      </c>
      <c r="B1107" s="12" t="s">
        <v>19</v>
      </c>
      <c r="C1107" s="13">
        <v>29.2</v>
      </c>
      <c r="D1107" s="14">
        <v>26.8</v>
      </c>
      <c r="E1107">
        <f t="shared" si="36"/>
        <v>7</v>
      </c>
      <c r="F1107">
        <f t="shared" si="35"/>
        <v>131.6</v>
      </c>
    </row>
    <row r="1108" spans="1:6" hidden="1" x14ac:dyDescent="0.35">
      <c r="A1108" s="7">
        <v>49747</v>
      </c>
      <c r="B1108" s="8" t="s">
        <v>6</v>
      </c>
      <c r="C1108" s="9">
        <v>13.9</v>
      </c>
      <c r="D1108" s="10">
        <v>1.1000000000000001</v>
      </c>
      <c r="E1108">
        <f t="shared" si="36"/>
        <v>1</v>
      </c>
      <c r="F1108">
        <f t="shared" si="35"/>
        <v>13.9</v>
      </c>
    </row>
    <row r="1109" spans="1:6" hidden="1" x14ac:dyDescent="0.35">
      <c r="A1109" s="11">
        <v>49748</v>
      </c>
      <c r="B1109" s="12" t="s">
        <v>15</v>
      </c>
      <c r="C1109" s="13">
        <v>11.4</v>
      </c>
      <c r="D1109" s="14">
        <v>0</v>
      </c>
      <c r="E1109">
        <f t="shared" si="36"/>
        <v>2</v>
      </c>
      <c r="F1109">
        <f t="shared" si="35"/>
        <v>25.3</v>
      </c>
    </row>
    <row r="1110" spans="1:6" hidden="1" x14ac:dyDescent="0.35">
      <c r="A1110" s="7">
        <v>49749</v>
      </c>
      <c r="B1110" s="8" t="s">
        <v>9</v>
      </c>
      <c r="C1110" s="9">
        <v>15.8</v>
      </c>
      <c r="D1110" s="10">
        <v>7</v>
      </c>
      <c r="E1110">
        <f t="shared" si="36"/>
        <v>3</v>
      </c>
      <c r="F1110">
        <f t="shared" si="35"/>
        <v>41.1</v>
      </c>
    </row>
    <row r="1111" spans="1:6" hidden="1" x14ac:dyDescent="0.35">
      <c r="A1111" s="11">
        <v>49750</v>
      </c>
      <c r="B1111" s="12" t="s">
        <v>10</v>
      </c>
      <c r="C1111" s="13">
        <v>10.199999999999999</v>
      </c>
      <c r="D1111" s="14">
        <v>43.3</v>
      </c>
      <c r="E1111">
        <f t="shared" si="36"/>
        <v>4</v>
      </c>
      <c r="F1111">
        <f t="shared" si="35"/>
        <v>51.3</v>
      </c>
    </row>
    <row r="1112" spans="1:6" hidden="1" x14ac:dyDescent="0.35">
      <c r="A1112" s="7">
        <v>49751</v>
      </c>
      <c r="B1112" s="8" t="s">
        <v>13</v>
      </c>
      <c r="C1112" s="9">
        <v>19.600000000000001</v>
      </c>
      <c r="D1112" s="10">
        <v>8.9</v>
      </c>
      <c r="E1112">
        <f t="shared" si="36"/>
        <v>5</v>
      </c>
      <c r="F1112">
        <f t="shared" si="35"/>
        <v>70.900000000000006</v>
      </c>
    </row>
    <row r="1113" spans="1:6" hidden="1" x14ac:dyDescent="0.35">
      <c r="A1113" s="11">
        <v>49752</v>
      </c>
      <c r="B1113" s="12" t="s">
        <v>6</v>
      </c>
      <c r="C1113" s="13">
        <v>15.5</v>
      </c>
      <c r="D1113" s="14">
        <v>10.1</v>
      </c>
      <c r="E1113">
        <f t="shared" si="36"/>
        <v>6</v>
      </c>
      <c r="F1113">
        <f t="shared" si="35"/>
        <v>86.4</v>
      </c>
    </row>
    <row r="1114" spans="1:6" hidden="1" x14ac:dyDescent="0.35">
      <c r="A1114" s="7">
        <v>49753</v>
      </c>
      <c r="B1114" s="8" t="s">
        <v>15</v>
      </c>
      <c r="C1114" s="9">
        <v>19.899999999999999</v>
      </c>
      <c r="D1114" s="10">
        <v>16.2</v>
      </c>
      <c r="E1114">
        <f t="shared" si="36"/>
        <v>7</v>
      </c>
      <c r="F1114">
        <f t="shared" si="35"/>
        <v>106.30000000000001</v>
      </c>
    </row>
    <row r="1115" spans="1:6" hidden="1" x14ac:dyDescent="0.35">
      <c r="A1115" s="11">
        <v>49754</v>
      </c>
      <c r="B1115" s="12" t="s">
        <v>18</v>
      </c>
      <c r="C1115" s="13">
        <v>10.7</v>
      </c>
      <c r="D1115" s="14">
        <v>2.8</v>
      </c>
      <c r="E1115">
        <f t="shared" si="36"/>
        <v>1</v>
      </c>
      <c r="F1115">
        <f t="shared" si="35"/>
        <v>10.7</v>
      </c>
    </row>
    <row r="1116" spans="1:6" hidden="1" x14ac:dyDescent="0.35">
      <c r="A1116" s="7">
        <v>49755</v>
      </c>
      <c r="B1116" s="8" t="s">
        <v>26</v>
      </c>
      <c r="C1116" s="9">
        <v>11.5</v>
      </c>
      <c r="D1116" s="10">
        <v>5.9</v>
      </c>
      <c r="E1116">
        <f t="shared" si="36"/>
        <v>2</v>
      </c>
      <c r="F1116">
        <f t="shared" si="35"/>
        <v>22.2</v>
      </c>
    </row>
    <row r="1117" spans="1:6" hidden="1" x14ac:dyDescent="0.35">
      <c r="A1117" s="11">
        <v>49756</v>
      </c>
      <c r="B1117" s="12" t="s">
        <v>14</v>
      </c>
      <c r="C1117" s="13">
        <v>28.4</v>
      </c>
      <c r="D1117" s="14">
        <v>1</v>
      </c>
      <c r="E1117">
        <f t="shared" si="36"/>
        <v>3</v>
      </c>
      <c r="F1117">
        <f t="shared" si="35"/>
        <v>50.599999999999994</v>
      </c>
    </row>
    <row r="1118" spans="1:6" hidden="1" x14ac:dyDescent="0.35">
      <c r="A1118" s="7">
        <v>49757</v>
      </c>
      <c r="B1118" s="8" t="s">
        <v>19</v>
      </c>
      <c r="C1118" s="9">
        <v>22.3</v>
      </c>
      <c r="D1118" s="10">
        <v>5.0999999999999996</v>
      </c>
      <c r="E1118">
        <f t="shared" si="36"/>
        <v>4</v>
      </c>
      <c r="F1118">
        <f t="shared" si="35"/>
        <v>72.899999999999991</v>
      </c>
    </row>
    <row r="1119" spans="1:6" hidden="1" x14ac:dyDescent="0.35">
      <c r="A1119" s="11">
        <v>49758</v>
      </c>
      <c r="B1119" s="12" t="s">
        <v>13</v>
      </c>
      <c r="C1119" s="13">
        <v>28.7</v>
      </c>
      <c r="D1119" s="14">
        <v>11.5</v>
      </c>
      <c r="E1119">
        <f t="shared" si="36"/>
        <v>5</v>
      </c>
      <c r="F1119">
        <f t="shared" si="35"/>
        <v>101.6</v>
      </c>
    </row>
    <row r="1120" spans="1:6" hidden="1" x14ac:dyDescent="0.35">
      <c r="A1120" s="7">
        <v>49759</v>
      </c>
      <c r="B1120" s="8" t="s">
        <v>6</v>
      </c>
      <c r="C1120" s="9">
        <v>19.100000000000001</v>
      </c>
      <c r="D1120" s="10">
        <v>0</v>
      </c>
      <c r="E1120">
        <f t="shared" si="36"/>
        <v>6</v>
      </c>
      <c r="F1120">
        <f t="shared" si="35"/>
        <v>120.69999999999999</v>
      </c>
    </row>
    <row r="1121" spans="1:6" hidden="1" x14ac:dyDescent="0.35">
      <c r="A1121" s="11">
        <v>49760</v>
      </c>
      <c r="B1121" s="12" t="s">
        <v>10</v>
      </c>
      <c r="C1121" s="13">
        <v>10.199999999999999</v>
      </c>
      <c r="D1121" s="14">
        <v>7.6</v>
      </c>
      <c r="E1121">
        <f t="shared" si="36"/>
        <v>7</v>
      </c>
      <c r="F1121">
        <f t="shared" si="35"/>
        <v>130.89999999999998</v>
      </c>
    </row>
    <row r="1122" spans="1:6" hidden="1" x14ac:dyDescent="0.35">
      <c r="A1122" s="7">
        <v>49761</v>
      </c>
      <c r="B1122" s="8" t="s">
        <v>10</v>
      </c>
      <c r="C1122" s="9">
        <v>18.399999999999999</v>
      </c>
      <c r="D1122" s="10">
        <v>0</v>
      </c>
      <c r="E1122">
        <f t="shared" si="36"/>
        <v>1</v>
      </c>
      <c r="F1122">
        <f t="shared" si="35"/>
        <v>18.399999999999999</v>
      </c>
    </row>
    <row r="1123" spans="1:6" hidden="1" x14ac:dyDescent="0.35">
      <c r="A1123" s="11">
        <v>49762</v>
      </c>
      <c r="B1123" s="12" t="s">
        <v>19</v>
      </c>
      <c r="C1123" s="13">
        <v>29.3</v>
      </c>
      <c r="D1123" s="14">
        <v>0</v>
      </c>
      <c r="E1123">
        <f t="shared" si="36"/>
        <v>2</v>
      </c>
      <c r="F1123">
        <f t="shared" si="35"/>
        <v>47.7</v>
      </c>
    </row>
    <row r="1124" spans="1:6" hidden="1" x14ac:dyDescent="0.35">
      <c r="A1124" s="7">
        <v>49763</v>
      </c>
      <c r="B1124" s="8" t="s">
        <v>17</v>
      </c>
      <c r="C1124" s="9">
        <v>26.7</v>
      </c>
      <c r="D1124" s="10">
        <v>5.7</v>
      </c>
      <c r="E1124">
        <f t="shared" si="36"/>
        <v>3</v>
      </c>
      <c r="F1124">
        <f t="shared" si="35"/>
        <v>74.400000000000006</v>
      </c>
    </row>
    <row r="1125" spans="1:6" hidden="1" x14ac:dyDescent="0.35">
      <c r="A1125" s="11">
        <v>49764</v>
      </c>
      <c r="B1125" s="12" t="s">
        <v>8</v>
      </c>
      <c r="C1125" s="13">
        <v>22.2</v>
      </c>
      <c r="D1125" s="14">
        <v>0.9</v>
      </c>
      <c r="E1125">
        <f t="shared" si="36"/>
        <v>4</v>
      </c>
      <c r="F1125">
        <f t="shared" si="35"/>
        <v>96.600000000000009</v>
      </c>
    </row>
    <row r="1126" spans="1:6" hidden="1" x14ac:dyDescent="0.35">
      <c r="A1126" s="7">
        <v>49765</v>
      </c>
      <c r="B1126" s="8" t="s">
        <v>13</v>
      </c>
      <c r="C1126" s="9">
        <v>25.5</v>
      </c>
      <c r="D1126" s="10">
        <v>5.8</v>
      </c>
      <c r="E1126">
        <f t="shared" si="36"/>
        <v>5</v>
      </c>
      <c r="F1126">
        <f t="shared" si="35"/>
        <v>122.10000000000001</v>
      </c>
    </row>
    <row r="1127" spans="1:6" hidden="1" x14ac:dyDescent="0.35">
      <c r="A1127" s="11">
        <v>49766</v>
      </c>
      <c r="B1127" s="12" t="s">
        <v>19</v>
      </c>
      <c r="C1127" s="13">
        <v>23.5</v>
      </c>
      <c r="D1127" s="14">
        <v>32</v>
      </c>
      <c r="E1127">
        <f t="shared" si="36"/>
        <v>6</v>
      </c>
      <c r="F1127">
        <f t="shared" si="35"/>
        <v>145.60000000000002</v>
      </c>
    </row>
    <row r="1128" spans="1:6" hidden="1" x14ac:dyDescent="0.35">
      <c r="A1128" s="7">
        <v>49767</v>
      </c>
      <c r="B1128" s="8" t="s">
        <v>5</v>
      </c>
      <c r="C1128" s="9">
        <v>28.4</v>
      </c>
      <c r="D1128" s="10">
        <v>5.7</v>
      </c>
      <c r="E1128">
        <f t="shared" si="36"/>
        <v>7</v>
      </c>
      <c r="F1128">
        <f t="shared" si="35"/>
        <v>174.00000000000003</v>
      </c>
    </row>
    <row r="1129" spans="1:6" hidden="1" x14ac:dyDescent="0.35">
      <c r="A1129" s="11">
        <v>49768</v>
      </c>
      <c r="B1129" s="12" t="s">
        <v>22</v>
      </c>
      <c r="C1129" s="13">
        <v>13.7</v>
      </c>
      <c r="D1129" s="14">
        <v>6</v>
      </c>
      <c r="E1129">
        <f t="shared" si="36"/>
        <v>1</v>
      </c>
      <c r="F1129">
        <f t="shared" si="35"/>
        <v>13.7</v>
      </c>
    </row>
    <row r="1130" spans="1:6" hidden="1" x14ac:dyDescent="0.35">
      <c r="A1130" s="7">
        <v>49769</v>
      </c>
      <c r="B1130" s="8" t="s">
        <v>9</v>
      </c>
      <c r="C1130" s="9">
        <v>22.1</v>
      </c>
      <c r="D1130" s="10">
        <v>11.7</v>
      </c>
      <c r="E1130">
        <f t="shared" si="36"/>
        <v>2</v>
      </c>
      <c r="F1130">
        <f t="shared" si="35"/>
        <v>35.799999999999997</v>
      </c>
    </row>
    <row r="1131" spans="1:6" hidden="1" x14ac:dyDescent="0.35">
      <c r="A1131" s="11">
        <v>49770</v>
      </c>
      <c r="B1131" s="12" t="s">
        <v>11</v>
      </c>
      <c r="C1131" s="13">
        <v>16.899999999999999</v>
      </c>
      <c r="D1131" s="14">
        <v>18.2</v>
      </c>
      <c r="E1131">
        <f t="shared" si="36"/>
        <v>3</v>
      </c>
      <c r="F1131">
        <f t="shared" si="35"/>
        <v>52.699999999999996</v>
      </c>
    </row>
    <row r="1132" spans="1:6" hidden="1" x14ac:dyDescent="0.35">
      <c r="A1132" s="7">
        <v>49771</v>
      </c>
      <c r="B1132" s="8" t="s">
        <v>22</v>
      </c>
      <c r="C1132" s="9">
        <v>28</v>
      </c>
      <c r="D1132" s="10">
        <v>0</v>
      </c>
      <c r="E1132">
        <f t="shared" si="36"/>
        <v>4</v>
      </c>
      <c r="F1132">
        <f t="shared" si="35"/>
        <v>80.699999999999989</v>
      </c>
    </row>
    <row r="1133" spans="1:6" hidden="1" x14ac:dyDescent="0.35">
      <c r="A1133" s="11">
        <v>49772</v>
      </c>
      <c r="B1133" s="12" t="s">
        <v>10</v>
      </c>
      <c r="C1133" s="13">
        <v>13.5</v>
      </c>
      <c r="D1133" s="14">
        <v>3.7</v>
      </c>
      <c r="E1133">
        <f t="shared" si="36"/>
        <v>5</v>
      </c>
      <c r="F1133">
        <f t="shared" si="35"/>
        <v>94.199999999999989</v>
      </c>
    </row>
    <row r="1134" spans="1:6" hidden="1" x14ac:dyDescent="0.35">
      <c r="A1134" s="7">
        <v>49773</v>
      </c>
      <c r="B1134" s="8" t="s">
        <v>19</v>
      </c>
      <c r="C1134" s="9">
        <v>13.4</v>
      </c>
      <c r="D1134" s="10">
        <v>22.5</v>
      </c>
      <c r="E1134">
        <f t="shared" si="36"/>
        <v>6</v>
      </c>
      <c r="F1134">
        <f t="shared" si="35"/>
        <v>107.6</v>
      </c>
    </row>
    <row r="1135" spans="1:6" hidden="1" x14ac:dyDescent="0.35">
      <c r="A1135" s="11">
        <v>49774</v>
      </c>
      <c r="B1135" s="12" t="s">
        <v>6</v>
      </c>
      <c r="C1135" s="13">
        <v>19.899999999999999</v>
      </c>
      <c r="D1135" s="14">
        <v>11.6</v>
      </c>
      <c r="E1135">
        <f t="shared" si="36"/>
        <v>7</v>
      </c>
      <c r="F1135">
        <f t="shared" si="35"/>
        <v>127.5</v>
      </c>
    </row>
    <row r="1136" spans="1:6" hidden="1" x14ac:dyDescent="0.35">
      <c r="A1136" s="7">
        <v>49775</v>
      </c>
      <c r="B1136" s="8" t="s">
        <v>7</v>
      </c>
      <c r="C1136" s="9">
        <v>24.2</v>
      </c>
      <c r="D1136" s="10">
        <v>11</v>
      </c>
      <c r="E1136">
        <f t="shared" si="36"/>
        <v>1</v>
      </c>
      <c r="F1136">
        <f t="shared" si="35"/>
        <v>24.2</v>
      </c>
    </row>
    <row r="1137" spans="1:6" hidden="1" x14ac:dyDescent="0.35">
      <c r="A1137" s="11">
        <v>49776</v>
      </c>
      <c r="B1137" s="12" t="s">
        <v>27</v>
      </c>
      <c r="C1137" s="13">
        <v>20.399999999999999</v>
      </c>
      <c r="D1137" s="14">
        <v>0</v>
      </c>
      <c r="E1137">
        <f t="shared" si="36"/>
        <v>2</v>
      </c>
      <c r="F1137">
        <f t="shared" si="35"/>
        <v>44.599999999999994</v>
      </c>
    </row>
    <row r="1138" spans="1:6" hidden="1" x14ac:dyDescent="0.35">
      <c r="A1138" s="7">
        <v>49777</v>
      </c>
      <c r="B1138" s="8" t="s">
        <v>27</v>
      </c>
      <c r="C1138" s="9">
        <v>16.600000000000001</v>
      </c>
      <c r="D1138" s="10">
        <v>3.9</v>
      </c>
      <c r="E1138">
        <f t="shared" si="36"/>
        <v>3</v>
      </c>
      <c r="F1138">
        <f t="shared" si="35"/>
        <v>61.199999999999996</v>
      </c>
    </row>
    <row r="1139" spans="1:6" hidden="1" x14ac:dyDescent="0.35">
      <c r="A1139" s="11">
        <v>49778</v>
      </c>
      <c r="B1139" s="12" t="s">
        <v>33</v>
      </c>
      <c r="C1139" s="13">
        <v>14.3</v>
      </c>
      <c r="D1139" s="14">
        <v>0</v>
      </c>
      <c r="E1139">
        <f t="shared" si="36"/>
        <v>4</v>
      </c>
      <c r="F1139">
        <f t="shared" si="35"/>
        <v>75.5</v>
      </c>
    </row>
    <row r="1140" spans="1:6" hidden="1" x14ac:dyDescent="0.35">
      <c r="A1140" s="7">
        <v>49779</v>
      </c>
      <c r="B1140" s="8" t="s">
        <v>26</v>
      </c>
      <c r="C1140" s="9">
        <v>24.4</v>
      </c>
      <c r="D1140" s="10">
        <v>4.4000000000000004</v>
      </c>
      <c r="E1140">
        <f t="shared" si="36"/>
        <v>5</v>
      </c>
      <c r="F1140">
        <f t="shared" si="35"/>
        <v>99.9</v>
      </c>
    </row>
    <row r="1141" spans="1:6" hidden="1" x14ac:dyDescent="0.35">
      <c r="A1141" s="11">
        <v>49780</v>
      </c>
      <c r="B1141" s="12" t="s">
        <v>10</v>
      </c>
      <c r="C1141" s="13">
        <v>26.7</v>
      </c>
      <c r="D1141" s="14">
        <v>30.4</v>
      </c>
      <c r="E1141">
        <f t="shared" si="36"/>
        <v>6</v>
      </c>
      <c r="F1141">
        <f t="shared" si="35"/>
        <v>126.60000000000001</v>
      </c>
    </row>
    <row r="1142" spans="1:6" hidden="1" x14ac:dyDescent="0.35">
      <c r="A1142" s="7">
        <v>49781</v>
      </c>
      <c r="B1142" s="8" t="s">
        <v>13</v>
      </c>
      <c r="C1142" s="9">
        <v>20.100000000000001</v>
      </c>
      <c r="D1142" s="10">
        <v>3.1</v>
      </c>
      <c r="E1142">
        <f t="shared" si="36"/>
        <v>7</v>
      </c>
      <c r="F1142">
        <f t="shared" si="35"/>
        <v>146.70000000000002</v>
      </c>
    </row>
    <row r="1143" spans="1:6" hidden="1" x14ac:dyDescent="0.35">
      <c r="A1143" s="11">
        <v>49782</v>
      </c>
      <c r="B1143" s="12" t="s">
        <v>6</v>
      </c>
      <c r="C1143" s="13">
        <v>13.5</v>
      </c>
      <c r="D1143" s="14">
        <v>6.9</v>
      </c>
      <c r="E1143">
        <f t="shared" si="36"/>
        <v>1</v>
      </c>
      <c r="F1143">
        <f t="shared" si="35"/>
        <v>13.5</v>
      </c>
    </row>
    <row r="1144" spans="1:6" hidden="1" x14ac:dyDescent="0.35">
      <c r="A1144" s="7">
        <v>49783</v>
      </c>
      <c r="B1144" s="8" t="s">
        <v>7</v>
      </c>
      <c r="C1144" s="9">
        <v>18.8</v>
      </c>
      <c r="D1144" s="10">
        <v>21.5</v>
      </c>
      <c r="E1144">
        <f t="shared" si="36"/>
        <v>2</v>
      </c>
      <c r="F1144">
        <f t="shared" si="35"/>
        <v>32.299999999999997</v>
      </c>
    </row>
    <row r="1145" spans="1:6" hidden="1" x14ac:dyDescent="0.35">
      <c r="A1145" s="11">
        <v>49784</v>
      </c>
      <c r="B1145" s="12" t="s">
        <v>19</v>
      </c>
      <c r="C1145" s="13">
        <v>18</v>
      </c>
      <c r="D1145" s="14">
        <v>13.9</v>
      </c>
      <c r="E1145">
        <f t="shared" si="36"/>
        <v>3</v>
      </c>
      <c r="F1145">
        <f t="shared" si="35"/>
        <v>50.3</v>
      </c>
    </row>
    <row r="1146" spans="1:6" hidden="1" x14ac:dyDescent="0.35">
      <c r="A1146" s="7">
        <v>49785</v>
      </c>
      <c r="B1146" s="8" t="s">
        <v>27</v>
      </c>
      <c r="C1146" s="9">
        <v>16.899999999999999</v>
      </c>
      <c r="D1146" s="10">
        <v>1.8</v>
      </c>
      <c r="E1146">
        <f t="shared" si="36"/>
        <v>4</v>
      </c>
      <c r="F1146">
        <f t="shared" si="35"/>
        <v>67.199999999999989</v>
      </c>
    </row>
    <row r="1147" spans="1:6" hidden="1" x14ac:dyDescent="0.35">
      <c r="A1147" s="11">
        <v>49786</v>
      </c>
      <c r="B1147" s="12" t="s">
        <v>6</v>
      </c>
      <c r="C1147" s="13">
        <v>23.7</v>
      </c>
      <c r="D1147" s="14">
        <v>13</v>
      </c>
      <c r="E1147">
        <f t="shared" si="36"/>
        <v>5</v>
      </c>
      <c r="F1147">
        <f t="shared" si="35"/>
        <v>90.899999999999991</v>
      </c>
    </row>
    <row r="1148" spans="1:6" hidden="1" x14ac:dyDescent="0.35">
      <c r="A1148" s="7">
        <v>49787</v>
      </c>
      <c r="B1148" s="8" t="s">
        <v>32</v>
      </c>
      <c r="C1148" s="9">
        <v>17.600000000000001</v>
      </c>
      <c r="D1148" s="10">
        <v>0.6</v>
      </c>
      <c r="E1148">
        <f t="shared" si="36"/>
        <v>6</v>
      </c>
      <c r="F1148">
        <f t="shared" si="35"/>
        <v>108.5</v>
      </c>
    </row>
    <row r="1149" spans="1:6" hidden="1" x14ac:dyDescent="0.35">
      <c r="A1149" s="11">
        <v>49788</v>
      </c>
      <c r="B1149" s="12" t="s">
        <v>7</v>
      </c>
      <c r="C1149" s="13">
        <v>29.1</v>
      </c>
      <c r="D1149" s="14">
        <v>8.3000000000000007</v>
      </c>
      <c r="E1149">
        <f t="shared" si="36"/>
        <v>7</v>
      </c>
      <c r="F1149">
        <f t="shared" si="35"/>
        <v>137.6</v>
      </c>
    </row>
    <row r="1150" spans="1:6" hidden="1" x14ac:dyDescent="0.35">
      <c r="A1150" s="7">
        <v>49789</v>
      </c>
      <c r="B1150" s="8" t="s">
        <v>9</v>
      </c>
      <c r="C1150" s="9">
        <v>26.8</v>
      </c>
      <c r="D1150" s="10">
        <v>11.2</v>
      </c>
      <c r="E1150">
        <f t="shared" si="36"/>
        <v>1</v>
      </c>
      <c r="F1150">
        <f t="shared" si="35"/>
        <v>26.8</v>
      </c>
    </row>
    <row r="1151" spans="1:6" hidden="1" x14ac:dyDescent="0.35">
      <c r="A1151" s="11">
        <v>49790</v>
      </c>
      <c r="B1151" s="12" t="s">
        <v>18</v>
      </c>
      <c r="C1151" s="13">
        <v>10.5</v>
      </c>
      <c r="D1151" s="14">
        <v>0</v>
      </c>
      <c r="E1151">
        <f t="shared" si="36"/>
        <v>2</v>
      </c>
      <c r="F1151">
        <f t="shared" si="35"/>
        <v>37.299999999999997</v>
      </c>
    </row>
    <row r="1152" spans="1:6" hidden="1" x14ac:dyDescent="0.35">
      <c r="A1152" s="7">
        <v>49791</v>
      </c>
      <c r="B1152" s="8" t="s">
        <v>11</v>
      </c>
      <c r="C1152" s="9">
        <v>13.5</v>
      </c>
      <c r="D1152" s="10">
        <v>0</v>
      </c>
      <c r="E1152">
        <f t="shared" si="36"/>
        <v>3</v>
      </c>
      <c r="F1152">
        <f t="shared" si="35"/>
        <v>50.8</v>
      </c>
    </row>
    <row r="1153" spans="1:6" hidden="1" x14ac:dyDescent="0.35">
      <c r="A1153" s="11">
        <v>49792</v>
      </c>
      <c r="B1153" s="12" t="s">
        <v>10</v>
      </c>
      <c r="C1153" s="13">
        <v>14</v>
      </c>
      <c r="D1153" s="14">
        <v>22</v>
      </c>
      <c r="E1153">
        <f t="shared" si="36"/>
        <v>4</v>
      </c>
      <c r="F1153">
        <f t="shared" si="35"/>
        <v>64.8</v>
      </c>
    </row>
    <row r="1154" spans="1:6" hidden="1" x14ac:dyDescent="0.35">
      <c r="A1154" s="7">
        <v>49793</v>
      </c>
      <c r="B1154" s="8" t="s">
        <v>11</v>
      </c>
      <c r="C1154" s="9">
        <v>26.7</v>
      </c>
      <c r="D1154" s="10">
        <v>8</v>
      </c>
      <c r="E1154">
        <f t="shared" si="36"/>
        <v>5</v>
      </c>
      <c r="F1154">
        <f t="shared" si="35"/>
        <v>91.5</v>
      </c>
    </row>
    <row r="1155" spans="1:6" hidden="1" x14ac:dyDescent="0.35">
      <c r="A1155" s="11">
        <v>49794</v>
      </c>
      <c r="B1155" s="12" t="s">
        <v>26</v>
      </c>
      <c r="C1155" s="13">
        <v>11.2</v>
      </c>
      <c r="D1155" s="14">
        <v>6.1</v>
      </c>
      <c r="E1155">
        <f t="shared" si="36"/>
        <v>6</v>
      </c>
      <c r="F1155">
        <f t="shared" si="35"/>
        <v>102.7</v>
      </c>
    </row>
    <row r="1156" spans="1:6" hidden="1" x14ac:dyDescent="0.35">
      <c r="A1156" s="7">
        <v>49795</v>
      </c>
      <c r="B1156" s="8" t="s">
        <v>27</v>
      </c>
      <c r="C1156" s="9">
        <v>24.7</v>
      </c>
      <c r="D1156" s="10">
        <v>0</v>
      </c>
      <c r="E1156">
        <f t="shared" si="36"/>
        <v>7</v>
      </c>
      <c r="F1156">
        <f t="shared" ref="F1156:F1219" si="37">IF(E1155=7,C1156,C1156+F1155)</f>
        <v>127.4</v>
      </c>
    </row>
    <row r="1157" spans="1:6" hidden="1" x14ac:dyDescent="0.35">
      <c r="A1157" s="11">
        <v>49796</v>
      </c>
      <c r="B1157" s="12" t="s">
        <v>29</v>
      </c>
      <c r="C1157" s="13">
        <v>27.2</v>
      </c>
      <c r="D1157" s="14">
        <v>0.3</v>
      </c>
      <c r="E1157">
        <f t="shared" si="36"/>
        <v>1</v>
      </c>
      <c r="F1157">
        <f t="shared" si="37"/>
        <v>27.2</v>
      </c>
    </row>
    <row r="1158" spans="1:6" hidden="1" x14ac:dyDescent="0.35">
      <c r="A1158" s="7">
        <v>49797</v>
      </c>
      <c r="B1158" s="8" t="s">
        <v>30</v>
      </c>
      <c r="C1158" s="9">
        <v>11</v>
      </c>
      <c r="D1158" s="10">
        <v>0</v>
      </c>
      <c r="E1158">
        <f t="shared" si="36"/>
        <v>2</v>
      </c>
      <c r="F1158">
        <f t="shared" si="37"/>
        <v>38.200000000000003</v>
      </c>
    </row>
    <row r="1159" spans="1:6" hidden="1" x14ac:dyDescent="0.35">
      <c r="A1159" s="11">
        <v>49798</v>
      </c>
      <c r="B1159" s="12" t="s">
        <v>12</v>
      </c>
      <c r="C1159" s="13">
        <v>10.9</v>
      </c>
      <c r="D1159" s="14">
        <v>4.4000000000000004</v>
      </c>
      <c r="E1159">
        <f t="shared" si="36"/>
        <v>3</v>
      </c>
      <c r="F1159">
        <f t="shared" si="37"/>
        <v>49.1</v>
      </c>
    </row>
    <row r="1160" spans="1:6" hidden="1" x14ac:dyDescent="0.35">
      <c r="A1160" s="7">
        <v>49799</v>
      </c>
      <c r="B1160" s="8" t="s">
        <v>7</v>
      </c>
      <c r="C1160" s="9">
        <v>27.4</v>
      </c>
      <c r="D1160" s="10">
        <v>6</v>
      </c>
      <c r="E1160">
        <f t="shared" si="36"/>
        <v>4</v>
      </c>
      <c r="F1160">
        <f t="shared" si="37"/>
        <v>76.5</v>
      </c>
    </row>
    <row r="1161" spans="1:6" hidden="1" x14ac:dyDescent="0.35">
      <c r="A1161" s="11">
        <v>49800</v>
      </c>
      <c r="B1161" s="12" t="s">
        <v>6</v>
      </c>
      <c r="C1161" s="13">
        <v>20</v>
      </c>
      <c r="D1161" s="14">
        <v>7.6</v>
      </c>
      <c r="E1161">
        <f t="shared" si="36"/>
        <v>5</v>
      </c>
      <c r="F1161">
        <f t="shared" si="37"/>
        <v>96.5</v>
      </c>
    </row>
    <row r="1162" spans="1:6" hidden="1" x14ac:dyDescent="0.35">
      <c r="A1162" s="7">
        <v>49801</v>
      </c>
      <c r="B1162" s="8" t="s">
        <v>18</v>
      </c>
      <c r="C1162" s="9">
        <v>23.5</v>
      </c>
      <c r="D1162" s="10">
        <v>2.5</v>
      </c>
      <c r="E1162">
        <f t="shared" ref="E1162:E1225" si="38">IF(E1161=7,1,E1161+1)</f>
        <v>6</v>
      </c>
      <c r="F1162">
        <f t="shared" si="37"/>
        <v>120</v>
      </c>
    </row>
    <row r="1163" spans="1:6" hidden="1" x14ac:dyDescent="0.35">
      <c r="A1163" s="11">
        <v>49802</v>
      </c>
      <c r="B1163" s="12" t="s">
        <v>11</v>
      </c>
      <c r="C1163" s="13">
        <v>28.5</v>
      </c>
      <c r="D1163" s="14">
        <v>0</v>
      </c>
      <c r="E1163">
        <f t="shared" si="38"/>
        <v>7</v>
      </c>
      <c r="F1163">
        <f t="shared" si="37"/>
        <v>148.5</v>
      </c>
    </row>
    <row r="1164" spans="1:6" hidden="1" x14ac:dyDescent="0.35">
      <c r="A1164" s="7">
        <v>49803</v>
      </c>
      <c r="B1164" s="8" t="s">
        <v>27</v>
      </c>
      <c r="C1164" s="9">
        <v>10.8</v>
      </c>
      <c r="D1164" s="10">
        <v>5.8</v>
      </c>
      <c r="E1164">
        <f t="shared" si="38"/>
        <v>1</v>
      </c>
      <c r="F1164">
        <f t="shared" si="37"/>
        <v>10.8</v>
      </c>
    </row>
    <row r="1165" spans="1:6" hidden="1" x14ac:dyDescent="0.35">
      <c r="A1165" s="11">
        <v>49804</v>
      </c>
      <c r="B1165" s="12" t="s">
        <v>15</v>
      </c>
      <c r="C1165" s="13">
        <v>18.899999999999999</v>
      </c>
      <c r="D1165" s="14">
        <v>9.5</v>
      </c>
      <c r="E1165">
        <f t="shared" si="38"/>
        <v>2</v>
      </c>
      <c r="F1165">
        <f t="shared" si="37"/>
        <v>29.7</v>
      </c>
    </row>
    <row r="1166" spans="1:6" hidden="1" x14ac:dyDescent="0.35">
      <c r="A1166" s="7">
        <v>49805</v>
      </c>
      <c r="B1166" s="8" t="s">
        <v>13</v>
      </c>
      <c r="C1166" s="9">
        <v>24</v>
      </c>
      <c r="D1166" s="10">
        <v>4</v>
      </c>
      <c r="E1166">
        <f t="shared" si="38"/>
        <v>3</v>
      </c>
      <c r="F1166">
        <f t="shared" si="37"/>
        <v>53.7</v>
      </c>
    </row>
    <row r="1167" spans="1:6" hidden="1" x14ac:dyDescent="0.35">
      <c r="A1167" s="11">
        <v>49806</v>
      </c>
      <c r="B1167" s="12" t="s">
        <v>12</v>
      </c>
      <c r="C1167" s="13">
        <v>12.7</v>
      </c>
      <c r="D1167" s="14">
        <v>3</v>
      </c>
      <c r="E1167">
        <f t="shared" si="38"/>
        <v>4</v>
      </c>
      <c r="F1167">
        <f t="shared" si="37"/>
        <v>66.400000000000006</v>
      </c>
    </row>
    <row r="1168" spans="1:6" hidden="1" x14ac:dyDescent="0.35">
      <c r="A1168" s="7">
        <v>49807</v>
      </c>
      <c r="B1168" s="8" t="s">
        <v>7</v>
      </c>
      <c r="C1168" s="9">
        <v>13.4</v>
      </c>
      <c r="D1168" s="10">
        <v>6.2</v>
      </c>
      <c r="E1168">
        <f t="shared" si="38"/>
        <v>5</v>
      </c>
      <c r="F1168">
        <f t="shared" si="37"/>
        <v>79.800000000000011</v>
      </c>
    </row>
    <row r="1169" spans="1:6" hidden="1" x14ac:dyDescent="0.35">
      <c r="A1169" s="11">
        <v>49808</v>
      </c>
      <c r="B1169" s="12" t="s">
        <v>10</v>
      </c>
      <c r="C1169" s="13">
        <v>15.9</v>
      </c>
      <c r="D1169" s="14">
        <v>0</v>
      </c>
      <c r="E1169">
        <f t="shared" si="38"/>
        <v>6</v>
      </c>
      <c r="F1169">
        <f t="shared" si="37"/>
        <v>95.700000000000017</v>
      </c>
    </row>
    <row r="1170" spans="1:6" hidden="1" x14ac:dyDescent="0.35">
      <c r="A1170" s="7">
        <v>49809</v>
      </c>
      <c r="B1170" s="8" t="s">
        <v>11</v>
      </c>
      <c r="C1170" s="9">
        <v>19.399999999999999</v>
      </c>
      <c r="D1170" s="10">
        <v>21.2</v>
      </c>
      <c r="E1170">
        <f t="shared" si="38"/>
        <v>7</v>
      </c>
      <c r="F1170">
        <f t="shared" si="37"/>
        <v>115.10000000000002</v>
      </c>
    </row>
    <row r="1171" spans="1:6" hidden="1" x14ac:dyDescent="0.35">
      <c r="A1171" s="11">
        <v>49810</v>
      </c>
      <c r="B1171" s="12" t="s">
        <v>15</v>
      </c>
      <c r="C1171" s="13">
        <v>16.3</v>
      </c>
      <c r="D1171" s="14">
        <v>17.600000000000001</v>
      </c>
      <c r="E1171">
        <f t="shared" si="38"/>
        <v>1</v>
      </c>
      <c r="F1171">
        <f t="shared" si="37"/>
        <v>16.3</v>
      </c>
    </row>
    <row r="1172" spans="1:6" hidden="1" x14ac:dyDescent="0.35">
      <c r="A1172" s="7">
        <v>49811</v>
      </c>
      <c r="B1172" s="8" t="s">
        <v>11</v>
      </c>
      <c r="C1172" s="9">
        <v>28</v>
      </c>
      <c r="D1172" s="10">
        <v>20.399999999999999</v>
      </c>
      <c r="E1172">
        <f t="shared" si="38"/>
        <v>2</v>
      </c>
      <c r="F1172">
        <f t="shared" si="37"/>
        <v>44.3</v>
      </c>
    </row>
    <row r="1173" spans="1:6" hidden="1" x14ac:dyDescent="0.35">
      <c r="A1173" s="11">
        <v>49812</v>
      </c>
      <c r="B1173" s="12" t="s">
        <v>12</v>
      </c>
      <c r="C1173" s="13">
        <v>19</v>
      </c>
      <c r="D1173" s="14">
        <v>5.2</v>
      </c>
      <c r="E1173">
        <f t="shared" si="38"/>
        <v>3</v>
      </c>
      <c r="F1173">
        <f t="shared" si="37"/>
        <v>63.3</v>
      </c>
    </row>
    <row r="1174" spans="1:6" hidden="1" x14ac:dyDescent="0.35">
      <c r="A1174" s="7">
        <v>49813</v>
      </c>
      <c r="B1174" s="8" t="s">
        <v>27</v>
      </c>
      <c r="C1174" s="9">
        <v>24.1</v>
      </c>
      <c r="D1174" s="10">
        <v>4.8</v>
      </c>
      <c r="E1174">
        <f t="shared" si="38"/>
        <v>4</v>
      </c>
      <c r="F1174">
        <f t="shared" si="37"/>
        <v>87.4</v>
      </c>
    </row>
    <row r="1175" spans="1:6" hidden="1" x14ac:dyDescent="0.35">
      <c r="A1175" s="11">
        <v>49814</v>
      </c>
      <c r="B1175" s="12" t="s">
        <v>10</v>
      </c>
      <c r="C1175" s="13">
        <v>15.2</v>
      </c>
      <c r="D1175" s="14">
        <v>25.7</v>
      </c>
      <c r="E1175">
        <f t="shared" si="38"/>
        <v>5</v>
      </c>
      <c r="F1175">
        <f t="shared" si="37"/>
        <v>102.60000000000001</v>
      </c>
    </row>
    <row r="1176" spans="1:6" hidden="1" x14ac:dyDescent="0.35">
      <c r="A1176" s="7">
        <v>49815</v>
      </c>
      <c r="B1176" s="8" t="s">
        <v>11</v>
      </c>
      <c r="C1176" s="9">
        <v>16.3</v>
      </c>
      <c r="D1176" s="10">
        <v>21</v>
      </c>
      <c r="E1176">
        <f t="shared" si="38"/>
        <v>6</v>
      </c>
      <c r="F1176">
        <f t="shared" si="37"/>
        <v>118.9</v>
      </c>
    </row>
    <row r="1177" spans="1:6" hidden="1" x14ac:dyDescent="0.35">
      <c r="A1177" s="11">
        <v>49816</v>
      </c>
      <c r="B1177" s="12" t="s">
        <v>7</v>
      </c>
      <c r="C1177" s="13">
        <v>26.9</v>
      </c>
      <c r="D1177" s="14">
        <v>0</v>
      </c>
      <c r="E1177">
        <f t="shared" si="38"/>
        <v>7</v>
      </c>
      <c r="F1177">
        <f t="shared" si="37"/>
        <v>145.80000000000001</v>
      </c>
    </row>
    <row r="1178" spans="1:6" hidden="1" x14ac:dyDescent="0.35">
      <c r="A1178" s="7">
        <v>49817</v>
      </c>
      <c r="B1178" s="8" t="s">
        <v>9</v>
      </c>
      <c r="C1178" s="9">
        <v>25</v>
      </c>
      <c r="D1178" s="10">
        <v>0.5</v>
      </c>
      <c r="E1178">
        <f t="shared" si="38"/>
        <v>1</v>
      </c>
      <c r="F1178">
        <f t="shared" si="37"/>
        <v>25</v>
      </c>
    </row>
    <row r="1179" spans="1:6" hidden="1" x14ac:dyDescent="0.35">
      <c r="A1179" s="11">
        <v>49818</v>
      </c>
      <c r="B1179" s="12" t="s">
        <v>17</v>
      </c>
      <c r="C1179" s="13">
        <v>25.1</v>
      </c>
      <c r="D1179" s="14">
        <v>5.2</v>
      </c>
      <c r="E1179">
        <f t="shared" si="38"/>
        <v>2</v>
      </c>
      <c r="F1179">
        <f t="shared" si="37"/>
        <v>50.1</v>
      </c>
    </row>
    <row r="1180" spans="1:6" hidden="1" x14ac:dyDescent="0.35">
      <c r="A1180" s="7">
        <v>49819</v>
      </c>
      <c r="B1180" s="8" t="s">
        <v>12</v>
      </c>
      <c r="C1180" s="9">
        <v>29.2</v>
      </c>
      <c r="D1180" s="10">
        <v>7.1</v>
      </c>
      <c r="E1180">
        <f t="shared" si="38"/>
        <v>3</v>
      </c>
      <c r="F1180">
        <f t="shared" si="37"/>
        <v>79.3</v>
      </c>
    </row>
    <row r="1181" spans="1:6" hidden="1" x14ac:dyDescent="0.35">
      <c r="A1181" s="11">
        <v>49820</v>
      </c>
      <c r="B1181" s="12" t="s">
        <v>13</v>
      </c>
      <c r="C1181" s="13">
        <v>18.100000000000001</v>
      </c>
      <c r="D1181" s="14">
        <v>5.0999999999999996</v>
      </c>
      <c r="E1181">
        <f t="shared" si="38"/>
        <v>4</v>
      </c>
      <c r="F1181">
        <f t="shared" si="37"/>
        <v>97.4</v>
      </c>
    </row>
    <row r="1182" spans="1:6" hidden="1" x14ac:dyDescent="0.35">
      <c r="A1182" s="7">
        <v>49821</v>
      </c>
      <c r="B1182" s="8" t="s">
        <v>11</v>
      </c>
      <c r="C1182" s="9">
        <v>12.5</v>
      </c>
      <c r="D1182" s="10">
        <v>0</v>
      </c>
      <c r="E1182">
        <f t="shared" si="38"/>
        <v>5</v>
      </c>
      <c r="F1182">
        <f t="shared" si="37"/>
        <v>109.9</v>
      </c>
    </row>
    <row r="1183" spans="1:6" hidden="1" x14ac:dyDescent="0.35">
      <c r="A1183" s="11">
        <v>49822</v>
      </c>
      <c r="B1183" s="12" t="s">
        <v>11</v>
      </c>
      <c r="C1183" s="13">
        <v>19.100000000000001</v>
      </c>
      <c r="D1183" s="14">
        <v>0.3</v>
      </c>
      <c r="E1183">
        <f t="shared" si="38"/>
        <v>6</v>
      </c>
      <c r="F1183">
        <f t="shared" si="37"/>
        <v>129</v>
      </c>
    </row>
    <row r="1184" spans="1:6" hidden="1" x14ac:dyDescent="0.35">
      <c r="A1184" s="7">
        <v>49823</v>
      </c>
      <c r="B1184" s="8" t="s">
        <v>19</v>
      </c>
      <c r="C1184" s="9">
        <v>27.4</v>
      </c>
      <c r="D1184" s="10">
        <v>0</v>
      </c>
      <c r="E1184">
        <f t="shared" si="38"/>
        <v>7</v>
      </c>
      <c r="F1184">
        <f t="shared" si="37"/>
        <v>156.4</v>
      </c>
    </row>
    <row r="1185" spans="1:6" hidden="1" x14ac:dyDescent="0.35">
      <c r="A1185" s="11">
        <v>49824</v>
      </c>
      <c r="B1185" s="12" t="s">
        <v>7</v>
      </c>
      <c r="C1185" s="13">
        <v>21.1</v>
      </c>
      <c r="D1185" s="14">
        <v>10.4</v>
      </c>
      <c r="E1185">
        <f t="shared" si="38"/>
        <v>1</v>
      </c>
      <c r="F1185">
        <f t="shared" si="37"/>
        <v>21.1</v>
      </c>
    </row>
    <row r="1186" spans="1:6" hidden="1" x14ac:dyDescent="0.35">
      <c r="A1186" s="7">
        <v>49825</v>
      </c>
      <c r="B1186" s="8" t="s">
        <v>27</v>
      </c>
      <c r="C1186" s="9">
        <v>13.4</v>
      </c>
      <c r="D1186" s="10">
        <v>0</v>
      </c>
      <c r="E1186">
        <f t="shared" si="38"/>
        <v>2</v>
      </c>
      <c r="F1186">
        <f t="shared" si="37"/>
        <v>34.5</v>
      </c>
    </row>
    <row r="1187" spans="1:6" hidden="1" x14ac:dyDescent="0.35">
      <c r="A1187" s="11">
        <v>49826</v>
      </c>
      <c r="B1187" s="12" t="s">
        <v>5</v>
      </c>
      <c r="C1187" s="13">
        <v>11.9</v>
      </c>
      <c r="D1187" s="14">
        <v>7.3</v>
      </c>
      <c r="E1187">
        <f t="shared" si="38"/>
        <v>3</v>
      </c>
      <c r="F1187">
        <f t="shared" si="37"/>
        <v>46.4</v>
      </c>
    </row>
    <row r="1188" spans="1:6" hidden="1" x14ac:dyDescent="0.35">
      <c r="A1188" s="7">
        <v>49827</v>
      </c>
      <c r="B1188" s="8" t="s">
        <v>13</v>
      </c>
      <c r="C1188" s="9">
        <v>20.399999999999999</v>
      </c>
      <c r="D1188" s="10">
        <v>4.3</v>
      </c>
      <c r="E1188">
        <f t="shared" si="38"/>
        <v>4</v>
      </c>
      <c r="F1188">
        <f t="shared" si="37"/>
        <v>66.8</v>
      </c>
    </row>
    <row r="1189" spans="1:6" hidden="1" x14ac:dyDescent="0.35">
      <c r="A1189" s="11">
        <v>49828</v>
      </c>
      <c r="B1189" s="12" t="s">
        <v>7</v>
      </c>
      <c r="C1189" s="13">
        <v>29.5</v>
      </c>
      <c r="D1189" s="14">
        <v>18.600000000000001</v>
      </c>
      <c r="E1189">
        <f t="shared" si="38"/>
        <v>5</v>
      </c>
      <c r="F1189">
        <f t="shared" si="37"/>
        <v>96.3</v>
      </c>
    </row>
    <row r="1190" spans="1:6" hidden="1" x14ac:dyDescent="0.35">
      <c r="A1190" s="7">
        <v>49829</v>
      </c>
      <c r="B1190" s="8" t="s">
        <v>12</v>
      </c>
      <c r="C1190" s="9">
        <v>24.1</v>
      </c>
      <c r="D1190" s="10">
        <v>5</v>
      </c>
      <c r="E1190">
        <f t="shared" si="38"/>
        <v>6</v>
      </c>
      <c r="F1190">
        <f t="shared" si="37"/>
        <v>120.4</v>
      </c>
    </row>
    <row r="1191" spans="1:6" hidden="1" x14ac:dyDescent="0.35">
      <c r="A1191" s="11">
        <v>49830</v>
      </c>
      <c r="B1191" s="12" t="s">
        <v>14</v>
      </c>
      <c r="C1191" s="13">
        <v>11.5</v>
      </c>
      <c r="D1191" s="14">
        <v>3.6</v>
      </c>
      <c r="E1191">
        <f t="shared" si="38"/>
        <v>7</v>
      </c>
      <c r="F1191">
        <f t="shared" si="37"/>
        <v>131.9</v>
      </c>
    </row>
    <row r="1192" spans="1:6" hidden="1" x14ac:dyDescent="0.35">
      <c r="A1192" s="7">
        <v>49831</v>
      </c>
      <c r="B1192" s="8" t="s">
        <v>25</v>
      </c>
      <c r="C1192" s="9">
        <v>21.2</v>
      </c>
      <c r="D1192" s="10">
        <v>1.8</v>
      </c>
      <c r="E1192">
        <f t="shared" si="38"/>
        <v>1</v>
      </c>
      <c r="F1192">
        <f t="shared" si="37"/>
        <v>21.2</v>
      </c>
    </row>
    <row r="1193" spans="1:6" hidden="1" x14ac:dyDescent="0.35">
      <c r="A1193" s="11">
        <v>49832</v>
      </c>
      <c r="B1193" s="12" t="s">
        <v>10</v>
      </c>
      <c r="C1193" s="13">
        <v>22.2</v>
      </c>
      <c r="D1193" s="14">
        <v>40.299999999999997</v>
      </c>
      <c r="E1193">
        <f t="shared" si="38"/>
        <v>2</v>
      </c>
      <c r="F1193">
        <f t="shared" si="37"/>
        <v>43.4</v>
      </c>
    </row>
    <row r="1194" spans="1:6" hidden="1" x14ac:dyDescent="0.35">
      <c r="A1194" s="7">
        <v>49833</v>
      </c>
      <c r="B1194" s="8" t="s">
        <v>10</v>
      </c>
      <c r="C1194" s="9">
        <v>14.6</v>
      </c>
      <c r="D1194" s="10">
        <v>2.6</v>
      </c>
      <c r="E1194">
        <f t="shared" si="38"/>
        <v>3</v>
      </c>
      <c r="F1194">
        <f t="shared" si="37"/>
        <v>58</v>
      </c>
    </row>
    <row r="1195" spans="1:6" hidden="1" x14ac:dyDescent="0.35">
      <c r="A1195" s="11">
        <v>49834</v>
      </c>
      <c r="B1195" s="12" t="s">
        <v>13</v>
      </c>
      <c r="C1195" s="13">
        <v>23.3</v>
      </c>
      <c r="D1195" s="14">
        <v>8.1</v>
      </c>
      <c r="E1195">
        <f t="shared" si="38"/>
        <v>4</v>
      </c>
      <c r="F1195">
        <f t="shared" si="37"/>
        <v>81.3</v>
      </c>
    </row>
    <row r="1196" spans="1:6" hidden="1" x14ac:dyDescent="0.35">
      <c r="A1196" s="7">
        <v>49835</v>
      </c>
      <c r="B1196" s="8" t="s">
        <v>13</v>
      </c>
      <c r="C1196" s="9">
        <v>16.2</v>
      </c>
      <c r="D1196" s="10">
        <v>10.4</v>
      </c>
      <c r="E1196">
        <f t="shared" si="38"/>
        <v>5</v>
      </c>
      <c r="F1196">
        <f t="shared" si="37"/>
        <v>97.5</v>
      </c>
    </row>
    <row r="1197" spans="1:6" hidden="1" x14ac:dyDescent="0.35">
      <c r="A1197" s="11">
        <v>49836</v>
      </c>
      <c r="B1197" s="12" t="s">
        <v>10</v>
      </c>
      <c r="C1197" s="13">
        <v>25.9</v>
      </c>
      <c r="D1197" s="14">
        <v>0</v>
      </c>
      <c r="E1197">
        <f t="shared" si="38"/>
        <v>6</v>
      </c>
      <c r="F1197">
        <f t="shared" si="37"/>
        <v>123.4</v>
      </c>
    </row>
    <row r="1198" spans="1:6" hidden="1" x14ac:dyDescent="0.35">
      <c r="A1198" s="7">
        <v>49837</v>
      </c>
      <c r="B1198" s="8" t="s">
        <v>5</v>
      </c>
      <c r="C1198" s="9">
        <v>14.6</v>
      </c>
      <c r="D1198" s="10">
        <v>7</v>
      </c>
      <c r="E1198">
        <f t="shared" si="38"/>
        <v>7</v>
      </c>
      <c r="F1198">
        <f t="shared" si="37"/>
        <v>138</v>
      </c>
    </row>
    <row r="1199" spans="1:6" hidden="1" x14ac:dyDescent="0.35">
      <c r="A1199" s="11">
        <v>49838</v>
      </c>
      <c r="B1199" s="12" t="s">
        <v>18</v>
      </c>
      <c r="C1199" s="13">
        <v>15.1</v>
      </c>
      <c r="D1199" s="14">
        <v>11.7</v>
      </c>
      <c r="E1199">
        <f t="shared" si="38"/>
        <v>1</v>
      </c>
      <c r="F1199">
        <f t="shared" si="37"/>
        <v>15.1</v>
      </c>
    </row>
    <row r="1200" spans="1:6" hidden="1" x14ac:dyDescent="0.35">
      <c r="A1200" s="7">
        <v>49839</v>
      </c>
      <c r="B1200" s="8" t="s">
        <v>19</v>
      </c>
      <c r="C1200" s="9">
        <v>14.1</v>
      </c>
      <c r="D1200" s="10">
        <v>6.5</v>
      </c>
      <c r="E1200">
        <f t="shared" si="38"/>
        <v>2</v>
      </c>
      <c r="F1200">
        <f t="shared" si="37"/>
        <v>29.2</v>
      </c>
    </row>
    <row r="1201" spans="1:6" hidden="1" x14ac:dyDescent="0.35">
      <c r="A1201" s="11">
        <v>49840</v>
      </c>
      <c r="B1201" s="12" t="s">
        <v>27</v>
      </c>
      <c r="C1201" s="13">
        <v>22.1</v>
      </c>
      <c r="D1201" s="14">
        <v>1.8</v>
      </c>
      <c r="E1201">
        <f t="shared" si="38"/>
        <v>3</v>
      </c>
      <c r="F1201">
        <f t="shared" si="37"/>
        <v>51.3</v>
      </c>
    </row>
    <row r="1202" spans="1:6" hidden="1" x14ac:dyDescent="0.35">
      <c r="A1202" s="7">
        <v>49841</v>
      </c>
      <c r="B1202" s="8" t="s">
        <v>11</v>
      </c>
      <c r="C1202" s="9">
        <v>27.2</v>
      </c>
      <c r="D1202" s="10">
        <v>21.9</v>
      </c>
      <c r="E1202">
        <f t="shared" si="38"/>
        <v>4</v>
      </c>
      <c r="F1202">
        <f t="shared" si="37"/>
        <v>78.5</v>
      </c>
    </row>
    <row r="1203" spans="1:6" hidden="1" x14ac:dyDescent="0.35">
      <c r="A1203" s="11">
        <v>49842</v>
      </c>
      <c r="B1203" s="12" t="s">
        <v>6</v>
      </c>
      <c r="C1203" s="13">
        <v>10.8</v>
      </c>
      <c r="D1203" s="14">
        <v>0</v>
      </c>
      <c r="E1203">
        <f t="shared" si="38"/>
        <v>5</v>
      </c>
      <c r="F1203">
        <f t="shared" si="37"/>
        <v>89.3</v>
      </c>
    </row>
    <row r="1204" spans="1:6" hidden="1" x14ac:dyDescent="0.35">
      <c r="A1204" s="7">
        <v>49843</v>
      </c>
      <c r="B1204" s="8" t="s">
        <v>7</v>
      </c>
      <c r="C1204" s="9">
        <v>24.6</v>
      </c>
      <c r="D1204" s="10">
        <v>0</v>
      </c>
      <c r="E1204">
        <f t="shared" si="38"/>
        <v>6</v>
      </c>
      <c r="F1204">
        <f t="shared" si="37"/>
        <v>113.9</v>
      </c>
    </row>
    <row r="1205" spans="1:6" hidden="1" x14ac:dyDescent="0.35">
      <c r="A1205" s="11">
        <v>49844</v>
      </c>
      <c r="B1205" s="12" t="s">
        <v>10</v>
      </c>
      <c r="C1205" s="13">
        <v>27.8</v>
      </c>
      <c r="D1205" s="14">
        <v>26.3</v>
      </c>
      <c r="E1205">
        <f t="shared" si="38"/>
        <v>7</v>
      </c>
      <c r="F1205">
        <f t="shared" si="37"/>
        <v>141.70000000000002</v>
      </c>
    </row>
    <row r="1206" spans="1:6" hidden="1" x14ac:dyDescent="0.35">
      <c r="A1206" s="7">
        <v>49845</v>
      </c>
      <c r="B1206" s="8" t="s">
        <v>14</v>
      </c>
      <c r="C1206" s="9">
        <v>12.9</v>
      </c>
      <c r="D1206" s="10">
        <v>2.8</v>
      </c>
      <c r="E1206">
        <f t="shared" si="38"/>
        <v>1</v>
      </c>
      <c r="F1206">
        <f t="shared" si="37"/>
        <v>12.9</v>
      </c>
    </row>
    <row r="1207" spans="1:6" hidden="1" x14ac:dyDescent="0.35">
      <c r="A1207" s="11">
        <v>49846</v>
      </c>
      <c r="B1207" s="12" t="s">
        <v>13</v>
      </c>
      <c r="C1207" s="13">
        <v>13.9</v>
      </c>
      <c r="D1207" s="14">
        <v>0.6</v>
      </c>
      <c r="E1207">
        <f t="shared" si="38"/>
        <v>2</v>
      </c>
      <c r="F1207">
        <f t="shared" si="37"/>
        <v>26.8</v>
      </c>
    </row>
    <row r="1208" spans="1:6" hidden="1" x14ac:dyDescent="0.35">
      <c r="A1208" s="7">
        <v>49847</v>
      </c>
      <c r="B1208" s="8" t="s">
        <v>29</v>
      </c>
      <c r="C1208" s="9">
        <v>27.6</v>
      </c>
      <c r="D1208" s="10">
        <v>0.6</v>
      </c>
      <c r="E1208">
        <f t="shared" si="38"/>
        <v>3</v>
      </c>
      <c r="F1208">
        <f t="shared" si="37"/>
        <v>54.400000000000006</v>
      </c>
    </row>
    <row r="1209" spans="1:6" hidden="1" x14ac:dyDescent="0.35">
      <c r="A1209" s="11">
        <v>49848</v>
      </c>
      <c r="B1209" s="12" t="s">
        <v>11</v>
      </c>
      <c r="C1209" s="13">
        <v>18.600000000000001</v>
      </c>
      <c r="D1209" s="14">
        <v>21.5</v>
      </c>
      <c r="E1209">
        <f t="shared" si="38"/>
        <v>4</v>
      </c>
      <c r="F1209">
        <f t="shared" si="37"/>
        <v>73</v>
      </c>
    </row>
    <row r="1210" spans="1:6" hidden="1" x14ac:dyDescent="0.35">
      <c r="A1210" s="7">
        <v>49849</v>
      </c>
      <c r="B1210" s="8" t="s">
        <v>6</v>
      </c>
      <c r="C1210" s="9">
        <v>17.8</v>
      </c>
      <c r="D1210" s="10">
        <v>0</v>
      </c>
      <c r="E1210">
        <f t="shared" si="38"/>
        <v>5</v>
      </c>
      <c r="F1210">
        <f t="shared" si="37"/>
        <v>90.8</v>
      </c>
    </row>
    <row r="1211" spans="1:6" hidden="1" x14ac:dyDescent="0.35">
      <c r="A1211" s="11">
        <v>49850</v>
      </c>
      <c r="B1211" s="12" t="s">
        <v>15</v>
      </c>
      <c r="C1211" s="13">
        <v>20.8</v>
      </c>
      <c r="D1211" s="14">
        <v>8.5</v>
      </c>
      <c r="E1211">
        <f t="shared" si="38"/>
        <v>6</v>
      </c>
      <c r="F1211">
        <f t="shared" si="37"/>
        <v>111.6</v>
      </c>
    </row>
    <row r="1212" spans="1:6" hidden="1" x14ac:dyDescent="0.35">
      <c r="A1212" s="7">
        <v>49851</v>
      </c>
      <c r="B1212" s="8" t="s">
        <v>22</v>
      </c>
      <c r="C1212" s="9">
        <v>16.399999999999999</v>
      </c>
      <c r="D1212" s="10">
        <v>6.8</v>
      </c>
      <c r="E1212">
        <f t="shared" si="38"/>
        <v>7</v>
      </c>
      <c r="F1212">
        <f t="shared" si="37"/>
        <v>128</v>
      </c>
    </row>
    <row r="1213" spans="1:6" hidden="1" x14ac:dyDescent="0.35">
      <c r="A1213" s="11">
        <v>49852</v>
      </c>
      <c r="B1213" s="12" t="s">
        <v>27</v>
      </c>
      <c r="C1213" s="13">
        <v>14.6</v>
      </c>
      <c r="D1213" s="14">
        <v>0</v>
      </c>
      <c r="E1213">
        <f t="shared" si="38"/>
        <v>1</v>
      </c>
      <c r="F1213">
        <f t="shared" si="37"/>
        <v>14.6</v>
      </c>
    </row>
    <row r="1214" spans="1:6" hidden="1" x14ac:dyDescent="0.35">
      <c r="A1214" s="7">
        <v>49853</v>
      </c>
      <c r="B1214" s="8" t="s">
        <v>9</v>
      </c>
      <c r="C1214" s="9">
        <v>27.1</v>
      </c>
      <c r="D1214" s="10">
        <v>1.2</v>
      </c>
      <c r="E1214">
        <f t="shared" si="38"/>
        <v>2</v>
      </c>
      <c r="F1214">
        <f t="shared" si="37"/>
        <v>41.7</v>
      </c>
    </row>
    <row r="1215" spans="1:6" hidden="1" x14ac:dyDescent="0.35">
      <c r="A1215" s="11">
        <v>49854</v>
      </c>
      <c r="B1215" s="12" t="s">
        <v>10</v>
      </c>
      <c r="C1215" s="13">
        <v>18.3</v>
      </c>
      <c r="D1215" s="14">
        <v>3.7</v>
      </c>
      <c r="E1215">
        <f t="shared" si="38"/>
        <v>3</v>
      </c>
      <c r="F1215">
        <f t="shared" si="37"/>
        <v>60</v>
      </c>
    </row>
    <row r="1216" spans="1:6" hidden="1" x14ac:dyDescent="0.35">
      <c r="A1216" s="7">
        <v>49855</v>
      </c>
      <c r="B1216" s="8" t="s">
        <v>29</v>
      </c>
      <c r="C1216" s="9">
        <v>27.1</v>
      </c>
      <c r="D1216" s="10">
        <v>0.2</v>
      </c>
      <c r="E1216">
        <f t="shared" si="38"/>
        <v>4</v>
      </c>
      <c r="F1216">
        <f t="shared" si="37"/>
        <v>87.1</v>
      </c>
    </row>
    <row r="1217" spans="1:6" hidden="1" x14ac:dyDescent="0.35">
      <c r="A1217" s="11">
        <v>49856</v>
      </c>
      <c r="B1217" s="12" t="s">
        <v>15</v>
      </c>
      <c r="C1217" s="13">
        <v>12.9</v>
      </c>
      <c r="D1217" s="14">
        <v>10.199999999999999</v>
      </c>
      <c r="E1217">
        <f t="shared" si="38"/>
        <v>5</v>
      </c>
      <c r="F1217">
        <f t="shared" si="37"/>
        <v>100</v>
      </c>
    </row>
    <row r="1218" spans="1:6" hidden="1" x14ac:dyDescent="0.35">
      <c r="A1218" s="7">
        <v>49857</v>
      </c>
      <c r="B1218" s="8" t="s">
        <v>19</v>
      </c>
      <c r="C1218" s="9">
        <v>19.100000000000001</v>
      </c>
      <c r="D1218" s="10">
        <v>19.600000000000001</v>
      </c>
      <c r="E1218">
        <f t="shared" si="38"/>
        <v>6</v>
      </c>
      <c r="F1218">
        <f t="shared" si="37"/>
        <v>119.1</v>
      </c>
    </row>
    <row r="1219" spans="1:6" hidden="1" x14ac:dyDescent="0.35">
      <c r="A1219" s="11">
        <v>49858</v>
      </c>
      <c r="B1219" s="12" t="s">
        <v>6</v>
      </c>
      <c r="C1219" s="13">
        <v>19.2</v>
      </c>
      <c r="D1219" s="14">
        <v>3.6</v>
      </c>
      <c r="E1219">
        <f t="shared" si="38"/>
        <v>7</v>
      </c>
      <c r="F1219">
        <f t="shared" si="37"/>
        <v>138.29999999999998</v>
      </c>
    </row>
    <row r="1220" spans="1:6" hidden="1" x14ac:dyDescent="0.35">
      <c r="A1220" s="7">
        <v>49859</v>
      </c>
      <c r="B1220" s="8" t="s">
        <v>9</v>
      </c>
      <c r="C1220" s="9">
        <v>25.2</v>
      </c>
      <c r="D1220" s="10">
        <v>0</v>
      </c>
      <c r="E1220">
        <f t="shared" si="38"/>
        <v>1</v>
      </c>
      <c r="F1220">
        <f t="shared" ref="F1220:F1283" si="39">IF(E1219=7,C1220,C1220+F1219)</f>
        <v>25.2</v>
      </c>
    </row>
    <row r="1221" spans="1:6" hidden="1" x14ac:dyDescent="0.35">
      <c r="A1221" s="11">
        <v>49860</v>
      </c>
      <c r="B1221" s="12" t="s">
        <v>15</v>
      </c>
      <c r="C1221" s="13">
        <v>13.5</v>
      </c>
      <c r="D1221" s="14">
        <v>6.3</v>
      </c>
      <c r="E1221">
        <f t="shared" si="38"/>
        <v>2</v>
      </c>
      <c r="F1221">
        <f t="shared" si="39"/>
        <v>38.700000000000003</v>
      </c>
    </row>
    <row r="1222" spans="1:6" hidden="1" x14ac:dyDescent="0.35">
      <c r="A1222" s="7">
        <v>49861</v>
      </c>
      <c r="B1222" s="8" t="s">
        <v>12</v>
      </c>
      <c r="C1222" s="9">
        <v>19.2</v>
      </c>
      <c r="D1222" s="10">
        <v>7.7</v>
      </c>
      <c r="E1222">
        <f t="shared" si="38"/>
        <v>3</v>
      </c>
      <c r="F1222">
        <f t="shared" si="39"/>
        <v>57.900000000000006</v>
      </c>
    </row>
    <row r="1223" spans="1:6" hidden="1" x14ac:dyDescent="0.35">
      <c r="A1223" s="11">
        <v>49862</v>
      </c>
      <c r="B1223" s="12" t="s">
        <v>14</v>
      </c>
      <c r="C1223" s="13">
        <v>24.1</v>
      </c>
      <c r="D1223" s="14">
        <v>7.8</v>
      </c>
      <c r="E1223">
        <f t="shared" si="38"/>
        <v>4</v>
      </c>
      <c r="F1223">
        <f t="shared" si="39"/>
        <v>82</v>
      </c>
    </row>
    <row r="1224" spans="1:6" hidden="1" x14ac:dyDescent="0.35">
      <c r="A1224" s="7">
        <v>49863</v>
      </c>
      <c r="B1224" s="8" t="s">
        <v>10</v>
      </c>
      <c r="C1224" s="9">
        <v>17.8</v>
      </c>
      <c r="D1224" s="10">
        <v>13.4</v>
      </c>
      <c r="E1224">
        <f t="shared" si="38"/>
        <v>5</v>
      </c>
      <c r="F1224">
        <f t="shared" si="39"/>
        <v>99.8</v>
      </c>
    </row>
    <row r="1225" spans="1:6" hidden="1" x14ac:dyDescent="0.35">
      <c r="A1225" s="11">
        <v>49864</v>
      </c>
      <c r="B1225" s="12" t="s">
        <v>7</v>
      </c>
      <c r="C1225" s="13">
        <v>24.7</v>
      </c>
      <c r="D1225" s="14">
        <v>21.1</v>
      </c>
      <c r="E1225">
        <f t="shared" si="38"/>
        <v>6</v>
      </c>
      <c r="F1225">
        <f t="shared" si="39"/>
        <v>124.5</v>
      </c>
    </row>
    <row r="1226" spans="1:6" hidden="1" x14ac:dyDescent="0.35">
      <c r="A1226" s="7">
        <v>49865</v>
      </c>
      <c r="B1226" s="8" t="s">
        <v>20</v>
      </c>
      <c r="C1226" s="9">
        <v>16.8</v>
      </c>
      <c r="D1226" s="10">
        <v>0</v>
      </c>
      <c r="E1226">
        <f t="shared" ref="E1226:E1289" si="40">IF(E1225=7,1,E1225+1)</f>
        <v>7</v>
      </c>
      <c r="F1226">
        <f t="shared" si="39"/>
        <v>141.30000000000001</v>
      </c>
    </row>
    <row r="1227" spans="1:6" hidden="1" x14ac:dyDescent="0.35">
      <c r="A1227" s="11">
        <v>49866</v>
      </c>
      <c r="B1227" s="12" t="s">
        <v>5</v>
      </c>
      <c r="C1227" s="13">
        <v>10.7</v>
      </c>
      <c r="D1227" s="14">
        <v>3</v>
      </c>
      <c r="E1227">
        <f t="shared" si="40"/>
        <v>1</v>
      </c>
      <c r="F1227">
        <f t="shared" si="39"/>
        <v>10.7</v>
      </c>
    </row>
    <row r="1228" spans="1:6" hidden="1" x14ac:dyDescent="0.35">
      <c r="A1228" s="7">
        <v>49867</v>
      </c>
      <c r="B1228" s="8" t="s">
        <v>6</v>
      </c>
      <c r="C1228" s="9">
        <v>29.3</v>
      </c>
      <c r="D1228" s="10">
        <v>8.3000000000000007</v>
      </c>
      <c r="E1228">
        <f t="shared" si="40"/>
        <v>2</v>
      </c>
      <c r="F1228">
        <f t="shared" si="39"/>
        <v>40</v>
      </c>
    </row>
    <row r="1229" spans="1:6" hidden="1" x14ac:dyDescent="0.35">
      <c r="A1229" s="11">
        <v>49868</v>
      </c>
      <c r="B1229" s="12" t="s">
        <v>25</v>
      </c>
      <c r="C1229" s="13">
        <v>28.2</v>
      </c>
      <c r="D1229" s="14">
        <v>0</v>
      </c>
      <c r="E1229">
        <f t="shared" si="40"/>
        <v>3</v>
      </c>
      <c r="F1229">
        <f t="shared" si="39"/>
        <v>68.2</v>
      </c>
    </row>
    <row r="1230" spans="1:6" hidden="1" x14ac:dyDescent="0.35">
      <c r="A1230" s="7">
        <v>49869</v>
      </c>
      <c r="B1230" s="8" t="s">
        <v>10</v>
      </c>
      <c r="C1230" s="9">
        <v>17.3</v>
      </c>
      <c r="D1230" s="10">
        <v>33.6</v>
      </c>
      <c r="E1230">
        <f t="shared" si="40"/>
        <v>4</v>
      </c>
      <c r="F1230">
        <f t="shared" si="39"/>
        <v>85.5</v>
      </c>
    </row>
    <row r="1231" spans="1:6" hidden="1" x14ac:dyDescent="0.35">
      <c r="A1231" s="11">
        <v>49870</v>
      </c>
      <c r="B1231" s="12" t="s">
        <v>6</v>
      </c>
      <c r="C1231" s="13">
        <v>24.6</v>
      </c>
      <c r="D1231" s="14">
        <v>0</v>
      </c>
      <c r="E1231">
        <f t="shared" si="40"/>
        <v>5</v>
      </c>
      <c r="F1231">
        <f t="shared" si="39"/>
        <v>110.1</v>
      </c>
    </row>
    <row r="1232" spans="1:6" hidden="1" x14ac:dyDescent="0.35">
      <c r="A1232" s="7">
        <v>49871</v>
      </c>
      <c r="B1232" s="8" t="s">
        <v>12</v>
      </c>
      <c r="C1232" s="9">
        <v>12.6</v>
      </c>
      <c r="D1232" s="10">
        <v>0.6</v>
      </c>
      <c r="E1232">
        <f t="shared" si="40"/>
        <v>6</v>
      </c>
      <c r="F1232">
        <f t="shared" si="39"/>
        <v>122.69999999999999</v>
      </c>
    </row>
    <row r="1233" spans="1:6" hidden="1" x14ac:dyDescent="0.35">
      <c r="A1233" s="11">
        <v>49872</v>
      </c>
      <c r="B1233" s="12" t="s">
        <v>19</v>
      </c>
      <c r="C1233" s="13">
        <v>27.3</v>
      </c>
      <c r="D1233" s="14">
        <v>0</v>
      </c>
      <c r="E1233">
        <f t="shared" si="40"/>
        <v>7</v>
      </c>
      <c r="F1233">
        <f t="shared" si="39"/>
        <v>150</v>
      </c>
    </row>
    <row r="1234" spans="1:6" hidden="1" x14ac:dyDescent="0.35">
      <c r="A1234" s="7">
        <v>49873</v>
      </c>
      <c r="B1234" s="8" t="s">
        <v>8</v>
      </c>
      <c r="C1234" s="9">
        <v>14.4</v>
      </c>
      <c r="D1234" s="10">
        <v>2</v>
      </c>
      <c r="E1234">
        <f t="shared" si="40"/>
        <v>1</v>
      </c>
      <c r="F1234">
        <f t="shared" si="39"/>
        <v>14.4</v>
      </c>
    </row>
    <row r="1235" spans="1:6" hidden="1" x14ac:dyDescent="0.35">
      <c r="A1235" s="11">
        <v>49874</v>
      </c>
      <c r="B1235" s="12" t="s">
        <v>10</v>
      </c>
      <c r="C1235" s="13">
        <v>11.2</v>
      </c>
      <c r="D1235" s="14">
        <v>32.6</v>
      </c>
      <c r="E1235">
        <f t="shared" si="40"/>
        <v>2</v>
      </c>
      <c r="F1235">
        <f t="shared" si="39"/>
        <v>25.6</v>
      </c>
    </row>
    <row r="1236" spans="1:6" hidden="1" x14ac:dyDescent="0.35">
      <c r="A1236" s="7">
        <v>49875</v>
      </c>
      <c r="B1236" s="8" t="s">
        <v>19</v>
      </c>
      <c r="C1236" s="9">
        <v>11.4</v>
      </c>
      <c r="D1236" s="10">
        <v>5.5</v>
      </c>
      <c r="E1236">
        <f t="shared" si="40"/>
        <v>3</v>
      </c>
      <c r="F1236">
        <f t="shared" si="39"/>
        <v>37</v>
      </c>
    </row>
    <row r="1237" spans="1:6" hidden="1" x14ac:dyDescent="0.35">
      <c r="A1237" s="11">
        <v>49876</v>
      </c>
      <c r="B1237" s="12" t="s">
        <v>14</v>
      </c>
      <c r="C1237" s="13">
        <v>22.9</v>
      </c>
      <c r="D1237" s="14">
        <v>0</v>
      </c>
      <c r="E1237">
        <f t="shared" si="40"/>
        <v>4</v>
      </c>
      <c r="F1237">
        <f t="shared" si="39"/>
        <v>59.9</v>
      </c>
    </row>
    <row r="1238" spans="1:6" hidden="1" x14ac:dyDescent="0.35">
      <c r="A1238" s="7">
        <v>49877</v>
      </c>
      <c r="B1238" s="8" t="s">
        <v>7</v>
      </c>
      <c r="C1238" s="9">
        <v>14.3</v>
      </c>
      <c r="D1238" s="10">
        <v>13.2</v>
      </c>
      <c r="E1238">
        <f t="shared" si="40"/>
        <v>5</v>
      </c>
      <c r="F1238">
        <f t="shared" si="39"/>
        <v>74.2</v>
      </c>
    </row>
    <row r="1239" spans="1:6" hidden="1" x14ac:dyDescent="0.35">
      <c r="A1239" s="11">
        <v>49878</v>
      </c>
      <c r="B1239" s="12" t="s">
        <v>10</v>
      </c>
      <c r="C1239" s="13">
        <v>22.9</v>
      </c>
      <c r="D1239" s="14">
        <v>22.9</v>
      </c>
      <c r="E1239">
        <f t="shared" si="40"/>
        <v>6</v>
      </c>
      <c r="F1239">
        <f t="shared" si="39"/>
        <v>97.1</v>
      </c>
    </row>
    <row r="1240" spans="1:6" hidden="1" x14ac:dyDescent="0.35">
      <c r="A1240" s="7">
        <v>49879</v>
      </c>
      <c r="B1240" s="8" t="s">
        <v>11</v>
      </c>
      <c r="C1240" s="9">
        <v>11.8</v>
      </c>
      <c r="D1240" s="10">
        <v>0</v>
      </c>
      <c r="E1240">
        <f t="shared" si="40"/>
        <v>7</v>
      </c>
      <c r="F1240">
        <f t="shared" si="39"/>
        <v>108.89999999999999</v>
      </c>
    </row>
    <row r="1241" spans="1:6" hidden="1" x14ac:dyDescent="0.35">
      <c r="A1241" s="11">
        <v>49880</v>
      </c>
      <c r="B1241" s="12" t="s">
        <v>18</v>
      </c>
      <c r="C1241" s="13">
        <v>24.5</v>
      </c>
      <c r="D1241" s="14">
        <v>0</v>
      </c>
      <c r="E1241">
        <f t="shared" si="40"/>
        <v>1</v>
      </c>
      <c r="F1241">
        <f t="shared" si="39"/>
        <v>24.5</v>
      </c>
    </row>
    <row r="1242" spans="1:6" hidden="1" x14ac:dyDescent="0.35">
      <c r="A1242" s="7">
        <v>49881</v>
      </c>
      <c r="B1242" s="8" t="s">
        <v>15</v>
      </c>
      <c r="C1242" s="9">
        <v>25.5</v>
      </c>
      <c r="D1242" s="10">
        <v>19.3</v>
      </c>
      <c r="E1242">
        <f t="shared" si="40"/>
        <v>2</v>
      </c>
      <c r="F1242">
        <f t="shared" si="39"/>
        <v>50</v>
      </c>
    </row>
    <row r="1243" spans="1:6" hidden="1" x14ac:dyDescent="0.35">
      <c r="A1243" s="11">
        <v>49882</v>
      </c>
      <c r="B1243" s="12" t="s">
        <v>19</v>
      </c>
      <c r="C1243" s="13">
        <v>14.7</v>
      </c>
      <c r="D1243" s="14">
        <v>18.3</v>
      </c>
      <c r="E1243">
        <f t="shared" si="40"/>
        <v>3</v>
      </c>
      <c r="F1243">
        <f t="shared" si="39"/>
        <v>64.7</v>
      </c>
    </row>
    <row r="1244" spans="1:6" hidden="1" x14ac:dyDescent="0.35">
      <c r="A1244" s="7">
        <v>49883</v>
      </c>
      <c r="B1244" s="8" t="s">
        <v>15</v>
      </c>
      <c r="C1244" s="9">
        <v>28.7</v>
      </c>
      <c r="D1244" s="10">
        <v>0</v>
      </c>
      <c r="E1244">
        <f t="shared" si="40"/>
        <v>4</v>
      </c>
      <c r="F1244">
        <f t="shared" si="39"/>
        <v>93.4</v>
      </c>
    </row>
    <row r="1245" spans="1:6" hidden="1" x14ac:dyDescent="0.35">
      <c r="A1245" s="11">
        <v>49884</v>
      </c>
      <c r="B1245" s="12" t="s">
        <v>10</v>
      </c>
      <c r="C1245" s="13">
        <v>16.7</v>
      </c>
      <c r="D1245" s="14">
        <v>0</v>
      </c>
      <c r="E1245">
        <f t="shared" si="40"/>
        <v>5</v>
      </c>
      <c r="F1245">
        <f t="shared" si="39"/>
        <v>110.10000000000001</v>
      </c>
    </row>
    <row r="1246" spans="1:6" hidden="1" x14ac:dyDescent="0.35">
      <c r="A1246" s="7">
        <v>49885</v>
      </c>
      <c r="B1246" s="8" t="s">
        <v>15</v>
      </c>
      <c r="C1246" s="9">
        <v>17.399999999999999</v>
      </c>
      <c r="D1246" s="10">
        <v>13.7</v>
      </c>
      <c r="E1246">
        <f t="shared" si="40"/>
        <v>6</v>
      </c>
      <c r="F1246">
        <f t="shared" si="39"/>
        <v>127.5</v>
      </c>
    </row>
    <row r="1247" spans="1:6" hidden="1" x14ac:dyDescent="0.35">
      <c r="A1247" s="11">
        <v>49886</v>
      </c>
      <c r="B1247" s="12" t="s">
        <v>10</v>
      </c>
      <c r="C1247" s="13">
        <v>15.6</v>
      </c>
      <c r="D1247" s="14">
        <v>0</v>
      </c>
      <c r="E1247">
        <f t="shared" si="40"/>
        <v>7</v>
      </c>
      <c r="F1247">
        <f t="shared" si="39"/>
        <v>143.1</v>
      </c>
    </row>
    <row r="1248" spans="1:6" hidden="1" x14ac:dyDescent="0.35">
      <c r="A1248" s="7">
        <v>49887</v>
      </c>
      <c r="B1248" s="8" t="s">
        <v>19</v>
      </c>
      <c r="C1248" s="9">
        <v>21.7</v>
      </c>
      <c r="D1248" s="10">
        <v>0</v>
      </c>
      <c r="E1248">
        <f t="shared" si="40"/>
        <v>1</v>
      </c>
      <c r="F1248">
        <f t="shared" si="39"/>
        <v>21.7</v>
      </c>
    </row>
    <row r="1249" spans="1:6" hidden="1" x14ac:dyDescent="0.35">
      <c r="A1249" s="11">
        <v>49888</v>
      </c>
      <c r="B1249" s="12" t="s">
        <v>7</v>
      </c>
      <c r="C1249" s="13">
        <v>26</v>
      </c>
      <c r="D1249" s="14">
        <v>0</v>
      </c>
      <c r="E1249">
        <f t="shared" si="40"/>
        <v>2</v>
      </c>
      <c r="F1249">
        <f t="shared" si="39"/>
        <v>47.7</v>
      </c>
    </row>
    <row r="1250" spans="1:6" hidden="1" x14ac:dyDescent="0.35">
      <c r="A1250" s="7">
        <v>49889</v>
      </c>
      <c r="B1250" s="8" t="s">
        <v>22</v>
      </c>
      <c r="C1250" s="9">
        <v>24.5</v>
      </c>
      <c r="D1250" s="10">
        <v>9</v>
      </c>
      <c r="E1250">
        <f t="shared" si="40"/>
        <v>3</v>
      </c>
      <c r="F1250">
        <f t="shared" si="39"/>
        <v>72.2</v>
      </c>
    </row>
    <row r="1251" spans="1:6" hidden="1" x14ac:dyDescent="0.35">
      <c r="A1251" s="11">
        <v>49890</v>
      </c>
      <c r="B1251" s="12" t="s">
        <v>17</v>
      </c>
      <c r="C1251" s="13">
        <v>23.2</v>
      </c>
      <c r="D1251" s="14">
        <v>0</v>
      </c>
      <c r="E1251">
        <f t="shared" si="40"/>
        <v>4</v>
      </c>
      <c r="F1251">
        <f t="shared" si="39"/>
        <v>95.4</v>
      </c>
    </row>
    <row r="1252" spans="1:6" hidden="1" x14ac:dyDescent="0.35">
      <c r="A1252" s="7">
        <v>49891</v>
      </c>
      <c r="B1252" s="8" t="s">
        <v>24</v>
      </c>
      <c r="C1252" s="9">
        <v>17.600000000000001</v>
      </c>
      <c r="D1252" s="10">
        <v>0.8</v>
      </c>
      <c r="E1252">
        <f t="shared" si="40"/>
        <v>5</v>
      </c>
      <c r="F1252">
        <f t="shared" si="39"/>
        <v>113</v>
      </c>
    </row>
    <row r="1253" spans="1:6" hidden="1" x14ac:dyDescent="0.35">
      <c r="A1253" s="11">
        <v>49892</v>
      </c>
      <c r="B1253" s="12" t="s">
        <v>7</v>
      </c>
      <c r="C1253" s="13">
        <v>13.9</v>
      </c>
      <c r="D1253" s="14">
        <v>8.8000000000000007</v>
      </c>
      <c r="E1253">
        <f t="shared" si="40"/>
        <v>6</v>
      </c>
      <c r="F1253">
        <f t="shared" si="39"/>
        <v>126.9</v>
      </c>
    </row>
    <row r="1254" spans="1:6" hidden="1" x14ac:dyDescent="0.35">
      <c r="A1254" s="7">
        <v>49893</v>
      </c>
      <c r="B1254" s="8" t="s">
        <v>27</v>
      </c>
      <c r="C1254" s="9">
        <v>20.7</v>
      </c>
      <c r="D1254" s="10">
        <v>4.3</v>
      </c>
      <c r="E1254">
        <f t="shared" si="40"/>
        <v>7</v>
      </c>
      <c r="F1254">
        <f t="shared" si="39"/>
        <v>147.6</v>
      </c>
    </row>
    <row r="1255" spans="1:6" hidden="1" x14ac:dyDescent="0.35">
      <c r="A1255" s="11">
        <v>49894</v>
      </c>
      <c r="B1255" s="12" t="s">
        <v>5</v>
      </c>
      <c r="C1255" s="13">
        <v>10.1</v>
      </c>
      <c r="D1255" s="14">
        <v>1.7</v>
      </c>
      <c r="E1255">
        <f t="shared" si="40"/>
        <v>1</v>
      </c>
      <c r="F1255">
        <f t="shared" si="39"/>
        <v>10.1</v>
      </c>
    </row>
    <row r="1256" spans="1:6" hidden="1" x14ac:dyDescent="0.35">
      <c r="A1256" s="7">
        <v>49895</v>
      </c>
      <c r="B1256" s="8" t="s">
        <v>7</v>
      </c>
      <c r="C1256" s="9">
        <v>26.2</v>
      </c>
      <c r="D1256" s="10">
        <v>22.7</v>
      </c>
      <c r="E1256">
        <f t="shared" si="40"/>
        <v>2</v>
      </c>
      <c r="F1256">
        <f t="shared" si="39"/>
        <v>36.299999999999997</v>
      </c>
    </row>
    <row r="1257" spans="1:6" hidden="1" x14ac:dyDescent="0.35">
      <c r="A1257" s="11">
        <v>49896</v>
      </c>
      <c r="B1257" s="12" t="s">
        <v>19</v>
      </c>
      <c r="C1257" s="13">
        <v>27.6</v>
      </c>
      <c r="D1257" s="14">
        <v>13.8</v>
      </c>
      <c r="E1257">
        <f t="shared" si="40"/>
        <v>3</v>
      </c>
      <c r="F1257">
        <f t="shared" si="39"/>
        <v>63.9</v>
      </c>
    </row>
    <row r="1258" spans="1:6" hidden="1" x14ac:dyDescent="0.35">
      <c r="A1258" s="7">
        <v>49897</v>
      </c>
      <c r="B1258" s="8" t="s">
        <v>6</v>
      </c>
      <c r="C1258" s="9">
        <v>20.6</v>
      </c>
      <c r="D1258" s="10">
        <v>4.7</v>
      </c>
      <c r="E1258">
        <f t="shared" si="40"/>
        <v>4</v>
      </c>
      <c r="F1258">
        <f t="shared" si="39"/>
        <v>84.5</v>
      </c>
    </row>
    <row r="1259" spans="1:6" hidden="1" x14ac:dyDescent="0.35">
      <c r="A1259" s="11">
        <v>49898</v>
      </c>
      <c r="B1259" s="12" t="s">
        <v>9</v>
      </c>
      <c r="C1259" s="13">
        <v>21.4</v>
      </c>
      <c r="D1259" s="14">
        <v>5</v>
      </c>
      <c r="E1259">
        <f t="shared" si="40"/>
        <v>5</v>
      </c>
      <c r="F1259">
        <f t="shared" si="39"/>
        <v>105.9</v>
      </c>
    </row>
    <row r="1260" spans="1:6" hidden="1" x14ac:dyDescent="0.35">
      <c r="A1260" s="7">
        <v>49899</v>
      </c>
      <c r="B1260" s="8" t="s">
        <v>6</v>
      </c>
      <c r="C1260" s="9">
        <v>17.100000000000001</v>
      </c>
      <c r="D1260" s="10">
        <v>0</v>
      </c>
      <c r="E1260">
        <f t="shared" si="40"/>
        <v>6</v>
      </c>
      <c r="F1260">
        <f t="shared" si="39"/>
        <v>123</v>
      </c>
    </row>
    <row r="1261" spans="1:6" hidden="1" x14ac:dyDescent="0.35">
      <c r="A1261" s="11">
        <v>49900</v>
      </c>
      <c r="B1261" s="12" t="s">
        <v>10</v>
      </c>
      <c r="C1261" s="13">
        <v>19.5</v>
      </c>
      <c r="D1261" s="14">
        <v>20.5</v>
      </c>
      <c r="E1261">
        <f t="shared" si="40"/>
        <v>7</v>
      </c>
      <c r="F1261">
        <f t="shared" si="39"/>
        <v>142.5</v>
      </c>
    </row>
    <row r="1262" spans="1:6" hidden="1" x14ac:dyDescent="0.35">
      <c r="A1262" s="7">
        <v>49901</v>
      </c>
      <c r="B1262" s="8" t="s">
        <v>13</v>
      </c>
      <c r="C1262" s="9">
        <v>15.9</v>
      </c>
      <c r="D1262" s="10">
        <v>0</v>
      </c>
      <c r="E1262">
        <f t="shared" si="40"/>
        <v>1</v>
      </c>
      <c r="F1262">
        <f t="shared" si="39"/>
        <v>15.9</v>
      </c>
    </row>
    <row r="1263" spans="1:6" hidden="1" x14ac:dyDescent="0.35">
      <c r="A1263" s="11">
        <v>49902</v>
      </c>
      <c r="B1263" s="12" t="s">
        <v>10</v>
      </c>
      <c r="C1263" s="13">
        <v>21.1</v>
      </c>
      <c r="D1263" s="14">
        <v>46.8</v>
      </c>
      <c r="E1263">
        <f t="shared" si="40"/>
        <v>2</v>
      </c>
      <c r="F1263">
        <f t="shared" si="39"/>
        <v>37</v>
      </c>
    </row>
    <row r="1264" spans="1:6" hidden="1" x14ac:dyDescent="0.35">
      <c r="A1264" s="7">
        <v>49903</v>
      </c>
      <c r="B1264" s="8" t="s">
        <v>19</v>
      </c>
      <c r="C1264" s="9">
        <v>20.2</v>
      </c>
      <c r="D1264" s="10">
        <v>36.6</v>
      </c>
      <c r="E1264">
        <f t="shared" si="40"/>
        <v>3</v>
      </c>
      <c r="F1264">
        <f t="shared" si="39"/>
        <v>57.2</v>
      </c>
    </row>
    <row r="1265" spans="1:6" hidden="1" x14ac:dyDescent="0.35">
      <c r="A1265" s="11">
        <v>49904</v>
      </c>
      <c r="B1265" s="12" t="s">
        <v>12</v>
      </c>
      <c r="C1265" s="13">
        <v>25</v>
      </c>
      <c r="D1265" s="14">
        <v>7.8</v>
      </c>
      <c r="E1265">
        <f t="shared" si="40"/>
        <v>4</v>
      </c>
      <c r="F1265">
        <f t="shared" si="39"/>
        <v>82.2</v>
      </c>
    </row>
    <row r="1266" spans="1:6" hidden="1" x14ac:dyDescent="0.35">
      <c r="A1266" s="7">
        <v>49905</v>
      </c>
      <c r="B1266" s="8" t="s">
        <v>10</v>
      </c>
      <c r="C1266" s="9">
        <v>22.1</v>
      </c>
      <c r="D1266" s="10">
        <v>8.8000000000000007</v>
      </c>
      <c r="E1266">
        <f t="shared" si="40"/>
        <v>5</v>
      </c>
      <c r="F1266">
        <f t="shared" si="39"/>
        <v>104.30000000000001</v>
      </c>
    </row>
    <row r="1267" spans="1:6" hidden="1" x14ac:dyDescent="0.35">
      <c r="A1267" s="11">
        <v>49906</v>
      </c>
      <c r="B1267" s="12" t="s">
        <v>33</v>
      </c>
      <c r="C1267" s="13">
        <v>28.9</v>
      </c>
      <c r="D1267" s="14">
        <v>0.5</v>
      </c>
      <c r="E1267">
        <f t="shared" si="40"/>
        <v>6</v>
      </c>
      <c r="F1267">
        <f t="shared" si="39"/>
        <v>133.20000000000002</v>
      </c>
    </row>
    <row r="1268" spans="1:6" hidden="1" x14ac:dyDescent="0.35">
      <c r="A1268" s="7">
        <v>49907</v>
      </c>
      <c r="B1268" s="8" t="s">
        <v>11</v>
      </c>
      <c r="C1268" s="9">
        <v>19.600000000000001</v>
      </c>
      <c r="D1268" s="10">
        <v>0</v>
      </c>
      <c r="E1268">
        <f t="shared" si="40"/>
        <v>7</v>
      </c>
      <c r="F1268">
        <f t="shared" si="39"/>
        <v>152.80000000000001</v>
      </c>
    </row>
    <row r="1269" spans="1:6" hidden="1" x14ac:dyDescent="0.35">
      <c r="A1269" s="11">
        <v>49908</v>
      </c>
      <c r="B1269" s="12" t="s">
        <v>7</v>
      </c>
      <c r="C1269" s="13">
        <v>18</v>
      </c>
      <c r="D1269" s="14">
        <v>13.2</v>
      </c>
      <c r="E1269">
        <f t="shared" si="40"/>
        <v>1</v>
      </c>
      <c r="F1269">
        <f t="shared" si="39"/>
        <v>18</v>
      </c>
    </row>
    <row r="1270" spans="1:6" hidden="1" x14ac:dyDescent="0.35">
      <c r="A1270" s="7">
        <v>49909</v>
      </c>
      <c r="B1270" s="8" t="s">
        <v>12</v>
      </c>
      <c r="C1270" s="9">
        <v>28.3</v>
      </c>
      <c r="D1270" s="10">
        <v>0</v>
      </c>
      <c r="E1270">
        <f t="shared" si="40"/>
        <v>2</v>
      </c>
      <c r="F1270">
        <f t="shared" si="39"/>
        <v>46.3</v>
      </c>
    </row>
    <row r="1271" spans="1:6" hidden="1" x14ac:dyDescent="0.35">
      <c r="A1271" s="11">
        <v>49910</v>
      </c>
      <c r="B1271" s="12" t="s">
        <v>6</v>
      </c>
      <c r="C1271" s="13">
        <v>25.2</v>
      </c>
      <c r="D1271" s="14">
        <v>0</v>
      </c>
      <c r="E1271">
        <f t="shared" si="40"/>
        <v>3</v>
      </c>
      <c r="F1271">
        <f t="shared" si="39"/>
        <v>71.5</v>
      </c>
    </row>
    <row r="1272" spans="1:6" hidden="1" x14ac:dyDescent="0.35">
      <c r="A1272" s="7">
        <v>49911</v>
      </c>
      <c r="B1272" s="8" t="s">
        <v>10</v>
      </c>
      <c r="C1272" s="9">
        <v>22.5</v>
      </c>
      <c r="D1272" s="10">
        <v>0</v>
      </c>
      <c r="E1272">
        <f t="shared" si="40"/>
        <v>4</v>
      </c>
      <c r="F1272">
        <f t="shared" si="39"/>
        <v>94</v>
      </c>
    </row>
    <row r="1273" spans="1:6" hidden="1" x14ac:dyDescent="0.35">
      <c r="A1273" s="11">
        <v>49912</v>
      </c>
      <c r="B1273" s="12" t="s">
        <v>13</v>
      </c>
      <c r="C1273" s="13">
        <v>19.899999999999999</v>
      </c>
      <c r="D1273" s="14">
        <v>6.7</v>
      </c>
      <c r="E1273">
        <f t="shared" si="40"/>
        <v>5</v>
      </c>
      <c r="F1273">
        <f t="shared" si="39"/>
        <v>113.9</v>
      </c>
    </row>
    <row r="1274" spans="1:6" hidden="1" x14ac:dyDescent="0.35">
      <c r="A1274" s="7">
        <v>49913</v>
      </c>
      <c r="B1274" s="8" t="s">
        <v>11</v>
      </c>
      <c r="C1274" s="9">
        <v>10.8</v>
      </c>
      <c r="D1274" s="10">
        <v>19.600000000000001</v>
      </c>
      <c r="E1274">
        <f t="shared" si="40"/>
        <v>6</v>
      </c>
      <c r="F1274">
        <f t="shared" si="39"/>
        <v>124.7</v>
      </c>
    </row>
    <row r="1275" spans="1:6" hidden="1" x14ac:dyDescent="0.35">
      <c r="A1275" s="11">
        <v>49914</v>
      </c>
      <c r="B1275" s="12" t="s">
        <v>19</v>
      </c>
      <c r="C1275" s="13">
        <v>18.399999999999999</v>
      </c>
      <c r="D1275" s="14">
        <v>0.6</v>
      </c>
      <c r="E1275">
        <f t="shared" si="40"/>
        <v>7</v>
      </c>
      <c r="F1275">
        <f t="shared" si="39"/>
        <v>143.1</v>
      </c>
    </row>
    <row r="1276" spans="1:6" hidden="1" x14ac:dyDescent="0.35">
      <c r="A1276" s="7">
        <v>49915</v>
      </c>
      <c r="B1276" s="8" t="s">
        <v>26</v>
      </c>
      <c r="C1276" s="9">
        <v>27.6</v>
      </c>
      <c r="D1276" s="10">
        <v>3.7</v>
      </c>
      <c r="E1276">
        <f t="shared" si="40"/>
        <v>1</v>
      </c>
      <c r="F1276">
        <f t="shared" si="39"/>
        <v>27.6</v>
      </c>
    </row>
    <row r="1277" spans="1:6" hidden="1" x14ac:dyDescent="0.35">
      <c r="A1277" s="11">
        <v>49916</v>
      </c>
      <c r="B1277" s="12" t="s">
        <v>26</v>
      </c>
      <c r="C1277" s="13">
        <v>11.3</v>
      </c>
      <c r="D1277" s="14">
        <v>1.9</v>
      </c>
      <c r="E1277">
        <f t="shared" si="40"/>
        <v>2</v>
      </c>
      <c r="F1277">
        <f t="shared" si="39"/>
        <v>38.900000000000006</v>
      </c>
    </row>
    <row r="1278" spans="1:6" hidden="1" x14ac:dyDescent="0.35">
      <c r="A1278" s="7">
        <v>49917</v>
      </c>
      <c r="B1278" s="8" t="s">
        <v>26</v>
      </c>
      <c r="C1278" s="9">
        <v>28.7</v>
      </c>
      <c r="D1278" s="10">
        <v>0</v>
      </c>
      <c r="E1278">
        <f t="shared" si="40"/>
        <v>3</v>
      </c>
      <c r="F1278">
        <f t="shared" si="39"/>
        <v>67.600000000000009</v>
      </c>
    </row>
    <row r="1279" spans="1:6" hidden="1" x14ac:dyDescent="0.35">
      <c r="A1279" s="11">
        <v>49918</v>
      </c>
      <c r="B1279" s="12" t="s">
        <v>21</v>
      </c>
      <c r="C1279" s="13">
        <v>15</v>
      </c>
      <c r="D1279" s="14">
        <v>1.7</v>
      </c>
      <c r="E1279">
        <f t="shared" si="40"/>
        <v>4</v>
      </c>
      <c r="F1279">
        <f t="shared" si="39"/>
        <v>82.600000000000009</v>
      </c>
    </row>
    <row r="1280" spans="1:6" hidden="1" x14ac:dyDescent="0.35">
      <c r="A1280" s="7">
        <v>49919</v>
      </c>
      <c r="B1280" s="8" t="s">
        <v>7</v>
      </c>
      <c r="C1280" s="9">
        <v>15.1</v>
      </c>
      <c r="D1280" s="10">
        <v>13.5</v>
      </c>
      <c r="E1280">
        <f t="shared" si="40"/>
        <v>5</v>
      </c>
      <c r="F1280">
        <f t="shared" si="39"/>
        <v>97.7</v>
      </c>
    </row>
    <row r="1281" spans="1:6" hidden="1" x14ac:dyDescent="0.35">
      <c r="A1281" s="11">
        <v>49920</v>
      </c>
      <c r="B1281" s="12" t="s">
        <v>19</v>
      </c>
      <c r="C1281" s="13">
        <v>19.399999999999999</v>
      </c>
      <c r="D1281" s="14">
        <v>29.6</v>
      </c>
      <c r="E1281">
        <f t="shared" si="40"/>
        <v>6</v>
      </c>
      <c r="F1281">
        <f t="shared" si="39"/>
        <v>117.1</v>
      </c>
    </row>
    <row r="1282" spans="1:6" hidden="1" x14ac:dyDescent="0.35">
      <c r="A1282" s="7">
        <v>49921</v>
      </c>
      <c r="B1282" s="8" t="s">
        <v>7</v>
      </c>
      <c r="C1282" s="9">
        <v>21.9</v>
      </c>
      <c r="D1282" s="10">
        <v>1.6</v>
      </c>
      <c r="E1282">
        <f t="shared" si="40"/>
        <v>7</v>
      </c>
      <c r="F1282">
        <f t="shared" si="39"/>
        <v>139</v>
      </c>
    </row>
    <row r="1283" spans="1:6" hidden="1" x14ac:dyDescent="0.35">
      <c r="A1283" s="11">
        <v>49922</v>
      </c>
      <c r="B1283" s="12" t="s">
        <v>18</v>
      </c>
      <c r="C1283" s="13">
        <v>19.399999999999999</v>
      </c>
      <c r="D1283" s="14">
        <v>9.8000000000000007</v>
      </c>
      <c r="E1283">
        <f t="shared" si="40"/>
        <v>1</v>
      </c>
      <c r="F1283">
        <f t="shared" si="39"/>
        <v>19.399999999999999</v>
      </c>
    </row>
    <row r="1284" spans="1:6" hidden="1" x14ac:dyDescent="0.35">
      <c r="A1284" s="7">
        <v>49923</v>
      </c>
      <c r="B1284" s="8" t="s">
        <v>7</v>
      </c>
      <c r="C1284" s="9">
        <v>21.8</v>
      </c>
      <c r="D1284" s="10">
        <v>18.5</v>
      </c>
      <c r="E1284">
        <f t="shared" si="40"/>
        <v>2</v>
      </c>
      <c r="F1284">
        <f t="shared" ref="F1284:F1347" si="41">IF(E1283=7,C1284,C1284+F1283)</f>
        <v>41.2</v>
      </c>
    </row>
    <row r="1285" spans="1:6" hidden="1" x14ac:dyDescent="0.35">
      <c r="A1285" s="11">
        <v>49924</v>
      </c>
      <c r="B1285" s="12" t="s">
        <v>17</v>
      </c>
      <c r="C1285" s="13">
        <v>29.3</v>
      </c>
      <c r="D1285" s="14">
        <v>2.8</v>
      </c>
      <c r="E1285">
        <f t="shared" si="40"/>
        <v>3</v>
      </c>
      <c r="F1285">
        <f t="shared" si="41"/>
        <v>70.5</v>
      </c>
    </row>
    <row r="1286" spans="1:6" hidden="1" x14ac:dyDescent="0.35">
      <c r="A1286" s="7">
        <v>49925</v>
      </c>
      <c r="B1286" s="8" t="s">
        <v>19</v>
      </c>
      <c r="C1286" s="9">
        <v>14.4</v>
      </c>
      <c r="D1286" s="10">
        <v>0</v>
      </c>
      <c r="E1286">
        <f t="shared" si="40"/>
        <v>4</v>
      </c>
      <c r="F1286">
        <f t="shared" si="41"/>
        <v>84.9</v>
      </c>
    </row>
    <row r="1287" spans="1:6" hidden="1" x14ac:dyDescent="0.35">
      <c r="A1287" s="11">
        <v>49926</v>
      </c>
      <c r="B1287" s="12" t="s">
        <v>10</v>
      </c>
      <c r="C1287" s="13">
        <v>14.5</v>
      </c>
      <c r="D1287" s="14">
        <v>0</v>
      </c>
      <c r="E1287">
        <f t="shared" si="40"/>
        <v>5</v>
      </c>
      <c r="F1287">
        <f t="shared" si="41"/>
        <v>99.4</v>
      </c>
    </row>
    <row r="1288" spans="1:6" hidden="1" x14ac:dyDescent="0.35">
      <c r="A1288" s="7">
        <v>49927</v>
      </c>
      <c r="B1288" s="8" t="s">
        <v>15</v>
      </c>
      <c r="C1288" s="9">
        <v>18.399999999999999</v>
      </c>
      <c r="D1288" s="10">
        <v>10.1</v>
      </c>
      <c r="E1288">
        <f t="shared" si="40"/>
        <v>6</v>
      </c>
      <c r="F1288">
        <f t="shared" si="41"/>
        <v>117.80000000000001</v>
      </c>
    </row>
    <row r="1289" spans="1:6" hidden="1" x14ac:dyDescent="0.35">
      <c r="A1289" s="11">
        <v>49928</v>
      </c>
      <c r="B1289" s="12" t="s">
        <v>18</v>
      </c>
      <c r="C1289" s="13">
        <v>29.8</v>
      </c>
      <c r="D1289" s="14">
        <v>0</v>
      </c>
      <c r="E1289">
        <f t="shared" si="40"/>
        <v>7</v>
      </c>
      <c r="F1289">
        <f t="shared" si="41"/>
        <v>147.60000000000002</v>
      </c>
    </row>
    <row r="1290" spans="1:6" hidden="1" x14ac:dyDescent="0.35">
      <c r="A1290" s="7">
        <v>49929</v>
      </c>
      <c r="B1290" s="8" t="s">
        <v>7</v>
      </c>
      <c r="C1290" s="9">
        <v>27.3</v>
      </c>
      <c r="D1290" s="10">
        <v>18.600000000000001</v>
      </c>
      <c r="E1290">
        <f t="shared" ref="E1290:E1353" si="42">IF(E1289=7,1,E1289+1)</f>
        <v>1</v>
      </c>
      <c r="F1290">
        <f t="shared" si="41"/>
        <v>27.3</v>
      </c>
    </row>
    <row r="1291" spans="1:6" hidden="1" x14ac:dyDescent="0.35">
      <c r="A1291" s="11">
        <v>49930</v>
      </c>
      <c r="B1291" s="12" t="s">
        <v>9</v>
      </c>
      <c r="C1291" s="13">
        <v>22.7</v>
      </c>
      <c r="D1291" s="14">
        <v>0</v>
      </c>
      <c r="E1291">
        <f t="shared" si="42"/>
        <v>2</v>
      </c>
      <c r="F1291">
        <f t="shared" si="41"/>
        <v>50</v>
      </c>
    </row>
    <row r="1292" spans="1:6" hidden="1" x14ac:dyDescent="0.35">
      <c r="A1292" s="7">
        <v>49931</v>
      </c>
      <c r="B1292" s="8" t="s">
        <v>10</v>
      </c>
      <c r="C1292" s="9">
        <v>27.3</v>
      </c>
      <c r="D1292" s="10">
        <v>18.399999999999999</v>
      </c>
      <c r="E1292">
        <f t="shared" si="42"/>
        <v>3</v>
      </c>
      <c r="F1292">
        <f t="shared" si="41"/>
        <v>77.3</v>
      </c>
    </row>
    <row r="1293" spans="1:6" hidden="1" x14ac:dyDescent="0.35">
      <c r="A1293" s="11">
        <v>49932</v>
      </c>
      <c r="B1293" s="12" t="s">
        <v>18</v>
      </c>
      <c r="C1293" s="13">
        <v>12.9</v>
      </c>
      <c r="D1293" s="14">
        <v>0</v>
      </c>
      <c r="E1293">
        <f t="shared" si="42"/>
        <v>4</v>
      </c>
      <c r="F1293">
        <f t="shared" si="41"/>
        <v>90.2</v>
      </c>
    </row>
    <row r="1294" spans="1:6" hidden="1" x14ac:dyDescent="0.35">
      <c r="A1294" s="7">
        <v>49933</v>
      </c>
      <c r="B1294" s="8" t="s">
        <v>19</v>
      </c>
      <c r="C1294" s="9">
        <v>24.3</v>
      </c>
      <c r="D1294" s="10">
        <v>1.9</v>
      </c>
      <c r="E1294">
        <f t="shared" si="42"/>
        <v>5</v>
      </c>
      <c r="F1294">
        <f t="shared" si="41"/>
        <v>114.5</v>
      </c>
    </row>
    <row r="1295" spans="1:6" hidden="1" x14ac:dyDescent="0.35">
      <c r="A1295" s="11">
        <v>49934</v>
      </c>
      <c r="B1295" s="12" t="s">
        <v>18</v>
      </c>
      <c r="C1295" s="13">
        <v>20.6</v>
      </c>
      <c r="D1295" s="14">
        <v>14.6</v>
      </c>
      <c r="E1295">
        <f t="shared" si="42"/>
        <v>6</v>
      </c>
      <c r="F1295">
        <f t="shared" si="41"/>
        <v>135.1</v>
      </c>
    </row>
    <row r="1296" spans="1:6" hidden="1" x14ac:dyDescent="0.35">
      <c r="A1296" s="7">
        <v>49935</v>
      </c>
      <c r="B1296" s="8" t="s">
        <v>5</v>
      </c>
      <c r="C1296" s="9">
        <v>24.2</v>
      </c>
      <c r="D1296" s="10">
        <v>0</v>
      </c>
      <c r="E1296">
        <f t="shared" si="42"/>
        <v>7</v>
      </c>
      <c r="F1296">
        <f t="shared" si="41"/>
        <v>159.29999999999998</v>
      </c>
    </row>
    <row r="1297" spans="1:6" hidden="1" x14ac:dyDescent="0.35">
      <c r="A1297" s="11">
        <v>49936</v>
      </c>
      <c r="B1297" s="12" t="s">
        <v>10</v>
      </c>
      <c r="C1297" s="13">
        <v>15.2</v>
      </c>
      <c r="D1297" s="14">
        <v>0</v>
      </c>
      <c r="E1297">
        <f t="shared" si="42"/>
        <v>1</v>
      </c>
      <c r="F1297">
        <f t="shared" si="41"/>
        <v>15.2</v>
      </c>
    </row>
    <row r="1298" spans="1:6" hidden="1" x14ac:dyDescent="0.35">
      <c r="A1298" s="7">
        <v>49937</v>
      </c>
      <c r="B1298" s="8" t="s">
        <v>25</v>
      </c>
      <c r="C1298" s="9">
        <v>27.3</v>
      </c>
      <c r="D1298" s="10">
        <v>2.5</v>
      </c>
      <c r="E1298">
        <f t="shared" si="42"/>
        <v>2</v>
      </c>
      <c r="F1298">
        <f t="shared" si="41"/>
        <v>42.5</v>
      </c>
    </row>
    <row r="1299" spans="1:6" hidden="1" x14ac:dyDescent="0.35">
      <c r="A1299" s="11">
        <v>49938</v>
      </c>
      <c r="B1299" s="12" t="s">
        <v>25</v>
      </c>
      <c r="C1299" s="13">
        <v>28</v>
      </c>
      <c r="D1299" s="14">
        <v>0</v>
      </c>
      <c r="E1299">
        <f t="shared" si="42"/>
        <v>3</v>
      </c>
      <c r="F1299">
        <f t="shared" si="41"/>
        <v>70.5</v>
      </c>
    </row>
    <row r="1300" spans="1:6" hidden="1" x14ac:dyDescent="0.35">
      <c r="A1300" s="7">
        <v>49939</v>
      </c>
      <c r="B1300" s="8" t="s">
        <v>31</v>
      </c>
      <c r="C1300" s="9">
        <v>16.100000000000001</v>
      </c>
      <c r="D1300" s="10">
        <v>0</v>
      </c>
      <c r="E1300">
        <f t="shared" si="42"/>
        <v>4</v>
      </c>
      <c r="F1300">
        <f t="shared" si="41"/>
        <v>86.6</v>
      </c>
    </row>
    <row r="1301" spans="1:6" hidden="1" x14ac:dyDescent="0.35">
      <c r="A1301" s="11">
        <v>49940</v>
      </c>
      <c r="B1301" s="12" t="s">
        <v>19</v>
      </c>
      <c r="C1301" s="13">
        <v>18.8</v>
      </c>
      <c r="D1301" s="14">
        <v>16.899999999999999</v>
      </c>
      <c r="E1301">
        <f t="shared" si="42"/>
        <v>5</v>
      </c>
      <c r="F1301">
        <f t="shared" si="41"/>
        <v>105.39999999999999</v>
      </c>
    </row>
    <row r="1302" spans="1:6" hidden="1" x14ac:dyDescent="0.35">
      <c r="A1302" s="7">
        <v>49941</v>
      </c>
      <c r="B1302" s="8" t="s">
        <v>10</v>
      </c>
      <c r="C1302" s="9">
        <v>13.2</v>
      </c>
      <c r="D1302" s="10">
        <v>10.4</v>
      </c>
      <c r="E1302">
        <f t="shared" si="42"/>
        <v>6</v>
      </c>
      <c r="F1302">
        <f t="shared" si="41"/>
        <v>118.6</v>
      </c>
    </row>
    <row r="1303" spans="1:6" hidden="1" x14ac:dyDescent="0.35">
      <c r="A1303" s="11">
        <v>49942</v>
      </c>
      <c r="B1303" s="12" t="s">
        <v>5</v>
      </c>
      <c r="C1303" s="13">
        <v>17.899999999999999</v>
      </c>
      <c r="D1303" s="14">
        <v>3.5</v>
      </c>
      <c r="E1303">
        <f t="shared" si="42"/>
        <v>7</v>
      </c>
      <c r="F1303">
        <f t="shared" si="41"/>
        <v>136.5</v>
      </c>
    </row>
    <row r="1304" spans="1:6" hidden="1" x14ac:dyDescent="0.35">
      <c r="A1304" s="7">
        <v>49943</v>
      </c>
      <c r="B1304" s="8" t="s">
        <v>7</v>
      </c>
      <c r="C1304" s="9">
        <v>18.3</v>
      </c>
      <c r="D1304" s="10">
        <v>16.7</v>
      </c>
      <c r="E1304">
        <f t="shared" si="42"/>
        <v>1</v>
      </c>
      <c r="F1304">
        <f t="shared" si="41"/>
        <v>18.3</v>
      </c>
    </row>
    <row r="1305" spans="1:6" hidden="1" x14ac:dyDescent="0.35">
      <c r="A1305" s="11">
        <v>49944</v>
      </c>
      <c r="B1305" s="12" t="s">
        <v>17</v>
      </c>
      <c r="C1305" s="13">
        <v>25.7</v>
      </c>
      <c r="D1305" s="14">
        <v>2</v>
      </c>
      <c r="E1305">
        <f t="shared" si="42"/>
        <v>2</v>
      </c>
      <c r="F1305">
        <f t="shared" si="41"/>
        <v>44</v>
      </c>
    </row>
    <row r="1306" spans="1:6" hidden="1" x14ac:dyDescent="0.35">
      <c r="A1306" s="7">
        <v>49945</v>
      </c>
      <c r="B1306" s="8" t="s">
        <v>10</v>
      </c>
      <c r="C1306" s="9">
        <v>29.2</v>
      </c>
      <c r="D1306" s="10">
        <v>31.5</v>
      </c>
      <c r="E1306">
        <f t="shared" si="42"/>
        <v>3</v>
      </c>
      <c r="F1306">
        <f t="shared" si="41"/>
        <v>73.2</v>
      </c>
    </row>
    <row r="1307" spans="1:6" hidden="1" x14ac:dyDescent="0.35">
      <c r="A1307" s="11">
        <v>49946</v>
      </c>
      <c r="B1307" s="12" t="s">
        <v>7</v>
      </c>
      <c r="C1307" s="13">
        <v>21.5</v>
      </c>
      <c r="D1307" s="14">
        <v>0</v>
      </c>
      <c r="E1307">
        <f t="shared" si="42"/>
        <v>4</v>
      </c>
      <c r="F1307">
        <f t="shared" si="41"/>
        <v>94.7</v>
      </c>
    </row>
    <row r="1308" spans="1:6" hidden="1" x14ac:dyDescent="0.35">
      <c r="A1308" s="7">
        <v>49947</v>
      </c>
      <c r="B1308" s="8" t="s">
        <v>11</v>
      </c>
      <c r="C1308" s="9">
        <v>29.5</v>
      </c>
      <c r="D1308" s="10">
        <v>12.2</v>
      </c>
      <c r="E1308">
        <f t="shared" si="42"/>
        <v>5</v>
      </c>
      <c r="F1308">
        <f t="shared" si="41"/>
        <v>124.2</v>
      </c>
    </row>
    <row r="1309" spans="1:6" hidden="1" x14ac:dyDescent="0.35">
      <c r="A1309" s="11">
        <v>49948</v>
      </c>
      <c r="B1309" s="12" t="s">
        <v>7</v>
      </c>
      <c r="C1309" s="13">
        <v>17.7</v>
      </c>
      <c r="D1309" s="14">
        <v>10.1</v>
      </c>
      <c r="E1309">
        <f t="shared" si="42"/>
        <v>6</v>
      </c>
      <c r="F1309">
        <f t="shared" si="41"/>
        <v>141.9</v>
      </c>
    </row>
    <row r="1310" spans="1:6" hidden="1" x14ac:dyDescent="0.35">
      <c r="A1310" s="7">
        <v>49949</v>
      </c>
      <c r="B1310" s="8" t="s">
        <v>19</v>
      </c>
      <c r="C1310" s="9">
        <v>26.7</v>
      </c>
      <c r="D1310" s="10">
        <v>1.2</v>
      </c>
      <c r="E1310">
        <f t="shared" si="42"/>
        <v>7</v>
      </c>
      <c r="F1310">
        <f t="shared" si="41"/>
        <v>168.6</v>
      </c>
    </row>
    <row r="1311" spans="1:6" hidden="1" x14ac:dyDescent="0.35">
      <c r="A1311" s="11">
        <v>49950</v>
      </c>
      <c r="B1311" s="12" t="s">
        <v>10</v>
      </c>
      <c r="C1311" s="13">
        <v>13.3</v>
      </c>
      <c r="D1311" s="14">
        <v>0.5</v>
      </c>
      <c r="E1311">
        <f t="shared" si="42"/>
        <v>1</v>
      </c>
      <c r="F1311">
        <f t="shared" si="41"/>
        <v>13.3</v>
      </c>
    </row>
    <row r="1312" spans="1:6" hidden="1" x14ac:dyDescent="0.35">
      <c r="A1312" s="7">
        <v>49951</v>
      </c>
      <c r="B1312" s="8" t="s">
        <v>7</v>
      </c>
      <c r="C1312" s="9">
        <v>13.4</v>
      </c>
      <c r="D1312" s="10">
        <v>23.4</v>
      </c>
      <c r="E1312">
        <f t="shared" si="42"/>
        <v>2</v>
      </c>
      <c r="F1312">
        <f t="shared" si="41"/>
        <v>26.700000000000003</v>
      </c>
    </row>
    <row r="1313" spans="1:6" hidden="1" x14ac:dyDescent="0.35">
      <c r="A1313" s="11">
        <v>49952</v>
      </c>
      <c r="B1313" s="12" t="s">
        <v>11</v>
      </c>
      <c r="C1313" s="13">
        <v>22.1</v>
      </c>
      <c r="D1313" s="14">
        <v>17.7</v>
      </c>
      <c r="E1313">
        <f t="shared" si="42"/>
        <v>3</v>
      </c>
      <c r="F1313">
        <f t="shared" si="41"/>
        <v>48.800000000000004</v>
      </c>
    </row>
    <row r="1314" spans="1:6" hidden="1" x14ac:dyDescent="0.35">
      <c r="A1314" s="7">
        <v>49953</v>
      </c>
      <c r="B1314" s="8" t="s">
        <v>22</v>
      </c>
      <c r="C1314" s="9">
        <v>11.4</v>
      </c>
      <c r="D1314" s="10">
        <v>0</v>
      </c>
      <c r="E1314">
        <f t="shared" si="42"/>
        <v>4</v>
      </c>
      <c r="F1314">
        <f t="shared" si="41"/>
        <v>60.2</v>
      </c>
    </row>
    <row r="1315" spans="1:6" hidden="1" x14ac:dyDescent="0.35">
      <c r="A1315" s="11">
        <v>49954</v>
      </c>
      <c r="B1315" s="12" t="s">
        <v>15</v>
      </c>
      <c r="C1315" s="13">
        <v>26</v>
      </c>
      <c r="D1315" s="14">
        <v>4.9000000000000004</v>
      </c>
      <c r="E1315">
        <f t="shared" si="42"/>
        <v>5</v>
      </c>
      <c r="F1315">
        <f t="shared" si="41"/>
        <v>86.2</v>
      </c>
    </row>
    <row r="1316" spans="1:6" hidden="1" x14ac:dyDescent="0.35">
      <c r="A1316" s="7">
        <v>49955</v>
      </c>
      <c r="B1316" s="8" t="s">
        <v>15</v>
      </c>
      <c r="C1316" s="9">
        <v>27.8</v>
      </c>
      <c r="D1316" s="10">
        <v>6.7</v>
      </c>
      <c r="E1316">
        <f t="shared" si="42"/>
        <v>6</v>
      </c>
      <c r="F1316">
        <f t="shared" si="41"/>
        <v>114</v>
      </c>
    </row>
    <row r="1317" spans="1:6" hidden="1" x14ac:dyDescent="0.35">
      <c r="A1317" s="11">
        <v>49956</v>
      </c>
      <c r="B1317" s="12" t="s">
        <v>7</v>
      </c>
      <c r="C1317" s="13">
        <v>29.3</v>
      </c>
      <c r="D1317" s="14">
        <v>1.7</v>
      </c>
      <c r="E1317">
        <f t="shared" si="42"/>
        <v>7</v>
      </c>
      <c r="F1317">
        <f t="shared" si="41"/>
        <v>143.30000000000001</v>
      </c>
    </row>
    <row r="1318" spans="1:6" hidden="1" x14ac:dyDescent="0.35">
      <c r="A1318" s="7">
        <v>49957</v>
      </c>
      <c r="B1318" s="8" t="s">
        <v>23</v>
      </c>
      <c r="C1318" s="9">
        <v>24.7</v>
      </c>
      <c r="D1318" s="10">
        <v>2.5</v>
      </c>
      <c r="E1318">
        <f t="shared" si="42"/>
        <v>1</v>
      </c>
      <c r="F1318">
        <f t="shared" si="41"/>
        <v>24.7</v>
      </c>
    </row>
    <row r="1319" spans="1:6" hidden="1" x14ac:dyDescent="0.35">
      <c r="A1319" s="11">
        <v>49958</v>
      </c>
      <c r="B1319" s="12" t="s">
        <v>4</v>
      </c>
      <c r="C1319" s="13">
        <v>16.600000000000001</v>
      </c>
      <c r="D1319" s="14">
        <v>0.1</v>
      </c>
      <c r="E1319">
        <f t="shared" si="42"/>
        <v>2</v>
      </c>
      <c r="F1319">
        <f t="shared" si="41"/>
        <v>41.3</v>
      </c>
    </row>
    <row r="1320" spans="1:6" hidden="1" x14ac:dyDescent="0.35">
      <c r="A1320" s="7">
        <v>49959</v>
      </c>
      <c r="B1320" s="8" t="s">
        <v>18</v>
      </c>
      <c r="C1320" s="9">
        <v>27.5</v>
      </c>
      <c r="D1320" s="10">
        <v>0</v>
      </c>
      <c r="E1320">
        <f t="shared" si="42"/>
        <v>3</v>
      </c>
      <c r="F1320">
        <f t="shared" si="41"/>
        <v>68.8</v>
      </c>
    </row>
    <row r="1321" spans="1:6" hidden="1" x14ac:dyDescent="0.35">
      <c r="A1321" s="11">
        <v>49960</v>
      </c>
      <c r="B1321" s="12" t="s">
        <v>15</v>
      </c>
      <c r="C1321" s="13">
        <v>22.7</v>
      </c>
      <c r="D1321" s="14">
        <v>0</v>
      </c>
      <c r="E1321">
        <f t="shared" si="42"/>
        <v>4</v>
      </c>
      <c r="F1321">
        <f t="shared" si="41"/>
        <v>91.5</v>
      </c>
    </row>
    <row r="1322" spans="1:6" hidden="1" x14ac:dyDescent="0.35">
      <c r="A1322" s="7">
        <v>49961</v>
      </c>
      <c r="B1322" s="8" t="s">
        <v>12</v>
      </c>
      <c r="C1322" s="9">
        <v>20.100000000000001</v>
      </c>
      <c r="D1322" s="10">
        <v>10.5</v>
      </c>
      <c r="E1322">
        <f t="shared" si="42"/>
        <v>5</v>
      </c>
      <c r="F1322">
        <f t="shared" si="41"/>
        <v>111.6</v>
      </c>
    </row>
    <row r="1323" spans="1:6" hidden="1" x14ac:dyDescent="0.35">
      <c r="A1323" s="11">
        <v>49962</v>
      </c>
      <c r="B1323" s="12" t="s">
        <v>7</v>
      </c>
      <c r="C1323" s="13">
        <v>16.100000000000001</v>
      </c>
      <c r="D1323" s="14">
        <v>8.1</v>
      </c>
      <c r="E1323">
        <f t="shared" si="42"/>
        <v>6</v>
      </c>
      <c r="F1323">
        <f t="shared" si="41"/>
        <v>127.69999999999999</v>
      </c>
    </row>
    <row r="1324" spans="1:6" hidden="1" x14ac:dyDescent="0.35">
      <c r="A1324" s="7">
        <v>49963</v>
      </c>
      <c r="B1324" s="8" t="s">
        <v>7</v>
      </c>
      <c r="C1324" s="9">
        <v>13.9</v>
      </c>
      <c r="D1324" s="10">
        <v>0</v>
      </c>
      <c r="E1324">
        <f t="shared" si="42"/>
        <v>7</v>
      </c>
      <c r="F1324">
        <f t="shared" si="41"/>
        <v>141.6</v>
      </c>
    </row>
    <row r="1325" spans="1:6" hidden="1" x14ac:dyDescent="0.35">
      <c r="A1325" s="11">
        <v>49964</v>
      </c>
      <c r="B1325" s="12" t="s">
        <v>12</v>
      </c>
      <c r="C1325" s="13">
        <v>22.3</v>
      </c>
      <c r="D1325" s="14">
        <v>0</v>
      </c>
      <c r="E1325">
        <f t="shared" si="42"/>
        <v>1</v>
      </c>
      <c r="F1325">
        <f t="shared" si="41"/>
        <v>22.3</v>
      </c>
    </row>
    <row r="1326" spans="1:6" hidden="1" x14ac:dyDescent="0.35">
      <c r="A1326" s="7">
        <v>49965</v>
      </c>
      <c r="B1326" s="8" t="s">
        <v>26</v>
      </c>
      <c r="C1326" s="9">
        <v>13</v>
      </c>
      <c r="D1326" s="10">
        <v>0</v>
      </c>
      <c r="E1326">
        <f t="shared" si="42"/>
        <v>2</v>
      </c>
      <c r="F1326">
        <f t="shared" si="41"/>
        <v>35.299999999999997</v>
      </c>
    </row>
    <row r="1327" spans="1:6" hidden="1" x14ac:dyDescent="0.35">
      <c r="A1327" s="11">
        <v>49966</v>
      </c>
      <c r="B1327" s="12" t="s">
        <v>11</v>
      </c>
      <c r="C1327" s="13">
        <v>16.2</v>
      </c>
      <c r="D1327" s="14">
        <v>0</v>
      </c>
      <c r="E1327">
        <f t="shared" si="42"/>
        <v>3</v>
      </c>
      <c r="F1327">
        <f t="shared" si="41"/>
        <v>51.5</v>
      </c>
    </row>
    <row r="1328" spans="1:6" hidden="1" x14ac:dyDescent="0.35">
      <c r="A1328" s="7">
        <v>49967</v>
      </c>
      <c r="B1328" s="8" t="s">
        <v>14</v>
      </c>
      <c r="C1328" s="9">
        <v>24.8</v>
      </c>
      <c r="D1328" s="10">
        <v>0</v>
      </c>
      <c r="E1328">
        <f t="shared" si="42"/>
        <v>4</v>
      </c>
      <c r="F1328">
        <f t="shared" si="41"/>
        <v>76.3</v>
      </c>
    </row>
    <row r="1329" spans="1:6" hidden="1" x14ac:dyDescent="0.35">
      <c r="A1329" s="11">
        <v>49968</v>
      </c>
      <c r="B1329" s="12" t="s">
        <v>13</v>
      </c>
      <c r="C1329" s="13">
        <v>29.7</v>
      </c>
      <c r="D1329" s="14">
        <v>0</v>
      </c>
      <c r="E1329">
        <f t="shared" si="42"/>
        <v>5</v>
      </c>
      <c r="F1329">
        <f t="shared" si="41"/>
        <v>106</v>
      </c>
    </row>
    <row r="1330" spans="1:6" hidden="1" x14ac:dyDescent="0.35">
      <c r="A1330" s="7">
        <v>49969</v>
      </c>
      <c r="B1330" s="8" t="s">
        <v>10</v>
      </c>
      <c r="C1330" s="9">
        <v>17.600000000000001</v>
      </c>
      <c r="D1330" s="10">
        <v>14.7</v>
      </c>
      <c r="E1330">
        <f t="shared" si="42"/>
        <v>6</v>
      </c>
      <c r="F1330">
        <f t="shared" si="41"/>
        <v>123.6</v>
      </c>
    </row>
    <row r="1331" spans="1:6" hidden="1" x14ac:dyDescent="0.35">
      <c r="A1331" s="11">
        <v>49970</v>
      </c>
      <c r="B1331" s="12" t="s">
        <v>10</v>
      </c>
      <c r="C1331" s="13">
        <v>10.4</v>
      </c>
      <c r="D1331" s="14">
        <v>27.7</v>
      </c>
      <c r="E1331">
        <f t="shared" si="42"/>
        <v>7</v>
      </c>
      <c r="F1331">
        <f t="shared" si="41"/>
        <v>134</v>
      </c>
    </row>
    <row r="1332" spans="1:6" hidden="1" x14ac:dyDescent="0.35">
      <c r="A1332" s="7">
        <v>49971</v>
      </c>
      <c r="B1332" s="8" t="s">
        <v>15</v>
      </c>
      <c r="C1332" s="9">
        <v>17</v>
      </c>
      <c r="D1332" s="10">
        <v>1.1000000000000001</v>
      </c>
      <c r="E1332">
        <f t="shared" si="42"/>
        <v>1</v>
      </c>
      <c r="F1332">
        <f t="shared" si="41"/>
        <v>17</v>
      </c>
    </row>
    <row r="1333" spans="1:6" hidden="1" x14ac:dyDescent="0.35">
      <c r="A1333" s="11">
        <v>49972</v>
      </c>
      <c r="B1333" s="12" t="s">
        <v>18</v>
      </c>
      <c r="C1333" s="13">
        <v>15.7</v>
      </c>
      <c r="D1333" s="14">
        <v>5.9</v>
      </c>
      <c r="E1333">
        <f t="shared" si="42"/>
        <v>2</v>
      </c>
      <c r="F1333">
        <f t="shared" si="41"/>
        <v>32.700000000000003</v>
      </c>
    </row>
    <row r="1334" spans="1:6" hidden="1" x14ac:dyDescent="0.35">
      <c r="A1334" s="7">
        <v>49973</v>
      </c>
      <c r="B1334" s="8" t="s">
        <v>19</v>
      </c>
      <c r="C1334" s="9">
        <v>23.8</v>
      </c>
      <c r="D1334" s="10">
        <v>4.3</v>
      </c>
      <c r="E1334">
        <f t="shared" si="42"/>
        <v>3</v>
      </c>
      <c r="F1334">
        <f t="shared" si="41"/>
        <v>56.5</v>
      </c>
    </row>
    <row r="1335" spans="1:6" hidden="1" x14ac:dyDescent="0.35">
      <c r="A1335" s="11">
        <v>49974</v>
      </c>
      <c r="B1335" s="12" t="s">
        <v>11</v>
      </c>
      <c r="C1335" s="13">
        <v>16.2</v>
      </c>
      <c r="D1335" s="14">
        <v>8.6999999999999993</v>
      </c>
      <c r="E1335">
        <f t="shared" si="42"/>
        <v>4</v>
      </c>
      <c r="F1335">
        <f t="shared" si="41"/>
        <v>72.7</v>
      </c>
    </row>
    <row r="1336" spans="1:6" hidden="1" x14ac:dyDescent="0.35">
      <c r="A1336" s="7">
        <v>49975</v>
      </c>
      <c r="B1336" s="8" t="s">
        <v>5</v>
      </c>
      <c r="C1336" s="9">
        <v>23.3</v>
      </c>
      <c r="D1336" s="10">
        <v>5.8</v>
      </c>
      <c r="E1336">
        <f t="shared" si="42"/>
        <v>5</v>
      </c>
      <c r="F1336">
        <f t="shared" si="41"/>
        <v>96</v>
      </c>
    </row>
    <row r="1337" spans="1:6" hidden="1" x14ac:dyDescent="0.35">
      <c r="A1337" s="11">
        <v>49976</v>
      </c>
      <c r="B1337" s="12" t="s">
        <v>7</v>
      </c>
      <c r="C1337" s="13">
        <v>18.7</v>
      </c>
      <c r="D1337" s="14">
        <v>1.1000000000000001</v>
      </c>
      <c r="E1337">
        <f t="shared" si="42"/>
        <v>6</v>
      </c>
      <c r="F1337">
        <f t="shared" si="41"/>
        <v>114.7</v>
      </c>
    </row>
    <row r="1338" spans="1:6" hidden="1" x14ac:dyDescent="0.35">
      <c r="A1338" s="7">
        <v>49977</v>
      </c>
      <c r="B1338" s="8" t="s">
        <v>17</v>
      </c>
      <c r="C1338" s="9">
        <v>27.9</v>
      </c>
      <c r="D1338" s="10">
        <v>2.6</v>
      </c>
      <c r="E1338">
        <f t="shared" si="42"/>
        <v>7</v>
      </c>
      <c r="F1338">
        <f t="shared" si="41"/>
        <v>142.6</v>
      </c>
    </row>
    <row r="1339" spans="1:6" hidden="1" x14ac:dyDescent="0.35">
      <c r="A1339" s="11">
        <v>49978</v>
      </c>
      <c r="B1339" s="12" t="s">
        <v>18</v>
      </c>
      <c r="C1339" s="13">
        <v>19.8</v>
      </c>
      <c r="D1339" s="14">
        <v>0</v>
      </c>
      <c r="E1339">
        <f t="shared" si="42"/>
        <v>1</v>
      </c>
      <c r="F1339">
        <f t="shared" si="41"/>
        <v>19.8</v>
      </c>
    </row>
    <row r="1340" spans="1:6" hidden="1" x14ac:dyDescent="0.35">
      <c r="A1340" s="7">
        <v>49979</v>
      </c>
      <c r="B1340" s="8" t="s">
        <v>11</v>
      </c>
      <c r="C1340" s="9">
        <v>16.7</v>
      </c>
      <c r="D1340" s="10">
        <v>3.5</v>
      </c>
      <c r="E1340">
        <f t="shared" si="42"/>
        <v>2</v>
      </c>
      <c r="F1340">
        <f t="shared" si="41"/>
        <v>36.5</v>
      </c>
    </row>
    <row r="1341" spans="1:6" hidden="1" x14ac:dyDescent="0.35">
      <c r="A1341" s="11">
        <v>49980</v>
      </c>
      <c r="B1341" s="12" t="s">
        <v>23</v>
      </c>
      <c r="C1341" s="13">
        <v>28.6</v>
      </c>
      <c r="D1341" s="14">
        <v>0</v>
      </c>
      <c r="E1341">
        <f t="shared" si="42"/>
        <v>3</v>
      </c>
      <c r="F1341">
        <f t="shared" si="41"/>
        <v>65.099999999999994</v>
      </c>
    </row>
    <row r="1342" spans="1:6" hidden="1" x14ac:dyDescent="0.35">
      <c r="A1342" s="7">
        <v>49981</v>
      </c>
      <c r="B1342" s="8" t="s">
        <v>10</v>
      </c>
      <c r="C1342" s="9">
        <v>10.8</v>
      </c>
      <c r="D1342" s="10">
        <v>32.9</v>
      </c>
      <c r="E1342">
        <f t="shared" si="42"/>
        <v>4</v>
      </c>
      <c r="F1342">
        <f t="shared" si="41"/>
        <v>75.899999999999991</v>
      </c>
    </row>
    <row r="1343" spans="1:6" hidden="1" x14ac:dyDescent="0.35">
      <c r="A1343" s="11">
        <v>49982</v>
      </c>
      <c r="B1343" s="12" t="s">
        <v>18</v>
      </c>
      <c r="C1343" s="13">
        <v>12.8</v>
      </c>
      <c r="D1343" s="14">
        <v>0</v>
      </c>
      <c r="E1343">
        <f t="shared" si="42"/>
        <v>5</v>
      </c>
      <c r="F1343">
        <f t="shared" si="41"/>
        <v>88.699999999999989</v>
      </c>
    </row>
    <row r="1344" spans="1:6" hidden="1" x14ac:dyDescent="0.35">
      <c r="A1344" s="7">
        <v>49983</v>
      </c>
      <c r="B1344" s="8" t="s">
        <v>26</v>
      </c>
      <c r="C1344" s="9">
        <v>17.600000000000001</v>
      </c>
      <c r="D1344" s="10">
        <v>0</v>
      </c>
      <c r="E1344">
        <f t="shared" si="42"/>
        <v>6</v>
      </c>
      <c r="F1344">
        <f t="shared" si="41"/>
        <v>106.29999999999998</v>
      </c>
    </row>
    <row r="1345" spans="1:6" hidden="1" x14ac:dyDescent="0.35">
      <c r="A1345" s="11">
        <v>49984</v>
      </c>
      <c r="B1345" s="12" t="s">
        <v>22</v>
      </c>
      <c r="C1345" s="13">
        <v>24.1</v>
      </c>
      <c r="D1345" s="14">
        <v>0</v>
      </c>
      <c r="E1345">
        <f t="shared" si="42"/>
        <v>7</v>
      </c>
      <c r="F1345">
        <f t="shared" si="41"/>
        <v>130.39999999999998</v>
      </c>
    </row>
    <row r="1346" spans="1:6" hidden="1" x14ac:dyDescent="0.35">
      <c r="A1346" s="7">
        <v>49985</v>
      </c>
      <c r="B1346" s="8" t="s">
        <v>11</v>
      </c>
      <c r="C1346" s="9">
        <v>11.4</v>
      </c>
      <c r="D1346" s="10">
        <v>18.2</v>
      </c>
      <c r="E1346">
        <f t="shared" si="42"/>
        <v>1</v>
      </c>
      <c r="F1346">
        <f t="shared" si="41"/>
        <v>11.4</v>
      </c>
    </row>
    <row r="1347" spans="1:6" hidden="1" x14ac:dyDescent="0.35">
      <c r="A1347" s="11">
        <v>49986</v>
      </c>
      <c r="B1347" s="12" t="s">
        <v>9</v>
      </c>
      <c r="C1347" s="13">
        <v>21.9</v>
      </c>
      <c r="D1347" s="14">
        <v>5.4</v>
      </c>
      <c r="E1347">
        <f t="shared" si="42"/>
        <v>2</v>
      </c>
      <c r="F1347">
        <f t="shared" si="41"/>
        <v>33.299999999999997</v>
      </c>
    </row>
    <row r="1348" spans="1:6" hidden="1" x14ac:dyDescent="0.35">
      <c r="A1348" s="7">
        <v>49987</v>
      </c>
      <c r="B1348" s="8" t="s">
        <v>26</v>
      </c>
      <c r="C1348" s="9">
        <v>16.8</v>
      </c>
      <c r="D1348" s="10">
        <v>1.6</v>
      </c>
      <c r="E1348">
        <f t="shared" si="42"/>
        <v>3</v>
      </c>
      <c r="F1348">
        <f t="shared" ref="F1348:F1411" si="43">IF(E1347=7,C1348,C1348+F1347)</f>
        <v>50.099999999999994</v>
      </c>
    </row>
    <row r="1349" spans="1:6" hidden="1" x14ac:dyDescent="0.35">
      <c r="A1349" s="11">
        <v>49988</v>
      </c>
      <c r="B1349" s="12" t="s">
        <v>6</v>
      </c>
      <c r="C1349" s="13">
        <v>26</v>
      </c>
      <c r="D1349" s="14">
        <v>0</v>
      </c>
      <c r="E1349">
        <f t="shared" si="42"/>
        <v>4</v>
      </c>
      <c r="F1349">
        <f t="shared" si="43"/>
        <v>76.099999999999994</v>
      </c>
    </row>
    <row r="1350" spans="1:6" hidden="1" x14ac:dyDescent="0.35">
      <c r="A1350" s="7">
        <v>49989</v>
      </c>
      <c r="B1350" s="8" t="s">
        <v>11</v>
      </c>
      <c r="C1350" s="9">
        <v>20.2</v>
      </c>
      <c r="D1350" s="10">
        <v>10</v>
      </c>
      <c r="E1350">
        <f t="shared" si="42"/>
        <v>5</v>
      </c>
      <c r="F1350">
        <f t="shared" si="43"/>
        <v>96.3</v>
      </c>
    </row>
    <row r="1351" spans="1:6" hidden="1" x14ac:dyDescent="0.35">
      <c r="A1351" s="11">
        <v>49990</v>
      </c>
      <c r="B1351" s="12" t="s">
        <v>19</v>
      </c>
      <c r="C1351" s="13">
        <v>20.3</v>
      </c>
      <c r="D1351" s="14">
        <v>37.799999999999997</v>
      </c>
      <c r="E1351">
        <f t="shared" si="42"/>
        <v>6</v>
      </c>
      <c r="F1351">
        <f t="shared" si="43"/>
        <v>116.6</v>
      </c>
    </row>
    <row r="1352" spans="1:6" hidden="1" x14ac:dyDescent="0.35">
      <c r="A1352" s="7">
        <v>49991</v>
      </c>
      <c r="B1352" s="8" t="s">
        <v>7</v>
      </c>
      <c r="C1352" s="9">
        <v>27.5</v>
      </c>
      <c r="D1352" s="10">
        <v>20.8</v>
      </c>
      <c r="E1352">
        <f t="shared" si="42"/>
        <v>7</v>
      </c>
      <c r="F1352">
        <f t="shared" si="43"/>
        <v>144.1</v>
      </c>
    </row>
    <row r="1353" spans="1:6" hidden="1" x14ac:dyDescent="0.35">
      <c r="A1353" s="11">
        <v>49992</v>
      </c>
      <c r="B1353" s="12" t="s">
        <v>19</v>
      </c>
      <c r="C1353" s="13">
        <v>24.2</v>
      </c>
      <c r="D1353" s="14">
        <v>2.9</v>
      </c>
      <c r="E1353">
        <f t="shared" si="42"/>
        <v>1</v>
      </c>
      <c r="F1353">
        <f t="shared" si="43"/>
        <v>24.2</v>
      </c>
    </row>
    <row r="1354" spans="1:6" hidden="1" x14ac:dyDescent="0.35">
      <c r="A1354" s="7">
        <v>49993</v>
      </c>
      <c r="B1354" s="8" t="s">
        <v>11</v>
      </c>
      <c r="C1354" s="9">
        <v>10.7</v>
      </c>
      <c r="D1354" s="10">
        <v>14.3</v>
      </c>
      <c r="E1354">
        <f t="shared" ref="E1354:E1417" si="44">IF(E1353=7,1,E1353+1)</f>
        <v>2</v>
      </c>
      <c r="F1354">
        <f t="shared" si="43"/>
        <v>34.9</v>
      </c>
    </row>
    <row r="1355" spans="1:6" hidden="1" x14ac:dyDescent="0.35">
      <c r="A1355" s="11">
        <v>49994</v>
      </c>
      <c r="B1355" s="12" t="s">
        <v>19</v>
      </c>
      <c r="C1355" s="13">
        <v>17.3</v>
      </c>
      <c r="D1355" s="14">
        <v>0</v>
      </c>
      <c r="E1355">
        <f t="shared" si="44"/>
        <v>3</v>
      </c>
      <c r="F1355">
        <f t="shared" si="43"/>
        <v>52.2</v>
      </c>
    </row>
    <row r="1356" spans="1:6" hidden="1" x14ac:dyDescent="0.35">
      <c r="A1356" s="7">
        <v>49995</v>
      </c>
      <c r="B1356" s="8" t="s">
        <v>11</v>
      </c>
      <c r="C1356" s="9">
        <v>13.5</v>
      </c>
      <c r="D1356" s="10">
        <v>21.1</v>
      </c>
      <c r="E1356">
        <f t="shared" si="44"/>
        <v>4</v>
      </c>
      <c r="F1356">
        <f t="shared" si="43"/>
        <v>65.7</v>
      </c>
    </row>
    <row r="1357" spans="1:6" hidden="1" x14ac:dyDescent="0.35">
      <c r="A1357" s="11">
        <v>49996</v>
      </c>
      <c r="B1357" s="12" t="s">
        <v>6</v>
      </c>
      <c r="C1357" s="13">
        <v>13.6</v>
      </c>
      <c r="D1357" s="14">
        <v>6</v>
      </c>
      <c r="E1357">
        <f t="shared" si="44"/>
        <v>5</v>
      </c>
      <c r="F1357">
        <f t="shared" si="43"/>
        <v>79.3</v>
      </c>
    </row>
    <row r="1358" spans="1:6" hidden="1" x14ac:dyDescent="0.35">
      <c r="A1358" s="7">
        <v>49997</v>
      </c>
      <c r="B1358" s="8" t="s">
        <v>5</v>
      </c>
      <c r="C1358" s="9">
        <v>19.899999999999999</v>
      </c>
      <c r="D1358" s="10">
        <v>0</v>
      </c>
      <c r="E1358">
        <f t="shared" si="44"/>
        <v>6</v>
      </c>
      <c r="F1358">
        <f t="shared" si="43"/>
        <v>99.199999999999989</v>
      </c>
    </row>
    <row r="1359" spans="1:6" hidden="1" x14ac:dyDescent="0.35">
      <c r="A1359" s="11">
        <v>49998</v>
      </c>
      <c r="B1359" s="12" t="s">
        <v>18</v>
      </c>
      <c r="C1359" s="13">
        <v>13.1</v>
      </c>
      <c r="D1359" s="14">
        <v>10.199999999999999</v>
      </c>
      <c r="E1359">
        <f t="shared" si="44"/>
        <v>7</v>
      </c>
      <c r="F1359">
        <f t="shared" si="43"/>
        <v>112.29999999999998</v>
      </c>
    </row>
    <row r="1360" spans="1:6" hidden="1" x14ac:dyDescent="0.35">
      <c r="A1360" s="7">
        <v>49999</v>
      </c>
      <c r="B1360" s="8" t="s">
        <v>21</v>
      </c>
      <c r="C1360" s="9">
        <v>29.8</v>
      </c>
      <c r="D1360" s="10">
        <v>1.9</v>
      </c>
      <c r="E1360">
        <f t="shared" si="44"/>
        <v>1</v>
      </c>
      <c r="F1360">
        <f t="shared" si="43"/>
        <v>29.8</v>
      </c>
    </row>
    <row r="1361" spans="1:6" hidden="1" x14ac:dyDescent="0.35">
      <c r="A1361" s="11">
        <v>50000</v>
      </c>
      <c r="B1361" s="12" t="s">
        <v>28</v>
      </c>
      <c r="C1361" s="13">
        <v>23.7</v>
      </c>
      <c r="D1361" s="14">
        <v>0.3</v>
      </c>
      <c r="E1361">
        <f t="shared" si="44"/>
        <v>2</v>
      </c>
      <c r="F1361">
        <f t="shared" si="43"/>
        <v>53.5</v>
      </c>
    </row>
    <row r="1362" spans="1:6" hidden="1" x14ac:dyDescent="0.35">
      <c r="A1362" s="7">
        <v>50001</v>
      </c>
      <c r="B1362" s="8" t="s">
        <v>19</v>
      </c>
      <c r="C1362" s="9">
        <v>14</v>
      </c>
      <c r="D1362" s="10">
        <v>0</v>
      </c>
      <c r="E1362">
        <f t="shared" si="44"/>
        <v>3</v>
      </c>
      <c r="F1362">
        <f t="shared" si="43"/>
        <v>67.5</v>
      </c>
    </row>
    <row r="1363" spans="1:6" hidden="1" x14ac:dyDescent="0.35">
      <c r="A1363" s="11">
        <v>50002</v>
      </c>
      <c r="B1363" s="12" t="s">
        <v>30</v>
      </c>
      <c r="C1363" s="13">
        <v>19</v>
      </c>
      <c r="D1363" s="14">
        <v>0.5</v>
      </c>
      <c r="E1363">
        <f t="shared" si="44"/>
        <v>4</v>
      </c>
      <c r="F1363">
        <f t="shared" si="43"/>
        <v>86.5</v>
      </c>
    </row>
    <row r="1364" spans="1:6" hidden="1" x14ac:dyDescent="0.35">
      <c r="A1364" s="7">
        <v>50003</v>
      </c>
      <c r="B1364" s="8" t="s">
        <v>32</v>
      </c>
      <c r="C1364" s="9">
        <v>23.9</v>
      </c>
      <c r="D1364" s="10">
        <v>0.5</v>
      </c>
      <c r="E1364">
        <f t="shared" si="44"/>
        <v>5</v>
      </c>
      <c r="F1364">
        <f t="shared" si="43"/>
        <v>110.4</v>
      </c>
    </row>
    <row r="1365" spans="1:6" hidden="1" x14ac:dyDescent="0.35">
      <c r="A1365" s="11">
        <v>50004</v>
      </c>
      <c r="B1365" s="12" t="s">
        <v>19</v>
      </c>
      <c r="C1365" s="13">
        <v>12.8</v>
      </c>
      <c r="D1365" s="14">
        <v>26.7</v>
      </c>
      <c r="E1365">
        <f t="shared" si="44"/>
        <v>6</v>
      </c>
      <c r="F1365">
        <f t="shared" si="43"/>
        <v>123.2</v>
      </c>
    </row>
    <row r="1366" spans="1:6" hidden="1" x14ac:dyDescent="0.35">
      <c r="A1366" s="7">
        <v>50005</v>
      </c>
      <c r="B1366" s="8" t="s">
        <v>7</v>
      </c>
      <c r="C1366" s="9">
        <v>26.9</v>
      </c>
      <c r="D1366" s="10">
        <v>4.5</v>
      </c>
      <c r="E1366">
        <f t="shared" si="44"/>
        <v>7</v>
      </c>
      <c r="F1366">
        <f t="shared" si="43"/>
        <v>150.1</v>
      </c>
    </row>
    <row r="1367" spans="1:6" hidden="1" x14ac:dyDescent="0.35">
      <c r="A1367" s="11">
        <v>50006</v>
      </c>
      <c r="B1367" s="12" t="s">
        <v>26</v>
      </c>
      <c r="C1367" s="13">
        <v>10.6</v>
      </c>
      <c r="D1367" s="14">
        <v>0</v>
      </c>
      <c r="E1367">
        <f t="shared" si="44"/>
        <v>1</v>
      </c>
      <c r="F1367">
        <f t="shared" si="43"/>
        <v>10.6</v>
      </c>
    </row>
    <row r="1368" spans="1:6" hidden="1" x14ac:dyDescent="0.35">
      <c r="A1368" s="7">
        <v>50007</v>
      </c>
      <c r="B1368" s="8" t="s">
        <v>11</v>
      </c>
      <c r="C1368" s="9">
        <v>21.1</v>
      </c>
      <c r="D1368" s="10">
        <v>10.6</v>
      </c>
      <c r="E1368">
        <f t="shared" si="44"/>
        <v>2</v>
      </c>
      <c r="F1368">
        <f t="shared" si="43"/>
        <v>31.700000000000003</v>
      </c>
    </row>
    <row r="1369" spans="1:6" hidden="1" x14ac:dyDescent="0.35">
      <c r="A1369" s="11">
        <v>50008</v>
      </c>
      <c r="B1369" s="12" t="s">
        <v>6</v>
      </c>
      <c r="C1369" s="13">
        <v>11.7</v>
      </c>
      <c r="D1369" s="14">
        <v>9.9</v>
      </c>
      <c r="E1369">
        <f t="shared" si="44"/>
        <v>3</v>
      </c>
      <c r="F1369">
        <f t="shared" si="43"/>
        <v>43.400000000000006</v>
      </c>
    </row>
    <row r="1370" spans="1:6" hidden="1" x14ac:dyDescent="0.35">
      <c r="A1370" s="7">
        <v>50009</v>
      </c>
      <c r="B1370" s="8" t="s">
        <v>8</v>
      </c>
      <c r="C1370" s="9">
        <v>20.5</v>
      </c>
      <c r="D1370" s="10">
        <v>3.7</v>
      </c>
      <c r="E1370">
        <f t="shared" si="44"/>
        <v>4</v>
      </c>
      <c r="F1370">
        <f t="shared" si="43"/>
        <v>63.900000000000006</v>
      </c>
    </row>
    <row r="1371" spans="1:6" hidden="1" x14ac:dyDescent="0.35">
      <c r="A1371" s="11">
        <v>50010</v>
      </c>
      <c r="B1371" s="12" t="s">
        <v>19</v>
      </c>
      <c r="C1371" s="13">
        <v>27.4</v>
      </c>
      <c r="D1371" s="14">
        <v>10.4</v>
      </c>
      <c r="E1371">
        <f t="shared" si="44"/>
        <v>5</v>
      </c>
      <c r="F1371">
        <f t="shared" si="43"/>
        <v>91.300000000000011</v>
      </c>
    </row>
    <row r="1372" spans="1:6" hidden="1" x14ac:dyDescent="0.35">
      <c r="A1372" s="7">
        <v>50011</v>
      </c>
      <c r="B1372" s="8" t="s">
        <v>10</v>
      </c>
      <c r="C1372" s="9">
        <v>15.8</v>
      </c>
      <c r="D1372" s="10">
        <v>10.199999999999999</v>
      </c>
      <c r="E1372">
        <f t="shared" si="44"/>
        <v>6</v>
      </c>
      <c r="F1372">
        <f t="shared" si="43"/>
        <v>107.10000000000001</v>
      </c>
    </row>
    <row r="1373" spans="1:6" hidden="1" x14ac:dyDescent="0.35">
      <c r="A1373" s="11">
        <v>50012</v>
      </c>
      <c r="B1373" s="12" t="s">
        <v>19</v>
      </c>
      <c r="C1373" s="13">
        <v>19.600000000000001</v>
      </c>
      <c r="D1373" s="14">
        <v>0</v>
      </c>
      <c r="E1373">
        <f t="shared" si="44"/>
        <v>7</v>
      </c>
      <c r="F1373">
        <f t="shared" si="43"/>
        <v>126.70000000000002</v>
      </c>
    </row>
    <row r="1374" spans="1:6" hidden="1" x14ac:dyDescent="0.35">
      <c r="A1374" s="7">
        <v>50013</v>
      </c>
      <c r="B1374" s="8" t="s">
        <v>10</v>
      </c>
      <c r="C1374" s="9">
        <v>16.899999999999999</v>
      </c>
      <c r="D1374" s="10">
        <v>48.4</v>
      </c>
      <c r="E1374">
        <f t="shared" si="44"/>
        <v>1</v>
      </c>
      <c r="F1374">
        <f t="shared" si="43"/>
        <v>16.899999999999999</v>
      </c>
    </row>
    <row r="1375" spans="1:6" hidden="1" x14ac:dyDescent="0.35">
      <c r="A1375" s="11">
        <v>50014</v>
      </c>
      <c r="B1375" s="12" t="s">
        <v>19</v>
      </c>
      <c r="C1375" s="13">
        <v>12.2</v>
      </c>
      <c r="D1375" s="14">
        <v>0</v>
      </c>
      <c r="E1375">
        <f t="shared" si="44"/>
        <v>2</v>
      </c>
      <c r="F1375">
        <f t="shared" si="43"/>
        <v>29.099999999999998</v>
      </c>
    </row>
    <row r="1376" spans="1:6" hidden="1" x14ac:dyDescent="0.35">
      <c r="A1376" s="7">
        <v>50015</v>
      </c>
      <c r="B1376" s="8" t="s">
        <v>10</v>
      </c>
      <c r="C1376" s="9">
        <v>16.600000000000001</v>
      </c>
      <c r="D1376" s="10">
        <v>14.1</v>
      </c>
      <c r="E1376">
        <f t="shared" si="44"/>
        <v>3</v>
      </c>
      <c r="F1376">
        <f t="shared" si="43"/>
        <v>45.7</v>
      </c>
    </row>
    <row r="1377" spans="1:6" hidden="1" x14ac:dyDescent="0.35">
      <c r="A1377" s="11">
        <v>50016</v>
      </c>
      <c r="B1377" s="12" t="s">
        <v>11</v>
      </c>
      <c r="C1377" s="13">
        <v>27.6</v>
      </c>
      <c r="D1377" s="14">
        <v>0</v>
      </c>
      <c r="E1377">
        <f t="shared" si="44"/>
        <v>4</v>
      </c>
      <c r="F1377">
        <f t="shared" si="43"/>
        <v>73.300000000000011</v>
      </c>
    </row>
    <row r="1378" spans="1:6" hidden="1" x14ac:dyDescent="0.35">
      <c r="A1378" s="7">
        <v>50017</v>
      </c>
      <c r="B1378" s="8" t="s">
        <v>15</v>
      </c>
      <c r="C1378" s="9">
        <v>24.8</v>
      </c>
      <c r="D1378" s="10">
        <v>0</v>
      </c>
      <c r="E1378">
        <f t="shared" si="44"/>
        <v>5</v>
      </c>
      <c r="F1378">
        <f t="shared" si="43"/>
        <v>98.100000000000009</v>
      </c>
    </row>
    <row r="1379" spans="1:6" hidden="1" x14ac:dyDescent="0.35">
      <c r="A1379" s="11">
        <v>50018</v>
      </c>
      <c r="B1379" s="12" t="s">
        <v>10</v>
      </c>
      <c r="C1379" s="13">
        <v>23.1</v>
      </c>
      <c r="D1379" s="14">
        <v>29.8</v>
      </c>
      <c r="E1379">
        <f t="shared" si="44"/>
        <v>6</v>
      </c>
      <c r="F1379">
        <f t="shared" si="43"/>
        <v>121.20000000000002</v>
      </c>
    </row>
    <row r="1380" spans="1:6" hidden="1" x14ac:dyDescent="0.35">
      <c r="A1380" s="7">
        <v>50019</v>
      </c>
      <c r="B1380" s="8" t="s">
        <v>27</v>
      </c>
      <c r="C1380" s="9">
        <v>12.4</v>
      </c>
      <c r="D1380" s="10">
        <v>6.1</v>
      </c>
      <c r="E1380">
        <f t="shared" si="44"/>
        <v>7</v>
      </c>
      <c r="F1380">
        <f t="shared" si="43"/>
        <v>133.60000000000002</v>
      </c>
    </row>
    <row r="1381" spans="1:6" hidden="1" x14ac:dyDescent="0.35">
      <c r="A1381" s="11">
        <v>50020</v>
      </c>
      <c r="B1381" s="12" t="s">
        <v>19</v>
      </c>
      <c r="C1381" s="13">
        <v>13.9</v>
      </c>
      <c r="D1381" s="14">
        <v>21.5</v>
      </c>
      <c r="E1381">
        <f t="shared" si="44"/>
        <v>1</v>
      </c>
      <c r="F1381">
        <f t="shared" si="43"/>
        <v>13.9</v>
      </c>
    </row>
    <row r="1382" spans="1:6" hidden="1" x14ac:dyDescent="0.35">
      <c r="A1382" s="7">
        <v>50021</v>
      </c>
      <c r="B1382" s="8" t="s">
        <v>20</v>
      </c>
      <c r="C1382" s="9">
        <v>16.600000000000001</v>
      </c>
      <c r="D1382" s="10">
        <v>4.7</v>
      </c>
      <c r="E1382">
        <f t="shared" si="44"/>
        <v>2</v>
      </c>
      <c r="F1382">
        <f t="shared" si="43"/>
        <v>30.5</v>
      </c>
    </row>
    <row r="1383" spans="1:6" hidden="1" x14ac:dyDescent="0.35">
      <c r="A1383" s="11">
        <v>50022</v>
      </c>
      <c r="B1383" s="12" t="s">
        <v>13</v>
      </c>
      <c r="C1383" s="13">
        <v>17.7</v>
      </c>
      <c r="D1383" s="14">
        <v>14</v>
      </c>
      <c r="E1383">
        <f t="shared" si="44"/>
        <v>3</v>
      </c>
      <c r="F1383">
        <f t="shared" si="43"/>
        <v>48.2</v>
      </c>
    </row>
    <row r="1384" spans="1:6" hidden="1" x14ac:dyDescent="0.35">
      <c r="A1384" s="7">
        <v>50023</v>
      </c>
      <c r="B1384" s="8" t="s">
        <v>11</v>
      </c>
      <c r="C1384" s="9">
        <v>19</v>
      </c>
      <c r="D1384" s="10">
        <v>1.7</v>
      </c>
      <c r="E1384">
        <f t="shared" si="44"/>
        <v>4</v>
      </c>
      <c r="F1384">
        <f t="shared" si="43"/>
        <v>67.2</v>
      </c>
    </row>
    <row r="1385" spans="1:6" hidden="1" x14ac:dyDescent="0.35">
      <c r="A1385" s="11">
        <v>50024</v>
      </c>
      <c r="B1385" s="12" t="s">
        <v>7</v>
      </c>
      <c r="C1385" s="13">
        <v>29.9</v>
      </c>
      <c r="D1385" s="14">
        <v>0</v>
      </c>
      <c r="E1385">
        <f t="shared" si="44"/>
        <v>5</v>
      </c>
      <c r="F1385">
        <f t="shared" si="43"/>
        <v>97.1</v>
      </c>
    </row>
    <row r="1386" spans="1:6" hidden="1" x14ac:dyDescent="0.35">
      <c r="A1386" s="7">
        <v>50025</v>
      </c>
      <c r="B1386" s="8" t="s">
        <v>19</v>
      </c>
      <c r="C1386" s="9">
        <v>23.7</v>
      </c>
      <c r="D1386" s="10">
        <v>31.4</v>
      </c>
      <c r="E1386">
        <f t="shared" si="44"/>
        <v>6</v>
      </c>
      <c r="F1386">
        <f t="shared" si="43"/>
        <v>120.8</v>
      </c>
    </row>
    <row r="1387" spans="1:6" hidden="1" x14ac:dyDescent="0.35">
      <c r="A1387" s="11">
        <v>50026</v>
      </c>
      <c r="B1387" s="12" t="s">
        <v>10</v>
      </c>
      <c r="C1387" s="13">
        <v>25.4</v>
      </c>
      <c r="D1387" s="14">
        <v>0</v>
      </c>
      <c r="E1387">
        <f t="shared" si="44"/>
        <v>7</v>
      </c>
      <c r="F1387">
        <f t="shared" si="43"/>
        <v>146.19999999999999</v>
      </c>
    </row>
    <row r="1388" spans="1:6" hidden="1" x14ac:dyDescent="0.35">
      <c r="A1388" s="7">
        <v>50027</v>
      </c>
      <c r="B1388" s="8" t="s">
        <v>18</v>
      </c>
      <c r="C1388" s="9">
        <v>24.3</v>
      </c>
      <c r="D1388" s="10">
        <v>15.8</v>
      </c>
      <c r="E1388">
        <f t="shared" si="44"/>
        <v>1</v>
      </c>
      <c r="F1388">
        <f t="shared" si="43"/>
        <v>24.3</v>
      </c>
    </row>
    <row r="1389" spans="1:6" hidden="1" x14ac:dyDescent="0.35">
      <c r="A1389" s="11">
        <v>50028</v>
      </c>
      <c r="B1389" s="12" t="s">
        <v>7</v>
      </c>
      <c r="C1389" s="13">
        <v>10.8</v>
      </c>
      <c r="D1389" s="14">
        <v>0</v>
      </c>
      <c r="E1389">
        <f t="shared" si="44"/>
        <v>2</v>
      </c>
      <c r="F1389">
        <f t="shared" si="43"/>
        <v>35.1</v>
      </c>
    </row>
    <row r="1390" spans="1:6" hidden="1" x14ac:dyDescent="0.35">
      <c r="A1390" s="7">
        <v>50029</v>
      </c>
      <c r="B1390" s="8" t="s">
        <v>10</v>
      </c>
      <c r="C1390" s="9">
        <v>19</v>
      </c>
      <c r="D1390" s="10">
        <v>9.1</v>
      </c>
      <c r="E1390">
        <f t="shared" si="44"/>
        <v>3</v>
      </c>
      <c r="F1390">
        <f t="shared" si="43"/>
        <v>54.1</v>
      </c>
    </row>
    <row r="1391" spans="1:6" hidden="1" x14ac:dyDescent="0.35">
      <c r="A1391" s="11">
        <v>50030</v>
      </c>
      <c r="B1391" s="12" t="s">
        <v>15</v>
      </c>
      <c r="C1391" s="13">
        <v>27.8</v>
      </c>
      <c r="D1391" s="14">
        <v>15.2</v>
      </c>
      <c r="E1391">
        <f t="shared" si="44"/>
        <v>4</v>
      </c>
      <c r="F1391">
        <f t="shared" si="43"/>
        <v>81.900000000000006</v>
      </c>
    </row>
    <row r="1392" spans="1:6" hidden="1" x14ac:dyDescent="0.35">
      <c r="A1392" s="7">
        <v>50031</v>
      </c>
      <c r="B1392" s="8" t="s">
        <v>7</v>
      </c>
      <c r="C1392" s="9">
        <v>28.8</v>
      </c>
      <c r="D1392" s="10">
        <v>0</v>
      </c>
      <c r="E1392">
        <f t="shared" si="44"/>
        <v>5</v>
      </c>
      <c r="F1392">
        <f t="shared" si="43"/>
        <v>110.7</v>
      </c>
    </row>
    <row r="1393" spans="1:6" hidden="1" x14ac:dyDescent="0.35">
      <c r="A1393" s="11">
        <v>50032</v>
      </c>
      <c r="B1393" s="12" t="s">
        <v>5</v>
      </c>
      <c r="C1393" s="13">
        <v>12.6</v>
      </c>
      <c r="D1393" s="14">
        <v>0.8</v>
      </c>
      <c r="E1393">
        <f t="shared" si="44"/>
        <v>6</v>
      </c>
      <c r="F1393">
        <f t="shared" si="43"/>
        <v>123.3</v>
      </c>
    </row>
    <row r="1394" spans="1:6" hidden="1" x14ac:dyDescent="0.35">
      <c r="A1394" s="7">
        <v>50033</v>
      </c>
      <c r="B1394" s="8" t="s">
        <v>5</v>
      </c>
      <c r="C1394" s="9">
        <v>20.7</v>
      </c>
      <c r="D1394" s="10">
        <v>0</v>
      </c>
      <c r="E1394">
        <f t="shared" si="44"/>
        <v>7</v>
      </c>
      <c r="F1394">
        <f t="shared" si="43"/>
        <v>144</v>
      </c>
    </row>
    <row r="1395" spans="1:6" hidden="1" x14ac:dyDescent="0.35">
      <c r="A1395" s="11">
        <v>50034</v>
      </c>
      <c r="B1395" s="12" t="s">
        <v>19</v>
      </c>
      <c r="C1395" s="13">
        <v>19.399999999999999</v>
      </c>
      <c r="D1395" s="14">
        <v>19.3</v>
      </c>
      <c r="E1395">
        <f t="shared" si="44"/>
        <v>1</v>
      </c>
      <c r="F1395">
        <f t="shared" si="43"/>
        <v>19.399999999999999</v>
      </c>
    </row>
    <row r="1396" spans="1:6" hidden="1" x14ac:dyDescent="0.35">
      <c r="A1396" s="7">
        <v>50035</v>
      </c>
      <c r="B1396" s="8" t="s">
        <v>10</v>
      </c>
      <c r="C1396" s="9">
        <v>24.3</v>
      </c>
      <c r="D1396" s="10">
        <v>8.8000000000000007</v>
      </c>
      <c r="E1396">
        <f t="shared" si="44"/>
        <v>2</v>
      </c>
      <c r="F1396">
        <f t="shared" si="43"/>
        <v>43.7</v>
      </c>
    </row>
    <row r="1397" spans="1:6" hidden="1" x14ac:dyDescent="0.35">
      <c r="A1397" s="11">
        <v>50036</v>
      </c>
      <c r="B1397" s="12" t="s">
        <v>19</v>
      </c>
      <c r="C1397" s="13">
        <v>21.2</v>
      </c>
      <c r="D1397" s="14">
        <v>36</v>
      </c>
      <c r="E1397">
        <f t="shared" si="44"/>
        <v>3</v>
      </c>
      <c r="F1397">
        <f t="shared" si="43"/>
        <v>64.900000000000006</v>
      </c>
    </row>
    <row r="1398" spans="1:6" hidden="1" x14ac:dyDescent="0.35">
      <c r="A1398" s="7">
        <v>50037</v>
      </c>
      <c r="B1398" s="8" t="s">
        <v>5</v>
      </c>
      <c r="C1398" s="9">
        <v>28.4</v>
      </c>
      <c r="D1398" s="10">
        <v>0</v>
      </c>
      <c r="E1398">
        <f t="shared" si="44"/>
        <v>4</v>
      </c>
      <c r="F1398">
        <f t="shared" si="43"/>
        <v>93.300000000000011</v>
      </c>
    </row>
    <row r="1399" spans="1:6" hidden="1" x14ac:dyDescent="0.35">
      <c r="A1399" s="11">
        <v>50038</v>
      </c>
      <c r="B1399" s="12" t="s">
        <v>27</v>
      </c>
      <c r="C1399" s="13">
        <v>17.100000000000001</v>
      </c>
      <c r="D1399" s="14">
        <v>5.4</v>
      </c>
      <c r="E1399">
        <f t="shared" si="44"/>
        <v>5</v>
      </c>
      <c r="F1399">
        <f t="shared" si="43"/>
        <v>110.4</v>
      </c>
    </row>
    <row r="1400" spans="1:6" hidden="1" x14ac:dyDescent="0.35">
      <c r="A1400" s="7">
        <v>50039</v>
      </c>
      <c r="B1400" s="8" t="s">
        <v>10</v>
      </c>
      <c r="C1400" s="9">
        <v>24.4</v>
      </c>
      <c r="D1400" s="10">
        <v>23.8</v>
      </c>
      <c r="E1400">
        <f t="shared" si="44"/>
        <v>6</v>
      </c>
      <c r="F1400">
        <f t="shared" si="43"/>
        <v>134.80000000000001</v>
      </c>
    </row>
    <row r="1401" spans="1:6" hidden="1" x14ac:dyDescent="0.35">
      <c r="A1401" s="11">
        <v>50040</v>
      </c>
      <c r="B1401" s="12" t="s">
        <v>18</v>
      </c>
      <c r="C1401" s="13">
        <v>18.5</v>
      </c>
      <c r="D1401" s="14">
        <v>6</v>
      </c>
      <c r="E1401">
        <f t="shared" si="44"/>
        <v>7</v>
      </c>
      <c r="F1401">
        <f t="shared" si="43"/>
        <v>153.30000000000001</v>
      </c>
    </row>
    <row r="1402" spans="1:6" hidden="1" x14ac:dyDescent="0.35">
      <c r="A1402" s="7">
        <v>50041</v>
      </c>
      <c r="B1402" s="8" t="s">
        <v>19</v>
      </c>
      <c r="C1402" s="9">
        <v>24.1</v>
      </c>
      <c r="D1402" s="10">
        <v>21.5</v>
      </c>
      <c r="E1402">
        <f t="shared" si="44"/>
        <v>1</v>
      </c>
      <c r="F1402">
        <f t="shared" si="43"/>
        <v>24.1</v>
      </c>
    </row>
    <row r="1403" spans="1:6" hidden="1" x14ac:dyDescent="0.35">
      <c r="A1403" s="11">
        <v>50042</v>
      </c>
      <c r="B1403" s="12" t="s">
        <v>22</v>
      </c>
      <c r="C1403" s="13">
        <v>17.899999999999999</v>
      </c>
      <c r="D1403" s="14">
        <v>5.4</v>
      </c>
      <c r="E1403">
        <f t="shared" si="44"/>
        <v>2</v>
      </c>
      <c r="F1403">
        <f t="shared" si="43"/>
        <v>42</v>
      </c>
    </row>
    <row r="1404" spans="1:6" hidden="1" x14ac:dyDescent="0.35">
      <c r="A1404" s="7">
        <v>50043</v>
      </c>
      <c r="B1404" s="8" t="s">
        <v>22</v>
      </c>
      <c r="C1404" s="9">
        <v>15.8</v>
      </c>
      <c r="D1404" s="10">
        <v>7.4</v>
      </c>
      <c r="E1404">
        <f t="shared" si="44"/>
        <v>3</v>
      </c>
      <c r="F1404">
        <f t="shared" si="43"/>
        <v>57.8</v>
      </c>
    </row>
    <row r="1405" spans="1:6" hidden="1" x14ac:dyDescent="0.35">
      <c r="A1405" s="11">
        <v>50044</v>
      </c>
      <c r="B1405" s="12" t="s">
        <v>30</v>
      </c>
      <c r="C1405" s="13">
        <v>19.600000000000001</v>
      </c>
      <c r="D1405" s="14">
        <v>0.3</v>
      </c>
      <c r="E1405">
        <f t="shared" si="44"/>
        <v>4</v>
      </c>
      <c r="F1405">
        <f t="shared" si="43"/>
        <v>77.400000000000006</v>
      </c>
    </row>
    <row r="1406" spans="1:6" hidden="1" x14ac:dyDescent="0.35">
      <c r="A1406" s="7">
        <v>50045</v>
      </c>
      <c r="B1406" s="8" t="s">
        <v>19</v>
      </c>
      <c r="C1406" s="9">
        <v>17.7</v>
      </c>
      <c r="D1406" s="10">
        <v>0</v>
      </c>
      <c r="E1406">
        <f t="shared" si="44"/>
        <v>5</v>
      </c>
      <c r="F1406">
        <f t="shared" si="43"/>
        <v>95.100000000000009</v>
      </c>
    </row>
    <row r="1407" spans="1:6" hidden="1" x14ac:dyDescent="0.35">
      <c r="A1407" s="11">
        <v>50046</v>
      </c>
      <c r="B1407" s="12" t="s">
        <v>27</v>
      </c>
      <c r="C1407" s="13">
        <v>19.899999999999999</v>
      </c>
      <c r="D1407" s="14">
        <v>4.7</v>
      </c>
      <c r="E1407">
        <f t="shared" si="44"/>
        <v>6</v>
      </c>
      <c r="F1407">
        <f t="shared" si="43"/>
        <v>115</v>
      </c>
    </row>
    <row r="1408" spans="1:6" hidden="1" x14ac:dyDescent="0.35">
      <c r="A1408" s="7">
        <v>50047</v>
      </c>
      <c r="B1408" s="8" t="s">
        <v>5</v>
      </c>
      <c r="C1408" s="9">
        <v>10.6</v>
      </c>
      <c r="D1408" s="10">
        <v>4.8</v>
      </c>
      <c r="E1408">
        <f t="shared" si="44"/>
        <v>7</v>
      </c>
      <c r="F1408">
        <f t="shared" si="43"/>
        <v>125.6</v>
      </c>
    </row>
    <row r="1409" spans="1:6" hidden="1" x14ac:dyDescent="0.35">
      <c r="A1409" s="11">
        <v>50048</v>
      </c>
      <c r="B1409" s="12" t="s">
        <v>19</v>
      </c>
      <c r="C1409" s="13">
        <v>25.6</v>
      </c>
      <c r="D1409" s="14">
        <v>17.399999999999999</v>
      </c>
      <c r="E1409">
        <f t="shared" si="44"/>
        <v>1</v>
      </c>
      <c r="F1409">
        <f t="shared" si="43"/>
        <v>25.6</v>
      </c>
    </row>
    <row r="1410" spans="1:6" hidden="1" x14ac:dyDescent="0.35">
      <c r="A1410" s="7">
        <v>50049</v>
      </c>
      <c r="B1410" s="8" t="s">
        <v>9</v>
      </c>
      <c r="C1410" s="9">
        <v>22.4</v>
      </c>
      <c r="D1410" s="10">
        <v>7.7</v>
      </c>
      <c r="E1410">
        <f t="shared" si="44"/>
        <v>2</v>
      </c>
      <c r="F1410">
        <f t="shared" si="43"/>
        <v>48</v>
      </c>
    </row>
    <row r="1411" spans="1:6" hidden="1" x14ac:dyDescent="0.35">
      <c r="A1411" s="11">
        <v>50050</v>
      </c>
      <c r="B1411" s="12" t="s">
        <v>8</v>
      </c>
      <c r="C1411" s="13">
        <v>14.5</v>
      </c>
      <c r="D1411" s="14">
        <v>3.8</v>
      </c>
      <c r="E1411">
        <f t="shared" si="44"/>
        <v>3</v>
      </c>
      <c r="F1411">
        <f t="shared" si="43"/>
        <v>62.5</v>
      </c>
    </row>
    <row r="1412" spans="1:6" hidden="1" x14ac:dyDescent="0.35">
      <c r="A1412" s="7">
        <v>50051</v>
      </c>
      <c r="B1412" s="8" t="s">
        <v>9</v>
      </c>
      <c r="C1412" s="9">
        <v>15</v>
      </c>
      <c r="D1412" s="10">
        <v>4.2</v>
      </c>
      <c r="E1412">
        <f t="shared" si="44"/>
        <v>4</v>
      </c>
      <c r="F1412">
        <f t="shared" ref="F1412:F1475" si="45">IF(E1411=7,C1412,C1412+F1411)</f>
        <v>77.5</v>
      </c>
    </row>
    <row r="1413" spans="1:6" hidden="1" x14ac:dyDescent="0.35">
      <c r="A1413" s="11">
        <v>50052</v>
      </c>
      <c r="B1413" s="12" t="s">
        <v>13</v>
      </c>
      <c r="C1413" s="13">
        <v>24</v>
      </c>
      <c r="D1413" s="14">
        <v>11.5</v>
      </c>
      <c r="E1413">
        <f t="shared" si="44"/>
        <v>5</v>
      </c>
      <c r="F1413">
        <f t="shared" si="45"/>
        <v>101.5</v>
      </c>
    </row>
    <row r="1414" spans="1:6" hidden="1" x14ac:dyDescent="0.35">
      <c r="A1414" s="7">
        <v>50053</v>
      </c>
      <c r="B1414" s="8" t="s">
        <v>23</v>
      </c>
      <c r="C1414" s="9">
        <v>20.7</v>
      </c>
      <c r="D1414" s="10">
        <v>2.9</v>
      </c>
      <c r="E1414">
        <f t="shared" si="44"/>
        <v>6</v>
      </c>
      <c r="F1414">
        <f t="shared" si="45"/>
        <v>122.2</v>
      </c>
    </row>
    <row r="1415" spans="1:6" hidden="1" x14ac:dyDescent="0.35">
      <c r="A1415" s="11">
        <v>50054</v>
      </c>
      <c r="B1415" s="12" t="s">
        <v>28</v>
      </c>
      <c r="C1415" s="13">
        <v>13.5</v>
      </c>
      <c r="D1415" s="14">
        <v>0.7</v>
      </c>
      <c r="E1415">
        <f t="shared" si="44"/>
        <v>7</v>
      </c>
      <c r="F1415">
        <f t="shared" si="45"/>
        <v>135.69999999999999</v>
      </c>
    </row>
    <row r="1416" spans="1:6" hidden="1" x14ac:dyDescent="0.35">
      <c r="A1416" s="7">
        <v>50055</v>
      </c>
      <c r="B1416" s="8" t="s">
        <v>19</v>
      </c>
      <c r="C1416" s="9">
        <v>23.7</v>
      </c>
      <c r="D1416" s="10">
        <v>13.1</v>
      </c>
      <c r="E1416">
        <f t="shared" si="44"/>
        <v>1</v>
      </c>
      <c r="F1416">
        <f t="shared" si="45"/>
        <v>23.7</v>
      </c>
    </row>
    <row r="1417" spans="1:6" hidden="1" x14ac:dyDescent="0.35">
      <c r="A1417" s="11">
        <v>50056</v>
      </c>
      <c r="B1417" s="12" t="s">
        <v>10</v>
      </c>
      <c r="C1417" s="13">
        <v>12.1</v>
      </c>
      <c r="D1417" s="14">
        <v>36</v>
      </c>
      <c r="E1417">
        <f t="shared" si="44"/>
        <v>2</v>
      </c>
      <c r="F1417">
        <f t="shared" si="45"/>
        <v>35.799999999999997</v>
      </c>
    </row>
    <row r="1418" spans="1:6" hidden="1" x14ac:dyDescent="0.35">
      <c r="A1418" s="7">
        <v>50057</v>
      </c>
      <c r="B1418" s="8" t="s">
        <v>13</v>
      </c>
      <c r="C1418" s="9">
        <v>21.8</v>
      </c>
      <c r="D1418" s="10">
        <v>10.9</v>
      </c>
      <c r="E1418">
        <f t="shared" ref="E1418:E1481" si="46">IF(E1417=7,1,E1417+1)</f>
        <v>3</v>
      </c>
      <c r="F1418">
        <f t="shared" si="45"/>
        <v>57.599999999999994</v>
      </c>
    </row>
    <row r="1419" spans="1:6" hidden="1" x14ac:dyDescent="0.35">
      <c r="A1419" s="11">
        <v>50058</v>
      </c>
      <c r="B1419" s="12" t="s">
        <v>22</v>
      </c>
      <c r="C1419" s="13">
        <v>17.399999999999999</v>
      </c>
      <c r="D1419" s="14">
        <v>0</v>
      </c>
      <c r="E1419">
        <f t="shared" si="46"/>
        <v>4</v>
      </c>
      <c r="F1419">
        <f t="shared" si="45"/>
        <v>75</v>
      </c>
    </row>
    <row r="1420" spans="1:6" hidden="1" x14ac:dyDescent="0.35">
      <c r="A1420" s="7">
        <v>50059</v>
      </c>
      <c r="B1420" s="8" t="s">
        <v>6</v>
      </c>
      <c r="C1420" s="9">
        <v>15.6</v>
      </c>
      <c r="D1420" s="10">
        <v>0</v>
      </c>
      <c r="E1420">
        <f t="shared" si="46"/>
        <v>5</v>
      </c>
      <c r="F1420">
        <f t="shared" si="45"/>
        <v>90.6</v>
      </c>
    </row>
    <row r="1421" spans="1:6" hidden="1" x14ac:dyDescent="0.35">
      <c r="A1421" s="11">
        <v>50060</v>
      </c>
      <c r="B1421" s="12" t="s">
        <v>13</v>
      </c>
      <c r="C1421" s="13">
        <v>13.7</v>
      </c>
      <c r="D1421" s="14">
        <v>0</v>
      </c>
      <c r="E1421">
        <f t="shared" si="46"/>
        <v>6</v>
      </c>
      <c r="F1421">
        <f t="shared" si="45"/>
        <v>104.3</v>
      </c>
    </row>
    <row r="1422" spans="1:6" hidden="1" x14ac:dyDescent="0.35">
      <c r="A1422" s="7">
        <v>50061</v>
      </c>
      <c r="B1422" s="8" t="s">
        <v>10</v>
      </c>
      <c r="C1422" s="9">
        <v>24.7</v>
      </c>
      <c r="D1422" s="10">
        <v>16.2</v>
      </c>
      <c r="E1422">
        <f t="shared" si="46"/>
        <v>7</v>
      </c>
      <c r="F1422">
        <f t="shared" si="45"/>
        <v>129</v>
      </c>
    </row>
    <row r="1423" spans="1:6" hidden="1" x14ac:dyDescent="0.35">
      <c r="A1423" s="11">
        <v>50062</v>
      </c>
      <c r="B1423" s="12" t="s">
        <v>15</v>
      </c>
      <c r="C1423" s="13">
        <v>25.3</v>
      </c>
      <c r="D1423" s="14">
        <v>14.2</v>
      </c>
      <c r="E1423">
        <f t="shared" si="46"/>
        <v>1</v>
      </c>
      <c r="F1423">
        <f t="shared" si="45"/>
        <v>25.3</v>
      </c>
    </row>
    <row r="1424" spans="1:6" hidden="1" x14ac:dyDescent="0.35">
      <c r="A1424" s="7">
        <v>50063</v>
      </c>
      <c r="B1424" s="8" t="s">
        <v>15</v>
      </c>
      <c r="C1424" s="9">
        <v>18.399999999999999</v>
      </c>
      <c r="D1424" s="10">
        <v>0</v>
      </c>
      <c r="E1424">
        <f t="shared" si="46"/>
        <v>2</v>
      </c>
      <c r="F1424">
        <f t="shared" si="45"/>
        <v>43.7</v>
      </c>
    </row>
    <row r="1425" spans="1:6" hidden="1" x14ac:dyDescent="0.35">
      <c r="A1425" s="11">
        <v>50064</v>
      </c>
      <c r="B1425" s="12" t="s">
        <v>14</v>
      </c>
      <c r="C1425" s="13">
        <v>10.199999999999999</v>
      </c>
      <c r="D1425" s="14">
        <v>0</v>
      </c>
      <c r="E1425">
        <f t="shared" si="46"/>
        <v>3</v>
      </c>
      <c r="F1425">
        <f t="shared" si="45"/>
        <v>53.900000000000006</v>
      </c>
    </row>
    <row r="1426" spans="1:6" hidden="1" x14ac:dyDescent="0.35">
      <c r="A1426" s="7">
        <v>50065</v>
      </c>
      <c r="B1426" s="8" t="s">
        <v>33</v>
      </c>
      <c r="C1426" s="9">
        <v>26.9</v>
      </c>
      <c r="D1426" s="10">
        <v>0</v>
      </c>
      <c r="E1426">
        <f t="shared" si="46"/>
        <v>4</v>
      </c>
      <c r="F1426">
        <f t="shared" si="45"/>
        <v>80.800000000000011</v>
      </c>
    </row>
    <row r="1427" spans="1:6" hidden="1" x14ac:dyDescent="0.35">
      <c r="A1427" s="11">
        <v>50066</v>
      </c>
      <c r="B1427" s="12" t="s">
        <v>8</v>
      </c>
      <c r="C1427" s="13">
        <v>28.2</v>
      </c>
      <c r="D1427" s="14">
        <v>0</v>
      </c>
      <c r="E1427">
        <f t="shared" si="46"/>
        <v>5</v>
      </c>
      <c r="F1427">
        <f t="shared" si="45"/>
        <v>109.00000000000001</v>
      </c>
    </row>
    <row r="1428" spans="1:6" hidden="1" x14ac:dyDescent="0.35">
      <c r="A1428" s="7">
        <v>50067</v>
      </c>
      <c r="B1428" s="8" t="s">
        <v>7</v>
      </c>
      <c r="C1428" s="9">
        <v>15.9</v>
      </c>
      <c r="D1428" s="10">
        <v>0</v>
      </c>
      <c r="E1428">
        <f t="shared" si="46"/>
        <v>6</v>
      </c>
      <c r="F1428">
        <f t="shared" si="45"/>
        <v>124.90000000000002</v>
      </c>
    </row>
    <row r="1429" spans="1:6" hidden="1" x14ac:dyDescent="0.35">
      <c r="A1429" s="11">
        <v>50068</v>
      </c>
      <c r="B1429" s="12" t="s">
        <v>10</v>
      </c>
      <c r="C1429" s="13">
        <v>19.7</v>
      </c>
      <c r="D1429" s="14">
        <v>0</v>
      </c>
      <c r="E1429">
        <f t="shared" si="46"/>
        <v>7</v>
      </c>
      <c r="F1429">
        <f t="shared" si="45"/>
        <v>144.60000000000002</v>
      </c>
    </row>
    <row r="1430" spans="1:6" hidden="1" x14ac:dyDescent="0.35">
      <c r="A1430" s="7">
        <v>50069</v>
      </c>
      <c r="B1430" s="8" t="s">
        <v>7</v>
      </c>
      <c r="C1430" s="9">
        <v>16</v>
      </c>
      <c r="D1430" s="10">
        <v>0</v>
      </c>
      <c r="E1430">
        <f t="shared" si="46"/>
        <v>1</v>
      </c>
      <c r="F1430">
        <f t="shared" si="45"/>
        <v>16</v>
      </c>
    </row>
    <row r="1431" spans="1:6" hidden="1" x14ac:dyDescent="0.35">
      <c r="A1431" s="11">
        <v>50070</v>
      </c>
      <c r="B1431" s="12" t="s">
        <v>6</v>
      </c>
      <c r="C1431" s="13">
        <v>20.8</v>
      </c>
      <c r="D1431" s="14">
        <v>0</v>
      </c>
      <c r="E1431">
        <f t="shared" si="46"/>
        <v>2</v>
      </c>
      <c r="F1431">
        <f t="shared" si="45"/>
        <v>36.799999999999997</v>
      </c>
    </row>
    <row r="1432" spans="1:6" hidden="1" x14ac:dyDescent="0.35">
      <c r="A1432" s="7">
        <v>50071</v>
      </c>
      <c r="B1432" s="8" t="s">
        <v>23</v>
      </c>
      <c r="C1432" s="9">
        <v>12.5</v>
      </c>
      <c r="D1432" s="10">
        <v>0</v>
      </c>
      <c r="E1432">
        <f t="shared" si="46"/>
        <v>3</v>
      </c>
      <c r="F1432">
        <f t="shared" si="45"/>
        <v>49.3</v>
      </c>
    </row>
    <row r="1433" spans="1:6" hidden="1" x14ac:dyDescent="0.35">
      <c r="A1433" s="11">
        <v>50072</v>
      </c>
      <c r="B1433" s="12" t="s">
        <v>15</v>
      </c>
      <c r="C1433" s="13">
        <v>12.7</v>
      </c>
      <c r="D1433" s="14">
        <v>2.4</v>
      </c>
      <c r="E1433">
        <f t="shared" si="46"/>
        <v>4</v>
      </c>
      <c r="F1433">
        <f t="shared" si="45"/>
        <v>62</v>
      </c>
    </row>
    <row r="1434" spans="1:6" hidden="1" x14ac:dyDescent="0.35">
      <c r="A1434" s="7">
        <v>50073</v>
      </c>
      <c r="B1434" s="8" t="s">
        <v>18</v>
      </c>
      <c r="C1434" s="9">
        <v>23.5</v>
      </c>
      <c r="D1434" s="10">
        <v>11.5</v>
      </c>
      <c r="E1434">
        <f t="shared" si="46"/>
        <v>5</v>
      </c>
      <c r="F1434">
        <f t="shared" si="45"/>
        <v>85.5</v>
      </c>
    </row>
    <row r="1435" spans="1:6" hidden="1" x14ac:dyDescent="0.35">
      <c r="A1435" s="11">
        <v>50074</v>
      </c>
      <c r="B1435" s="12" t="s">
        <v>14</v>
      </c>
      <c r="C1435" s="13">
        <v>17.8</v>
      </c>
      <c r="D1435" s="14">
        <v>1.8</v>
      </c>
      <c r="E1435">
        <f t="shared" si="46"/>
        <v>6</v>
      </c>
      <c r="F1435">
        <f t="shared" si="45"/>
        <v>103.3</v>
      </c>
    </row>
    <row r="1436" spans="1:6" hidden="1" x14ac:dyDescent="0.35">
      <c r="A1436" s="7">
        <v>50075</v>
      </c>
      <c r="B1436" s="8" t="s">
        <v>11</v>
      </c>
      <c r="C1436" s="9">
        <v>11</v>
      </c>
      <c r="D1436" s="10">
        <v>0</v>
      </c>
      <c r="E1436">
        <f t="shared" si="46"/>
        <v>7</v>
      </c>
      <c r="F1436">
        <f t="shared" si="45"/>
        <v>114.3</v>
      </c>
    </row>
    <row r="1437" spans="1:6" hidden="1" x14ac:dyDescent="0.35">
      <c r="A1437" s="11">
        <v>50076</v>
      </c>
      <c r="B1437" s="12" t="s">
        <v>12</v>
      </c>
      <c r="C1437" s="13">
        <v>21.3</v>
      </c>
      <c r="D1437" s="14">
        <v>5.2</v>
      </c>
      <c r="E1437">
        <f t="shared" si="46"/>
        <v>1</v>
      </c>
      <c r="F1437">
        <f t="shared" si="45"/>
        <v>21.3</v>
      </c>
    </row>
    <row r="1438" spans="1:6" hidden="1" x14ac:dyDescent="0.35">
      <c r="A1438" s="7">
        <v>50077</v>
      </c>
      <c r="B1438" s="8" t="s">
        <v>7</v>
      </c>
      <c r="C1438" s="9">
        <v>19.600000000000001</v>
      </c>
      <c r="D1438" s="10">
        <v>8.1</v>
      </c>
      <c r="E1438">
        <f t="shared" si="46"/>
        <v>2</v>
      </c>
      <c r="F1438">
        <f t="shared" si="45"/>
        <v>40.900000000000006</v>
      </c>
    </row>
    <row r="1439" spans="1:6" hidden="1" x14ac:dyDescent="0.35">
      <c r="A1439" s="11">
        <v>50078</v>
      </c>
      <c r="B1439" s="12" t="s">
        <v>11</v>
      </c>
      <c r="C1439" s="13">
        <v>25.7</v>
      </c>
      <c r="D1439" s="14">
        <v>4.2</v>
      </c>
      <c r="E1439">
        <f t="shared" si="46"/>
        <v>3</v>
      </c>
      <c r="F1439">
        <f t="shared" si="45"/>
        <v>66.600000000000009</v>
      </c>
    </row>
    <row r="1440" spans="1:6" hidden="1" x14ac:dyDescent="0.35">
      <c r="A1440" s="7">
        <v>50079</v>
      </c>
      <c r="B1440" s="8" t="s">
        <v>10</v>
      </c>
      <c r="C1440" s="9">
        <v>20.9</v>
      </c>
      <c r="D1440" s="10">
        <v>28.6</v>
      </c>
      <c r="E1440">
        <f t="shared" si="46"/>
        <v>4</v>
      </c>
      <c r="F1440">
        <f t="shared" si="45"/>
        <v>87.5</v>
      </c>
    </row>
    <row r="1441" spans="1:6" hidden="1" x14ac:dyDescent="0.35">
      <c r="A1441" s="11">
        <v>50080</v>
      </c>
      <c r="B1441" s="12" t="s">
        <v>19</v>
      </c>
      <c r="C1441" s="13">
        <v>26.4</v>
      </c>
      <c r="D1441" s="14">
        <v>3.2</v>
      </c>
      <c r="E1441">
        <f t="shared" si="46"/>
        <v>5</v>
      </c>
      <c r="F1441">
        <f t="shared" si="45"/>
        <v>113.9</v>
      </c>
    </row>
    <row r="1442" spans="1:6" hidden="1" x14ac:dyDescent="0.35">
      <c r="A1442" s="7">
        <v>50081</v>
      </c>
      <c r="B1442" s="8" t="s">
        <v>19</v>
      </c>
      <c r="C1442" s="9">
        <v>26.5</v>
      </c>
      <c r="D1442" s="10">
        <v>13.1</v>
      </c>
      <c r="E1442">
        <f t="shared" si="46"/>
        <v>6</v>
      </c>
      <c r="F1442">
        <f t="shared" si="45"/>
        <v>140.4</v>
      </c>
    </row>
    <row r="1443" spans="1:6" hidden="1" x14ac:dyDescent="0.35">
      <c r="A1443" s="11">
        <v>50082</v>
      </c>
      <c r="B1443" s="12" t="s">
        <v>8</v>
      </c>
      <c r="C1443" s="13">
        <v>11.7</v>
      </c>
      <c r="D1443" s="14">
        <v>0</v>
      </c>
      <c r="E1443">
        <f t="shared" si="46"/>
        <v>7</v>
      </c>
      <c r="F1443">
        <f t="shared" si="45"/>
        <v>152.1</v>
      </c>
    </row>
    <row r="1444" spans="1:6" hidden="1" x14ac:dyDescent="0.35">
      <c r="A1444" s="7">
        <v>50083</v>
      </c>
      <c r="B1444" s="8" t="s">
        <v>12</v>
      </c>
      <c r="C1444" s="9">
        <v>24.7</v>
      </c>
      <c r="D1444" s="10">
        <v>0.3</v>
      </c>
      <c r="E1444">
        <f t="shared" si="46"/>
        <v>1</v>
      </c>
      <c r="F1444">
        <f t="shared" si="45"/>
        <v>24.7</v>
      </c>
    </row>
    <row r="1445" spans="1:6" hidden="1" x14ac:dyDescent="0.35">
      <c r="A1445" s="11">
        <v>50084</v>
      </c>
      <c r="B1445" s="12" t="s">
        <v>9</v>
      </c>
      <c r="C1445" s="13">
        <v>24.4</v>
      </c>
      <c r="D1445" s="14">
        <v>9.6</v>
      </c>
      <c r="E1445">
        <f t="shared" si="46"/>
        <v>2</v>
      </c>
      <c r="F1445">
        <f t="shared" si="45"/>
        <v>49.099999999999994</v>
      </c>
    </row>
    <row r="1446" spans="1:6" hidden="1" x14ac:dyDescent="0.35">
      <c r="A1446" s="7">
        <v>50085</v>
      </c>
      <c r="B1446" s="8" t="s">
        <v>19</v>
      </c>
      <c r="C1446" s="9">
        <v>19</v>
      </c>
      <c r="D1446" s="10">
        <v>28.8</v>
      </c>
      <c r="E1446">
        <f t="shared" si="46"/>
        <v>3</v>
      </c>
      <c r="F1446">
        <f t="shared" si="45"/>
        <v>68.099999999999994</v>
      </c>
    </row>
    <row r="1447" spans="1:6" hidden="1" x14ac:dyDescent="0.35">
      <c r="A1447" s="11">
        <v>50086</v>
      </c>
      <c r="B1447" s="12" t="s">
        <v>10</v>
      </c>
      <c r="C1447" s="13">
        <v>13.7</v>
      </c>
      <c r="D1447" s="14">
        <v>19.3</v>
      </c>
      <c r="E1447">
        <f t="shared" si="46"/>
        <v>4</v>
      </c>
      <c r="F1447">
        <f t="shared" si="45"/>
        <v>81.8</v>
      </c>
    </row>
    <row r="1448" spans="1:6" hidden="1" x14ac:dyDescent="0.35">
      <c r="A1448" s="7">
        <v>50087</v>
      </c>
      <c r="B1448" s="8" t="s">
        <v>10</v>
      </c>
      <c r="C1448" s="9">
        <v>28.9</v>
      </c>
      <c r="D1448" s="10">
        <v>20.399999999999999</v>
      </c>
      <c r="E1448">
        <f t="shared" si="46"/>
        <v>5</v>
      </c>
      <c r="F1448">
        <f t="shared" si="45"/>
        <v>110.69999999999999</v>
      </c>
    </row>
    <row r="1449" spans="1:6" hidden="1" x14ac:dyDescent="0.35">
      <c r="A1449" s="11">
        <v>50088</v>
      </c>
      <c r="B1449" s="12" t="s">
        <v>20</v>
      </c>
      <c r="C1449" s="13">
        <v>25.2</v>
      </c>
      <c r="D1449" s="14">
        <v>0</v>
      </c>
      <c r="E1449">
        <f t="shared" si="46"/>
        <v>6</v>
      </c>
      <c r="F1449">
        <f t="shared" si="45"/>
        <v>135.89999999999998</v>
      </c>
    </row>
    <row r="1450" spans="1:6" hidden="1" x14ac:dyDescent="0.35">
      <c r="A1450" s="7">
        <v>50089</v>
      </c>
      <c r="B1450" s="8" t="s">
        <v>11</v>
      </c>
      <c r="C1450" s="9">
        <v>15.4</v>
      </c>
      <c r="D1450" s="10">
        <v>9</v>
      </c>
      <c r="E1450">
        <f t="shared" si="46"/>
        <v>7</v>
      </c>
      <c r="F1450">
        <f t="shared" si="45"/>
        <v>151.29999999999998</v>
      </c>
    </row>
    <row r="1451" spans="1:6" hidden="1" x14ac:dyDescent="0.35">
      <c r="A1451" s="11">
        <v>50090</v>
      </c>
      <c r="B1451" s="12" t="s">
        <v>16</v>
      </c>
      <c r="C1451" s="13">
        <v>24.1</v>
      </c>
      <c r="D1451" s="14">
        <v>0.3</v>
      </c>
      <c r="E1451">
        <f t="shared" si="46"/>
        <v>1</v>
      </c>
      <c r="F1451">
        <f t="shared" si="45"/>
        <v>24.1</v>
      </c>
    </row>
    <row r="1452" spans="1:6" hidden="1" x14ac:dyDescent="0.35">
      <c r="A1452" s="7">
        <v>50091</v>
      </c>
      <c r="B1452" s="8" t="s">
        <v>22</v>
      </c>
      <c r="C1452" s="9">
        <v>27.7</v>
      </c>
      <c r="D1452" s="10">
        <v>0</v>
      </c>
      <c r="E1452">
        <f t="shared" si="46"/>
        <v>2</v>
      </c>
      <c r="F1452">
        <f t="shared" si="45"/>
        <v>51.8</v>
      </c>
    </row>
    <row r="1453" spans="1:6" hidden="1" x14ac:dyDescent="0.35">
      <c r="A1453" s="11">
        <v>50092</v>
      </c>
      <c r="B1453" s="12" t="s">
        <v>11</v>
      </c>
      <c r="C1453" s="13">
        <v>19.600000000000001</v>
      </c>
      <c r="D1453" s="14">
        <v>21.1</v>
      </c>
      <c r="E1453">
        <f t="shared" si="46"/>
        <v>3</v>
      </c>
      <c r="F1453">
        <f t="shared" si="45"/>
        <v>71.400000000000006</v>
      </c>
    </row>
    <row r="1454" spans="1:6" hidden="1" x14ac:dyDescent="0.35">
      <c r="A1454" s="7">
        <v>50093</v>
      </c>
      <c r="B1454" s="8" t="s">
        <v>23</v>
      </c>
      <c r="C1454" s="9">
        <v>29</v>
      </c>
      <c r="D1454" s="10">
        <v>3.2</v>
      </c>
      <c r="E1454">
        <f t="shared" si="46"/>
        <v>4</v>
      </c>
      <c r="F1454">
        <f t="shared" si="45"/>
        <v>100.4</v>
      </c>
    </row>
    <row r="1455" spans="1:6" hidden="1" x14ac:dyDescent="0.35">
      <c r="A1455" s="11">
        <v>50094</v>
      </c>
      <c r="B1455" s="12" t="s">
        <v>31</v>
      </c>
      <c r="C1455" s="13">
        <v>10.3</v>
      </c>
      <c r="D1455" s="14">
        <v>0.7</v>
      </c>
      <c r="E1455">
        <f t="shared" si="46"/>
        <v>5</v>
      </c>
      <c r="F1455">
        <f t="shared" si="45"/>
        <v>110.7</v>
      </c>
    </row>
    <row r="1456" spans="1:6" hidden="1" x14ac:dyDescent="0.35">
      <c r="A1456" s="7">
        <v>50095</v>
      </c>
      <c r="B1456" s="8" t="s">
        <v>10</v>
      </c>
      <c r="C1456" s="9">
        <v>11</v>
      </c>
      <c r="D1456" s="10">
        <v>40.200000000000003</v>
      </c>
      <c r="E1456">
        <f t="shared" si="46"/>
        <v>6</v>
      </c>
      <c r="F1456">
        <f t="shared" si="45"/>
        <v>121.7</v>
      </c>
    </row>
    <row r="1457" spans="1:6" hidden="1" x14ac:dyDescent="0.35">
      <c r="A1457" s="11">
        <v>50096</v>
      </c>
      <c r="B1457" s="12" t="s">
        <v>11</v>
      </c>
      <c r="C1457" s="13">
        <v>28.6</v>
      </c>
      <c r="D1457" s="14">
        <v>0.6</v>
      </c>
      <c r="E1457">
        <f t="shared" si="46"/>
        <v>7</v>
      </c>
      <c r="F1457">
        <f t="shared" si="45"/>
        <v>150.30000000000001</v>
      </c>
    </row>
    <row r="1458" spans="1:6" hidden="1" x14ac:dyDescent="0.35">
      <c r="A1458" s="7">
        <v>50097</v>
      </c>
      <c r="B1458" s="8" t="s">
        <v>17</v>
      </c>
      <c r="C1458" s="9">
        <v>22.5</v>
      </c>
      <c r="D1458" s="10">
        <v>1</v>
      </c>
      <c r="E1458">
        <f t="shared" si="46"/>
        <v>1</v>
      </c>
      <c r="F1458">
        <f t="shared" si="45"/>
        <v>22.5</v>
      </c>
    </row>
    <row r="1459" spans="1:6" hidden="1" x14ac:dyDescent="0.35">
      <c r="A1459" s="11">
        <v>50098</v>
      </c>
      <c r="B1459" s="12" t="s">
        <v>12</v>
      </c>
      <c r="C1459" s="13">
        <v>19.600000000000001</v>
      </c>
      <c r="D1459" s="14">
        <v>0</v>
      </c>
      <c r="E1459">
        <f t="shared" si="46"/>
        <v>2</v>
      </c>
      <c r="F1459">
        <f t="shared" si="45"/>
        <v>42.1</v>
      </c>
    </row>
    <row r="1460" spans="1:6" hidden="1" x14ac:dyDescent="0.35">
      <c r="A1460" s="7">
        <v>50099</v>
      </c>
      <c r="B1460" s="8" t="s">
        <v>28</v>
      </c>
      <c r="C1460" s="9">
        <v>19.899999999999999</v>
      </c>
      <c r="D1460" s="10">
        <v>0</v>
      </c>
      <c r="E1460">
        <f t="shared" si="46"/>
        <v>3</v>
      </c>
      <c r="F1460">
        <f t="shared" si="45"/>
        <v>62</v>
      </c>
    </row>
    <row r="1461" spans="1:6" hidden="1" x14ac:dyDescent="0.35">
      <c r="A1461" s="11">
        <v>50100</v>
      </c>
      <c r="B1461" s="12" t="s">
        <v>6</v>
      </c>
      <c r="C1461" s="13">
        <v>21.7</v>
      </c>
      <c r="D1461" s="14">
        <v>9.4</v>
      </c>
      <c r="E1461">
        <f t="shared" si="46"/>
        <v>4</v>
      </c>
      <c r="F1461">
        <f t="shared" si="45"/>
        <v>83.7</v>
      </c>
    </row>
    <row r="1462" spans="1:6" hidden="1" x14ac:dyDescent="0.35">
      <c r="A1462" s="7">
        <v>50101</v>
      </c>
      <c r="B1462" s="8" t="s">
        <v>12</v>
      </c>
      <c r="C1462" s="9">
        <v>15.3</v>
      </c>
      <c r="D1462" s="10">
        <v>0</v>
      </c>
      <c r="E1462">
        <f t="shared" si="46"/>
        <v>5</v>
      </c>
      <c r="F1462">
        <f t="shared" si="45"/>
        <v>99</v>
      </c>
    </row>
    <row r="1463" spans="1:6" hidden="1" x14ac:dyDescent="0.35">
      <c r="A1463" s="11">
        <v>50102</v>
      </c>
      <c r="B1463" s="12" t="s">
        <v>15</v>
      </c>
      <c r="C1463" s="13">
        <v>20.9</v>
      </c>
      <c r="D1463" s="14">
        <v>12.4</v>
      </c>
      <c r="E1463">
        <f t="shared" si="46"/>
        <v>6</v>
      </c>
      <c r="F1463">
        <f t="shared" si="45"/>
        <v>119.9</v>
      </c>
    </row>
    <row r="1464" spans="1:6" hidden="1" x14ac:dyDescent="0.35">
      <c r="A1464" s="7">
        <v>50103</v>
      </c>
      <c r="B1464" s="8" t="s">
        <v>5</v>
      </c>
      <c r="C1464" s="9">
        <v>17</v>
      </c>
      <c r="D1464" s="10">
        <v>0</v>
      </c>
      <c r="E1464">
        <f t="shared" si="46"/>
        <v>7</v>
      </c>
      <c r="F1464">
        <f t="shared" si="45"/>
        <v>136.9</v>
      </c>
    </row>
    <row r="1465" spans="1:6" hidden="1" x14ac:dyDescent="0.35">
      <c r="A1465" s="11">
        <v>50104</v>
      </c>
      <c r="B1465" s="12" t="s">
        <v>6</v>
      </c>
      <c r="C1465" s="13">
        <v>25.8</v>
      </c>
      <c r="D1465" s="14">
        <v>1.4</v>
      </c>
      <c r="E1465">
        <f t="shared" si="46"/>
        <v>1</v>
      </c>
      <c r="F1465">
        <f t="shared" si="45"/>
        <v>25.8</v>
      </c>
    </row>
    <row r="1466" spans="1:6" hidden="1" x14ac:dyDescent="0.35">
      <c r="A1466" s="7">
        <v>50105</v>
      </c>
      <c r="B1466" s="8" t="s">
        <v>27</v>
      </c>
      <c r="C1466" s="9">
        <v>19.100000000000001</v>
      </c>
      <c r="D1466" s="10">
        <v>2.5</v>
      </c>
      <c r="E1466">
        <f t="shared" si="46"/>
        <v>2</v>
      </c>
      <c r="F1466">
        <f t="shared" si="45"/>
        <v>44.900000000000006</v>
      </c>
    </row>
    <row r="1467" spans="1:6" hidden="1" x14ac:dyDescent="0.35">
      <c r="A1467" s="11">
        <v>50106</v>
      </c>
      <c r="B1467" s="12" t="s">
        <v>13</v>
      </c>
      <c r="C1467" s="13">
        <v>24.6</v>
      </c>
      <c r="D1467" s="14">
        <v>12.5</v>
      </c>
      <c r="E1467">
        <f t="shared" si="46"/>
        <v>3</v>
      </c>
      <c r="F1467">
        <f t="shared" si="45"/>
        <v>69.5</v>
      </c>
    </row>
    <row r="1468" spans="1:6" hidden="1" x14ac:dyDescent="0.35">
      <c r="A1468" s="7">
        <v>50107</v>
      </c>
      <c r="B1468" s="8" t="s">
        <v>15</v>
      </c>
      <c r="C1468" s="9">
        <v>22.6</v>
      </c>
      <c r="D1468" s="10">
        <v>15.4</v>
      </c>
      <c r="E1468">
        <f t="shared" si="46"/>
        <v>4</v>
      </c>
      <c r="F1468">
        <f t="shared" si="45"/>
        <v>92.1</v>
      </c>
    </row>
    <row r="1469" spans="1:6" hidden="1" x14ac:dyDescent="0.35">
      <c r="A1469" s="11">
        <v>50108</v>
      </c>
      <c r="B1469" s="12" t="s">
        <v>9</v>
      </c>
      <c r="C1469" s="13">
        <v>18.3</v>
      </c>
      <c r="D1469" s="14">
        <v>4.7</v>
      </c>
      <c r="E1469">
        <f t="shared" si="46"/>
        <v>5</v>
      </c>
      <c r="F1469">
        <f t="shared" si="45"/>
        <v>110.39999999999999</v>
      </c>
    </row>
    <row r="1470" spans="1:6" hidden="1" x14ac:dyDescent="0.35">
      <c r="A1470" s="7">
        <v>50109</v>
      </c>
      <c r="B1470" s="8" t="s">
        <v>7</v>
      </c>
      <c r="C1470" s="9">
        <v>25.5</v>
      </c>
      <c r="D1470" s="10">
        <v>0</v>
      </c>
      <c r="E1470">
        <f t="shared" si="46"/>
        <v>6</v>
      </c>
      <c r="F1470">
        <f t="shared" si="45"/>
        <v>135.89999999999998</v>
      </c>
    </row>
    <row r="1471" spans="1:6" hidden="1" x14ac:dyDescent="0.35">
      <c r="A1471" s="11">
        <v>50110</v>
      </c>
      <c r="B1471" s="12" t="s">
        <v>18</v>
      </c>
      <c r="C1471" s="13">
        <v>26.6</v>
      </c>
      <c r="D1471" s="14">
        <v>0</v>
      </c>
      <c r="E1471">
        <f t="shared" si="46"/>
        <v>7</v>
      </c>
      <c r="F1471">
        <f t="shared" si="45"/>
        <v>162.49999999999997</v>
      </c>
    </row>
    <row r="1472" spans="1:6" hidden="1" x14ac:dyDescent="0.35">
      <c r="A1472" s="7">
        <v>50111</v>
      </c>
      <c r="B1472" s="8" t="s">
        <v>7</v>
      </c>
      <c r="C1472" s="9">
        <v>19.8</v>
      </c>
      <c r="D1472" s="10">
        <v>14.9</v>
      </c>
      <c r="E1472">
        <f t="shared" si="46"/>
        <v>1</v>
      </c>
      <c r="F1472">
        <f t="shared" si="45"/>
        <v>19.8</v>
      </c>
    </row>
    <row r="1473" spans="1:6" hidden="1" x14ac:dyDescent="0.35">
      <c r="A1473" s="11">
        <v>50112</v>
      </c>
      <c r="B1473" s="12" t="s">
        <v>26</v>
      </c>
      <c r="C1473" s="13">
        <v>23.7</v>
      </c>
      <c r="D1473" s="14">
        <v>0.9</v>
      </c>
      <c r="E1473">
        <f t="shared" si="46"/>
        <v>2</v>
      </c>
      <c r="F1473">
        <f t="shared" si="45"/>
        <v>43.5</v>
      </c>
    </row>
    <row r="1474" spans="1:6" hidden="1" x14ac:dyDescent="0.35">
      <c r="A1474" s="7">
        <v>50113</v>
      </c>
      <c r="B1474" s="8" t="s">
        <v>24</v>
      </c>
      <c r="C1474" s="9">
        <v>23.5</v>
      </c>
      <c r="D1474" s="10">
        <v>1</v>
      </c>
      <c r="E1474">
        <f t="shared" si="46"/>
        <v>3</v>
      </c>
      <c r="F1474">
        <f t="shared" si="45"/>
        <v>67</v>
      </c>
    </row>
    <row r="1475" spans="1:6" hidden="1" x14ac:dyDescent="0.35">
      <c r="A1475" s="11">
        <v>50114</v>
      </c>
      <c r="B1475" s="12" t="s">
        <v>5</v>
      </c>
      <c r="C1475" s="13">
        <v>18.8</v>
      </c>
      <c r="D1475" s="14">
        <v>7.8</v>
      </c>
      <c r="E1475">
        <f t="shared" si="46"/>
        <v>4</v>
      </c>
      <c r="F1475">
        <f t="shared" si="45"/>
        <v>85.8</v>
      </c>
    </row>
    <row r="1476" spans="1:6" hidden="1" x14ac:dyDescent="0.35">
      <c r="A1476" s="7">
        <v>50115</v>
      </c>
      <c r="B1476" s="8" t="s">
        <v>6</v>
      </c>
      <c r="C1476" s="9">
        <v>18.7</v>
      </c>
      <c r="D1476" s="10">
        <v>10</v>
      </c>
      <c r="E1476">
        <f t="shared" si="46"/>
        <v>5</v>
      </c>
      <c r="F1476">
        <f t="shared" ref="F1476:F1539" si="47">IF(E1475=7,C1476,C1476+F1475)</f>
        <v>104.5</v>
      </c>
    </row>
    <row r="1477" spans="1:6" hidden="1" x14ac:dyDescent="0.35">
      <c r="A1477" s="11">
        <v>50116</v>
      </c>
      <c r="B1477" s="12" t="s">
        <v>19</v>
      </c>
      <c r="C1477" s="13">
        <v>28.3</v>
      </c>
      <c r="D1477" s="14">
        <v>21.8</v>
      </c>
      <c r="E1477">
        <f t="shared" si="46"/>
        <v>6</v>
      </c>
      <c r="F1477">
        <f t="shared" si="47"/>
        <v>132.80000000000001</v>
      </c>
    </row>
    <row r="1478" spans="1:6" hidden="1" x14ac:dyDescent="0.35">
      <c r="A1478" s="7">
        <v>50117</v>
      </c>
      <c r="B1478" s="8" t="s">
        <v>22</v>
      </c>
      <c r="C1478" s="9">
        <v>10.6</v>
      </c>
      <c r="D1478" s="10">
        <v>6.4</v>
      </c>
      <c r="E1478">
        <f t="shared" si="46"/>
        <v>7</v>
      </c>
      <c r="F1478">
        <f t="shared" si="47"/>
        <v>143.4</v>
      </c>
    </row>
    <row r="1479" spans="1:6" hidden="1" x14ac:dyDescent="0.35">
      <c r="A1479" s="11">
        <v>50118</v>
      </c>
      <c r="B1479" s="12" t="s">
        <v>10</v>
      </c>
      <c r="C1479" s="13">
        <v>26.2</v>
      </c>
      <c r="D1479" s="14">
        <v>19.2</v>
      </c>
      <c r="E1479">
        <f t="shared" si="46"/>
        <v>1</v>
      </c>
      <c r="F1479">
        <f t="shared" si="47"/>
        <v>26.2</v>
      </c>
    </row>
    <row r="1480" spans="1:6" hidden="1" x14ac:dyDescent="0.35">
      <c r="A1480" s="7">
        <v>50119</v>
      </c>
      <c r="B1480" s="8" t="s">
        <v>13</v>
      </c>
      <c r="C1480" s="9">
        <v>25.3</v>
      </c>
      <c r="D1480" s="10">
        <v>8.6999999999999993</v>
      </c>
      <c r="E1480">
        <f t="shared" si="46"/>
        <v>2</v>
      </c>
      <c r="F1480">
        <f t="shared" si="47"/>
        <v>51.5</v>
      </c>
    </row>
    <row r="1481" spans="1:6" hidden="1" x14ac:dyDescent="0.35">
      <c r="A1481" s="11">
        <v>50120</v>
      </c>
      <c r="B1481" s="12" t="s">
        <v>22</v>
      </c>
      <c r="C1481" s="13">
        <v>21.6</v>
      </c>
      <c r="D1481" s="14">
        <v>1</v>
      </c>
      <c r="E1481">
        <f t="shared" si="46"/>
        <v>3</v>
      </c>
      <c r="F1481">
        <f t="shared" si="47"/>
        <v>73.099999999999994</v>
      </c>
    </row>
    <row r="1482" spans="1:6" hidden="1" x14ac:dyDescent="0.35">
      <c r="A1482" s="7">
        <v>50121</v>
      </c>
      <c r="B1482" s="8" t="s">
        <v>19</v>
      </c>
      <c r="C1482" s="9">
        <v>24.9</v>
      </c>
      <c r="D1482" s="10">
        <v>23.5</v>
      </c>
      <c r="E1482">
        <f t="shared" ref="E1482:E1545" si="48">IF(E1481=7,1,E1481+1)</f>
        <v>4</v>
      </c>
      <c r="F1482">
        <f t="shared" si="47"/>
        <v>98</v>
      </c>
    </row>
    <row r="1483" spans="1:6" hidden="1" x14ac:dyDescent="0.35">
      <c r="A1483" s="11">
        <v>50122</v>
      </c>
      <c r="B1483" s="12" t="s">
        <v>15</v>
      </c>
      <c r="C1483" s="13">
        <v>27.7</v>
      </c>
      <c r="D1483" s="14">
        <v>11.5</v>
      </c>
      <c r="E1483">
        <f t="shared" si="48"/>
        <v>5</v>
      </c>
      <c r="F1483">
        <f t="shared" si="47"/>
        <v>125.7</v>
      </c>
    </row>
    <row r="1484" spans="1:6" hidden="1" x14ac:dyDescent="0.35">
      <c r="A1484" s="7">
        <v>50123</v>
      </c>
      <c r="B1484" s="8" t="s">
        <v>19</v>
      </c>
      <c r="C1484" s="9">
        <v>12.3</v>
      </c>
      <c r="D1484" s="10">
        <v>0</v>
      </c>
      <c r="E1484">
        <f t="shared" si="48"/>
        <v>6</v>
      </c>
      <c r="F1484">
        <f t="shared" si="47"/>
        <v>138</v>
      </c>
    </row>
    <row r="1485" spans="1:6" hidden="1" x14ac:dyDescent="0.35">
      <c r="A1485" s="11">
        <v>50124</v>
      </c>
      <c r="B1485" s="12" t="s">
        <v>20</v>
      </c>
      <c r="C1485" s="13">
        <v>10.199999999999999</v>
      </c>
      <c r="D1485" s="14">
        <v>0.8</v>
      </c>
      <c r="E1485">
        <f t="shared" si="48"/>
        <v>7</v>
      </c>
      <c r="F1485">
        <f t="shared" si="47"/>
        <v>148.19999999999999</v>
      </c>
    </row>
    <row r="1486" spans="1:6" hidden="1" x14ac:dyDescent="0.35">
      <c r="A1486" s="7">
        <v>50125</v>
      </c>
      <c r="B1486" s="8" t="s">
        <v>10</v>
      </c>
      <c r="C1486" s="9">
        <v>23.1</v>
      </c>
      <c r="D1486" s="10">
        <v>0</v>
      </c>
      <c r="E1486">
        <f t="shared" si="48"/>
        <v>1</v>
      </c>
      <c r="F1486">
        <f t="shared" si="47"/>
        <v>23.1</v>
      </c>
    </row>
    <row r="1487" spans="1:6" hidden="1" x14ac:dyDescent="0.35">
      <c r="A1487" s="11">
        <v>50126</v>
      </c>
      <c r="B1487" s="12" t="s">
        <v>18</v>
      </c>
      <c r="C1487" s="13">
        <v>11.3</v>
      </c>
      <c r="D1487" s="14">
        <v>0</v>
      </c>
      <c r="E1487">
        <f t="shared" si="48"/>
        <v>2</v>
      </c>
      <c r="F1487">
        <f t="shared" si="47"/>
        <v>34.400000000000006</v>
      </c>
    </row>
    <row r="1488" spans="1:6" hidden="1" x14ac:dyDescent="0.35">
      <c r="A1488" s="7">
        <v>50127</v>
      </c>
      <c r="B1488" s="8" t="s">
        <v>19</v>
      </c>
      <c r="C1488" s="9">
        <v>29.5</v>
      </c>
      <c r="D1488" s="10">
        <v>10.4</v>
      </c>
      <c r="E1488">
        <f t="shared" si="48"/>
        <v>3</v>
      </c>
      <c r="F1488">
        <f t="shared" si="47"/>
        <v>63.900000000000006</v>
      </c>
    </row>
    <row r="1489" spans="1:6" hidden="1" x14ac:dyDescent="0.35">
      <c r="A1489" s="11">
        <v>50128</v>
      </c>
      <c r="B1489" s="12" t="s">
        <v>15</v>
      </c>
      <c r="C1489" s="13">
        <v>19.7</v>
      </c>
      <c r="D1489" s="14">
        <v>0</v>
      </c>
      <c r="E1489">
        <f t="shared" si="48"/>
        <v>4</v>
      </c>
      <c r="F1489">
        <f t="shared" si="47"/>
        <v>83.600000000000009</v>
      </c>
    </row>
    <row r="1490" spans="1:6" hidden="1" x14ac:dyDescent="0.35">
      <c r="A1490" s="7">
        <v>50129</v>
      </c>
      <c r="B1490" s="8" t="s">
        <v>5</v>
      </c>
      <c r="C1490" s="9">
        <v>27.9</v>
      </c>
      <c r="D1490" s="10">
        <v>3.4</v>
      </c>
      <c r="E1490">
        <f t="shared" si="48"/>
        <v>5</v>
      </c>
      <c r="F1490">
        <f t="shared" si="47"/>
        <v>111.5</v>
      </c>
    </row>
    <row r="1491" spans="1:6" hidden="1" x14ac:dyDescent="0.35">
      <c r="A1491" s="11">
        <v>50130</v>
      </c>
      <c r="B1491" s="12" t="s">
        <v>10</v>
      </c>
      <c r="C1491" s="13">
        <v>17.399999999999999</v>
      </c>
      <c r="D1491" s="14">
        <v>34.200000000000003</v>
      </c>
      <c r="E1491">
        <f t="shared" si="48"/>
        <v>6</v>
      </c>
      <c r="F1491">
        <f t="shared" si="47"/>
        <v>128.9</v>
      </c>
    </row>
    <row r="1492" spans="1:6" hidden="1" x14ac:dyDescent="0.35">
      <c r="A1492" s="7">
        <v>50131</v>
      </c>
      <c r="B1492" s="8" t="s">
        <v>17</v>
      </c>
      <c r="C1492" s="9">
        <v>23</v>
      </c>
      <c r="D1492" s="10">
        <v>0</v>
      </c>
      <c r="E1492">
        <f t="shared" si="48"/>
        <v>7</v>
      </c>
      <c r="F1492">
        <f t="shared" si="47"/>
        <v>151.9</v>
      </c>
    </row>
    <row r="1493" spans="1:6" hidden="1" x14ac:dyDescent="0.35">
      <c r="A1493" s="11">
        <v>50132</v>
      </c>
      <c r="B1493" s="12" t="s">
        <v>21</v>
      </c>
      <c r="C1493" s="13">
        <v>27.6</v>
      </c>
      <c r="D1493" s="14">
        <v>0</v>
      </c>
      <c r="E1493">
        <f t="shared" si="48"/>
        <v>1</v>
      </c>
      <c r="F1493">
        <f t="shared" si="47"/>
        <v>27.6</v>
      </c>
    </row>
    <row r="1494" spans="1:6" hidden="1" x14ac:dyDescent="0.35">
      <c r="A1494" s="7">
        <v>50133</v>
      </c>
      <c r="B1494" s="8" t="s">
        <v>22</v>
      </c>
      <c r="C1494" s="9">
        <v>11.6</v>
      </c>
      <c r="D1494" s="10">
        <v>0</v>
      </c>
      <c r="E1494">
        <f t="shared" si="48"/>
        <v>2</v>
      </c>
      <c r="F1494">
        <f t="shared" si="47"/>
        <v>39.200000000000003</v>
      </c>
    </row>
    <row r="1495" spans="1:6" hidden="1" x14ac:dyDescent="0.35">
      <c r="A1495" s="11">
        <v>50134</v>
      </c>
      <c r="B1495" s="12" t="s">
        <v>20</v>
      </c>
      <c r="C1495" s="13">
        <v>24.2</v>
      </c>
      <c r="D1495" s="14">
        <v>5</v>
      </c>
      <c r="E1495">
        <f t="shared" si="48"/>
        <v>3</v>
      </c>
      <c r="F1495">
        <f t="shared" si="47"/>
        <v>63.400000000000006</v>
      </c>
    </row>
    <row r="1496" spans="1:6" hidden="1" x14ac:dyDescent="0.35">
      <c r="A1496" s="7">
        <v>50135</v>
      </c>
      <c r="B1496" s="8" t="s">
        <v>6</v>
      </c>
      <c r="C1496" s="9">
        <v>13.2</v>
      </c>
      <c r="D1496" s="10">
        <v>2.2999999999999998</v>
      </c>
      <c r="E1496">
        <f t="shared" si="48"/>
        <v>4</v>
      </c>
      <c r="F1496">
        <f t="shared" si="47"/>
        <v>76.600000000000009</v>
      </c>
    </row>
    <row r="1497" spans="1:6" hidden="1" x14ac:dyDescent="0.35">
      <c r="A1497" s="11">
        <v>50136</v>
      </c>
      <c r="B1497" s="12" t="s">
        <v>7</v>
      </c>
      <c r="C1497" s="13">
        <v>27</v>
      </c>
      <c r="D1497" s="14">
        <v>0.7</v>
      </c>
      <c r="E1497">
        <f t="shared" si="48"/>
        <v>5</v>
      </c>
      <c r="F1497">
        <f t="shared" si="47"/>
        <v>103.60000000000001</v>
      </c>
    </row>
    <row r="1498" spans="1:6" hidden="1" x14ac:dyDescent="0.35">
      <c r="A1498" s="7">
        <v>50137</v>
      </c>
      <c r="B1498" s="8" t="s">
        <v>6</v>
      </c>
      <c r="C1498" s="9">
        <v>23.9</v>
      </c>
      <c r="D1498" s="10">
        <v>6.2</v>
      </c>
      <c r="E1498">
        <f t="shared" si="48"/>
        <v>6</v>
      </c>
      <c r="F1498">
        <f t="shared" si="47"/>
        <v>127.5</v>
      </c>
    </row>
    <row r="1499" spans="1:6" hidden="1" x14ac:dyDescent="0.35">
      <c r="A1499" s="11">
        <v>50138</v>
      </c>
      <c r="B1499" s="12" t="s">
        <v>19</v>
      </c>
      <c r="C1499" s="13">
        <v>16.8</v>
      </c>
      <c r="D1499" s="14">
        <v>17.600000000000001</v>
      </c>
      <c r="E1499">
        <f t="shared" si="48"/>
        <v>7</v>
      </c>
      <c r="F1499">
        <f t="shared" si="47"/>
        <v>144.30000000000001</v>
      </c>
    </row>
    <row r="1500" spans="1:6" hidden="1" x14ac:dyDescent="0.35">
      <c r="A1500" s="7">
        <v>50139</v>
      </c>
      <c r="B1500" s="8" t="s">
        <v>19</v>
      </c>
      <c r="C1500" s="9">
        <v>28.5</v>
      </c>
      <c r="D1500" s="10">
        <v>15.2</v>
      </c>
      <c r="E1500">
        <f t="shared" si="48"/>
        <v>1</v>
      </c>
      <c r="F1500">
        <f t="shared" si="47"/>
        <v>28.5</v>
      </c>
    </row>
    <row r="1501" spans="1:6" hidden="1" x14ac:dyDescent="0.35">
      <c r="A1501" s="11">
        <v>50140</v>
      </c>
      <c r="B1501" s="12" t="s">
        <v>33</v>
      </c>
      <c r="C1501" s="13">
        <v>25.2</v>
      </c>
      <c r="D1501" s="14">
        <v>1.9</v>
      </c>
      <c r="E1501">
        <f t="shared" si="48"/>
        <v>2</v>
      </c>
      <c r="F1501">
        <f t="shared" si="47"/>
        <v>53.7</v>
      </c>
    </row>
    <row r="1502" spans="1:6" hidden="1" x14ac:dyDescent="0.35">
      <c r="A1502" s="7">
        <v>50141</v>
      </c>
      <c r="B1502" s="8" t="s">
        <v>10</v>
      </c>
      <c r="C1502" s="9">
        <v>24.9</v>
      </c>
      <c r="D1502" s="10">
        <v>6.8</v>
      </c>
      <c r="E1502">
        <f t="shared" si="48"/>
        <v>3</v>
      </c>
      <c r="F1502">
        <f t="shared" si="47"/>
        <v>78.599999999999994</v>
      </c>
    </row>
    <row r="1503" spans="1:6" hidden="1" x14ac:dyDescent="0.35">
      <c r="A1503" s="11">
        <v>50142</v>
      </c>
      <c r="B1503" s="12" t="s">
        <v>12</v>
      </c>
      <c r="C1503" s="13">
        <v>14.7</v>
      </c>
      <c r="D1503" s="14">
        <v>5.7</v>
      </c>
      <c r="E1503">
        <f t="shared" si="48"/>
        <v>4</v>
      </c>
      <c r="F1503">
        <f t="shared" si="47"/>
        <v>93.3</v>
      </c>
    </row>
    <row r="1504" spans="1:6" hidden="1" x14ac:dyDescent="0.35">
      <c r="A1504" s="7">
        <v>50143</v>
      </c>
      <c r="B1504" s="8" t="s">
        <v>10</v>
      </c>
      <c r="C1504" s="9">
        <v>12.2</v>
      </c>
      <c r="D1504" s="10">
        <v>14.1</v>
      </c>
      <c r="E1504">
        <f t="shared" si="48"/>
        <v>5</v>
      </c>
      <c r="F1504">
        <f t="shared" si="47"/>
        <v>105.5</v>
      </c>
    </row>
    <row r="1505" spans="1:6" hidden="1" x14ac:dyDescent="0.35">
      <c r="A1505" s="11">
        <v>50144</v>
      </c>
      <c r="B1505" s="12" t="s">
        <v>9</v>
      </c>
      <c r="C1505" s="13">
        <v>24.2</v>
      </c>
      <c r="D1505" s="14">
        <v>8</v>
      </c>
      <c r="E1505">
        <f t="shared" si="48"/>
        <v>6</v>
      </c>
      <c r="F1505">
        <f t="shared" si="47"/>
        <v>129.69999999999999</v>
      </c>
    </row>
    <row r="1506" spans="1:6" hidden="1" x14ac:dyDescent="0.35">
      <c r="A1506" s="7">
        <v>50145</v>
      </c>
      <c r="B1506" s="8" t="s">
        <v>22</v>
      </c>
      <c r="C1506" s="9">
        <v>28.7</v>
      </c>
      <c r="D1506" s="10">
        <v>0</v>
      </c>
      <c r="E1506">
        <f t="shared" si="48"/>
        <v>7</v>
      </c>
      <c r="F1506">
        <f t="shared" si="47"/>
        <v>158.39999999999998</v>
      </c>
    </row>
    <row r="1507" spans="1:6" hidden="1" x14ac:dyDescent="0.35">
      <c r="A1507" s="11">
        <v>50146</v>
      </c>
      <c r="B1507" s="12" t="s">
        <v>10</v>
      </c>
      <c r="C1507" s="13">
        <v>28.5</v>
      </c>
      <c r="D1507" s="14">
        <v>0</v>
      </c>
      <c r="E1507">
        <f t="shared" si="48"/>
        <v>1</v>
      </c>
      <c r="F1507">
        <f t="shared" si="47"/>
        <v>28.5</v>
      </c>
    </row>
    <row r="1508" spans="1:6" hidden="1" x14ac:dyDescent="0.35">
      <c r="A1508" s="7">
        <v>50147</v>
      </c>
      <c r="B1508" s="8" t="s">
        <v>7</v>
      </c>
      <c r="C1508" s="9">
        <v>29.3</v>
      </c>
      <c r="D1508" s="10">
        <v>23.3</v>
      </c>
      <c r="E1508">
        <f t="shared" si="48"/>
        <v>2</v>
      </c>
      <c r="F1508">
        <f t="shared" si="47"/>
        <v>57.8</v>
      </c>
    </row>
    <row r="1509" spans="1:6" hidden="1" x14ac:dyDescent="0.35">
      <c r="A1509" s="11">
        <v>50148</v>
      </c>
      <c r="B1509" s="12" t="s">
        <v>10</v>
      </c>
      <c r="C1509" s="13">
        <v>13.3</v>
      </c>
      <c r="D1509" s="14">
        <v>4.9000000000000004</v>
      </c>
      <c r="E1509">
        <f t="shared" si="48"/>
        <v>3</v>
      </c>
      <c r="F1509">
        <f t="shared" si="47"/>
        <v>71.099999999999994</v>
      </c>
    </row>
    <row r="1510" spans="1:6" hidden="1" x14ac:dyDescent="0.35">
      <c r="A1510" s="7">
        <v>50149</v>
      </c>
      <c r="B1510" s="8" t="s">
        <v>10</v>
      </c>
      <c r="C1510" s="9">
        <v>22.6</v>
      </c>
      <c r="D1510" s="10">
        <v>0.7</v>
      </c>
      <c r="E1510">
        <f t="shared" si="48"/>
        <v>4</v>
      </c>
      <c r="F1510">
        <f t="shared" si="47"/>
        <v>93.699999999999989</v>
      </c>
    </row>
    <row r="1511" spans="1:6" hidden="1" x14ac:dyDescent="0.35">
      <c r="A1511" s="11">
        <v>50150</v>
      </c>
      <c r="B1511" s="12" t="s">
        <v>20</v>
      </c>
      <c r="C1511" s="13">
        <v>19.3</v>
      </c>
      <c r="D1511" s="14">
        <v>3</v>
      </c>
      <c r="E1511">
        <f t="shared" si="48"/>
        <v>5</v>
      </c>
      <c r="F1511">
        <f t="shared" si="47"/>
        <v>112.99999999999999</v>
      </c>
    </row>
    <row r="1512" spans="1:6" hidden="1" x14ac:dyDescent="0.35">
      <c r="A1512" s="7">
        <v>50151</v>
      </c>
      <c r="B1512" s="8" t="s">
        <v>8</v>
      </c>
      <c r="C1512" s="9">
        <v>17.899999999999999</v>
      </c>
      <c r="D1512" s="10">
        <v>5.0999999999999996</v>
      </c>
      <c r="E1512">
        <f t="shared" si="48"/>
        <v>6</v>
      </c>
      <c r="F1512">
        <f t="shared" si="47"/>
        <v>130.89999999999998</v>
      </c>
    </row>
    <row r="1513" spans="1:6" hidden="1" x14ac:dyDescent="0.35">
      <c r="A1513" s="11">
        <v>50152</v>
      </c>
      <c r="B1513" s="12" t="s">
        <v>20</v>
      </c>
      <c r="C1513" s="13">
        <v>16.7</v>
      </c>
      <c r="D1513" s="14">
        <v>0.3</v>
      </c>
      <c r="E1513">
        <f t="shared" si="48"/>
        <v>7</v>
      </c>
      <c r="F1513">
        <f t="shared" si="47"/>
        <v>147.59999999999997</v>
      </c>
    </row>
    <row r="1514" spans="1:6" hidden="1" x14ac:dyDescent="0.35">
      <c r="A1514" s="7">
        <v>50153</v>
      </c>
      <c r="B1514" s="8" t="s">
        <v>20</v>
      </c>
      <c r="C1514" s="9">
        <v>22</v>
      </c>
      <c r="D1514" s="10">
        <v>0</v>
      </c>
      <c r="E1514">
        <f t="shared" si="48"/>
        <v>1</v>
      </c>
      <c r="F1514">
        <f t="shared" si="47"/>
        <v>22</v>
      </c>
    </row>
    <row r="1515" spans="1:6" hidden="1" x14ac:dyDescent="0.35">
      <c r="A1515" s="11">
        <v>50154</v>
      </c>
      <c r="B1515" s="12" t="s">
        <v>9</v>
      </c>
      <c r="C1515" s="13">
        <v>21.2</v>
      </c>
      <c r="D1515" s="14">
        <v>5.9</v>
      </c>
      <c r="E1515">
        <f t="shared" si="48"/>
        <v>2</v>
      </c>
      <c r="F1515">
        <f t="shared" si="47"/>
        <v>43.2</v>
      </c>
    </row>
    <row r="1516" spans="1:6" hidden="1" x14ac:dyDescent="0.35">
      <c r="A1516" s="7">
        <v>50155</v>
      </c>
      <c r="B1516" s="8" t="s">
        <v>11</v>
      </c>
      <c r="C1516" s="9">
        <v>20.6</v>
      </c>
      <c r="D1516" s="10">
        <v>4.5999999999999996</v>
      </c>
      <c r="E1516">
        <f t="shared" si="48"/>
        <v>3</v>
      </c>
      <c r="F1516">
        <f t="shared" si="47"/>
        <v>63.800000000000004</v>
      </c>
    </row>
    <row r="1517" spans="1:6" hidden="1" x14ac:dyDescent="0.35">
      <c r="A1517" s="11">
        <v>50156</v>
      </c>
      <c r="B1517" s="12" t="s">
        <v>19</v>
      </c>
      <c r="C1517" s="13">
        <v>29.4</v>
      </c>
      <c r="D1517" s="14">
        <v>9.1999999999999993</v>
      </c>
      <c r="E1517">
        <f t="shared" si="48"/>
        <v>4</v>
      </c>
      <c r="F1517">
        <f t="shared" si="47"/>
        <v>93.2</v>
      </c>
    </row>
    <row r="1518" spans="1:6" hidden="1" x14ac:dyDescent="0.35">
      <c r="A1518" s="7">
        <v>50157</v>
      </c>
      <c r="B1518" s="8" t="s">
        <v>7</v>
      </c>
      <c r="C1518" s="9">
        <v>21.3</v>
      </c>
      <c r="D1518" s="10">
        <v>0</v>
      </c>
      <c r="E1518">
        <f t="shared" si="48"/>
        <v>5</v>
      </c>
      <c r="F1518">
        <f t="shared" si="47"/>
        <v>114.5</v>
      </c>
    </row>
    <row r="1519" spans="1:6" hidden="1" x14ac:dyDescent="0.35">
      <c r="A1519" s="11">
        <v>50158</v>
      </c>
      <c r="B1519" s="12" t="s">
        <v>9</v>
      </c>
      <c r="C1519" s="13">
        <v>20.100000000000001</v>
      </c>
      <c r="D1519" s="14">
        <v>2.2000000000000002</v>
      </c>
      <c r="E1519">
        <f t="shared" si="48"/>
        <v>6</v>
      </c>
      <c r="F1519">
        <f t="shared" si="47"/>
        <v>134.6</v>
      </c>
    </row>
    <row r="1520" spans="1:6" hidden="1" x14ac:dyDescent="0.35">
      <c r="A1520" s="7">
        <v>50159</v>
      </c>
      <c r="B1520" s="8" t="s">
        <v>10</v>
      </c>
      <c r="C1520" s="9">
        <v>12.7</v>
      </c>
      <c r="D1520" s="10">
        <v>5.6</v>
      </c>
      <c r="E1520">
        <f t="shared" si="48"/>
        <v>7</v>
      </c>
      <c r="F1520">
        <f t="shared" si="47"/>
        <v>147.29999999999998</v>
      </c>
    </row>
    <row r="1521" spans="1:6" hidden="1" x14ac:dyDescent="0.35">
      <c r="A1521" s="11">
        <v>50160</v>
      </c>
      <c r="B1521" s="12" t="s">
        <v>11</v>
      </c>
      <c r="C1521" s="13">
        <v>28.9</v>
      </c>
      <c r="D1521" s="14">
        <v>0</v>
      </c>
      <c r="E1521">
        <f t="shared" si="48"/>
        <v>1</v>
      </c>
      <c r="F1521">
        <f t="shared" si="47"/>
        <v>28.9</v>
      </c>
    </row>
    <row r="1522" spans="1:6" hidden="1" x14ac:dyDescent="0.35">
      <c r="A1522" s="7">
        <v>50161</v>
      </c>
      <c r="B1522" s="8" t="s">
        <v>19</v>
      </c>
      <c r="C1522" s="9">
        <v>24.4</v>
      </c>
      <c r="D1522" s="10">
        <v>28.7</v>
      </c>
      <c r="E1522">
        <f t="shared" si="48"/>
        <v>2</v>
      </c>
      <c r="F1522">
        <f t="shared" si="47"/>
        <v>53.3</v>
      </c>
    </row>
    <row r="1523" spans="1:6" hidden="1" x14ac:dyDescent="0.35">
      <c r="A1523" s="11">
        <v>50162</v>
      </c>
      <c r="B1523" s="12" t="s">
        <v>10</v>
      </c>
      <c r="C1523" s="13">
        <v>10.8</v>
      </c>
      <c r="D1523" s="14">
        <v>0</v>
      </c>
      <c r="E1523">
        <f t="shared" si="48"/>
        <v>3</v>
      </c>
      <c r="F1523">
        <f t="shared" si="47"/>
        <v>64.099999999999994</v>
      </c>
    </row>
    <row r="1524" spans="1:6" hidden="1" x14ac:dyDescent="0.35">
      <c r="A1524" s="7">
        <v>50163</v>
      </c>
      <c r="B1524" s="8" t="s">
        <v>10</v>
      </c>
      <c r="C1524" s="9">
        <v>18.399999999999999</v>
      </c>
      <c r="D1524" s="10">
        <v>0</v>
      </c>
      <c r="E1524">
        <f t="shared" si="48"/>
        <v>4</v>
      </c>
      <c r="F1524">
        <f t="shared" si="47"/>
        <v>82.5</v>
      </c>
    </row>
    <row r="1525" spans="1:6" hidden="1" x14ac:dyDescent="0.35">
      <c r="A1525" s="11">
        <v>50164</v>
      </c>
      <c r="B1525" s="12" t="s">
        <v>19</v>
      </c>
      <c r="C1525" s="13">
        <v>23.3</v>
      </c>
      <c r="D1525" s="14">
        <v>10.7</v>
      </c>
      <c r="E1525">
        <f t="shared" si="48"/>
        <v>5</v>
      </c>
      <c r="F1525">
        <f t="shared" si="47"/>
        <v>105.8</v>
      </c>
    </row>
    <row r="1526" spans="1:6" hidden="1" x14ac:dyDescent="0.35">
      <c r="A1526" s="7">
        <v>50165</v>
      </c>
      <c r="B1526" s="8" t="s">
        <v>15</v>
      </c>
      <c r="C1526" s="9">
        <v>27.9</v>
      </c>
      <c r="D1526" s="10">
        <v>14.8</v>
      </c>
      <c r="E1526">
        <f t="shared" si="48"/>
        <v>6</v>
      </c>
      <c r="F1526">
        <f t="shared" si="47"/>
        <v>133.69999999999999</v>
      </c>
    </row>
    <row r="1527" spans="1:6" hidden="1" x14ac:dyDescent="0.35">
      <c r="A1527" s="11">
        <v>50166</v>
      </c>
      <c r="B1527" s="12" t="s">
        <v>12</v>
      </c>
      <c r="C1527" s="13">
        <v>24.7</v>
      </c>
      <c r="D1527" s="14">
        <v>9</v>
      </c>
      <c r="E1527">
        <f t="shared" si="48"/>
        <v>7</v>
      </c>
      <c r="F1527">
        <f t="shared" si="47"/>
        <v>158.39999999999998</v>
      </c>
    </row>
    <row r="1528" spans="1:6" hidden="1" x14ac:dyDescent="0.35">
      <c r="A1528" s="7">
        <v>50167</v>
      </c>
      <c r="B1528" s="8" t="s">
        <v>19</v>
      </c>
      <c r="C1528" s="9">
        <v>14.3</v>
      </c>
      <c r="D1528" s="10">
        <v>22</v>
      </c>
      <c r="E1528">
        <f t="shared" si="48"/>
        <v>1</v>
      </c>
      <c r="F1528">
        <f t="shared" si="47"/>
        <v>14.3</v>
      </c>
    </row>
    <row r="1529" spans="1:6" hidden="1" x14ac:dyDescent="0.35">
      <c r="A1529" s="11">
        <v>50168</v>
      </c>
      <c r="B1529" s="12" t="s">
        <v>33</v>
      </c>
      <c r="C1529" s="13">
        <v>26.2</v>
      </c>
      <c r="D1529" s="14">
        <v>2</v>
      </c>
      <c r="E1529">
        <f t="shared" si="48"/>
        <v>2</v>
      </c>
      <c r="F1529">
        <f t="shared" si="47"/>
        <v>40.5</v>
      </c>
    </row>
    <row r="1530" spans="1:6" hidden="1" x14ac:dyDescent="0.35">
      <c r="A1530" s="7">
        <v>50169</v>
      </c>
      <c r="B1530" s="8" t="s">
        <v>16</v>
      </c>
      <c r="C1530" s="9">
        <v>21.5</v>
      </c>
      <c r="D1530" s="10">
        <v>0.4</v>
      </c>
      <c r="E1530">
        <f t="shared" si="48"/>
        <v>3</v>
      </c>
      <c r="F1530">
        <f t="shared" si="47"/>
        <v>62</v>
      </c>
    </row>
    <row r="1531" spans="1:6" hidden="1" x14ac:dyDescent="0.35">
      <c r="A1531" s="11">
        <v>50170</v>
      </c>
      <c r="B1531" s="12" t="s">
        <v>10</v>
      </c>
      <c r="C1531" s="13">
        <v>12.8</v>
      </c>
      <c r="D1531" s="14">
        <v>0</v>
      </c>
      <c r="E1531">
        <f t="shared" si="48"/>
        <v>4</v>
      </c>
      <c r="F1531">
        <f t="shared" si="47"/>
        <v>74.8</v>
      </c>
    </row>
    <row r="1532" spans="1:6" hidden="1" x14ac:dyDescent="0.35">
      <c r="A1532" s="7">
        <v>50171</v>
      </c>
      <c r="B1532" s="8" t="s">
        <v>9</v>
      </c>
      <c r="C1532" s="9">
        <v>24.6</v>
      </c>
      <c r="D1532" s="10">
        <v>3</v>
      </c>
      <c r="E1532">
        <f t="shared" si="48"/>
        <v>5</v>
      </c>
      <c r="F1532">
        <f t="shared" si="47"/>
        <v>99.4</v>
      </c>
    </row>
    <row r="1533" spans="1:6" hidden="1" x14ac:dyDescent="0.35">
      <c r="A1533" s="11">
        <v>50172</v>
      </c>
      <c r="B1533" s="12" t="s">
        <v>27</v>
      </c>
      <c r="C1533" s="13">
        <v>22.6</v>
      </c>
      <c r="D1533" s="14">
        <v>1.6</v>
      </c>
      <c r="E1533">
        <f t="shared" si="48"/>
        <v>6</v>
      </c>
      <c r="F1533">
        <f t="shared" si="47"/>
        <v>122</v>
      </c>
    </row>
    <row r="1534" spans="1:6" hidden="1" x14ac:dyDescent="0.35">
      <c r="A1534" s="7">
        <v>50173</v>
      </c>
      <c r="B1534" s="8" t="s">
        <v>13</v>
      </c>
      <c r="C1534" s="9">
        <v>27.3</v>
      </c>
      <c r="D1534" s="10">
        <v>9.3000000000000007</v>
      </c>
      <c r="E1534">
        <f t="shared" si="48"/>
        <v>7</v>
      </c>
      <c r="F1534">
        <f t="shared" si="47"/>
        <v>149.30000000000001</v>
      </c>
    </row>
    <row r="1535" spans="1:6" hidden="1" x14ac:dyDescent="0.35">
      <c r="A1535" s="11">
        <v>50174</v>
      </c>
      <c r="B1535" s="12" t="s">
        <v>19</v>
      </c>
      <c r="C1535" s="13">
        <v>10.8</v>
      </c>
      <c r="D1535" s="14">
        <v>22.2</v>
      </c>
      <c r="E1535">
        <f t="shared" si="48"/>
        <v>1</v>
      </c>
      <c r="F1535">
        <f t="shared" si="47"/>
        <v>10.8</v>
      </c>
    </row>
    <row r="1536" spans="1:6" hidden="1" x14ac:dyDescent="0.35">
      <c r="A1536" s="7">
        <v>50175</v>
      </c>
      <c r="B1536" s="8" t="s">
        <v>17</v>
      </c>
      <c r="C1536" s="9">
        <v>12</v>
      </c>
      <c r="D1536" s="10">
        <v>5.3</v>
      </c>
      <c r="E1536">
        <f t="shared" si="48"/>
        <v>2</v>
      </c>
      <c r="F1536">
        <f t="shared" si="47"/>
        <v>22.8</v>
      </c>
    </row>
    <row r="1537" spans="1:6" hidden="1" x14ac:dyDescent="0.35">
      <c r="A1537" s="11">
        <v>50176</v>
      </c>
      <c r="B1537" s="12" t="s">
        <v>7</v>
      </c>
      <c r="C1537" s="13">
        <v>28.1</v>
      </c>
      <c r="D1537" s="14">
        <v>0</v>
      </c>
      <c r="E1537">
        <f t="shared" si="48"/>
        <v>3</v>
      </c>
      <c r="F1537">
        <f t="shared" si="47"/>
        <v>50.900000000000006</v>
      </c>
    </row>
    <row r="1538" spans="1:6" hidden="1" x14ac:dyDescent="0.35">
      <c r="A1538" s="7">
        <v>50177</v>
      </c>
      <c r="B1538" s="8" t="s">
        <v>11</v>
      </c>
      <c r="C1538" s="9">
        <v>16.100000000000001</v>
      </c>
      <c r="D1538" s="10">
        <v>9</v>
      </c>
      <c r="E1538">
        <f t="shared" si="48"/>
        <v>4</v>
      </c>
      <c r="F1538">
        <f t="shared" si="47"/>
        <v>67</v>
      </c>
    </row>
    <row r="1539" spans="1:6" hidden="1" x14ac:dyDescent="0.35">
      <c r="A1539" s="11">
        <v>50178</v>
      </c>
      <c r="B1539" s="12" t="s">
        <v>18</v>
      </c>
      <c r="C1539" s="13">
        <v>29</v>
      </c>
      <c r="D1539" s="14">
        <v>1.6</v>
      </c>
      <c r="E1539">
        <f t="shared" si="48"/>
        <v>5</v>
      </c>
      <c r="F1539">
        <f t="shared" si="47"/>
        <v>96</v>
      </c>
    </row>
    <row r="1540" spans="1:6" hidden="1" x14ac:dyDescent="0.35">
      <c r="A1540" s="7">
        <v>50179</v>
      </c>
      <c r="B1540" s="8" t="s">
        <v>11</v>
      </c>
      <c r="C1540" s="9">
        <v>23.6</v>
      </c>
      <c r="D1540" s="10">
        <v>16</v>
      </c>
      <c r="E1540">
        <f t="shared" si="48"/>
        <v>6</v>
      </c>
      <c r="F1540">
        <f t="shared" ref="F1540:F1603" si="49">IF(E1539=7,C1540,C1540+F1539)</f>
        <v>119.6</v>
      </c>
    </row>
    <row r="1541" spans="1:6" hidden="1" x14ac:dyDescent="0.35">
      <c r="A1541" s="11">
        <v>50180</v>
      </c>
      <c r="B1541" s="12" t="s">
        <v>19</v>
      </c>
      <c r="C1541" s="13">
        <v>11.6</v>
      </c>
      <c r="D1541" s="14">
        <v>32</v>
      </c>
      <c r="E1541">
        <f t="shared" si="48"/>
        <v>7</v>
      </c>
      <c r="F1541">
        <f t="shared" si="49"/>
        <v>131.19999999999999</v>
      </c>
    </row>
    <row r="1542" spans="1:6" hidden="1" x14ac:dyDescent="0.35">
      <c r="A1542" s="7">
        <v>50181</v>
      </c>
      <c r="B1542" s="8" t="s">
        <v>15</v>
      </c>
      <c r="C1542" s="9">
        <v>15.9</v>
      </c>
      <c r="D1542" s="10">
        <v>5.5</v>
      </c>
      <c r="E1542">
        <f t="shared" si="48"/>
        <v>1</v>
      </c>
      <c r="F1542">
        <f t="shared" si="49"/>
        <v>15.9</v>
      </c>
    </row>
    <row r="1543" spans="1:6" hidden="1" x14ac:dyDescent="0.35">
      <c r="A1543" s="11">
        <v>50182</v>
      </c>
      <c r="B1543" s="12" t="s">
        <v>26</v>
      </c>
      <c r="C1543" s="13">
        <v>28.3</v>
      </c>
      <c r="D1543" s="14">
        <v>6</v>
      </c>
      <c r="E1543">
        <f t="shared" si="48"/>
        <v>2</v>
      </c>
      <c r="F1543">
        <f t="shared" si="49"/>
        <v>44.2</v>
      </c>
    </row>
    <row r="1544" spans="1:6" hidden="1" x14ac:dyDescent="0.35">
      <c r="A1544" s="7">
        <v>50183</v>
      </c>
      <c r="B1544" s="8" t="s">
        <v>12</v>
      </c>
      <c r="C1544" s="9">
        <v>16.600000000000001</v>
      </c>
      <c r="D1544" s="10">
        <v>11.3</v>
      </c>
      <c r="E1544">
        <f t="shared" si="48"/>
        <v>3</v>
      </c>
      <c r="F1544">
        <f t="shared" si="49"/>
        <v>60.800000000000004</v>
      </c>
    </row>
    <row r="1545" spans="1:6" hidden="1" x14ac:dyDescent="0.35">
      <c r="A1545" s="11">
        <v>50184</v>
      </c>
      <c r="B1545" s="12" t="s">
        <v>22</v>
      </c>
      <c r="C1545" s="13">
        <v>25.2</v>
      </c>
      <c r="D1545" s="14">
        <v>6.4</v>
      </c>
      <c r="E1545">
        <f t="shared" si="48"/>
        <v>4</v>
      </c>
      <c r="F1545">
        <f t="shared" si="49"/>
        <v>86</v>
      </c>
    </row>
    <row r="1546" spans="1:6" hidden="1" x14ac:dyDescent="0.35">
      <c r="A1546" s="7">
        <v>50185</v>
      </c>
      <c r="B1546" s="8" t="s">
        <v>10</v>
      </c>
      <c r="C1546" s="9">
        <v>29.5</v>
      </c>
      <c r="D1546" s="10">
        <v>26.1</v>
      </c>
      <c r="E1546">
        <f t="shared" ref="E1546:E1609" si="50">IF(E1545=7,1,E1545+1)</f>
        <v>5</v>
      </c>
      <c r="F1546">
        <f t="shared" si="49"/>
        <v>115.5</v>
      </c>
    </row>
    <row r="1547" spans="1:6" hidden="1" x14ac:dyDescent="0.35">
      <c r="A1547" s="11">
        <v>50186</v>
      </c>
      <c r="B1547" s="12" t="s">
        <v>18</v>
      </c>
      <c r="C1547" s="13">
        <v>13.3</v>
      </c>
      <c r="D1547" s="14">
        <v>7.3</v>
      </c>
      <c r="E1547">
        <f t="shared" si="50"/>
        <v>6</v>
      </c>
      <c r="F1547">
        <f t="shared" si="49"/>
        <v>128.80000000000001</v>
      </c>
    </row>
    <row r="1548" spans="1:6" hidden="1" x14ac:dyDescent="0.35">
      <c r="A1548" s="7">
        <v>50187</v>
      </c>
      <c r="B1548" s="8" t="s">
        <v>17</v>
      </c>
      <c r="C1548" s="9">
        <v>19.5</v>
      </c>
      <c r="D1548" s="10">
        <v>3.4</v>
      </c>
      <c r="E1548">
        <f t="shared" si="50"/>
        <v>7</v>
      </c>
      <c r="F1548">
        <f t="shared" si="49"/>
        <v>148.30000000000001</v>
      </c>
    </row>
    <row r="1549" spans="1:6" hidden="1" x14ac:dyDescent="0.35">
      <c r="A1549" s="11">
        <v>50188</v>
      </c>
      <c r="B1549" s="12" t="s">
        <v>25</v>
      </c>
      <c r="C1549" s="13">
        <v>11.9</v>
      </c>
      <c r="D1549" s="14">
        <v>1.7</v>
      </c>
      <c r="E1549">
        <f t="shared" si="50"/>
        <v>1</v>
      </c>
      <c r="F1549">
        <f t="shared" si="49"/>
        <v>11.9</v>
      </c>
    </row>
    <row r="1550" spans="1:6" hidden="1" x14ac:dyDescent="0.35">
      <c r="A1550" s="7">
        <v>50189</v>
      </c>
      <c r="B1550" s="8" t="s">
        <v>14</v>
      </c>
      <c r="C1550" s="9">
        <v>29.5</v>
      </c>
      <c r="D1550" s="10">
        <v>5.0999999999999996</v>
      </c>
      <c r="E1550">
        <f t="shared" si="50"/>
        <v>2</v>
      </c>
      <c r="F1550">
        <f t="shared" si="49"/>
        <v>41.4</v>
      </c>
    </row>
    <row r="1551" spans="1:6" hidden="1" x14ac:dyDescent="0.35">
      <c r="A1551" s="11">
        <v>50190</v>
      </c>
      <c r="B1551" s="12" t="s">
        <v>19</v>
      </c>
      <c r="C1551" s="13">
        <v>25.1</v>
      </c>
      <c r="D1551" s="14">
        <v>0</v>
      </c>
      <c r="E1551">
        <f t="shared" si="50"/>
        <v>3</v>
      </c>
      <c r="F1551">
        <f t="shared" si="49"/>
        <v>66.5</v>
      </c>
    </row>
    <row r="1552" spans="1:6" hidden="1" x14ac:dyDescent="0.35">
      <c r="A1552" s="7">
        <v>50191</v>
      </c>
      <c r="B1552" s="8" t="s">
        <v>22</v>
      </c>
      <c r="C1552" s="9">
        <v>15.1</v>
      </c>
      <c r="D1552" s="10">
        <v>0</v>
      </c>
      <c r="E1552">
        <f t="shared" si="50"/>
        <v>4</v>
      </c>
      <c r="F1552">
        <f t="shared" si="49"/>
        <v>81.599999999999994</v>
      </c>
    </row>
    <row r="1553" spans="1:6" hidden="1" x14ac:dyDescent="0.35">
      <c r="A1553" s="11">
        <v>50192</v>
      </c>
      <c r="B1553" s="12" t="s">
        <v>33</v>
      </c>
      <c r="C1553" s="13">
        <v>19.7</v>
      </c>
      <c r="D1553" s="14">
        <v>1.7</v>
      </c>
      <c r="E1553">
        <f t="shared" si="50"/>
        <v>5</v>
      </c>
      <c r="F1553">
        <f t="shared" si="49"/>
        <v>101.3</v>
      </c>
    </row>
    <row r="1554" spans="1:6" hidden="1" x14ac:dyDescent="0.35">
      <c r="A1554" s="7">
        <v>50193</v>
      </c>
      <c r="B1554" s="8" t="s">
        <v>19</v>
      </c>
      <c r="C1554" s="9">
        <v>25.6</v>
      </c>
      <c r="D1554" s="10">
        <v>0</v>
      </c>
      <c r="E1554">
        <f t="shared" si="50"/>
        <v>6</v>
      </c>
      <c r="F1554">
        <f t="shared" si="49"/>
        <v>126.9</v>
      </c>
    </row>
    <row r="1555" spans="1:6" hidden="1" x14ac:dyDescent="0.35">
      <c r="A1555" s="11">
        <v>50194</v>
      </c>
      <c r="B1555" s="12" t="s">
        <v>11</v>
      </c>
      <c r="C1555" s="13">
        <v>25</v>
      </c>
      <c r="D1555" s="14">
        <v>18.8</v>
      </c>
      <c r="E1555">
        <f t="shared" si="50"/>
        <v>7</v>
      </c>
      <c r="F1555">
        <f t="shared" si="49"/>
        <v>151.9</v>
      </c>
    </row>
    <row r="1556" spans="1:6" hidden="1" x14ac:dyDescent="0.35">
      <c r="A1556" s="7">
        <v>50195</v>
      </c>
      <c r="B1556" s="8" t="s">
        <v>23</v>
      </c>
      <c r="C1556" s="9">
        <v>11.5</v>
      </c>
      <c r="D1556" s="10">
        <v>0</v>
      </c>
      <c r="E1556">
        <f t="shared" si="50"/>
        <v>1</v>
      </c>
      <c r="F1556">
        <f t="shared" si="49"/>
        <v>11.5</v>
      </c>
    </row>
    <row r="1557" spans="1:6" hidden="1" x14ac:dyDescent="0.35">
      <c r="A1557" s="11">
        <v>50196</v>
      </c>
      <c r="B1557" s="12" t="s">
        <v>10</v>
      </c>
      <c r="C1557" s="13">
        <v>23.8</v>
      </c>
      <c r="D1557" s="14">
        <v>7.3</v>
      </c>
      <c r="E1557">
        <f t="shared" si="50"/>
        <v>2</v>
      </c>
      <c r="F1557">
        <f t="shared" si="49"/>
        <v>35.299999999999997</v>
      </c>
    </row>
    <row r="1558" spans="1:6" hidden="1" x14ac:dyDescent="0.35">
      <c r="A1558" s="7">
        <v>50197</v>
      </c>
      <c r="B1558" s="8" t="s">
        <v>19</v>
      </c>
      <c r="C1558" s="9">
        <v>25.3</v>
      </c>
      <c r="D1558" s="10">
        <v>14.7</v>
      </c>
      <c r="E1558">
        <f t="shared" si="50"/>
        <v>3</v>
      </c>
      <c r="F1558">
        <f t="shared" si="49"/>
        <v>60.599999999999994</v>
      </c>
    </row>
    <row r="1559" spans="1:6" hidden="1" x14ac:dyDescent="0.35">
      <c r="A1559" s="11">
        <v>50198</v>
      </c>
      <c r="B1559" s="12" t="s">
        <v>10</v>
      </c>
      <c r="C1559" s="13">
        <v>22.6</v>
      </c>
      <c r="D1559" s="14">
        <v>42.2</v>
      </c>
      <c r="E1559">
        <f t="shared" si="50"/>
        <v>4</v>
      </c>
      <c r="F1559">
        <f t="shared" si="49"/>
        <v>83.199999999999989</v>
      </c>
    </row>
    <row r="1560" spans="1:6" hidden="1" x14ac:dyDescent="0.35">
      <c r="A1560" s="7">
        <v>50199</v>
      </c>
      <c r="B1560" s="8" t="s">
        <v>14</v>
      </c>
      <c r="C1560" s="9">
        <v>18.100000000000001</v>
      </c>
      <c r="D1560" s="10">
        <v>3.3</v>
      </c>
      <c r="E1560">
        <f t="shared" si="50"/>
        <v>5</v>
      </c>
      <c r="F1560">
        <f t="shared" si="49"/>
        <v>101.29999999999998</v>
      </c>
    </row>
    <row r="1561" spans="1:6" hidden="1" x14ac:dyDescent="0.35">
      <c r="A1561" s="11">
        <v>50200</v>
      </c>
      <c r="B1561" s="12" t="s">
        <v>19</v>
      </c>
      <c r="C1561" s="13">
        <v>17.8</v>
      </c>
      <c r="D1561" s="14">
        <v>0</v>
      </c>
      <c r="E1561">
        <f t="shared" si="50"/>
        <v>6</v>
      </c>
      <c r="F1561">
        <f t="shared" si="49"/>
        <v>119.09999999999998</v>
      </c>
    </row>
    <row r="1562" spans="1:6" hidden="1" x14ac:dyDescent="0.35">
      <c r="A1562" s="7">
        <v>50201</v>
      </c>
      <c r="B1562" s="8" t="s">
        <v>10</v>
      </c>
      <c r="C1562" s="9">
        <v>25.1</v>
      </c>
      <c r="D1562" s="10">
        <v>25.5</v>
      </c>
      <c r="E1562">
        <f t="shared" si="50"/>
        <v>7</v>
      </c>
      <c r="F1562">
        <f t="shared" si="49"/>
        <v>144.19999999999999</v>
      </c>
    </row>
    <row r="1563" spans="1:6" hidden="1" x14ac:dyDescent="0.35">
      <c r="A1563" s="11">
        <v>50202</v>
      </c>
      <c r="B1563" s="12" t="s">
        <v>18</v>
      </c>
      <c r="C1563" s="13">
        <v>12</v>
      </c>
      <c r="D1563" s="14">
        <v>0</v>
      </c>
      <c r="E1563">
        <f t="shared" si="50"/>
        <v>1</v>
      </c>
      <c r="F1563">
        <f t="shared" si="49"/>
        <v>12</v>
      </c>
    </row>
    <row r="1564" spans="1:6" hidden="1" x14ac:dyDescent="0.35">
      <c r="A1564" s="7">
        <v>50203</v>
      </c>
      <c r="B1564" s="8" t="s">
        <v>10</v>
      </c>
      <c r="C1564" s="9">
        <v>23.2</v>
      </c>
      <c r="D1564" s="10">
        <v>0</v>
      </c>
      <c r="E1564">
        <f t="shared" si="50"/>
        <v>2</v>
      </c>
      <c r="F1564">
        <f t="shared" si="49"/>
        <v>35.200000000000003</v>
      </c>
    </row>
    <row r="1565" spans="1:6" hidden="1" x14ac:dyDescent="0.35">
      <c r="A1565" s="11">
        <v>50204</v>
      </c>
      <c r="B1565" s="12" t="s">
        <v>6</v>
      </c>
      <c r="C1565" s="13">
        <v>16</v>
      </c>
      <c r="D1565" s="14">
        <v>7.9</v>
      </c>
      <c r="E1565">
        <f t="shared" si="50"/>
        <v>3</v>
      </c>
      <c r="F1565">
        <f t="shared" si="49"/>
        <v>51.2</v>
      </c>
    </row>
    <row r="1566" spans="1:6" hidden="1" x14ac:dyDescent="0.35">
      <c r="A1566" s="7">
        <v>50205</v>
      </c>
      <c r="B1566" s="8" t="s">
        <v>15</v>
      </c>
      <c r="C1566" s="9">
        <v>26.5</v>
      </c>
      <c r="D1566" s="10">
        <v>20.2</v>
      </c>
      <c r="E1566">
        <f t="shared" si="50"/>
        <v>4</v>
      </c>
      <c r="F1566">
        <f t="shared" si="49"/>
        <v>77.7</v>
      </c>
    </row>
    <row r="1567" spans="1:6" hidden="1" x14ac:dyDescent="0.35">
      <c r="A1567" s="11">
        <v>50206</v>
      </c>
      <c r="B1567" s="12" t="s">
        <v>29</v>
      </c>
      <c r="C1567" s="13">
        <v>28.9</v>
      </c>
      <c r="D1567" s="14">
        <v>0.3</v>
      </c>
      <c r="E1567">
        <f t="shared" si="50"/>
        <v>5</v>
      </c>
      <c r="F1567">
        <f t="shared" si="49"/>
        <v>106.6</v>
      </c>
    </row>
    <row r="1568" spans="1:6" hidden="1" x14ac:dyDescent="0.35">
      <c r="A1568" s="7">
        <v>50207</v>
      </c>
      <c r="B1568" s="8" t="s">
        <v>10</v>
      </c>
      <c r="C1568" s="9">
        <v>26.6</v>
      </c>
      <c r="D1568" s="10">
        <v>0</v>
      </c>
      <c r="E1568">
        <f t="shared" si="50"/>
        <v>6</v>
      </c>
      <c r="F1568">
        <f t="shared" si="49"/>
        <v>133.19999999999999</v>
      </c>
    </row>
    <row r="1569" spans="1:6" hidden="1" x14ac:dyDescent="0.35">
      <c r="A1569" s="11">
        <v>50208</v>
      </c>
      <c r="B1569" s="12" t="s">
        <v>7</v>
      </c>
      <c r="C1569" s="13">
        <v>13.1</v>
      </c>
      <c r="D1569" s="14">
        <v>19.899999999999999</v>
      </c>
      <c r="E1569">
        <f t="shared" si="50"/>
        <v>7</v>
      </c>
      <c r="F1569">
        <f t="shared" si="49"/>
        <v>146.29999999999998</v>
      </c>
    </row>
    <row r="1570" spans="1:6" hidden="1" x14ac:dyDescent="0.35">
      <c r="A1570" s="7">
        <v>50209</v>
      </c>
      <c r="B1570" s="8" t="s">
        <v>10</v>
      </c>
      <c r="C1570" s="9">
        <v>21.5</v>
      </c>
      <c r="D1570" s="10">
        <v>33.4</v>
      </c>
      <c r="E1570">
        <f t="shared" si="50"/>
        <v>1</v>
      </c>
      <c r="F1570">
        <f t="shared" si="49"/>
        <v>21.5</v>
      </c>
    </row>
    <row r="1571" spans="1:6" hidden="1" x14ac:dyDescent="0.35">
      <c r="A1571" s="11">
        <v>50210</v>
      </c>
      <c r="B1571" s="12" t="s">
        <v>31</v>
      </c>
      <c r="C1571" s="13">
        <v>25.7</v>
      </c>
      <c r="D1571" s="14">
        <v>0</v>
      </c>
      <c r="E1571">
        <f t="shared" si="50"/>
        <v>2</v>
      </c>
      <c r="F1571">
        <f t="shared" si="49"/>
        <v>47.2</v>
      </c>
    </row>
    <row r="1572" spans="1:6" hidden="1" x14ac:dyDescent="0.35">
      <c r="A1572" s="7">
        <v>50211</v>
      </c>
      <c r="B1572" s="8" t="s">
        <v>19</v>
      </c>
      <c r="C1572" s="9">
        <v>11.8</v>
      </c>
      <c r="D1572" s="10">
        <v>23</v>
      </c>
      <c r="E1572">
        <f t="shared" si="50"/>
        <v>3</v>
      </c>
      <c r="F1572">
        <f t="shared" si="49"/>
        <v>59</v>
      </c>
    </row>
    <row r="1573" spans="1:6" hidden="1" x14ac:dyDescent="0.35">
      <c r="A1573" s="11">
        <v>50212</v>
      </c>
      <c r="B1573" s="12" t="s">
        <v>25</v>
      </c>
      <c r="C1573" s="13">
        <v>12.6</v>
      </c>
      <c r="D1573" s="14">
        <v>0.7</v>
      </c>
      <c r="E1573">
        <f t="shared" si="50"/>
        <v>4</v>
      </c>
      <c r="F1573">
        <f t="shared" si="49"/>
        <v>71.599999999999994</v>
      </c>
    </row>
    <row r="1574" spans="1:6" hidden="1" x14ac:dyDescent="0.35">
      <c r="A1574" s="7">
        <v>50213</v>
      </c>
      <c r="B1574" s="8" t="s">
        <v>27</v>
      </c>
      <c r="C1574" s="9">
        <v>26.2</v>
      </c>
      <c r="D1574" s="10">
        <v>0.3</v>
      </c>
      <c r="E1574">
        <f t="shared" si="50"/>
        <v>5</v>
      </c>
      <c r="F1574">
        <f t="shared" si="49"/>
        <v>97.8</v>
      </c>
    </row>
    <row r="1575" spans="1:6" hidden="1" x14ac:dyDescent="0.35">
      <c r="A1575" s="11">
        <v>50214</v>
      </c>
      <c r="B1575" s="12" t="s">
        <v>8</v>
      </c>
      <c r="C1575" s="13">
        <v>29.1</v>
      </c>
      <c r="D1575" s="14">
        <v>5</v>
      </c>
      <c r="E1575">
        <f t="shared" si="50"/>
        <v>6</v>
      </c>
      <c r="F1575">
        <f t="shared" si="49"/>
        <v>126.9</v>
      </c>
    </row>
    <row r="1576" spans="1:6" hidden="1" x14ac:dyDescent="0.35">
      <c r="A1576" s="7">
        <v>50215</v>
      </c>
      <c r="B1576" s="8" t="s">
        <v>22</v>
      </c>
      <c r="C1576" s="9">
        <v>18.899999999999999</v>
      </c>
      <c r="D1576" s="10">
        <v>7.5</v>
      </c>
      <c r="E1576">
        <f t="shared" si="50"/>
        <v>7</v>
      </c>
      <c r="F1576">
        <f t="shared" si="49"/>
        <v>145.80000000000001</v>
      </c>
    </row>
    <row r="1577" spans="1:6" hidden="1" x14ac:dyDescent="0.35">
      <c r="A1577" s="11">
        <v>50216</v>
      </c>
      <c r="B1577" s="12" t="s">
        <v>11</v>
      </c>
      <c r="C1577" s="13">
        <v>10.5</v>
      </c>
      <c r="D1577" s="14">
        <v>7.3</v>
      </c>
      <c r="E1577">
        <f t="shared" si="50"/>
        <v>1</v>
      </c>
      <c r="F1577">
        <f t="shared" si="49"/>
        <v>10.5</v>
      </c>
    </row>
    <row r="1578" spans="1:6" hidden="1" x14ac:dyDescent="0.35">
      <c r="A1578" s="7">
        <v>50217</v>
      </c>
      <c r="B1578" s="8" t="s">
        <v>23</v>
      </c>
      <c r="C1578" s="9">
        <v>15.1</v>
      </c>
      <c r="D1578" s="10">
        <v>6</v>
      </c>
      <c r="E1578">
        <f t="shared" si="50"/>
        <v>2</v>
      </c>
      <c r="F1578">
        <f t="shared" si="49"/>
        <v>25.6</v>
      </c>
    </row>
    <row r="1579" spans="1:6" hidden="1" x14ac:dyDescent="0.35">
      <c r="A1579" s="11">
        <v>50218</v>
      </c>
      <c r="B1579" s="12" t="s">
        <v>7</v>
      </c>
      <c r="C1579" s="13">
        <v>27.8</v>
      </c>
      <c r="D1579" s="14">
        <v>8.3000000000000007</v>
      </c>
      <c r="E1579">
        <f t="shared" si="50"/>
        <v>3</v>
      </c>
      <c r="F1579">
        <f t="shared" si="49"/>
        <v>53.400000000000006</v>
      </c>
    </row>
    <row r="1580" spans="1:6" hidden="1" x14ac:dyDescent="0.35">
      <c r="A1580" s="7">
        <v>50219</v>
      </c>
      <c r="B1580" s="8" t="s">
        <v>16</v>
      </c>
      <c r="C1580" s="9">
        <v>11.7</v>
      </c>
      <c r="D1580" s="10">
        <v>0.4</v>
      </c>
      <c r="E1580">
        <f t="shared" si="50"/>
        <v>4</v>
      </c>
      <c r="F1580">
        <f t="shared" si="49"/>
        <v>65.100000000000009</v>
      </c>
    </row>
    <row r="1581" spans="1:6" hidden="1" x14ac:dyDescent="0.35">
      <c r="A1581" s="11">
        <v>50220</v>
      </c>
      <c r="B1581" s="12" t="s">
        <v>10</v>
      </c>
      <c r="C1581" s="13">
        <v>10.5</v>
      </c>
      <c r="D1581" s="14">
        <v>36.9</v>
      </c>
      <c r="E1581">
        <f t="shared" si="50"/>
        <v>5</v>
      </c>
      <c r="F1581">
        <f t="shared" si="49"/>
        <v>75.600000000000009</v>
      </c>
    </row>
    <row r="1582" spans="1:6" hidden="1" x14ac:dyDescent="0.35">
      <c r="A1582" s="7">
        <v>50221</v>
      </c>
      <c r="B1582" s="8" t="s">
        <v>5</v>
      </c>
      <c r="C1582" s="9">
        <v>21</v>
      </c>
      <c r="D1582" s="10">
        <v>7.1</v>
      </c>
      <c r="E1582">
        <f t="shared" si="50"/>
        <v>6</v>
      </c>
      <c r="F1582">
        <f t="shared" si="49"/>
        <v>96.600000000000009</v>
      </c>
    </row>
    <row r="1583" spans="1:6" hidden="1" x14ac:dyDescent="0.35">
      <c r="A1583" s="11">
        <v>50222</v>
      </c>
      <c r="B1583" s="12" t="s">
        <v>24</v>
      </c>
      <c r="C1583" s="13">
        <v>17.399999999999999</v>
      </c>
      <c r="D1583" s="14">
        <v>3.7</v>
      </c>
      <c r="E1583">
        <f t="shared" si="50"/>
        <v>7</v>
      </c>
      <c r="F1583">
        <f t="shared" si="49"/>
        <v>114</v>
      </c>
    </row>
    <row r="1584" spans="1:6" hidden="1" x14ac:dyDescent="0.35">
      <c r="A1584" s="7">
        <v>50223</v>
      </c>
      <c r="B1584" s="8" t="s">
        <v>18</v>
      </c>
      <c r="C1584" s="9">
        <v>21.9</v>
      </c>
      <c r="D1584" s="10">
        <v>7.6</v>
      </c>
      <c r="E1584">
        <f t="shared" si="50"/>
        <v>1</v>
      </c>
      <c r="F1584">
        <f t="shared" si="49"/>
        <v>21.9</v>
      </c>
    </row>
    <row r="1585" spans="1:6" hidden="1" x14ac:dyDescent="0.35">
      <c r="A1585" s="11">
        <v>50224</v>
      </c>
      <c r="B1585" s="12" t="s">
        <v>18</v>
      </c>
      <c r="C1585" s="13">
        <v>26</v>
      </c>
      <c r="D1585" s="14">
        <v>4.5999999999999996</v>
      </c>
      <c r="E1585">
        <f t="shared" si="50"/>
        <v>2</v>
      </c>
      <c r="F1585">
        <f t="shared" si="49"/>
        <v>47.9</v>
      </c>
    </row>
    <row r="1586" spans="1:6" hidden="1" x14ac:dyDescent="0.35">
      <c r="A1586" s="7">
        <v>50225</v>
      </c>
      <c r="B1586" s="8" t="s">
        <v>19</v>
      </c>
      <c r="C1586" s="9">
        <v>12.2</v>
      </c>
      <c r="D1586" s="10">
        <v>19.3</v>
      </c>
      <c r="E1586">
        <f t="shared" si="50"/>
        <v>3</v>
      </c>
      <c r="F1586">
        <f t="shared" si="49"/>
        <v>60.099999999999994</v>
      </c>
    </row>
    <row r="1587" spans="1:6" hidden="1" x14ac:dyDescent="0.35">
      <c r="A1587" s="11">
        <v>50226</v>
      </c>
      <c r="B1587" s="12" t="s">
        <v>8</v>
      </c>
      <c r="C1587" s="13">
        <v>22.4</v>
      </c>
      <c r="D1587" s="14">
        <v>0.3</v>
      </c>
      <c r="E1587">
        <f t="shared" si="50"/>
        <v>4</v>
      </c>
      <c r="F1587">
        <f t="shared" si="49"/>
        <v>82.5</v>
      </c>
    </row>
    <row r="1588" spans="1:6" hidden="1" x14ac:dyDescent="0.35">
      <c r="A1588" s="7">
        <v>50227</v>
      </c>
      <c r="B1588" s="8" t="s">
        <v>22</v>
      </c>
      <c r="C1588" s="9">
        <v>18.600000000000001</v>
      </c>
      <c r="D1588" s="10">
        <v>7.2</v>
      </c>
      <c r="E1588">
        <f t="shared" si="50"/>
        <v>5</v>
      </c>
      <c r="F1588">
        <f t="shared" si="49"/>
        <v>101.1</v>
      </c>
    </row>
    <row r="1589" spans="1:6" hidden="1" x14ac:dyDescent="0.35">
      <c r="A1589" s="11">
        <v>50228</v>
      </c>
      <c r="B1589" s="12" t="s">
        <v>10</v>
      </c>
      <c r="C1589" s="13">
        <v>17.100000000000001</v>
      </c>
      <c r="D1589" s="14">
        <v>0</v>
      </c>
      <c r="E1589">
        <f t="shared" si="50"/>
        <v>6</v>
      </c>
      <c r="F1589">
        <f t="shared" si="49"/>
        <v>118.19999999999999</v>
      </c>
    </row>
    <row r="1590" spans="1:6" hidden="1" x14ac:dyDescent="0.35">
      <c r="A1590" s="7">
        <v>50229</v>
      </c>
      <c r="B1590" s="8" t="s">
        <v>19</v>
      </c>
      <c r="C1590" s="9">
        <v>25.1</v>
      </c>
      <c r="D1590" s="10">
        <v>24.3</v>
      </c>
      <c r="E1590">
        <f t="shared" si="50"/>
        <v>7</v>
      </c>
      <c r="F1590">
        <f t="shared" si="49"/>
        <v>143.29999999999998</v>
      </c>
    </row>
    <row r="1591" spans="1:6" hidden="1" x14ac:dyDescent="0.35">
      <c r="A1591" s="11">
        <v>50230</v>
      </c>
      <c r="B1591" s="12" t="s">
        <v>11</v>
      </c>
      <c r="C1591" s="13">
        <v>10.4</v>
      </c>
      <c r="D1591" s="14">
        <v>22.2</v>
      </c>
      <c r="E1591">
        <f t="shared" si="50"/>
        <v>1</v>
      </c>
      <c r="F1591">
        <f t="shared" si="49"/>
        <v>10.4</v>
      </c>
    </row>
    <row r="1592" spans="1:6" hidden="1" x14ac:dyDescent="0.35">
      <c r="A1592" s="7">
        <v>50231</v>
      </c>
      <c r="B1592" s="8" t="s">
        <v>18</v>
      </c>
      <c r="C1592" s="9">
        <v>28.9</v>
      </c>
      <c r="D1592" s="10">
        <v>0</v>
      </c>
      <c r="E1592">
        <f t="shared" si="50"/>
        <v>2</v>
      </c>
      <c r="F1592">
        <f t="shared" si="49"/>
        <v>39.299999999999997</v>
      </c>
    </row>
    <row r="1593" spans="1:6" hidden="1" x14ac:dyDescent="0.35">
      <c r="A1593" s="11">
        <v>50232</v>
      </c>
      <c r="B1593" s="12" t="s">
        <v>31</v>
      </c>
      <c r="C1593" s="13">
        <v>24.1</v>
      </c>
      <c r="D1593" s="14">
        <v>0</v>
      </c>
      <c r="E1593">
        <f t="shared" si="50"/>
        <v>3</v>
      </c>
      <c r="F1593">
        <f t="shared" si="49"/>
        <v>63.4</v>
      </c>
    </row>
    <row r="1594" spans="1:6" hidden="1" x14ac:dyDescent="0.35">
      <c r="A1594" s="7">
        <v>50233</v>
      </c>
      <c r="B1594" s="8" t="s">
        <v>19</v>
      </c>
      <c r="C1594" s="9">
        <v>23.2</v>
      </c>
      <c r="D1594" s="10">
        <v>22.1</v>
      </c>
      <c r="E1594">
        <f t="shared" si="50"/>
        <v>4</v>
      </c>
      <c r="F1594">
        <f t="shared" si="49"/>
        <v>86.6</v>
      </c>
    </row>
    <row r="1595" spans="1:6" hidden="1" x14ac:dyDescent="0.35">
      <c r="A1595" s="11">
        <v>50234</v>
      </c>
      <c r="B1595" s="12" t="s">
        <v>13</v>
      </c>
      <c r="C1595" s="13">
        <v>24.1</v>
      </c>
      <c r="D1595" s="14">
        <v>9.3000000000000007</v>
      </c>
      <c r="E1595">
        <f t="shared" si="50"/>
        <v>5</v>
      </c>
      <c r="F1595">
        <f t="shared" si="49"/>
        <v>110.69999999999999</v>
      </c>
    </row>
    <row r="1596" spans="1:6" hidden="1" x14ac:dyDescent="0.35">
      <c r="A1596" s="7">
        <v>50235</v>
      </c>
      <c r="B1596" s="8" t="s">
        <v>10</v>
      </c>
      <c r="C1596" s="9">
        <v>14.6</v>
      </c>
      <c r="D1596" s="10">
        <v>0</v>
      </c>
      <c r="E1596">
        <f t="shared" si="50"/>
        <v>6</v>
      </c>
      <c r="F1596">
        <f t="shared" si="49"/>
        <v>125.29999999999998</v>
      </c>
    </row>
    <row r="1597" spans="1:6" hidden="1" x14ac:dyDescent="0.35">
      <c r="A1597" s="11">
        <v>50236</v>
      </c>
      <c r="B1597" s="12" t="s">
        <v>20</v>
      </c>
      <c r="C1597" s="13">
        <v>17.7</v>
      </c>
      <c r="D1597" s="14">
        <v>0</v>
      </c>
      <c r="E1597">
        <f t="shared" si="50"/>
        <v>7</v>
      </c>
      <c r="F1597">
        <f t="shared" si="49"/>
        <v>142.99999999999997</v>
      </c>
    </row>
    <row r="1598" spans="1:6" hidden="1" x14ac:dyDescent="0.35">
      <c r="A1598" s="7">
        <v>50237</v>
      </c>
      <c r="B1598" s="8" t="s">
        <v>6</v>
      </c>
      <c r="C1598" s="9">
        <v>20.100000000000001</v>
      </c>
      <c r="D1598" s="10">
        <v>11.5</v>
      </c>
      <c r="E1598">
        <f t="shared" si="50"/>
        <v>1</v>
      </c>
      <c r="F1598">
        <f t="shared" si="49"/>
        <v>20.100000000000001</v>
      </c>
    </row>
    <row r="1599" spans="1:6" hidden="1" x14ac:dyDescent="0.35">
      <c r="A1599" s="11">
        <v>50238</v>
      </c>
      <c r="B1599" s="12" t="s">
        <v>8</v>
      </c>
      <c r="C1599" s="13">
        <v>27.5</v>
      </c>
      <c r="D1599" s="14">
        <v>0</v>
      </c>
      <c r="E1599">
        <f t="shared" si="50"/>
        <v>2</v>
      </c>
      <c r="F1599">
        <f t="shared" si="49"/>
        <v>47.6</v>
      </c>
    </row>
    <row r="1600" spans="1:6" hidden="1" x14ac:dyDescent="0.35">
      <c r="A1600" s="7">
        <v>50239</v>
      </c>
      <c r="B1600" s="8" t="s">
        <v>7</v>
      </c>
      <c r="C1600" s="9">
        <v>10.9</v>
      </c>
      <c r="D1600" s="10">
        <v>9</v>
      </c>
      <c r="E1600">
        <f t="shared" si="50"/>
        <v>3</v>
      </c>
      <c r="F1600">
        <f t="shared" si="49"/>
        <v>58.5</v>
      </c>
    </row>
    <row r="1601" spans="1:6" hidden="1" x14ac:dyDescent="0.35">
      <c r="A1601" s="11">
        <v>50240</v>
      </c>
      <c r="B1601" s="12" t="s">
        <v>24</v>
      </c>
      <c r="C1601" s="13">
        <v>27.6</v>
      </c>
      <c r="D1601" s="14">
        <v>3.2</v>
      </c>
      <c r="E1601">
        <f t="shared" si="50"/>
        <v>4</v>
      </c>
      <c r="F1601">
        <f t="shared" si="49"/>
        <v>86.1</v>
      </c>
    </row>
    <row r="1602" spans="1:6" hidden="1" x14ac:dyDescent="0.35">
      <c r="A1602" s="7">
        <v>50241</v>
      </c>
      <c r="B1602" s="8" t="s">
        <v>19</v>
      </c>
      <c r="C1602" s="9">
        <v>24.5</v>
      </c>
      <c r="D1602" s="10">
        <v>15.3</v>
      </c>
      <c r="E1602">
        <f t="shared" si="50"/>
        <v>5</v>
      </c>
      <c r="F1602">
        <f t="shared" si="49"/>
        <v>110.6</v>
      </c>
    </row>
    <row r="1603" spans="1:6" hidden="1" x14ac:dyDescent="0.35">
      <c r="A1603" s="11">
        <v>50242</v>
      </c>
      <c r="B1603" s="12" t="s">
        <v>17</v>
      </c>
      <c r="C1603" s="13">
        <v>10.8</v>
      </c>
      <c r="D1603" s="14">
        <v>0</v>
      </c>
      <c r="E1603">
        <f t="shared" si="50"/>
        <v>6</v>
      </c>
      <c r="F1603">
        <f t="shared" si="49"/>
        <v>121.39999999999999</v>
      </c>
    </row>
    <row r="1604" spans="1:6" hidden="1" x14ac:dyDescent="0.35">
      <c r="A1604" s="7">
        <v>50243</v>
      </c>
      <c r="B1604" s="8" t="s">
        <v>19</v>
      </c>
      <c r="C1604" s="9">
        <v>28.7</v>
      </c>
      <c r="D1604" s="10">
        <v>27.2</v>
      </c>
      <c r="E1604">
        <f t="shared" si="50"/>
        <v>7</v>
      </c>
      <c r="F1604">
        <f t="shared" ref="F1604:F1667" si="51">IF(E1603=7,C1604,C1604+F1603)</f>
        <v>150.1</v>
      </c>
    </row>
    <row r="1605" spans="1:6" hidden="1" x14ac:dyDescent="0.35">
      <c r="A1605" s="11">
        <v>50244</v>
      </c>
      <c r="B1605" s="12" t="s">
        <v>9</v>
      </c>
      <c r="C1605" s="13">
        <v>21.5</v>
      </c>
      <c r="D1605" s="14">
        <v>0.6</v>
      </c>
      <c r="E1605">
        <f t="shared" si="50"/>
        <v>1</v>
      </c>
      <c r="F1605">
        <f t="shared" si="51"/>
        <v>21.5</v>
      </c>
    </row>
    <row r="1606" spans="1:6" hidden="1" x14ac:dyDescent="0.35">
      <c r="A1606" s="7">
        <v>50245</v>
      </c>
      <c r="B1606" s="8" t="s">
        <v>24</v>
      </c>
      <c r="C1606" s="9">
        <v>20.100000000000001</v>
      </c>
      <c r="D1606" s="10">
        <v>0.8</v>
      </c>
      <c r="E1606">
        <f t="shared" si="50"/>
        <v>2</v>
      </c>
      <c r="F1606">
        <f t="shared" si="51"/>
        <v>41.6</v>
      </c>
    </row>
    <row r="1607" spans="1:6" hidden="1" x14ac:dyDescent="0.35">
      <c r="A1607" s="11">
        <v>50246</v>
      </c>
      <c r="B1607" s="12" t="s">
        <v>19</v>
      </c>
      <c r="C1607" s="13">
        <v>21.3</v>
      </c>
      <c r="D1607" s="14">
        <v>14.6</v>
      </c>
      <c r="E1607">
        <f t="shared" si="50"/>
        <v>3</v>
      </c>
      <c r="F1607">
        <f t="shared" si="51"/>
        <v>62.900000000000006</v>
      </c>
    </row>
    <row r="1608" spans="1:6" hidden="1" x14ac:dyDescent="0.35">
      <c r="A1608" s="7">
        <v>50247</v>
      </c>
      <c r="B1608" s="8" t="s">
        <v>27</v>
      </c>
      <c r="C1608" s="9">
        <v>20.2</v>
      </c>
      <c r="D1608" s="10">
        <v>6.9</v>
      </c>
      <c r="E1608">
        <f t="shared" si="50"/>
        <v>4</v>
      </c>
      <c r="F1608">
        <f t="shared" si="51"/>
        <v>83.100000000000009</v>
      </c>
    </row>
    <row r="1609" spans="1:6" hidden="1" x14ac:dyDescent="0.35">
      <c r="A1609" s="11">
        <v>50248</v>
      </c>
      <c r="B1609" s="12" t="s">
        <v>13</v>
      </c>
      <c r="C1609" s="13">
        <v>16.8</v>
      </c>
      <c r="D1609" s="14">
        <v>7.6</v>
      </c>
      <c r="E1609">
        <f t="shared" si="50"/>
        <v>5</v>
      </c>
      <c r="F1609">
        <f t="shared" si="51"/>
        <v>99.9</v>
      </c>
    </row>
    <row r="1610" spans="1:6" hidden="1" x14ac:dyDescent="0.35">
      <c r="A1610" s="7">
        <v>50249</v>
      </c>
      <c r="B1610" s="8" t="s">
        <v>6</v>
      </c>
      <c r="C1610" s="9">
        <v>26.5</v>
      </c>
      <c r="D1610" s="10">
        <v>2.5</v>
      </c>
      <c r="E1610">
        <f t="shared" ref="E1610:E1673" si="52">IF(E1609=7,1,E1609+1)</f>
        <v>6</v>
      </c>
      <c r="F1610">
        <f t="shared" si="51"/>
        <v>126.4</v>
      </c>
    </row>
    <row r="1611" spans="1:6" hidden="1" x14ac:dyDescent="0.35">
      <c r="A1611" s="11">
        <v>50250</v>
      </c>
      <c r="B1611" s="12" t="s">
        <v>7</v>
      </c>
      <c r="C1611" s="13">
        <v>18.899999999999999</v>
      </c>
      <c r="D1611" s="14">
        <v>0</v>
      </c>
      <c r="E1611">
        <f t="shared" si="52"/>
        <v>7</v>
      </c>
      <c r="F1611">
        <f t="shared" si="51"/>
        <v>145.30000000000001</v>
      </c>
    </row>
    <row r="1612" spans="1:6" hidden="1" x14ac:dyDescent="0.35">
      <c r="A1612" s="7">
        <v>50251</v>
      </c>
      <c r="B1612" s="8" t="s">
        <v>20</v>
      </c>
      <c r="C1612" s="9">
        <v>22.9</v>
      </c>
      <c r="D1612" s="10">
        <v>1.2</v>
      </c>
      <c r="E1612">
        <f t="shared" si="52"/>
        <v>1</v>
      </c>
      <c r="F1612">
        <f t="shared" si="51"/>
        <v>22.9</v>
      </c>
    </row>
    <row r="1613" spans="1:6" hidden="1" x14ac:dyDescent="0.35">
      <c r="A1613" s="11">
        <v>50252</v>
      </c>
      <c r="B1613" s="12" t="s">
        <v>19</v>
      </c>
      <c r="C1613" s="13">
        <v>11.3</v>
      </c>
      <c r="D1613" s="14">
        <v>32.700000000000003</v>
      </c>
      <c r="E1613">
        <f t="shared" si="52"/>
        <v>2</v>
      </c>
      <c r="F1613">
        <f t="shared" si="51"/>
        <v>34.200000000000003</v>
      </c>
    </row>
    <row r="1614" spans="1:6" hidden="1" x14ac:dyDescent="0.35">
      <c r="A1614" s="7">
        <v>50253</v>
      </c>
      <c r="B1614" s="8" t="s">
        <v>13</v>
      </c>
      <c r="C1614" s="9">
        <v>13</v>
      </c>
      <c r="D1614" s="10">
        <v>1.7</v>
      </c>
      <c r="E1614">
        <f t="shared" si="52"/>
        <v>3</v>
      </c>
      <c r="F1614">
        <f t="shared" si="51"/>
        <v>47.2</v>
      </c>
    </row>
    <row r="1615" spans="1:6" hidden="1" x14ac:dyDescent="0.35">
      <c r="A1615" s="11">
        <v>50254</v>
      </c>
      <c r="B1615" s="12" t="s">
        <v>8</v>
      </c>
      <c r="C1615" s="13">
        <v>18.3</v>
      </c>
      <c r="D1615" s="14">
        <v>2.5</v>
      </c>
      <c r="E1615">
        <f t="shared" si="52"/>
        <v>4</v>
      </c>
      <c r="F1615">
        <f t="shared" si="51"/>
        <v>65.5</v>
      </c>
    </row>
    <row r="1616" spans="1:6" hidden="1" x14ac:dyDescent="0.35">
      <c r="A1616" s="7">
        <v>50255</v>
      </c>
      <c r="B1616" s="8" t="s">
        <v>7</v>
      </c>
      <c r="C1616" s="9">
        <v>10.199999999999999</v>
      </c>
      <c r="D1616" s="10">
        <v>14.3</v>
      </c>
      <c r="E1616">
        <f t="shared" si="52"/>
        <v>5</v>
      </c>
      <c r="F1616">
        <f t="shared" si="51"/>
        <v>75.7</v>
      </c>
    </row>
    <row r="1617" spans="1:6" hidden="1" x14ac:dyDescent="0.35">
      <c r="A1617" s="11">
        <v>50256</v>
      </c>
      <c r="B1617" s="12" t="s">
        <v>11</v>
      </c>
      <c r="C1617" s="13">
        <v>14.5</v>
      </c>
      <c r="D1617" s="14">
        <v>10.5</v>
      </c>
      <c r="E1617">
        <f t="shared" si="52"/>
        <v>6</v>
      </c>
      <c r="F1617">
        <f t="shared" si="51"/>
        <v>90.2</v>
      </c>
    </row>
    <row r="1618" spans="1:6" hidden="1" x14ac:dyDescent="0.35">
      <c r="A1618" s="7">
        <v>50257</v>
      </c>
      <c r="B1618" s="8" t="s">
        <v>14</v>
      </c>
      <c r="C1618" s="9">
        <v>12.3</v>
      </c>
      <c r="D1618" s="10">
        <v>7.4</v>
      </c>
      <c r="E1618">
        <f t="shared" si="52"/>
        <v>7</v>
      </c>
      <c r="F1618">
        <f t="shared" si="51"/>
        <v>102.5</v>
      </c>
    </row>
    <row r="1619" spans="1:6" hidden="1" x14ac:dyDescent="0.35">
      <c r="A1619" s="11">
        <v>50258</v>
      </c>
      <c r="B1619" s="12" t="s">
        <v>13</v>
      </c>
      <c r="C1619" s="13">
        <v>17</v>
      </c>
      <c r="D1619" s="14">
        <v>16.899999999999999</v>
      </c>
      <c r="E1619">
        <f t="shared" si="52"/>
        <v>1</v>
      </c>
      <c r="F1619">
        <f t="shared" si="51"/>
        <v>17</v>
      </c>
    </row>
    <row r="1620" spans="1:6" hidden="1" x14ac:dyDescent="0.35">
      <c r="A1620" s="7">
        <v>50259</v>
      </c>
      <c r="B1620" s="8" t="s">
        <v>5</v>
      </c>
      <c r="C1620" s="9">
        <v>17.5</v>
      </c>
      <c r="D1620" s="10">
        <v>0</v>
      </c>
      <c r="E1620">
        <f t="shared" si="52"/>
        <v>2</v>
      </c>
      <c r="F1620">
        <f t="shared" si="51"/>
        <v>34.5</v>
      </c>
    </row>
    <row r="1621" spans="1:6" hidden="1" x14ac:dyDescent="0.35">
      <c r="A1621" s="11">
        <v>50260</v>
      </c>
      <c r="B1621" s="12" t="s">
        <v>4</v>
      </c>
      <c r="C1621" s="13">
        <v>28.4</v>
      </c>
      <c r="D1621" s="14">
        <v>0</v>
      </c>
      <c r="E1621">
        <f t="shared" si="52"/>
        <v>3</v>
      </c>
      <c r="F1621">
        <f t="shared" si="51"/>
        <v>62.9</v>
      </c>
    </row>
    <row r="1622" spans="1:6" hidden="1" x14ac:dyDescent="0.35">
      <c r="A1622" s="7">
        <v>50261</v>
      </c>
      <c r="B1622" s="8" t="s">
        <v>19</v>
      </c>
      <c r="C1622" s="9">
        <v>13.1</v>
      </c>
      <c r="D1622" s="10">
        <v>36.6</v>
      </c>
      <c r="E1622">
        <f t="shared" si="52"/>
        <v>4</v>
      </c>
      <c r="F1622">
        <f t="shared" si="51"/>
        <v>76</v>
      </c>
    </row>
    <row r="1623" spans="1:6" hidden="1" x14ac:dyDescent="0.35">
      <c r="A1623" s="11">
        <v>50262</v>
      </c>
      <c r="B1623" s="12" t="s">
        <v>7</v>
      </c>
      <c r="C1623" s="13">
        <v>16.600000000000001</v>
      </c>
      <c r="D1623" s="14">
        <v>6.6</v>
      </c>
      <c r="E1623">
        <f t="shared" si="52"/>
        <v>5</v>
      </c>
      <c r="F1623">
        <f t="shared" si="51"/>
        <v>92.6</v>
      </c>
    </row>
    <row r="1624" spans="1:6" hidden="1" x14ac:dyDescent="0.35">
      <c r="A1624" s="7">
        <v>50263</v>
      </c>
      <c r="B1624" s="8" t="s">
        <v>19</v>
      </c>
      <c r="C1624" s="9">
        <v>20.2</v>
      </c>
      <c r="D1624" s="10">
        <v>0</v>
      </c>
      <c r="E1624">
        <f t="shared" si="52"/>
        <v>6</v>
      </c>
      <c r="F1624">
        <f t="shared" si="51"/>
        <v>112.8</v>
      </c>
    </row>
    <row r="1625" spans="1:6" hidden="1" x14ac:dyDescent="0.35">
      <c r="A1625" s="11">
        <v>50264</v>
      </c>
      <c r="B1625" s="12" t="s">
        <v>7</v>
      </c>
      <c r="C1625" s="13">
        <v>26.4</v>
      </c>
      <c r="D1625" s="14">
        <v>11.9</v>
      </c>
      <c r="E1625">
        <f t="shared" si="52"/>
        <v>7</v>
      </c>
      <c r="F1625">
        <f t="shared" si="51"/>
        <v>139.19999999999999</v>
      </c>
    </row>
    <row r="1626" spans="1:6" hidden="1" x14ac:dyDescent="0.35">
      <c r="A1626" s="7">
        <v>50265</v>
      </c>
      <c r="B1626" s="8" t="s">
        <v>10</v>
      </c>
      <c r="C1626" s="9">
        <v>11.8</v>
      </c>
      <c r="D1626" s="10">
        <v>0</v>
      </c>
      <c r="E1626">
        <f t="shared" si="52"/>
        <v>1</v>
      </c>
      <c r="F1626">
        <f t="shared" si="51"/>
        <v>11.8</v>
      </c>
    </row>
    <row r="1627" spans="1:6" hidden="1" x14ac:dyDescent="0.35">
      <c r="A1627" s="11">
        <v>50266</v>
      </c>
      <c r="B1627" s="12" t="s">
        <v>17</v>
      </c>
      <c r="C1627" s="13">
        <v>19.5</v>
      </c>
      <c r="D1627" s="14">
        <v>6.4</v>
      </c>
      <c r="E1627">
        <f t="shared" si="52"/>
        <v>2</v>
      </c>
      <c r="F1627">
        <f t="shared" si="51"/>
        <v>31.3</v>
      </c>
    </row>
    <row r="1628" spans="1:6" hidden="1" x14ac:dyDescent="0.35">
      <c r="A1628" s="7">
        <v>50267</v>
      </c>
      <c r="B1628" s="8" t="s">
        <v>19</v>
      </c>
      <c r="C1628" s="9">
        <v>12</v>
      </c>
      <c r="D1628" s="10">
        <v>13.3</v>
      </c>
      <c r="E1628">
        <f t="shared" si="52"/>
        <v>3</v>
      </c>
      <c r="F1628">
        <f t="shared" si="51"/>
        <v>43.3</v>
      </c>
    </row>
    <row r="1629" spans="1:6" hidden="1" x14ac:dyDescent="0.35">
      <c r="A1629" s="11">
        <v>50268</v>
      </c>
      <c r="B1629" s="12" t="s">
        <v>22</v>
      </c>
      <c r="C1629" s="13">
        <v>16.3</v>
      </c>
      <c r="D1629" s="14">
        <v>7.5</v>
      </c>
      <c r="E1629">
        <f t="shared" si="52"/>
        <v>4</v>
      </c>
      <c r="F1629">
        <f t="shared" si="51"/>
        <v>59.599999999999994</v>
      </c>
    </row>
    <row r="1630" spans="1:6" hidden="1" x14ac:dyDescent="0.35">
      <c r="A1630" s="7">
        <v>50269</v>
      </c>
      <c r="B1630" s="8" t="s">
        <v>17</v>
      </c>
      <c r="C1630" s="9">
        <v>22.8</v>
      </c>
      <c r="D1630" s="10">
        <v>2.7</v>
      </c>
      <c r="E1630">
        <f t="shared" si="52"/>
        <v>5</v>
      </c>
      <c r="F1630">
        <f t="shared" si="51"/>
        <v>82.399999999999991</v>
      </c>
    </row>
    <row r="1631" spans="1:6" hidden="1" x14ac:dyDescent="0.35">
      <c r="A1631" s="11">
        <v>50270</v>
      </c>
      <c r="B1631" s="12" t="s">
        <v>10</v>
      </c>
      <c r="C1631" s="13">
        <v>16.2</v>
      </c>
      <c r="D1631" s="14">
        <v>43.3</v>
      </c>
      <c r="E1631">
        <f t="shared" si="52"/>
        <v>6</v>
      </c>
      <c r="F1631">
        <f t="shared" si="51"/>
        <v>98.6</v>
      </c>
    </row>
    <row r="1632" spans="1:6" hidden="1" x14ac:dyDescent="0.35">
      <c r="A1632" s="7">
        <v>50271</v>
      </c>
      <c r="B1632" s="8" t="s">
        <v>24</v>
      </c>
      <c r="C1632" s="9">
        <v>11.5</v>
      </c>
      <c r="D1632" s="10">
        <v>3.1</v>
      </c>
      <c r="E1632">
        <f t="shared" si="52"/>
        <v>7</v>
      </c>
      <c r="F1632">
        <f t="shared" si="51"/>
        <v>110.1</v>
      </c>
    </row>
    <row r="1633" spans="1:6" hidden="1" x14ac:dyDescent="0.35">
      <c r="A1633" s="11">
        <v>50272</v>
      </c>
      <c r="B1633" s="12" t="s">
        <v>13</v>
      </c>
      <c r="C1633" s="13">
        <v>13.5</v>
      </c>
      <c r="D1633" s="14">
        <v>0</v>
      </c>
      <c r="E1633">
        <f t="shared" si="52"/>
        <v>1</v>
      </c>
      <c r="F1633">
        <f t="shared" si="51"/>
        <v>13.5</v>
      </c>
    </row>
    <row r="1634" spans="1:6" hidden="1" x14ac:dyDescent="0.35">
      <c r="A1634" s="7">
        <v>50273</v>
      </c>
      <c r="B1634" s="8" t="s">
        <v>17</v>
      </c>
      <c r="C1634" s="9">
        <v>16.2</v>
      </c>
      <c r="D1634" s="10">
        <v>6.4</v>
      </c>
      <c r="E1634">
        <f t="shared" si="52"/>
        <v>2</v>
      </c>
      <c r="F1634">
        <f t="shared" si="51"/>
        <v>29.7</v>
      </c>
    </row>
    <row r="1635" spans="1:6" hidden="1" x14ac:dyDescent="0.35">
      <c r="A1635" s="11">
        <v>50274</v>
      </c>
      <c r="B1635" s="12" t="s">
        <v>10</v>
      </c>
      <c r="C1635" s="13">
        <v>18.5</v>
      </c>
      <c r="D1635" s="14">
        <v>24.9</v>
      </c>
      <c r="E1635">
        <f t="shared" si="52"/>
        <v>3</v>
      </c>
      <c r="F1635">
        <f t="shared" si="51"/>
        <v>48.2</v>
      </c>
    </row>
    <row r="1636" spans="1:6" hidden="1" x14ac:dyDescent="0.35">
      <c r="A1636" s="7">
        <v>50275</v>
      </c>
      <c r="B1636" s="8" t="s">
        <v>19</v>
      </c>
      <c r="C1636" s="9">
        <v>10.9</v>
      </c>
      <c r="D1636" s="10">
        <v>0</v>
      </c>
      <c r="E1636">
        <f t="shared" si="52"/>
        <v>4</v>
      </c>
      <c r="F1636">
        <f t="shared" si="51"/>
        <v>59.1</v>
      </c>
    </row>
    <row r="1637" spans="1:6" hidden="1" x14ac:dyDescent="0.35">
      <c r="A1637" s="11">
        <v>50276</v>
      </c>
      <c r="B1637" s="12" t="s">
        <v>17</v>
      </c>
      <c r="C1637" s="13">
        <v>23.9</v>
      </c>
      <c r="D1637" s="14">
        <v>4.5</v>
      </c>
      <c r="E1637">
        <f t="shared" si="52"/>
        <v>5</v>
      </c>
      <c r="F1637">
        <f t="shared" si="51"/>
        <v>83</v>
      </c>
    </row>
    <row r="1638" spans="1:6" hidden="1" x14ac:dyDescent="0.35">
      <c r="A1638" s="7">
        <v>50277</v>
      </c>
      <c r="B1638" s="8" t="s">
        <v>11</v>
      </c>
      <c r="C1638" s="9">
        <v>20.2</v>
      </c>
      <c r="D1638" s="10">
        <v>0</v>
      </c>
      <c r="E1638">
        <f t="shared" si="52"/>
        <v>6</v>
      </c>
      <c r="F1638">
        <f t="shared" si="51"/>
        <v>103.2</v>
      </c>
    </row>
    <row r="1639" spans="1:6" hidden="1" x14ac:dyDescent="0.35">
      <c r="A1639" s="11">
        <v>50278</v>
      </c>
      <c r="B1639" s="12" t="s">
        <v>7</v>
      </c>
      <c r="C1639" s="13">
        <v>23.3</v>
      </c>
      <c r="D1639" s="14">
        <v>0</v>
      </c>
      <c r="E1639">
        <f t="shared" si="52"/>
        <v>7</v>
      </c>
      <c r="F1639">
        <f t="shared" si="51"/>
        <v>126.5</v>
      </c>
    </row>
    <row r="1640" spans="1:6" hidden="1" x14ac:dyDescent="0.35">
      <c r="A1640" s="7">
        <v>50279</v>
      </c>
      <c r="B1640" s="8" t="s">
        <v>13</v>
      </c>
      <c r="C1640" s="9">
        <v>26.3</v>
      </c>
      <c r="D1640" s="10">
        <v>2.2000000000000002</v>
      </c>
      <c r="E1640">
        <f t="shared" si="52"/>
        <v>1</v>
      </c>
      <c r="F1640">
        <f t="shared" si="51"/>
        <v>26.3</v>
      </c>
    </row>
    <row r="1641" spans="1:6" hidden="1" x14ac:dyDescent="0.35">
      <c r="A1641" s="11">
        <v>50280</v>
      </c>
      <c r="B1641" s="12" t="s">
        <v>13</v>
      </c>
      <c r="C1641" s="13">
        <v>20.3</v>
      </c>
      <c r="D1641" s="14">
        <v>16.600000000000001</v>
      </c>
      <c r="E1641">
        <f t="shared" si="52"/>
        <v>2</v>
      </c>
      <c r="F1641">
        <f t="shared" si="51"/>
        <v>46.6</v>
      </c>
    </row>
    <row r="1642" spans="1:6" hidden="1" x14ac:dyDescent="0.35">
      <c r="A1642" s="7">
        <v>50281</v>
      </c>
      <c r="B1642" s="8" t="s">
        <v>10</v>
      </c>
      <c r="C1642" s="9">
        <v>11.1</v>
      </c>
      <c r="D1642" s="10">
        <v>38</v>
      </c>
      <c r="E1642">
        <f t="shared" si="52"/>
        <v>3</v>
      </c>
      <c r="F1642">
        <f t="shared" si="51"/>
        <v>57.7</v>
      </c>
    </row>
    <row r="1643" spans="1:6" hidden="1" x14ac:dyDescent="0.35">
      <c r="A1643" s="11">
        <v>50282</v>
      </c>
      <c r="B1643" s="12" t="s">
        <v>5</v>
      </c>
      <c r="C1643" s="13">
        <v>10.7</v>
      </c>
      <c r="D1643" s="14">
        <v>1.2</v>
      </c>
      <c r="E1643">
        <f t="shared" si="52"/>
        <v>4</v>
      </c>
      <c r="F1643">
        <f t="shared" si="51"/>
        <v>68.400000000000006</v>
      </c>
    </row>
    <row r="1644" spans="1:6" hidden="1" x14ac:dyDescent="0.35">
      <c r="A1644" s="7">
        <v>50283</v>
      </c>
      <c r="B1644" s="8" t="s">
        <v>21</v>
      </c>
      <c r="C1644" s="9">
        <v>21.8</v>
      </c>
      <c r="D1644" s="10">
        <v>0</v>
      </c>
      <c r="E1644">
        <f t="shared" si="52"/>
        <v>5</v>
      </c>
      <c r="F1644">
        <f t="shared" si="51"/>
        <v>90.2</v>
      </c>
    </row>
    <row r="1645" spans="1:6" hidden="1" x14ac:dyDescent="0.35">
      <c r="A1645" s="11">
        <v>50284</v>
      </c>
      <c r="B1645" s="12" t="s">
        <v>7</v>
      </c>
      <c r="C1645" s="13">
        <v>29.7</v>
      </c>
      <c r="D1645" s="14">
        <v>2.5</v>
      </c>
      <c r="E1645">
        <f t="shared" si="52"/>
        <v>6</v>
      </c>
      <c r="F1645">
        <f t="shared" si="51"/>
        <v>119.9</v>
      </c>
    </row>
    <row r="1646" spans="1:6" hidden="1" x14ac:dyDescent="0.35">
      <c r="A1646" s="7">
        <v>50285</v>
      </c>
      <c r="B1646" s="8" t="s">
        <v>10</v>
      </c>
      <c r="C1646" s="9">
        <v>21.7</v>
      </c>
      <c r="D1646" s="10">
        <v>16.100000000000001</v>
      </c>
      <c r="E1646">
        <f t="shared" si="52"/>
        <v>7</v>
      </c>
      <c r="F1646">
        <f t="shared" si="51"/>
        <v>141.6</v>
      </c>
    </row>
    <row r="1647" spans="1:6" hidden="1" x14ac:dyDescent="0.35">
      <c r="A1647" s="11">
        <v>50286</v>
      </c>
      <c r="B1647" s="12" t="s">
        <v>10</v>
      </c>
      <c r="C1647" s="13">
        <v>26</v>
      </c>
      <c r="D1647" s="14">
        <v>47.6</v>
      </c>
      <c r="E1647">
        <f t="shared" si="52"/>
        <v>1</v>
      </c>
      <c r="F1647">
        <f t="shared" si="51"/>
        <v>26</v>
      </c>
    </row>
    <row r="1648" spans="1:6" hidden="1" x14ac:dyDescent="0.35">
      <c r="A1648" s="7">
        <v>50287</v>
      </c>
      <c r="B1648" s="8" t="s">
        <v>7</v>
      </c>
      <c r="C1648" s="9">
        <v>18</v>
      </c>
      <c r="D1648" s="10">
        <v>5.3</v>
      </c>
      <c r="E1648">
        <f t="shared" si="52"/>
        <v>2</v>
      </c>
      <c r="F1648">
        <f t="shared" si="51"/>
        <v>44</v>
      </c>
    </row>
    <row r="1649" spans="1:6" hidden="1" x14ac:dyDescent="0.35">
      <c r="A1649" s="11">
        <v>50288</v>
      </c>
      <c r="B1649" s="12" t="s">
        <v>24</v>
      </c>
      <c r="C1649" s="13">
        <v>15.8</v>
      </c>
      <c r="D1649" s="14">
        <v>3.6</v>
      </c>
      <c r="E1649">
        <f t="shared" si="52"/>
        <v>3</v>
      </c>
      <c r="F1649">
        <f t="shared" si="51"/>
        <v>59.8</v>
      </c>
    </row>
    <row r="1650" spans="1:6" hidden="1" x14ac:dyDescent="0.35">
      <c r="A1650" s="7">
        <v>50289</v>
      </c>
      <c r="B1650" s="8" t="s">
        <v>26</v>
      </c>
      <c r="C1650" s="9">
        <v>14.1</v>
      </c>
      <c r="D1650" s="10">
        <v>6.8</v>
      </c>
      <c r="E1650">
        <f t="shared" si="52"/>
        <v>4</v>
      </c>
      <c r="F1650">
        <f t="shared" si="51"/>
        <v>73.899999999999991</v>
      </c>
    </row>
    <row r="1651" spans="1:6" hidden="1" x14ac:dyDescent="0.35">
      <c r="A1651" s="11">
        <v>50290</v>
      </c>
      <c r="B1651" s="12" t="s">
        <v>24</v>
      </c>
      <c r="C1651" s="13">
        <v>22.3</v>
      </c>
      <c r="D1651" s="14">
        <v>1.8</v>
      </c>
      <c r="E1651">
        <f t="shared" si="52"/>
        <v>5</v>
      </c>
      <c r="F1651">
        <f t="shared" si="51"/>
        <v>96.199999999999989</v>
      </c>
    </row>
    <row r="1652" spans="1:6" hidden="1" x14ac:dyDescent="0.35">
      <c r="A1652" s="7">
        <v>50291</v>
      </c>
      <c r="B1652" s="8" t="s">
        <v>19</v>
      </c>
      <c r="C1652" s="9">
        <v>22.2</v>
      </c>
      <c r="D1652" s="10">
        <v>0</v>
      </c>
      <c r="E1652">
        <f t="shared" si="52"/>
        <v>6</v>
      </c>
      <c r="F1652">
        <f t="shared" si="51"/>
        <v>118.39999999999999</v>
      </c>
    </row>
    <row r="1653" spans="1:6" hidden="1" x14ac:dyDescent="0.35">
      <c r="A1653" s="11">
        <v>50292</v>
      </c>
      <c r="B1653" s="12" t="s">
        <v>6</v>
      </c>
      <c r="C1653" s="13">
        <v>23.8</v>
      </c>
      <c r="D1653" s="14">
        <v>0</v>
      </c>
      <c r="E1653">
        <f t="shared" si="52"/>
        <v>7</v>
      </c>
      <c r="F1653">
        <f t="shared" si="51"/>
        <v>142.19999999999999</v>
      </c>
    </row>
    <row r="1654" spans="1:6" hidden="1" x14ac:dyDescent="0.35">
      <c r="A1654" s="7">
        <v>50293</v>
      </c>
      <c r="B1654" s="8" t="s">
        <v>14</v>
      </c>
      <c r="C1654" s="9">
        <v>10</v>
      </c>
      <c r="D1654" s="10">
        <v>8.1</v>
      </c>
      <c r="E1654">
        <f t="shared" si="52"/>
        <v>1</v>
      </c>
      <c r="F1654">
        <f t="shared" si="51"/>
        <v>10</v>
      </c>
    </row>
    <row r="1655" spans="1:6" hidden="1" x14ac:dyDescent="0.35">
      <c r="A1655" s="11">
        <v>50294</v>
      </c>
      <c r="B1655" s="12" t="s">
        <v>24</v>
      </c>
      <c r="C1655" s="13">
        <v>23.8</v>
      </c>
      <c r="D1655" s="14">
        <v>0</v>
      </c>
      <c r="E1655">
        <f t="shared" si="52"/>
        <v>2</v>
      </c>
      <c r="F1655">
        <f t="shared" si="51"/>
        <v>33.799999999999997</v>
      </c>
    </row>
    <row r="1656" spans="1:6" hidden="1" x14ac:dyDescent="0.35">
      <c r="A1656" s="7">
        <v>50295</v>
      </c>
      <c r="B1656" s="8" t="s">
        <v>23</v>
      </c>
      <c r="C1656" s="9">
        <v>13.4</v>
      </c>
      <c r="D1656" s="10">
        <v>2.6</v>
      </c>
      <c r="E1656">
        <f t="shared" si="52"/>
        <v>3</v>
      </c>
      <c r="F1656">
        <f t="shared" si="51"/>
        <v>47.199999999999996</v>
      </c>
    </row>
    <row r="1657" spans="1:6" hidden="1" x14ac:dyDescent="0.35">
      <c r="A1657" s="11">
        <v>50296</v>
      </c>
      <c r="B1657" s="12" t="s">
        <v>24</v>
      </c>
      <c r="C1657" s="13">
        <v>17</v>
      </c>
      <c r="D1657" s="14">
        <v>1.5</v>
      </c>
      <c r="E1657">
        <f t="shared" si="52"/>
        <v>4</v>
      </c>
      <c r="F1657">
        <f t="shared" si="51"/>
        <v>64.199999999999989</v>
      </c>
    </row>
    <row r="1658" spans="1:6" hidden="1" x14ac:dyDescent="0.35">
      <c r="A1658" s="7">
        <v>50297</v>
      </c>
      <c r="B1658" s="8" t="s">
        <v>6</v>
      </c>
      <c r="C1658" s="9">
        <v>25.5</v>
      </c>
      <c r="D1658" s="10">
        <v>0</v>
      </c>
      <c r="E1658">
        <f t="shared" si="52"/>
        <v>5</v>
      </c>
      <c r="F1658">
        <f t="shared" si="51"/>
        <v>89.699999999999989</v>
      </c>
    </row>
    <row r="1659" spans="1:6" hidden="1" x14ac:dyDescent="0.35">
      <c r="A1659" s="11">
        <v>50298</v>
      </c>
      <c r="B1659" s="12" t="s">
        <v>14</v>
      </c>
      <c r="C1659" s="13">
        <v>19.7</v>
      </c>
      <c r="D1659" s="14">
        <v>0</v>
      </c>
      <c r="E1659">
        <f t="shared" si="52"/>
        <v>6</v>
      </c>
      <c r="F1659">
        <f t="shared" si="51"/>
        <v>109.39999999999999</v>
      </c>
    </row>
    <row r="1660" spans="1:6" hidden="1" x14ac:dyDescent="0.35">
      <c r="A1660" s="7">
        <v>50299</v>
      </c>
      <c r="B1660" s="8" t="s">
        <v>10</v>
      </c>
      <c r="C1660" s="9">
        <v>22.8</v>
      </c>
      <c r="D1660" s="10">
        <v>10.7</v>
      </c>
      <c r="E1660">
        <f t="shared" si="52"/>
        <v>7</v>
      </c>
      <c r="F1660">
        <f t="shared" si="51"/>
        <v>132.19999999999999</v>
      </c>
    </row>
    <row r="1661" spans="1:6" hidden="1" x14ac:dyDescent="0.35">
      <c r="A1661" s="11">
        <v>50300</v>
      </c>
      <c r="B1661" s="12" t="s">
        <v>16</v>
      </c>
      <c r="C1661" s="13">
        <v>25.5</v>
      </c>
      <c r="D1661" s="14">
        <v>0</v>
      </c>
      <c r="E1661">
        <f t="shared" si="52"/>
        <v>1</v>
      </c>
      <c r="F1661">
        <f t="shared" si="51"/>
        <v>25.5</v>
      </c>
    </row>
    <row r="1662" spans="1:6" hidden="1" x14ac:dyDescent="0.35">
      <c r="A1662" s="7">
        <v>50301</v>
      </c>
      <c r="B1662" s="8" t="s">
        <v>10</v>
      </c>
      <c r="C1662" s="9">
        <v>16.8</v>
      </c>
      <c r="D1662" s="10">
        <v>2.2000000000000002</v>
      </c>
      <c r="E1662">
        <f t="shared" si="52"/>
        <v>2</v>
      </c>
      <c r="F1662">
        <f t="shared" si="51"/>
        <v>42.3</v>
      </c>
    </row>
    <row r="1663" spans="1:6" hidden="1" x14ac:dyDescent="0.35">
      <c r="A1663" s="11">
        <v>50302</v>
      </c>
      <c r="B1663" s="12" t="s">
        <v>23</v>
      </c>
      <c r="C1663" s="13">
        <v>25.3</v>
      </c>
      <c r="D1663" s="14">
        <v>2.5</v>
      </c>
      <c r="E1663">
        <f t="shared" si="52"/>
        <v>3</v>
      </c>
      <c r="F1663">
        <f t="shared" si="51"/>
        <v>67.599999999999994</v>
      </c>
    </row>
    <row r="1664" spans="1:6" hidden="1" x14ac:dyDescent="0.35">
      <c r="A1664" s="7">
        <v>50303</v>
      </c>
      <c r="B1664" s="8" t="s">
        <v>25</v>
      </c>
      <c r="C1664" s="9">
        <v>26.3</v>
      </c>
      <c r="D1664" s="10">
        <v>0.4</v>
      </c>
      <c r="E1664">
        <f t="shared" si="52"/>
        <v>4</v>
      </c>
      <c r="F1664">
        <f t="shared" si="51"/>
        <v>93.899999999999991</v>
      </c>
    </row>
    <row r="1665" spans="1:6" hidden="1" x14ac:dyDescent="0.35">
      <c r="A1665" s="11">
        <v>50304</v>
      </c>
      <c r="B1665" s="12" t="s">
        <v>13</v>
      </c>
      <c r="C1665" s="13">
        <v>21.9</v>
      </c>
      <c r="D1665" s="14">
        <v>7</v>
      </c>
      <c r="E1665">
        <f t="shared" si="52"/>
        <v>5</v>
      </c>
      <c r="F1665">
        <f t="shared" si="51"/>
        <v>115.79999999999998</v>
      </c>
    </row>
    <row r="1666" spans="1:6" hidden="1" x14ac:dyDescent="0.35">
      <c r="A1666" s="7">
        <v>50305</v>
      </c>
      <c r="B1666" s="8" t="s">
        <v>13</v>
      </c>
      <c r="C1666" s="9">
        <v>11.2</v>
      </c>
      <c r="D1666" s="10">
        <v>0</v>
      </c>
      <c r="E1666">
        <f t="shared" si="52"/>
        <v>6</v>
      </c>
      <c r="F1666">
        <f t="shared" si="51"/>
        <v>126.99999999999999</v>
      </c>
    </row>
    <row r="1667" spans="1:6" hidden="1" x14ac:dyDescent="0.35">
      <c r="A1667" s="11">
        <v>50306</v>
      </c>
      <c r="B1667" s="12" t="s">
        <v>15</v>
      </c>
      <c r="C1667" s="13">
        <v>10.6</v>
      </c>
      <c r="D1667" s="14">
        <v>5.2</v>
      </c>
      <c r="E1667">
        <f t="shared" si="52"/>
        <v>7</v>
      </c>
      <c r="F1667">
        <f t="shared" si="51"/>
        <v>137.6</v>
      </c>
    </row>
    <row r="1668" spans="1:6" hidden="1" x14ac:dyDescent="0.35">
      <c r="A1668" s="7">
        <v>50307</v>
      </c>
      <c r="B1668" s="8" t="s">
        <v>12</v>
      </c>
      <c r="C1668" s="9">
        <v>17.7</v>
      </c>
      <c r="D1668" s="10">
        <v>1</v>
      </c>
      <c r="E1668">
        <f t="shared" si="52"/>
        <v>1</v>
      </c>
      <c r="F1668">
        <f t="shared" ref="F1668:F1731" si="53">IF(E1667=7,C1668,C1668+F1667)</f>
        <v>17.7</v>
      </c>
    </row>
    <row r="1669" spans="1:6" hidden="1" x14ac:dyDescent="0.35">
      <c r="A1669" s="11">
        <v>50308</v>
      </c>
      <c r="B1669" s="12" t="s">
        <v>7</v>
      </c>
      <c r="C1669" s="13">
        <v>19.899999999999999</v>
      </c>
      <c r="D1669" s="14">
        <v>0</v>
      </c>
      <c r="E1669">
        <f t="shared" si="52"/>
        <v>2</v>
      </c>
      <c r="F1669">
        <f t="shared" si="53"/>
        <v>37.599999999999994</v>
      </c>
    </row>
    <row r="1670" spans="1:6" hidden="1" x14ac:dyDescent="0.35">
      <c r="A1670" s="7">
        <v>50309</v>
      </c>
      <c r="B1670" s="8" t="s">
        <v>10</v>
      </c>
      <c r="C1670" s="9">
        <v>25.1</v>
      </c>
      <c r="D1670" s="10">
        <v>42.1</v>
      </c>
      <c r="E1670">
        <f t="shared" si="52"/>
        <v>3</v>
      </c>
      <c r="F1670">
        <f t="shared" si="53"/>
        <v>62.699999999999996</v>
      </c>
    </row>
    <row r="1671" spans="1:6" hidden="1" x14ac:dyDescent="0.35">
      <c r="A1671" s="11">
        <v>50310</v>
      </c>
      <c r="B1671" s="12" t="s">
        <v>9</v>
      </c>
      <c r="C1671" s="13">
        <v>18.5</v>
      </c>
      <c r="D1671" s="14">
        <v>0.3</v>
      </c>
      <c r="E1671">
        <f t="shared" si="52"/>
        <v>4</v>
      </c>
      <c r="F1671">
        <f t="shared" si="53"/>
        <v>81.199999999999989</v>
      </c>
    </row>
    <row r="1672" spans="1:6" hidden="1" x14ac:dyDescent="0.35">
      <c r="A1672" s="7">
        <v>50311</v>
      </c>
      <c r="B1672" s="8" t="s">
        <v>10</v>
      </c>
      <c r="C1672" s="9">
        <v>25.5</v>
      </c>
      <c r="D1672" s="10">
        <v>25.3</v>
      </c>
      <c r="E1672">
        <f t="shared" si="52"/>
        <v>5</v>
      </c>
      <c r="F1672">
        <f t="shared" si="53"/>
        <v>106.69999999999999</v>
      </c>
    </row>
    <row r="1673" spans="1:6" hidden="1" x14ac:dyDescent="0.35">
      <c r="A1673" s="11">
        <v>50312</v>
      </c>
      <c r="B1673" s="12" t="s">
        <v>10</v>
      </c>
      <c r="C1673" s="13">
        <v>12.8</v>
      </c>
      <c r="D1673" s="14">
        <v>0</v>
      </c>
      <c r="E1673">
        <f t="shared" si="52"/>
        <v>6</v>
      </c>
      <c r="F1673">
        <f t="shared" si="53"/>
        <v>119.49999999999999</v>
      </c>
    </row>
    <row r="1674" spans="1:6" hidden="1" x14ac:dyDescent="0.35">
      <c r="A1674" s="7">
        <v>50313</v>
      </c>
      <c r="B1674" s="8" t="s">
        <v>19</v>
      </c>
      <c r="C1674" s="9">
        <v>23.6</v>
      </c>
      <c r="D1674" s="10">
        <v>34.299999999999997</v>
      </c>
      <c r="E1674">
        <f t="shared" ref="E1674:E1737" si="54">IF(E1673=7,1,E1673+1)</f>
        <v>7</v>
      </c>
      <c r="F1674">
        <f t="shared" si="53"/>
        <v>143.1</v>
      </c>
    </row>
    <row r="1675" spans="1:6" hidden="1" x14ac:dyDescent="0.35">
      <c r="A1675" s="11">
        <v>50314</v>
      </c>
      <c r="B1675" s="12" t="s">
        <v>15</v>
      </c>
      <c r="C1675" s="13">
        <v>13.1</v>
      </c>
      <c r="D1675" s="14">
        <v>2</v>
      </c>
      <c r="E1675">
        <f t="shared" si="54"/>
        <v>1</v>
      </c>
      <c r="F1675">
        <f t="shared" si="53"/>
        <v>13.1</v>
      </c>
    </row>
    <row r="1676" spans="1:6" hidden="1" x14ac:dyDescent="0.35">
      <c r="A1676" s="7">
        <v>50315</v>
      </c>
      <c r="B1676" s="8" t="s">
        <v>23</v>
      </c>
      <c r="C1676" s="9">
        <v>23</v>
      </c>
      <c r="D1676" s="10">
        <v>0</v>
      </c>
      <c r="E1676">
        <f t="shared" si="54"/>
        <v>2</v>
      </c>
      <c r="F1676">
        <f t="shared" si="53"/>
        <v>36.1</v>
      </c>
    </row>
    <row r="1677" spans="1:6" hidden="1" x14ac:dyDescent="0.35">
      <c r="A1677" s="11">
        <v>50316</v>
      </c>
      <c r="B1677" s="12" t="s">
        <v>13</v>
      </c>
      <c r="C1677" s="13">
        <v>13</v>
      </c>
      <c r="D1677" s="14">
        <v>15.8</v>
      </c>
      <c r="E1677">
        <f t="shared" si="54"/>
        <v>3</v>
      </c>
      <c r="F1677">
        <f t="shared" si="53"/>
        <v>49.1</v>
      </c>
    </row>
    <row r="1678" spans="1:6" hidden="1" x14ac:dyDescent="0.35">
      <c r="A1678" s="7">
        <v>50317</v>
      </c>
      <c r="B1678" s="8" t="s">
        <v>9</v>
      </c>
      <c r="C1678" s="9">
        <v>19.5</v>
      </c>
      <c r="D1678" s="10">
        <v>8</v>
      </c>
      <c r="E1678">
        <f t="shared" si="54"/>
        <v>4</v>
      </c>
      <c r="F1678">
        <f t="shared" si="53"/>
        <v>68.599999999999994</v>
      </c>
    </row>
    <row r="1679" spans="1:6" hidden="1" x14ac:dyDescent="0.35">
      <c r="A1679" s="11">
        <v>50318</v>
      </c>
      <c r="B1679" s="12" t="s">
        <v>7</v>
      </c>
      <c r="C1679" s="13">
        <v>19.2</v>
      </c>
      <c r="D1679" s="14">
        <v>0</v>
      </c>
      <c r="E1679">
        <f t="shared" si="54"/>
        <v>5</v>
      </c>
      <c r="F1679">
        <f t="shared" si="53"/>
        <v>87.8</v>
      </c>
    </row>
    <row r="1680" spans="1:6" hidden="1" x14ac:dyDescent="0.35">
      <c r="A1680" s="7">
        <v>50319</v>
      </c>
      <c r="B1680" s="8" t="s">
        <v>5</v>
      </c>
      <c r="C1680" s="9">
        <v>28.3</v>
      </c>
      <c r="D1680" s="10">
        <v>1.1000000000000001</v>
      </c>
      <c r="E1680">
        <f t="shared" si="54"/>
        <v>6</v>
      </c>
      <c r="F1680">
        <f t="shared" si="53"/>
        <v>116.1</v>
      </c>
    </row>
    <row r="1681" spans="1:6" hidden="1" x14ac:dyDescent="0.35">
      <c r="A1681" s="11">
        <v>50320</v>
      </c>
      <c r="B1681" s="12" t="s">
        <v>10</v>
      </c>
      <c r="C1681" s="13">
        <v>18.100000000000001</v>
      </c>
      <c r="D1681" s="14">
        <v>0</v>
      </c>
      <c r="E1681">
        <f t="shared" si="54"/>
        <v>7</v>
      </c>
      <c r="F1681">
        <f t="shared" si="53"/>
        <v>134.19999999999999</v>
      </c>
    </row>
    <row r="1682" spans="1:6" hidden="1" x14ac:dyDescent="0.35">
      <c r="A1682" s="7">
        <v>50321</v>
      </c>
      <c r="B1682" s="8" t="s">
        <v>19</v>
      </c>
      <c r="C1682" s="9">
        <v>17.5</v>
      </c>
      <c r="D1682" s="10">
        <v>13.3</v>
      </c>
      <c r="E1682">
        <f t="shared" si="54"/>
        <v>1</v>
      </c>
      <c r="F1682">
        <f t="shared" si="53"/>
        <v>17.5</v>
      </c>
    </row>
    <row r="1683" spans="1:6" hidden="1" x14ac:dyDescent="0.35">
      <c r="A1683" s="11">
        <v>50322</v>
      </c>
      <c r="B1683" s="12" t="s">
        <v>6</v>
      </c>
      <c r="C1683" s="13">
        <v>26.7</v>
      </c>
      <c r="D1683" s="14">
        <v>12.9</v>
      </c>
      <c r="E1683">
        <f t="shared" si="54"/>
        <v>2</v>
      </c>
      <c r="F1683">
        <f t="shared" si="53"/>
        <v>44.2</v>
      </c>
    </row>
    <row r="1684" spans="1:6" hidden="1" x14ac:dyDescent="0.35">
      <c r="A1684" s="7">
        <v>50323</v>
      </c>
      <c r="B1684" s="8" t="s">
        <v>19</v>
      </c>
      <c r="C1684" s="9">
        <v>26.6</v>
      </c>
      <c r="D1684" s="10">
        <v>0</v>
      </c>
      <c r="E1684">
        <f t="shared" si="54"/>
        <v>3</v>
      </c>
      <c r="F1684">
        <f t="shared" si="53"/>
        <v>70.800000000000011</v>
      </c>
    </row>
    <row r="1685" spans="1:6" hidden="1" x14ac:dyDescent="0.35">
      <c r="A1685" s="11">
        <v>50324</v>
      </c>
      <c r="B1685" s="12" t="s">
        <v>22</v>
      </c>
      <c r="C1685" s="13">
        <v>12.2</v>
      </c>
      <c r="D1685" s="14">
        <v>1.8</v>
      </c>
      <c r="E1685">
        <f t="shared" si="54"/>
        <v>4</v>
      </c>
      <c r="F1685">
        <f t="shared" si="53"/>
        <v>83.000000000000014</v>
      </c>
    </row>
    <row r="1686" spans="1:6" hidden="1" x14ac:dyDescent="0.35">
      <c r="A1686" s="7">
        <v>50325</v>
      </c>
      <c r="B1686" s="8" t="s">
        <v>7</v>
      </c>
      <c r="C1686" s="9">
        <v>27.4</v>
      </c>
      <c r="D1686" s="10">
        <v>4.8</v>
      </c>
      <c r="E1686">
        <f t="shared" si="54"/>
        <v>5</v>
      </c>
      <c r="F1686">
        <f t="shared" si="53"/>
        <v>110.4</v>
      </c>
    </row>
    <row r="1687" spans="1:6" hidden="1" x14ac:dyDescent="0.35">
      <c r="A1687" s="11">
        <v>50326</v>
      </c>
      <c r="B1687" s="12" t="s">
        <v>13</v>
      </c>
      <c r="C1687" s="13">
        <v>24.9</v>
      </c>
      <c r="D1687" s="14">
        <v>1.6</v>
      </c>
      <c r="E1687">
        <f t="shared" si="54"/>
        <v>6</v>
      </c>
      <c r="F1687">
        <f t="shared" si="53"/>
        <v>135.30000000000001</v>
      </c>
    </row>
    <row r="1688" spans="1:6" hidden="1" x14ac:dyDescent="0.35">
      <c r="A1688" s="7">
        <v>50327</v>
      </c>
      <c r="B1688" s="8" t="s">
        <v>27</v>
      </c>
      <c r="C1688" s="9">
        <v>21.4</v>
      </c>
      <c r="D1688" s="10">
        <v>5.5</v>
      </c>
      <c r="E1688">
        <f t="shared" si="54"/>
        <v>7</v>
      </c>
      <c r="F1688">
        <f t="shared" si="53"/>
        <v>156.70000000000002</v>
      </c>
    </row>
    <row r="1689" spans="1:6" hidden="1" x14ac:dyDescent="0.35">
      <c r="A1689" s="11">
        <v>50328</v>
      </c>
      <c r="B1689" s="12" t="s">
        <v>29</v>
      </c>
      <c r="C1689" s="13">
        <v>14.1</v>
      </c>
      <c r="D1689" s="14">
        <v>0</v>
      </c>
      <c r="E1689">
        <f t="shared" si="54"/>
        <v>1</v>
      </c>
      <c r="F1689">
        <f t="shared" si="53"/>
        <v>14.1</v>
      </c>
    </row>
    <row r="1690" spans="1:6" hidden="1" x14ac:dyDescent="0.35">
      <c r="A1690" s="7">
        <v>50329</v>
      </c>
      <c r="B1690" s="8" t="s">
        <v>25</v>
      </c>
      <c r="C1690" s="9">
        <v>15.4</v>
      </c>
      <c r="D1690" s="10">
        <v>2.1</v>
      </c>
      <c r="E1690">
        <f t="shared" si="54"/>
        <v>2</v>
      </c>
      <c r="F1690">
        <f t="shared" si="53"/>
        <v>29.5</v>
      </c>
    </row>
    <row r="1691" spans="1:6" hidden="1" x14ac:dyDescent="0.35">
      <c r="A1691" s="11">
        <v>50330</v>
      </c>
      <c r="B1691" s="12" t="s">
        <v>13</v>
      </c>
      <c r="C1691" s="13">
        <v>27.7</v>
      </c>
      <c r="D1691" s="14">
        <v>0</v>
      </c>
      <c r="E1691">
        <f t="shared" si="54"/>
        <v>3</v>
      </c>
      <c r="F1691">
        <f t="shared" si="53"/>
        <v>57.2</v>
      </c>
    </row>
    <row r="1692" spans="1:6" hidden="1" x14ac:dyDescent="0.35">
      <c r="A1692" s="7">
        <v>50331</v>
      </c>
      <c r="B1692" s="8" t="s">
        <v>10</v>
      </c>
      <c r="C1692" s="9">
        <v>15.5</v>
      </c>
      <c r="D1692" s="10">
        <v>43.4</v>
      </c>
      <c r="E1692">
        <f t="shared" si="54"/>
        <v>4</v>
      </c>
      <c r="F1692">
        <f t="shared" si="53"/>
        <v>72.7</v>
      </c>
    </row>
    <row r="1693" spans="1:6" hidden="1" x14ac:dyDescent="0.35">
      <c r="A1693" s="11">
        <v>50332</v>
      </c>
      <c r="B1693" s="12" t="s">
        <v>7</v>
      </c>
      <c r="C1693" s="13">
        <v>26.8</v>
      </c>
      <c r="D1693" s="14">
        <v>0</v>
      </c>
      <c r="E1693">
        <f t="shared" si="54"/>
        <v>5</v>
      </c>
      <c r="F1693">
        <f t="shared" si="53"/>
        <v>99.5</v>
      </c>
    </row>
    <row r="1694" spans="1:6" hidden="1" x14ac:dyDescent="0.35">
      <c r="A1694" s="7">
        <v>50333</v>
      </c>
      <c r="B1694" s="8" t="s">
        <v>13</v>
      </c>
      <c r="C1694" s="9">
        <v>23.1</v>
      </c>
      <c r="D1694" s="10">
        <v>9.1</v>
      </c>
      <c r="E1694">
        <f t="shared" si="54"/>
        <v>6</v>
      </c>
      <c r="F1694">
        <f t="shared" si="53"/>
        <v>122.6</v>
      </c>
    </row>
    <row r="1695" spans="1:6" hidden="1" x14ac:dyDescent="0.35">
      <c r="A1695" s="11">
        <v>50334</v>
      </c>
      <c r="B1695" s="12" t="s">
        <v>6</v>
      </c>
      <c r="C1695" s="13">
        <v>22.8</v>
      </c>
      <c r="D1695" s="14">
        <v>12.9</v>
      </c>
      <c r="E1695">
        <f t="shared" si="54"/>
        <v>7</v>
      </c>
      <c r="F1695">
        <f t="shared" si="53"/>
        <v>145.4</v>
      </c>
    </row>
    <row r="1696" spans="1:6" hidden="1" x14ac:dyDescent="0.35">
      <c r="A1696" s="7">
        <v>50335</v>
      </c>
      <c r="B1696" s="8" t="s">
        <v>10</v>
      </c>
      <c r="C1696" s="9">
        <v>17.2</v>
      </c>
      <c r="D1696" s="10">
        <v>0</v>
      </c>
      <c r="E1696">
        <f t="shared" si="54"/>
        <v>1</v>
      </c>
      <c r="F1696">
        <f t="shared" si="53"/>
        <v>17.2</v>
      </c>
    </row>
    <row r="1697" spans="1:6" hidden="1" x14ac:dyDescent="0.35">
      <c r="A1697" s="11">
        <v>50336</v>
      </c>
      <c r="B1697" s="12" t="s">
        <v>10</v>
      </c>
      <c r="C1697" s="13">
        <v>29.3</v>
      </c>
      <c r="D1697" s="14">
        <v>6.1</v>
      </c>
      <c r="E1697">
        <f t="shared" si="54"/>
        <v>2</v>
      </c>
      <c r="F1697">
        <f t="shared" si="53"/>
        <v>46.5</v>
      </c>
    </row>
    <row r="1698" spans="1:6" hidden="1" x14ac:dyDescent="0.35">
      <c r="A1698" s="7">
        <v>50337</v>
      </c>
      <c r="B1698" s="8" t="s">
        <v>13</v>
      </c>
      <c r="C1698" s="9">
        <v>19.5</v>
      </c>
      <c r="D1698" s="10">
        <v>14.2</v>
      </c>
      <c r="E1698">
        <f t="shared" si="54"/>
        <v>3</v>
      </c>
      <c r="F1698">
        <f t="shared" si="53"/>
        <v>66</v>
      </c>
    </row>
    <row r="1699" spans="1:6" hidden="1" x14ac:dyDescent="0.35">
      <c r="A1699" s="11">
        <v>50338</v>
      </c>
      <c r="B1699" s="12" t="s">
        <v>19</v>
      </c>
      <c r="C1699" s="13">
        <v>28.1</v>
      </c>
      <c r="D1699" s="14">
        <v>9.4</v>
      </c>
      <c r="E1699">
        <f t="shared" si="54"/>
        <v>4</v>
      </c>
      <c r="F1699">
        <f t="shared" si="53"/>
        <v>94.1</v>
      </c>
    </row>
    <row r="1700" spans="1:6" hidden="1" x14ac:dyDescent="0.35">
      <c r="A1700" s="7">
        <v>50339</v>
      </c>
      <c r="B1700" s="8" t="s">
        <v>11</v>
      </c>
      <c r="C1700" s="9">
        <v>21.1</v>
      </c>
      <c r="D1700" s="10">
        <v>12</v>
      </c>
      <c r="E1700">
        <f t="shared" si="54"/>
        <v>5</v>
      </c>
      <c r="F1700">
        <f t="shared" si="53"/>
        <v>115.19999999999999</v>
      </c>
    </row>
    <row r="1701" spans="1:6" hidden="1" x14ac:dyDescent="0.35">
      <c r="A1701" s="11">
        <v>50340</v>
      </c>
      <c r="B1701" s="12" t="s">
        <v>7</v>
      </c>
      <c r="C1701" s="13">
        <v>23.8</v>
      </c>
      <c r="D1701" s="14">
        <v>13.3</v>
      </c>
      <c r="E1701">
        <f t="shared" si="54"/>
        <v>6</v>
      </c>
      <c r="F1701">
        <f t="shared" si="53"/>
        <v>139</v>
      </c>
    </row>
    <row r="1702" spans="1:6" hidden="1" x14ac:dyDescent="0.35">
      <c r="A1702" s="7">
        <v>50341</v>
      </c>
      <c r="B1702" s="8" t="s">
        <v>24</v>
      </c>
      <c r="C1702" s="9">
        <v>19.399999999999999</v>
      </c>
      <c r="D1702" s="10">
        <v>2.2000000000000002</v>
      </c>
      <c r="E1702">
        <f t="shared" si="54"/>
        <v>7</v>
      </c>
      <c r="F1702">
        <f t="shared" si="53"/>
        <v>158.4</v>
      </c>
    </row>
    <row r="1703" spans="1:6" hidden="1" x14ac:dyDescent="0.35">
      <c r="A1703" s="11">
        <v>50342</v>
      </c>
      <c r="B1703" s="12" t="s">
        <v>7</v>
      </c>
      <c r="C1703" s="13">
        <v>25.8</v>
      </c>
      <c r="D1703" s="14">
        <v>17.100000000000001</v>
      </c>
      <c r="E1703">
        <f t="shared" si="54"/>
        <v>1</v>
      </c>
      <c r="F1703">
        <f t="shared" si="53"/>
        <v>25.8</v>
      </c>
    </row>
    <row r="1704" spans="1:6" hidden="1" x14ac:dyDescent="0.35">
      <c r="A1704" s="7">
        <v>50343</v>
      </c>
      <c r="B1704" s="8" t="s">
        <v>7</v>
      </c>
      <c r="C1704" s="9">
        <v>30</v>
      </c>
      <c r="D1704" s="10">
        <v>6.3</v>
      </c>
      <c r="E1704">
        <f t="shared" si="54"/>
        <v>2</v>
      </c>
      <c r="F1704">
        <f t="shared" si="53"/>
        <v>55.8</v>
      </c>
    </row>
    <row r="1705" spans="1:6" hidden="1" x14ac:dyDescent="0.35">
      <c r="A1705" s="11">
        <v>50344</v>
      </c>
      <c r="B1705" s="12" t="s">
        <v>10</v>
      </c>
      <c r="C1705" s="13">
        <v>11</v>
      </c>
      <c r="D1705" s="14">
        <v>0</v>
      </c>
      <c r="E1705">
        <f t="shared" si="54"/>
        <v>3</v>
      </c>
      <c r="F1705">
        <f t="shared" si="53"/>
        <v>66.8</v>
      </c>
    </row>
    <row r="1706" spans="1:6" hidden="1" x14ac:dyDescent="0.35">
      <c r="A1706" s="7">
        <v>50345</v>
      </c>
      <c r="B1706" s="8" t="s">
        <v>19</v>
      </c>
      <c r="C1706" s="9">
        <v>27.2</v>
      </c>
      <c r="D1706" s="10">
        <v>0</v>
      </c>
      <c r="E1706">
        <f t="shared" si="54"/>
        <v>4</v>
      </c>
      <c r="F1706">
        <f t="shared" si="53"/>
        <v>94</v>
      </c>
    </row>
    <row r="1707" spans="1:6" hidden="1" x14ac:dyDescent="0.35">
      <c r="A1707" s="11">
        <v>50346</v>
      </c>
      <c r="B1707" s="12" t="s">
        <v>7</v>
      </c>
      <c r="C1707" s="13">
        <v>18.3</v>
      </c>
      <c r="D1707" s="14">
        <v>8.4</v>
      </c>
      <c r="E1707">
        <f t="shared" si="54"/>
        <v>5</v>
      </c>
      <c r="F1707">
        <f t="shared" si="53"/>
        <v>112.3</v>
      </c>
    </row>
    <row r="1708" spans="1:6" hidden="1" x14ac:dyDescent="0.35">
      <c r="A1708" s="7">
        <v>50347</v>
      </c>
      <c r="B1708" s="8" t="s">
        <v>25</v>
      </c>
      <c r="C1708" s="9">
        <v>14</v>
      </c>
      <c r="D1708" s="10">
        <v>2.5</v>
      </c>
      <c r="E1708">
        <f t="shared" si="54"/>
        <v>6</v>
      </c>
      <c r="F1708">
        <f t="shared" si="53"/>
        <v>126.3</v>
      </c>
    </row>
    <row r="1709" spans="1:6" hidden="1" x14ac:dyDescent="0.35">
      <c r="A1709" s="11">
        <v>50348</v>
      </c>
      <c r="B1709" s="12" t="s">
        <v>7</v>
      </c>
      <c r="C1709" s="13">
        <v>26.2</v>
      </c>
      <c r="D1709" s="14">
        <v>6.9</v>
      </c>
      <c r="E1709">
        <f t="shared" si="54"/>
        <v>7</v>
      </c>
      <c r="F1709">
        <f t="shared" si="53"/>
        <v>152.5</v>
      </c>
    </row>
    <row r="1710" spans="1:6" hidden="1" x14ac:dyDescent="0.35">
      <c r="A1710" s="7">
        <v>50349</v>
      </c>
      <c r="B1710" s="8" t="s">
        <v>15</v>
      </c>
      <c r="C1710" s="9">
        <v>25.5</v>
      </c>
      <c r="D1710" s="10">
        <v>8.4</v>
      </c>
      <c r="E1710">
        <f t="shared" si="54"/>
        <v>1</v>
      </c>
      <c r="F1710">
        <f t="shared" si="53"/>
        <v>25.5</v>
      </c>
    </row>
    <row r="1711" spans="1:6" hidden="1" x14ac:dyDescent="0.35">
      <c r="A1711" s="11">
        <v>50350</v>
      </c>
      <c r="B1711" s="12" t="s">
        <v>18</v>
      </c>
      <c r="C1711" s="13">
        <v>23.1</v>
      </c>
      <c r="D1711" s="14">
        <v>11.4</v>
      </c>
      <c r="E1711">
        <f t="shared" si="54"/>
        <v>2</v>
      </c>
      <c r="F1711">
        <f t="shared" si="53"/>
        <v>48.6</v>
      </c>
    </row>
    <row r="1712" spans="1:6" hidden="1" x14ac:dyDescent="0.35">
      <c r="A1712" s="7">
        <v>50351</v>
      </c>
      <c r="B1712" s="8" t="s">
        <v>12</v>
      </c>
      <c r="C1712" s="9">
        <v>21.3</v>
      </c>
      <c r="D1712" s="10">
        <v>2.8</v>
      </c>
      <c r="E1712">
        <f t="shared" si="54"/>
        <v>3</v>
      </c>
      <c r="F1712">
        <f t="shared" si="53"/>
        <v>69.900000000000006</v>
      </c>
    </row>
    <row r="1713" spans="1:6" hidden="1" x14ac:dyDescent="0.35">
      <c r="A1713" s="11">
        <v>50352</v>
      </c>
      <c r="B1713" s="12" t="s">
        <v>12</v>
      </c>
      <c r="C1713" s="13">
        <v>16.3</v>
      </c>
      <c r="D1713" s="14">
        <v>7.6</v>
      </c>
      <c r="E1713">
        <f t="shared" si="54"/>
        <v>4</v>
      </c>
      <c r="F1713">
        <f t="shared" si="53"/>
        <v>86.2</v>
      </c>
    </row>
    <row r="1714" spans="1:6" hidden="1" x14ac:dyDescent="0.35">
      <c r="A1714" s="7">
        <v>50353</v>
      </c>
      <c r="B1714" s="8" t="s">
        <v>14</v>
      </c>
      <c r="C1714" s="9">
        <v>23.7</v>
      </c>
      <c r="D1714" s="10">
        <v>7.6</v>
      </c>
      <c r="E1714">
        <f t="shared" si="54"/>
        <v>5</v>
      </c>
      <c r="F1714">
        <f t="shared" si="53"/>
        <v>109.9</v>
      </c>
    </row>
    <row r="1715" spans="1:6" hidden="1" x14ac:dyDescent="0.35">
      <c r="A1715" s="11">
        <v>50354</v>
      </c>
      <c r="B1715" s="12" t="s">
        <v>18</v>
      </c>
      <c r="C1715" s="13">
        <v>24.8</v>
      </c>
      <c r="D1715" s="14">
        <v>0</v>
      </c>
      <c r="E1715">
        <f t="shared" si="54"/>
        <v>6</v>
      </c>
      <c r="F1715">
        <f t="shared" si="53"/>
        <v>134.70000000000002</v>
      </c>
    </row>
    <row r="1716" spans="1:6" hidden="1" x14ac:dyDescent="0.35">
      <c r="A1716" s="7">
        <v>50355</v>
      </c>
      <c r="B1716" s="8" t="s">
        <v>33</v>
      </c>
      <c r="C1716" s="9">
        <v>21.7</v>
      </c>
      <c r="D1716" s="10">
        <v>1</v>
      </c>
      <c r="E1716">
        <f t="shared" si="54"/>
        <v>7</v>
      </c>
      <c r="F1716">
        <f t="shared" si="53"/>
        <v>156.4</v>
      </c>
    </row>
    <row r="1717" spans="1:6" hidden="1" x14ac:dyDescent="0.35">
      <c r="A1717" s="11">
        <v>50356</v>
      </c>
      <c r="B1717" s="12" t="s">
        <v>10</v>
      </c>
      <c r="C1717" s="13">
        <v>16.7</v>
      </c>
      <c r="D1717" s="14">
        <v>21</v>
      </c>
      <c r="E1717">
        <f t="shared" si="54"/>
        <v>1</v>
      </c>
      <c r="F1717">
        <f t="shared" si="53"/>
        <v>16.7</v>
      </c>
    </row>
    <row r="1718" spans="1:6" hidden="1" x14ac:dyDescent="0.35">
      <c r="A1718" s="7">
        <v>50357</v>
      </c>
      <c r="B1718" s="8" t="s">
        <v>23</v>
      </c>
      <c r="C1718" s="9">
        <v>22.3</v>
      </c>
      <c r="D1718" s="10">
        <v>0.1</v>
      </c>
      <c r="E1718">
        <f t="shared" si="54"/>
        <v>2</v>
      </c>
      <c r="F1718">
        <f t="shared" si="53"/>
        <v>39</v>
      </c>
    </row>
    <row r="1719" spans="1:6" hidden="1" x14ac:dyDescent="0.35">
      <c r="A1719" s="11">
        <v>50358</v>
      </c>
      <c r="B1719" s="12" t="s">
        <v>26</v>
      </c>
      <c r="C1719" s="13">
        <v>13.6</v>
      </c>
      <c r="D1719" s="14">
        <v>0</v>
      </c>
      <c r="E1719">
        <f t="shared" si="54"/>
        <v>3</v>
      </c>
      <c r="F1719">
        <f t="shared" si="53"/>
        <v>52.6</v>
      </c>
    </row>
    <row r="1720" spans="1:6" hidden="1" x14ac:dyDescent="0.35">
      <c r="A1720" s="7">
        <v>50359</v>
      </c>
      <c r="B1720" s="8" t="s">
        <v>25</v>
      </c>
      <c r="C1720" s="9">
        <v>11.8</v>
      </c>
      <c r="D1720" s="10">
        <v>2.1</v>
      </c>
      <c r="E1720">
        <f t="shared" si="54"/>
        <v>4</v>
      </c>
      <c r="F1720">
        <f t="shared" si="53"/>
        <v>64.400000000000006</v>
      </c>
    </row>
    <row r="1721" spans="1:6" hidden="1" x14ac:dyDescent="0.35">
      <c r="A1721" s="11">
        <v>50360</v>
      </c>
      <c r="B1721" s="12" t="s">
        <v>11</v>
      </c>
      <c r="C1721" s="13">
        <v>11.1</v>
      </c>
      <c r="D1721" s="14">
        <v>0</v>
      </c>
      <c r="E1721">
        <f t="shared" si="54"/>
        <v>5</v>
      </c>
      <c r="F1721">
        <f t="shared" si="53"/>
        <v>75.5</v>
      </c>
    </row>
    <row r="1722" spans="1:6" hidden="1" x14ac:dyDescent="0.35">
      <c r="A1722" s="7">
        <v>50361</v>
      </c>
      <c r="B1722" s="8" t="s">
        <v>13</v>
      </c>
      <c r="C1722" s="9">
        <v>11.2</v>
      </c>
      <c r="D1722" s="10">
        <v>15</v>
      </c>
      <c r="E1722">
        <f t="shared" si="54"/>
        <v>6</v>
      </c>
      <c r="F1722">
        <f t="shared" si="53"/>
        <v>86.7</v>
      </c>
    </row>
    <row r="1723" spans="1:6" hidden="1" x14ac:dyDescent="0.35">
      <c r="A1723" s="11">
        <v>50362</v>
      </c>
      <c r="B1723" s="12" t="s">
        <v>23</v>
      </c>
      <c r="C1723" s="13">
        <v>19.100000000000001</v>
      </c>
      <c r="D1723" s="14">
        <v>0</v>
      </c>
      <c r="E1723">
        <f t="shared" si="54"/>
        <v>7</v>
      </c>
      <c r="F1723">
        <f t="shared" si="53"/>
        <v>105.80000000000001</v>
      </c>
    </row>
    <row r="1724" spans="1:6" hidden="1" x14ac:dyDescent="0.35">
      <c r="A1724" s="7">
        <v>50363</v>
      </c>
      <c r="B1724" s="8" t="s">
        <v>10</v>
      </c>
      <c r="C1724" s="9">
        <v>11.1</v>
      </c>
      <c r="D1724" s="10">
        <v>46.3</v>
      </c>
      <c r="E1724">
        <f t="shared" si="54"/>
        <v>1</v>
      </c>
      <c r="F1724">
        <f t="shared" si="53"/>
        <v>11.1</v>
      </c>
    </row>
    <row r="1725" spans="1:6" hidden="1" x14ac:dyDescent="0.35">
      <c r="A1725" s="11">
        <v>50364</v>
      </c>
      <c r="B1725" s="12" t="s">
        <v>18</v>
      </c>
      <c r="C1725" s="13">
        <v>15.1</v>
      </c>
      <c r="D1725" s="14">
        <v>6.2</v>
      </c>
      <c r="E1725">
        <f t="shared" si="54"/>
        <v>2</v>
      </c>
      <c r="F1725">
        <f t="shared" si="53"/>
        <v>26.2</v>
      </c>
    </row>
    <row r="1726" spans="1:6" hidden="1" x14ac:dyDescent="0.35">
      <c r="A1726" s="7">
        <v>50365</v>
      </c>
      <c r="B1726" s="8" t="s">
        <v>15</v>
      </c>
      <c r="C1726" s="9">
        <v>21.7</v>
      </c>
      <c r="D1726" s="10">
        <v>0</v>
      </c>
      <c r="E1726">
        <f t="shared" si="54"/>
        <v>3</v>
      </c>
      <c r="F1726">
        <f t="shared" si="53"/>
        <v>47.9</v>
      </c>
    </row>
    <row r="1727" spans="1:6" hidden="1" x14ac:dyDescent="0.35">
      <c r="A1727" s="11">
        <v>50366</v>
      </c>
      <c r="B1727" s="12" t="s">
        <v>23</v>
      </c>
      <c r="C1727" s="13">
        <v>19.7</v>
      </c>
      <c r="D1727" s="14">
        <v>0.2</v>
      </c>
      <c r="E1727">
        <f t="shared" si="54"/>
        <v>4</v>
      </c>
      <c r="F1727">
        <f t="shared" si="53"/>
        <v>67.599999999999994</v>
      </c>
    </row>
    <row r="1728" spans="1:6" hidden="1" x14ac:dyDescent="0.35">
      <c r="A1728" s="7">
        <v>50367</v>
      </c>
      <c r="B1728" s="8" t="s">
        <v>7</v>
      </c>
      <c r="C1728" s="9">
        <v>17.5</v>
      </c>
      <c r="D1728" s="10">
        <v>2.2000000000000002</v>
      </c>
      <c r="E1728">
        <f t="shared" si="54"/>
        <v>5</v>
      </c>
      <c r="F1728">
        <f t="shared" si="53"/>
        <v>85.1</v>
      </c>
    </row>
    <row r="1729" spans="1:6" hidden="1" x14ac:dyDescent="0.35">
      <c r="A1729" s="11">
        <v>50368</v>
      </c>
      <c r="B1729" s="12" t="s">
        <v>6</v>
      </c>
      <c r="C1729" s="13">
        <v>18.8</v>
      </c>
      <c r="D1729" s="14">
        <v>11.3</v>
      </c>
      <c r="E1729">
        <f t="shared" si="54"/>
        <v>6</v>
      </c>
      <c r="F1729">
        <f t="shared" si="53"/>
        <v>103.89999999999999</v>
      </c>
    </row>
    <row r="1730" spans="1:6" hidden="1" x14ac:dyDescent="0.35">
      <c r="A1730" s="7">
        <v>50369</v>
      </c>
      <c r="B1730" s="8" t="s">
        <v>30</v>
      </c>
      <c r="C1730" s="9">
        <v>19.600000000000001</v>
      </c>
      <c r="D1730" s="10">
        <v>0.3</v>
      </c>
      <c r="E1730">
        <f t="shared" si="54"/>
        <v>7</v>
      </c>
      <c r="F1730">
        <f t="shared" si="53"/>
        <v>123.5</v>
      </c>
    </row>
    <row r="1731" spans="1:6" hidden="1" x14ac:dyDescent="0.35">
      <c r="A1731" s="11">
        <v>50370</v>
      </c>
      <c r="B1731" s="12" t="s">
        <v>11</v>
      </c>
      <c r="C1731" s="13">
        <v>24.4</v>
      </c>
      <c r="D1731" s="14">
        <v>22</v>
      </c>
      <c r="E1731">
        <f t="shared" si="54"/>
        <v>1</v>
      </c>
      <c r="F1731">
        <f t="shared" si="53"/>
        <v>24.4</v>
      </c>
    </row>
    <row r="1732" spans="1:6" hidden="1" x14ac:dyDescent="0.35">
      <c r="A1732" s="7">
        <v>50371</v>
      </c>
      <c r="B1732" s="8" t="s">
        <v>23</v>
      </c>
      <c r="C1732" s="9">
        <v>10.5</v>
      </c>
      <c r="D1732" s="10">
        <v>0.1</v>
      </c>
      <c r="E1732">
        <f t="shared" si="54"/>
        <v>2</v>
      </c>
      <c r="F1732">
        <f t="shared" ref="F1732:F1795" si="55">IF(E1731=7,C1732,C1732+F1731)</f>
        <v>34.9</v>
      </c>
    </row>
    <row r="1733" spans="1:6" hidden="1" x14ac:dyDescent="0.35">
      <c r="A1733" s="11">
        <v>50372</v>
      </c>
      <c r="B1733" s="12" t="s">
        <v>9</v>
      </c>
      <c r="C1733" s="13">
        <v>23.5</v>
      </c>
      <c r="D1733" s="14">
        <v>0</v>
      </c>
      <c r="E1733">
        <f t="shared" si="54"/>
        <v>3</v>
      </c>
      <c r="F1733">
        <f t="shared" si="55"/>
        <v>58.4</v>
      </c>
    </row>
    <row r="1734" spans="1:6" hidden="1" x14ac:dyDescent="0.35">
      <c r="A1734" s="7">
        <v>50373</v>
      </c>
      <c r="B1734" s="8" t="s">
        <v>27</v>
      </c>
      <c r="C1734" s="9">
        <v>19.2</v>
      </c>
      <c r="D1734" s="10">
        <v>0</v>
      </c>
      <c r="E1734">
        <f t="shared" si="54"/>
        <v>4</v>
      </c>
      <c r="F1734">
        <f t="shared" si="55"/>
        <v>77.599999999999994</v>
      </c>
    </row>
    <row r="1735" spans="1:6" hidden="1" x14ac:dyDescent="0.35">
      <c r="A1735" s="11">
        <v>50374</v>
      </c>
      <c r="B1735" s="12" t="s">
        <v>6</v>
      </c>
      <c r="C1735" s="13">
        <v>11</v>
      </c>
      <c r="D1735" s="14">
        <v>0</v>
      </c>
      <c r="E1735">
        <f t="shared" si="54"/>
        <v>5</v>
      </c>
      <c r="F1735">
        <f t="shared" si="55"/>
        <v>88.6</v>
      </c>
    </row>
    <row r="1736" spans="1:6" hidden="1" x14ac:dyDescent="0.35">
      <c r="A1736" s="7">
        <v>50375</v>
      </c>
      <c r="B1736" s="8" t="s">
        <v>11</v>
      </c>
      <c r="C1736" s="9">
        <v>10.4</v>
      </c>
      <c r="D1736" s="10">
        <v>0</v>
      </c>
      <c r="E1736">
        <f t="shared" si="54"/>
        <v>6</v>
      </c>
      <c r="F1736">
        <f t="shared" si="55"/>
        <v>99</v>
      </c>
    </row>
    <row r="1737" spans="1:6" hidden="1" x14ac:dyDescent="0.35">
      <c r="A1737" s="11">
        <v>50376</v>
      </c>
      <c r="B1737" s="12" t="s">
        <v>7</v>
      </c>
      <c r="C1737" s="13">
        <v>11.9</v>
      </c>
      <c r="D1737" s="14">
        <v>9</v>
      </c>
      <c r="E1737">
        <f t="shared" si="54"/>
        <v>7</v>
      </c>
      <c r="F1737">
        <f t="shared" si="55"/>
        <v>110.9</v>
      </c>
    </row>
    <row r="1738" spans="1:6" hidden="1" x14ac:dyDescent="0.35">
      <c r="A1738" s="7">
        <v>50377</v>
      </c>
      <c r="B1738" s="8" t="s">
        <v>14</v>
      </c>
      <c r="C1738" s="9">
        <v>23.1</v>
      </c>
      <c r="D1738" s="10">
        <v>2</v>
      </c>
      <c r="E1738">
        <f t="shared" ref="E1738:E1801" si="56">IF(E1737=7,1,E1737+1)</f>
        <v>1</v>
      </c>
      <c r="F1738">
        <f t="shared" si="55"/>
        <v>23.1</v>
      </c>
    </row>
    <row r="1739" spans="1:6" hidden="1" x14ac:dyDescent="0.35">
      <c r="A1739" s="11">
        <v>50378</v>
      </c>
      <c r="B1739" s="12" t="s">
        <v>19</v>
      </c>
      <c r="C1739" s="13">
        <v>18.600000000000001</v>
      </c>
      <c r="D1739" s="14">
        <v>17.2</v>
      </c>
      <c r="E1739">
        <f t="shared" si="56"/>
        <v>2</v>
      </c>
      <c r="F1739">
        <f t="shared" si="55"/>
        <v>41.7</v>
      </c>
    </row>
    <row r="1740" spans="1:6" hidden="1" x14ac:dyDescent="0.35">
      <c r="A1740" s="7">
        <v>50379</v>
      </c>
      <c r="B1740" s="8" t="s">
        <v>6</v>
      </c>
      <c r="C1740" s="9">
        <v>21.8</v>
      </c>
      <c r="D1740" s="10">
        <v>12.3</v>
      </c>
      <c r="E1740">
        <f t="shared" si="56"/>
        <v>3</v>
      </c>
      <c r="F1740">
        <f t="shared" si="55"/>
        <v>63.5</v>
      </c>
    </row>
    <row r="1741" spans="1:6" hidden="1" x14ac:dyDescent="0.35">
      <c r="A1741" s="11">
        <v>50380</v>
      </c>
      <c r="B1741" s="12" t="s">
        <v>14</v>
      </c>
      <c r="C1741" s="13">
        <v>27.7</v>
      </c>
      <c r="D1741" s="14">
        <v>7.4</v>
      </c>
      <c r="E1741">
        <f t="shared" si="56"/>
        <v>4</v>
      </c>
      <c r="F1741">
        <f t="shared" si="55"/>
        <v>91.2</v>
      </c>
    </row>
    <row r="1742" spans="1:6" hidden="1" x14ac:dyDescent="0.35">
      <c r="A1742" s="7">
        <v>50381</v>
      </c>
      <c r="B1742" s="8" t="s">
        <v>19</v>
      </c>
      <c r="C1742" s="9">
        <v>23.2</v>
      </c>
      <c r="D1742" s="10">
        <v>24</v>
      </c>
      <c r="E1742">
        <f t="shared" si="56"/>
        <v>5</v>
      </c>
      <c r="F1742">
        <f t="shared" si="55"/>
        <v>114.4</v>
      </c>
    </row>
    <row r="1743" spans="1:6" hidden="1" x14ac:dyDescent="0.35">
      <c r="A1743" s="11">
        <v>50382</v>
      </c>
      <c r="B1743" s="12" t="s">
        <v>19</v>
      </c>
      <c r="C1743" s="13">
        <v>25.8</v>
      </c>
      <c r="D1743" s="14">
        <v>16.100000000000001</v>
      </c>
      <c r="E1743">
        <f t="shared" si="56"/>
        <v>6</v>
      </c>
      <c r="F1743">
        <f t="shared" si="55"/>
        <v>140.20000000000002</v>
      </c>
    </row>
    <row r="1744" spans="1:6" hidden="1" x14ac:dyDescent="0.35">
      <c r="A1744" s="7">
        <v>50383</v>
      </c>
      <c r="B1744" s="8" t="s">
        <v>5</v>
      </c>
      <c r="C1744" s="9">
        <v>19.8</v>
      </c>
      <c r="D1744" s="10">
        <v>6.6</v>
      </c>
      <c r="E1744">
        <f t="shared" si="56"/>
        <v>7</v>
      </c>
      <c r="F1744">
        <f t="shared" si="55"/>
        <v>160.00000000000003</v>
      </c>
    </row>
    <row r="1745" spans="1:6" hidden="1" x14ac:dyDescent="0.35">
      <c r="A1745" s="11">
        <v>50384</v>
      </c>
      <c r="B1745" s="12" t="s">
        <v>18</v>
      </c>
      <c r="C1745" s="13">
        <v>11.2</v>
      </c>
      <c r="D1745" s="14">
        <v>7.5</v>
      </c>
      <c r="E1745">
        <f t="shared" si="56"/>
        <v>1</v>
      </c>
      <c r="F1745">
        <f t="shared" si="55"/>
        <v>11.2</v>
      </c>
    </row>
    <row r="1746" spans="1:6" hidden="1" x14ac:dyDescent="0.35">
      <c r="A1746" s="7">
        <v>50385</v>
      </c>
      <c r="B1746" s="8" t="s">
        <v>10</v>
      </c>
      <c r="C1746" s="9">
        <v>15.7</v>
      </c>
      <c r="D1746" s="10">
        <v>0</v>
      </c>
      <c r="E1746">
        <f t="shared" si="56"/>
        <v>2</v>
      </c>
      <c r="F1746">
        <f t="shared" si="55"/>
        <v>26.9</v>
      </c>
    </row>
    <row r="1747" spans="1:6" hidden="1" x14ac:dyDescent="0.35">
      <c r="A1747" s="11">
        <v>50386</v>
      </c>
      <c r="B1747" s="12" t="s">
        <v>30</v>
      </c>
      <c r="C1747" s="13">
        <v>23.6</v>
      </c>
      <c r="D1747" s="14">
        <v>0.6</v>
      </c>
      <c r="E1747">
        <f t="shared" si="56"/>
        <v>3</v>
      </c>
      <c r="F1747">
        <f t="shared" si="55"/>
        <v>50.5</v>
      </c>
    </row>
    <row r="1748" spans="1:6" hidden="1" x14ac:dyDescent="0.35">
      <c r="A1748" s="7">
        <v>50387</v>
      </c>
      <c r="B1748" s="8" t="s">
        <v>8</v>
      </c>
      <c r="C1748" s="9">
        <v>27.5</v>
      </c>
      <c r="D1748" s="10">
        <v>5.3</v>
      </c>
      <c r="E1748">
        <f t="shared" si="56"/>
        <v>4</v>
      </c>
      <c r="F1748">
        <f t="shared" si="55"/>
        <v>78</v>
      </c>
    </row>
    <row r="1749" spans="1:6" hidden="1" x14ac:dyDescent="0.35">
      <c r="A1749" s="11">
        <v>50388</v>
      </c>
      <c r="B1749" s="12" t="s">
        <v>5</v>
      </c>
      <c r="C1749" s="13">
        <v>17.3</v>
      </c>
      <c r="D1749" s="14">
        <v>0</v>
      </c>
      <c r="E1749">
        <f t="shared" si="56"/>
        <v>5</v>
      </c>
      <c r="F1749">
        <f t="shared" si="55"/>
        <v>95.3</v>
      </c>
    </row>
    <row r="1750" spans="1:6" hidden="1" x14ac:dyDescent="0.35">
      <c r="A1750" s="7">
        <v>50389</v>
      </c>
      <c r="B1750" s="8" t="s">
        <v>19</v>
      </c>
      <c r="C1750" s="9">
        <v>11.2</v>
      </c>
      <c r="D1750" s="10">
        <v>32.700000000000003</v>
      </c>
      <c r="E1750">
        <f t="shared" si="56"/>
        <v>6</v>
      </c>
      <c r="F1750">
        <f t="shared" si="55"/>
        <v>106.5</v>
      </c>
    </row>
    <row r="1751" spans="1:6" hidden="1" x14ac:dyDescent="0.35">
      <c r="A1751" s="11">
        <v>50390</v>
      </c>
      <c r="B1751" s="12" t="s">
        <v>11</v>
      </c>
      <c r="C1751" s="13">
        <v>17.8</v>
      </c>
      <c r="D1751" s="14">
        <v>0</v>
      </c>
      <c r="E1751">
        <f t="shared" si="56"/>
        <v>7</v>
      </c>
      <c r="F1751">
        <f t="shared" si="55"/>
        <v>124.3</v>
      </c>
    </row>
    <row r="1752" spans="1:6" hidden="1" x14ac:dyDescent="0.35">
      <c r="A1752" s="7">
        <v>50391</v>
      </c>
      <c r="B1752" s="8" t="s">
        <v>10</v>
      </c>
      <c r="C1752" s="9">
        <v>16.899999999999999</v>
      </c>
      <c r="D1752" s="10">
        <v>41.8</v>
      </c>
      <c r="E1752">
        <f t="shared" si="56"/>
        <v>1</v>
      </c>
      <c r="F1752">
        <f t="shared" si="55"/>
        <v>16.899999999999999</v>
      </c>
    </row>
    <row r="1753" spans="1:6" hidden="1" x14ac:dyDescent="0.35">
      <c r="A1753" s="11">
        <v>50392</v>
      </c>
      <c r="B1753" s="12" t="s">
        <v>11</v>
      </c>
      <c r="C1753" s="13">
        <v>18.3</v>
      </c>
      <c r="D1753" s="14">
        <v>0</v>
      </c>
      <c r="E1753">
        <f t="shared" si="56"/>
        <v>2</v>
      </c>
      <c r="F1753">
        <f t="shared" si="55"/>
        <v>35.200000000000003</v>
      </c>
    </row>
    <row r="1754" spans="1:6" hidden="1" x14ac:dyDescent="0.35">
      <c r="A1754" s="7">
        <v>50393</v>
      </c>
      <c r="B1754" s="8" t="s">
        <v>17</v>
      </c>
      <c r="C1754" s="9">
        <v>12.2</v>
      </c>
      <c r="D1754" s="10">
        <v>0</v>
      </c>
      <c r="E1754">
        <f t="shared" si="56"/>
        <v>3</v>
      </c>
      <c r="F1754">
        <f t="shared" si="55"/>
        <v>47.400000000000006</v>
      </c>
    </row>
    <row r="1755" spans="1:6" hidden="1" x14ac:dyDescent="0.35">
      <c r="A1755" s="11">
        <v>50394</v>
      </c>
      <c r="B1755" s="12" t="s">
        <v>13</v>
      </c>
      <c r="C1755" s="13">
        <v>21.2</v>
      </c>
      <c r="D1755" s="14">
        <v>0</v>
      </c>
      <c r="E1755">
        <f t="shared" si="56"/>
        <v>4</v>
      </c>
      <c r="F1755">
        <f t="shared" si="55"/>
        <v>68.600000000000009</v>
      </c>
    </row>
    <row r="1756" spans="1:6" hidden="1" x14ac:dyDescent="0.35">
      <c r="A1756" s="7">
        <v>50395</v>
      </c>
      <c r="B1756" s="8" t="s">
        <v>10</v>
      </c>
      <c r="C1756" s="9">
        <v>19.600000000000001</v>
      </c>
      <c r="D1756" s="10">
        <v>48.2</v>
      </c>
      <c r="E1756">
        <f t="shared" si="56"/>
        <v>5</v>
      </c>
      <c r="F1756">
        <f t="shared" si="55"/>
        <v>88.200000000000017</v>
      </c>
    </row>
    <row r="1757" spans="1:6" hidden="1" x14ac:dyDescent="0.35">
      <c r="A1757" s="11">
        <v>50396</v>
      </c>
      <c r="B1757" s="12" t="s">
        <v>9</v>
      </c>
      <c r="C1757" s="13">
        <v>15.6</v>
      </c>
      <c r="D1757" s="14">
        <v>0.6</v>
      </c>
      <c r="E1757">
        <f t="shared" si="56"/>
        <v>6</v>
      </c>
      <c r="F1757">
        <f t="shared" si="55"/>
        <v>103.80000000000001</v>
      </c>
    </row>
    <row r="1758" spans="1:6" hidden="1" x14ac:dyDescent="0.35">
      <c r="A1758" s="7">
        <v>50397</v>
      </c>
      <c r="B1758" s="8" t="s">
        <v>26</v>
      </c>
      <c r="C1758" s="9">
        <v>12.5</v>
      </c>
      <c r="D1758" s="10">
        <v>5.9</v>
      </c>
      <c r="E1758">
        <f t="shared" si="56"/>
        <v>7</v>
      </c>
      <c r="F1758">
        <f t="shared" si="55"/>
        <v>116.30000000000001</v>
      </c>
    </row>
    <row r="1759" spans="1:6" hidden="1" x14ac:dyDescent="0.35">
      <c r="A1759" s="11">
        <v>50398</v>
      </c>
      <c r="B1759" s="12" t="s">
        <v>12</v>
      </c>
      <c r="C1759" s="13">
        <v>29.3</v>
      </c>
      <c r="D1759" s="14">
        <v>0</v>
      </c>
      <c r="E1759">
        <f t="shared" si="56"/>
        <v>1</v>
      </c>
      <c r="F1759">
        <f t="shared" si="55"/>
        <v>29.3</v>
      </c>
    </row>
    <row r="1760" spans="1:6" hidden="1" x14ac:dyDescent="0.35">
      <c r="A1760" s="7">
        <v>50399</v>
      </c>
      <c r="B1760" s="8" t="s">
        <v>18</v>
      </c>
      <c r="C1760" s="9">
        <v>24.6</v>
      </c>
      <c r="D1760" s="10">
        <v>0</v>
      </c>
      <c r="E1760">
        <f t="shared" si="56"/>
        <v>2</v>
      </c>
      <c r="F1760">
        <f t="shared" si="55"/>
        <v>53.900000000000006</v>
      </c>
    </row>
    <row r="1761" spans="1:6" hidden="1" x14ac:dyDescent="0.35">
      <c r="A1761" s="11">
        <v>50400</v>
      </c>
      <c r="B1761" s="12" t="s">
        <v>9</v>
      </c>
      <c r="C1761" s="13">
        <v>21.2</v>
      </c>
      <c r="D1761" s="14">
        <v>3.1</v>
      </c>
      <c r="E1761">
        <f t="shared" si="56"/>
        <v>3</v>
      </c>
      <c r="F1761">
        <f t="shared" si="55"/>
        <v>75.100000000000009</v>
      </c>
    </row>
    <row r="1762" spans="1:6" hidden="1" x14ac:dyDescent="0.35">
      <c r="A1762" s="7">
        <v>50401</v>
      </c>
      <c r="B1762" s="8" t="s">
        <v>10</v>
      </c>
      <c r="C1762" s="9">
        <v>12.7</v>
      </c>
      <c r="D1762" s="10">
        <v>38.1</v>
      </c>
      <c r="E1762">
        <f t="shared" si="56"/>
        <v>4</v>
      </c>
      <c r="F1762">
        <f t="shared" si="55"/>
        <v>87.800000000000011</v>
      </c>
    </row>
    <row r="1763" spans="1:6" hidden="1" x14ac:dyDescent="0.35">
      <c r="A1763" s="11">
        <v>50402</v>
      </c>
      <c r="B1763" s="12" t="s">
        <v>23</v>
      </c>
      <c r="C1763" s="13">
        <v>20.6</v>
      </c>
      <c r="D1763" s="14">
        <v>5.2</v>
      </c>
      <c r="E1763">
        <f t="shared" si="56"/>
        <v>5</v>
      </c>
      <c r="F1763">
        <f t="shared" si="55"/>
        <v>108.4</v>
      </c>
    </row>
    <row r="1764" spans="1:6" hidden="1" x14ac:dyDescent="0.35">
      <c r="A1764" s="7">
        <v>50403</v>
      </c>
      <c r="B1764" s="8" t="s">
        <v>12</v>
      </c>
      <c r="C1764" s="9">
        <v>28.3</v>
      </c>
      <c r="D1764" s="10">
        <v>0</v>
      </c>
      <c r="E1764">
        <f t="shared" si="56"/>
        <v>6</v>
      </c>
      <c r="F1764">
        <f t="shared" si="55"/>
        <v>136.70000000000002</v>
      </c>
    </row>
    <row r="1765" spans="1:6" hidden="1" x14ac:dyDescent="0.35">
      <c r="A1765" s="11">
        <v>50404</v>
      </c>
      <c r="B1765" s="12" t="s">
        <v>19</v>
      </c>
      <c r="C1765" s="13">
        <v>15.1</v>
      </c>
      <c r="D1765" s="14">
        <v>22.6</v>
      </c>
      <c r="E1765">
        <f t="shared" si="56"/>
        <v>7</v>
      </c>
      <c r="F1765">
        <f t="shared" si="55"/>
        <v>151.80000000000001</v>
      </c>
    </row>
    <row r="1766" spans="1:6" hidden="1" x14ac:dyDescent="0.35">
      <c r="A1766" s="7">
        <v>50405</v>
      </c>
      <c r="B1766" s="8" t="s">
        <v>15</v>
      </c>
      <c r="C1766" s="9">
        <v>24.8</v>
      </c>
      <c r="D1766" s="10">
        <v>10.5</v>
      </c>
      <c r="E1766">
        <f t="shared" si="56"/>
        <v>1</v>
      </c>
      <c r="F1766">
        <f t="shared" si="55"/>
        <v>24.8</v>
      </c>
    </row>
    <row r="1767" spans="1:6" hidden="1" x14ac:dyDescent="0.35">
      <c r="A1767" s="11">
        <v>50406</v>
      </c>
      <c r="B1767" s="12" t="s">
        <v>21</v>
      </c>
      <c r="C1767" s="13">
        <v>16.899999999999999</v>
      </c>
      <c r="D1767" s="14">
        <v>1.2</v>
      </c>
      <c r="E1767">
        <f t="shared" si="56"/>
        <v>2</v>
      </c>
      <c r="F1767">
        <f t="shared" si="55"/>
        <v>41.7</v>
      </c>
    </row>
    <row r="1768" spans="1:6" hidden="1" x14ac:dyDescent="0.35">
      <c r="A1768" s="7">
        <v>50407</v>
      </c>
      <c r="B1768" s="8" t="s">
        <v>21</v>
      </c>
      <c r="C1768" s="9">
        <v>23.4</v>
      </c>
      <c r="D1768" s="10">
        <v>0</v>
      </c>
      <c r="E1768">
        <f t="shared" si="56"/>
        <v>3</v>
      </c>
      <c r="F1768">
        <f t="shared" si="55"/>
        <v>65.099999999999994</v>
      </c>
    </row>
    <row r="1769" spans="1:6" hidden="1" x14ac:dyDescent="0.35">
      <c r="A1769" s="11">
        <v>50408</v>
      </c>
      <c r="B1769" s="12" t="s">
        <v>7</v>
      </c>
      <c r="C1769" s="13">
        <v>10.5</v>
      </c>
      <c r="D1769" s="14">
        <v>22.2</v>
      </c>
      <c r="E1769">
        <f t="shared" si="56"/>
        <v>4</v>
      </c>
      <c r="F1769">
        <f t="shared" si="55"/>
        <v>75.599999999999994</v>
      </c>
    </row>
    <row r="1770" spans="1:6" hidden="1" x14ac:dyDescent="0.35">
      <c r="A1770" s="7">
        <v>50409</v>
      </c>
      <c r="B1770" s="8" t="s">
        <v>10</v>
      </c>
      <c r="C1770" s="9">
        <v>16.2</v>
      </c>
      <c r="D1770" s="10">
        <v>0</v>
      </c>
      <c r="E1770">
        <f t="shared" si="56"/>
        <v>5</v>
      </c>
      <c r="F1770">
        <f t="shared" si="55"/>
        <v>91.8</v>
      </c>
    </row>
    <row r="1771" spans="1:6" hidden="1" x14ac:dyDescent="0.35">
      <c r="A1771" s="11">
        <v>50410</v>
      </c>
      <c r="B1771" s="12" t="s">
        <v>16</v>
      </c>
      <c r="C1771" s="13">
        <v>29.7</v>
      </c>
      <c r="D1771" s="14">
        <v>0.3</v>
      </c>
      <c r="E1771">
        <f t="shared" si="56"/>
        <v>6</v>
      </c>
      <c r="F1771">
        <f t="shared" si="55"/>
        <v>121.5</v>
      </c>
    </row>
    <row r="1772" spans="1:6" hidden="1" x14ac:dyDescent="0.35">
      <c r="A1772" s="7">
        <v>50411</v>
      </c>
      <c r="B1772" s="8" t="s">
        <v>10</v>
      </c>
      <c r="C1772" s="9">
        <v>12.8</v>
      </c>
      <c r="D1772" s="10">
        <v>0</v>
      </c>
      <c r="E1772">
        <f t="shared" si="56"/>
        <v>7</v>
      </c>
      <c r="F1772">
        <f t="shared" si="55"/>
        <v>134.30000000000001</v>
      </c>
    </row>
    <row r="1773" spans="1:6" hidden="1" x14ac:dyDescent="0.35">
      <c r="A1773" s="11">
        <v>50412</v>
      </c>
      <c r="B1773" s="12" t="s">
        <v>8</v>
      </c>
      <c r="C1773" s="13">
        <v>19.100000000000001</v>
      </c>
      <c r="D1773" s="14">
        <v>1.7</v>
      </c>
      <c r="E1773">
        <f t="shared" si="56"/>
        <v>1</v>
      </c>
      <c r="F1773">
        <f t="shared" si="55"/>
        <v>19.100000000000001</v>
      </c>
    </row>
    <row r="1774" spans="1:6" hidden="1" x14ac:dyDescent="0.35">
      <c r="A1774" s="7">
        <v>50413</v>
      </c>
      <c r="B1774" s="8" t="s">
        <v>11</v>
      </c>
      <c r="C1774" s="9">
        <v>27.7</v>
      </c>
      <c r="D1774" s="10">
        <v>0</v>
      </c>
      <c r="E1774">
        <f t="shared" si="56"/>
        <v>2</v>
      </c>
      <c r="F1774">
        <f t="shared" si="55"/>
        <v>46.8</v>
      </c>
    </row>
    <row r="1775" spans="1:6" hidden="1" x14ac:dyDescent="0.35">
      <c r="A1775" s="11">
        <v>50414</v>
      </c>
      <c r="B1775" s="12" t="s">
        <v>14</v>
      </c>
      <c r="C1775" s="13">
        <v>22</v>
      </c>
      <c r="D1775" s="14">
        <v>5.9</v>
      </c>
      <c r="E1775">
        <f t="shared" si="56"/>
        <v>3</v>
      </c>
      <c r="F1775">
        <f t="shared" si="55"/>
        <v>68.8</v>
      </c>
    </row>
    <row r="1776" spans="1:6" hidden="1" x14ac:dyDescent="0.35">
      <c r="A1776" s="7">
        <v>50415</v>
      </c>
      <c r="B1776" s="8" t="s">
        <v>6</v>
      </c>
      <c r="C1776" s="9">
        <v>19.600000000000001</v>
      </c>
      <c r="D1776" s="10">
        <v>2.7</v>
      </c>
      <c r="E1776">
        <f t="shared" si="56"/>
        <v>4</v>
      </c>
      <c r="F1776">
        <f t="shared" si="55"/>
        <v>88.4</v>
      </c>
    </row>
    <row r="1777" spans="1:6" hidden="1" x14ac:dyDescent="0.35">
      <c r="A1777" s="11">
        <v>50416</v>
      </c>
      <c r="B1777" s="12" t="s">
        <v>8</v>
      </c>
      <c r="C1777" s="13">
        <v>16</v>
      </c>
      <c r="D1777" s="14">
        <v>0.3</v>
      </c>
      <c r="E1777">
        <f t="shared" si="56"/>
        <v>5</v>
      </c>
      <c r="F1777">
        <f t="shared" si="55"/>
        <v>104.4</v>
      </c>
    </row>
    <row r="1778" spans="1:6" hidden="1" x14ac:dyDescent="0.35">
      <c r="A1778" s="7">
        <v>50417</v>
      </c>
      <c r="B1778" s="8" t="s">
        <v>5</v>
      </c>
      <c r="C1778" s="9">
        <v>14</v>
      </c>
      <c r="D1778" s="10">
        <v>1.3</v>
      </c>
      <c r="E1778">
        <f t="shared" si="56"/>
        <v>6</v>
      </c>
      <c r="F1778">
        <f t="shared" si="55"/>
        <v>118.4</v>
      </c>
    </row>
    <row r="1779" spans="1:6" hidden="1" x14ac:dyDescent="0.35">
      <c r="A1779" s="11">
        <v>50418</v>
      </c>
      <c r="B1779" s="12" t="s">
        <v>15</v>
      </c>
      <c r="C1779" s="13">
        <v>29.5</v>
      </c>
      <c r="D1779" s="14">
        <v>3.3</v>
      </c>
      <c r="E1779">
        <f t="shared" si="56"/>
        <v>7</v>
      </c>
      <c r="F1779">
        <f t="shared" si="55"/>
        <v>147.9</v>
      </c>
    </row>
    <row r="1780" spans="1:6" hidden="1" x14ac:dyDescent="0.35">
      <c r="A1780" s="7">
        <v>50419</v>
      </c>
      <c r="B1780" s="8" t="s">
        <v>7</v>
      </c>
      <c r="C1780" s="9">
        <v>12.2</v>
      </c>
      <c r="D1780" s="10">
        <v>0</v>
      </c>
      <c r="E1780">
        <f t="shared" si="56"/>
        <v>1</v>
      </c>
      <c r="F1780">
        <f t="shared" si="55"/>
        <v>12.2</v>
      </c>
    </row>
    <row r="1781" spans="1:6" hidden="1" x14ac:dyDescent="0.35">
      <c r="A1781" s="11">
        <v>50420</v>
      </c>
      <c r="B1781" s="12" t="s">
        <v>11</v>
      </c>
      <c r="C1781" s="13">
        <v>15</v>
      </c>
      <c r="D1781" s="14">
        <v>7.4</v>
      </c>
      <c r="E1781">
        <f t="shared" si="56"/>
        <v>2</v>
      </c>
      <c r="F1781">
        <f t="shared" si="55"/>
        <v>27.2</v>
      </c>
    </row>
    <row r="1782" spans="1:6" hidden="1" x14ac:dyDescent="0.35">
      <c r="A1782" s="7">
        <v>50421</v>
      </c>
      <c r="B1782" s="8" t="s">
        <v>20</v>
      </c>
      <c r="C1782" s="9">
        <v>10.4</v>
      </c>
      <c r="D1782" s="10">
        <v>2</v>
      </c>
      <c r="E1782">
        <f t="shared" si="56"/>
        <v>3</v>
      </c>
      <c r="F1782">
        <f t="shared" si="55"/>
        <v>37.6</v>
      </c>
    </row>
    <row r="1783" spans="1:6" hidden="1" x14ac:dyDescent="0.35">
      <c r="A1783" s="11">
        <v>50422</v>
      </c>
      <c r="B1783" s="12" t="s">
        <v>19</v>
      </c>
      <c r="C1783" s="13">
        <v>18.600000000000001</v>
      </c>
      <c r="D1783" s="14">
        <v>4.5999999999999996</v>
      </c>
      <c r="E1783">
        <f t="shared" si="56"/>
        <v>4</v>
      </c>
      <c r="F1783">
        <f t="shared" si="55"/>
        <v>56.2</v>
      </c>
    </row>
    <row r="1784" spans="1:6" hidden="1" x14ac:dyDescent="0.35">
      <c r="A1784" s="7">
        <v>50423</v>
      </c>
      <c r="B1784" s="8" t="s">
        <v>18</v>
      </c>
      <c r="C1784" s="9">
        <v>23.7</v>
      </c>
      <c r="D1784" s="10">
        <v>7.2</v>
      </c>
      <c r="E1784">
        <f t="shared" si="56"/>
        <v>5</v>
      </c>
      <c r="F1784">
        <f t="shared" si="55"/>
        <v>79.900000000000006</v>
      </c>
    </row>
    <row r="1785" spans="1:6" hidden="1" x14ac:dyDescent="0.35">
      <c r="A1785" s="11">
        <v>50424</v>
      </c>
      <c r="B1785" s="12" t="s">
        <v>5</v>
      </c>
      <c r="C1785" s="13">
        <v>27.2</v>
      </c>
      <c r="D1785" s="14">
        <v>0</v>
      </c>
      <c r="E1785">
        <f t="shared" si="56"/>
        <v>6</v>
      </c>
      <c r="F1785">
        <f t="shared" si="55"/>
        <v>107.10000000000001</v>
      </c>
    </row>
    <row r="1786" spans="1:6" hidden="1" x14ac:dyDescent="0.35">
      <c r="A1786" s="7">
        <v>50425</v>
      </c>
      <c r="B1786" s="8" t="s">
        <v>15</v>
      </c>
      <c r="C1786" s="9">
        <v>11.3</v>
      </c>
      <c r="D1786" s="10">
        <v>18.8</v>
      </c>
      <c r="E1786">
        <f t="shared" si="56"/>
        <v>7</v>
      </c>
      <c r="F1786">
        <f t="shared" si="55"/>
        <v>118.4</v>
      </c>
    </row>
    <row r="1787" spans="1:6" hidden="1" x14ac:dyDescent="0.35">
      <c r="A1787" s="11">
        <v>50426</v>
      </c>
      <c r="B1787" s="12" t="s">
        <v>7</v>
      </c>
      <c r="C1787" s="13">
        <v>22.1</v>
      </c>
      <c r="D1787" s="14">
        <v>0</v>
      </c>
      <c r="E1787">
        <f t="shared" si="56"/>
        <v>1</v>
      </c>
      <c r="F1787">
        <f t="shared" si="55"/>
        <v>22.1</v>
      </c>
    </row>
    <row r="1788" spans="1:6" hidden="1" x14ac:dyDescent="0.35">
      <c r="A1788" s="7">
        <v>50427</v>
      </c>
      <c r="B1788" s="8" t="s">
        <v>12</v>
      </c>
      <c r="C1788" s="9">
        <v>11</v>
      </c>
      <c r="D1788" s="10">
        <v>0</v>
      </c>
      <c r="E1788">
        <f t="shared" si="56"/>
        <v>2</v>
      </c>
      <c r="F1788">
        <f t="shared" si="55"/>
        <v>33.1</v>
      </c>
    </row>
    <row r="1789" spans="1:6" hidden="1" x14ac:dyDescent="0.35">
      <c r="A1789" s="11">
        <v>50428</v>
      </c>
      <c r="B1789" s="12" t="s">
        <v>19</v>
      </c>
      <c r="C1789" s="13">
        <v>14.7</v>
      </c>
      <c r="D1789" s="14">
        <v>0</v>
      </c>
      <c r="E1789">
        <f t="shared" si="56"/>
        <v>3</v>
      </c>
      <c r="F1789">
        <f t="shared" si="55"/>
        <v>47.8</v>
      </c>
    </row>
    <row r="1790" spans="1:6" hidden="1" x14ac:dyDescent="0.35">
      <c r="A1790" s="7">
        <v>50429</v>
      </c>
      <c r="B1790" s="8" t="s">
        <v>19</v>
      </c>
      <c r="C1790" s="9">
        <v>10.4</v>
      </c>
      <c r="D1790" s="10">
        <v>14.4</v>
      </c>
      <c r="E1790">
        <f t="shared" si="56"/>
        <v>4</v>
      </c>
      <c r="F1790">
        <f t="shared" si="55"/>
        <v>58.199999999999996</v>
      </c>
    </row>
    <row r="1791" spans="1:6" hidden="1" x14ac:dyDescent="0.35">
      <c r="A1791" s="11">
        <v>50430</v>
      </c>
      <c r="B1791" s="12" t="s">
        <v>24</v>
      </c>
      <c r="C1791" s="13">
        <v>29.6</v>
      </c>
      <c r="D1791" s="14">
        <v>2.8</v>
      </c>
      <c r="E1791">
        <f t="shared" si="56"/>
        <v>5</v>
      </c>
      <c r="F1791">
        <f t="shared" si="55"/>
        <v>87.8</v>
      </c>
    </row>
    <row r="1792" spans="1:6" hidden="1" x14ac:dyDescent="0.35">
      <c r="A1792" s="7">
        <v>50431</v>
      </c>
      <c r="B1792" s="8" t="s">
        <v>18</v>
      </c>
      <c r="C1792" s="9">
        <v>11.3</v>
      </c>
      <c r="D1792" s="10">
        <v>7.2</v>
      </c>
      <c r="E1792">
        <f t="shared" si="56"/>
        <v>6</v>
      </c>
      <c r="F1792">
        <f t="shared" si="55"/>
        <v>99.1</v>
      </c>
    </row>
    <row r="1793" spans="1:6" hidden="1" x14ac:dyDescent="0.35">
      <c r="A1793" s="11">
        <v>50432</v>
      </c>
      <c r="B1793" s="12" t="s">
        <v>20</v>
      </c>
      <c r="C1793" s="13">
        <v>22.4</v>
      </c>
      <c r="D1793" s="14">
        <v>0</v>
      </c>
      <c r="E1793">
        <f t="shared" si="56"/>
        <v>7</v>
      </c>
      <c r="F1793">
        <f t="shared" si="55"/>
        <v>121.5</v>
      </c>
    </row>
    <row r="1794" spans="1:6" hidden="1" x14ac:dyDescent="0.35">
      <c r="A1794" s="7">
        <v>50433</v>
      </c>
      <c r="B1794" s="8" t="s">
        <v>19</v>
      </c>
      <c r="C1794" s="9">
        <v>19.600000000000001</v>
      </c>
      <c r="D1794" s="10">
        <v>28.7</v>
      </c>
      <c r="E1794">
        <f t="shared" si="56"/>
        <v>1</v>
      </c>
      <c r="F1794">
        <f t="shared" si="55"/>
        <v>19.600000000000001</v>
      </c>
    </row>
    <row r="1795" spans="1:6" hidden="1" x14ac:dyDescent="0.35">
      <c r="A1795" s="11">
        <v>50434</v>
      </c>
      <c r="B1795" s="12" t="s">
        <v>6</v>
      </c>
      <c r="C1795" s="13">
        <v>28.5</v>
      </c>
      <c r="D1795" s="14">
        <v>12.9</v>
      </c>
      <c r="E1795">
        <f t="shared" si="56"/>
        <v>2</v>
      </c>
      <c r="F1795">
        <f t="shared" si="55"/>
        <v>48.1</v>
      </c>
    </row>
    <row r="1796" spans="1:6" hidden="1" x14ac:dyDescent="0.35">
      <c r="A1796" s="7">
        <v>50435</v>
      </c>
      <c r="B1796" s="8" t="s">
        <v>24</v>
      </c>
      <c r="C1796" s="9">
        <v>10.9</v>
      </c>
      <c r="D1796" s="10">
        <v>0</v>
      </c>
      <c r="E1796">
        <f t="shared" si="56"/>
        <v>3</v>
      </c>
      <c r="F1796">
        <f t="shared" ref="F1796:F1859" si="57">IF(E1795=7,C1796,C1796+F1795)</f>
        <v>59</v>
      </c>
    </row>
    <row r="1797" spans="1:6" hidden="1" x14ac:dyDescent="0.35">
      <c r="A1797" s="11">
        <v>50436</v>
      </c>
      <c r="B1797" s="12" t="s">
        <v>13</v>
      </c>
      <c r="C1797" s="13">
        <v>13.4</v>
      </c>
      <c r="D1797" s="14">
        <v>15.7</v>
      </c>
      <c r="E1797">
        <f t="shared" si="56"/>
        <v>4</v>
      </c>
      <c r="F1797">
        <f t="shared" si="57"/>
        <v>72.400000000000006</v>
      </c>
    </row>
    <row r="1798" spans="1:6" hidden="1" x14ac:dyDescent="0.35">
      <c r="A1798" s="7">
        <v>50437</v>
      </c>
      <c r="B1798" s="8" t="s">
        <v>19</v>
      </c>
      <c r="C1798" s="9">
        <v>27.3</v>
      </c>
      <c r="D1798" s="10">
        <v>0</v>
      </c>
      <c r="E1798">
        <f t="shared" si="56"/>
        <v>5</v>
      </c>
      <c r="F1798">
        <f t="shared" si="57"/>
        <v>99.7</v>
      </c>
    </row>
    <row r="1799" spans="1:6" hidden="1" x14ac:dyDescent="0.35">
      <c r="A1799" s="11">
        <v>50438</v>
      </c>
      <c r="B1799" s="12" t="s">
        <v>9</v>
      </c>
      <c r="C1799" s="13">
        <v>23.6</v>
      </c>
      <c r="D1799" s="14">
        <v>0</v>
      </c>
      <c r="E1799">
        <f t="shared" si="56"/>
        <v>6</v>
      </c>
      <c r="F1799">
        <f t="shared" si="57"/>
        <v>123.30000000000001</v>
      </c>
    </row>
    <row r="1800" spans="1:6" hidden="1" x14ac:dyDescent="0.35">
      <c r="A1800" s="7">
        <v>50439</v>
      </c>
      <c r="B1800" s="8" t="s">
        <v>7</v>
      </c>
      <c r="C1800" s="9">
        <v>26.5</v>
      </c>
      <c r="D1800" s="10">
        <v>20.3</v>
      </c>
      <c r="E1800">
        <f t="shared" si="56"/>
        <v>7</v>
      </c>
      <c r="F1800">
        <f t="shared" si="57"/>
        <v>149.80000000000001</v>
      </c>
    </row>
    <row r="1801" spans="1:6" hidden="1" x14ac:dyDescent="0.35">
      <c r="A1801" s="11">
        <v>50440</v>
      </c>
      <c r="B1801" s="12" t="s">
        <v>9</v>
      </c>
      <c r="C1801" s="13">
        <v>23.6</v>
      </c>
      <c r="D1801" s="14">
        <v>6.5</v>
      </c>
      <c r="E1801">
        <f t="shared" si="56"/>
        <v>1</v>
      </c>
      <c r="F1801">
        <f t="shared" si="57"/>
        <v>23.6</v>
      </c>
    </row>
    <row r="1802" spans="1:6" hidden="1" x14ac:dyDescent="0.35">
      <c r="A1802" s="7">
        <v>50441</v>
      </c>
      <c r="B1802" s="8" t="s">
        <v>11</v>
      </c>
      <c r="C1802" s="9">
        <v>22.4</v>
      </c>
      <c r="D1802" s="10">
        <v>13.3</v>
      </c>
      <c r="E1802">
        <f t="shared" ref="E1802:E1865" si="58">IF(E1801=7,1,E1801+1)</f>
        <v>2</v>
      </c>
      <c r="F1802">
        <f t="shared" si="57"/>
        <v>46</v>
      </c>
    </row>
    <row r="1803" spans="1:6" hidden="1" x14ac:dyDescent="0.35">
      <c r="A1803" s="11">
        <v>50442</v>
      </c>
      <c r="B1803" s="12" t="s">
        <v>18</v>
      </c>
      <c r="C1803" s="13">
        <v>22</v>
      </c>
      <c r="D1803" s="14">
        <v>15.5</v>
      </c>
      <c r="E1803">
        <f t="shared" si="58"/>
        <v>3</v>
      </c>
      <c r="F1803">
        <f t="shared" si="57"/>
        <v>68</v>
      </c>
    </row>
    <row r="1804" spans="1:6" hidden="1" x14ac:dyDescent="0.35">
      <c r="A1804" s="7">
        <v>50443</v>
      </c>
      <c r="B1804" s="8" t="s">
        <v>27</v>
      </c>
      <c r="C1804" s="9">
        <v>10.8</v>
      </c>
      <c r="D1804" s="10">
        <v>0.4</v>
      </c>
      <c r="E1804">
        <f t="shared" si="58"/>
        <v>4</v>
      </c>
      <c r="F1804">
        <f t="shared" si="57"/>
        <v>78.8</v>
      </c>
    </row>
    <row r="1805" spans="1:6" hidden="1" x14ac:dyDescent="0.35">
      <c r="A1805" s="11">
        <v>50444</v>
      </c>
      <c r="B1805" s="12" t="s">
        <v>15</v>
      </c>
      <c r="C1805" s="13">
        <v>21.6</v>
      </c>
      <c r="D1805" s="14">
        <v>0</v>
      </c>
      <c r="E1805">
        <f t="shared" si="58"/>
        <v>5</v>
      </c>
      <c r="F1805">
        <f t="shared" si="57"/>
        <v>100.4</v>
      </c>
    </row>
    <row r="1806" spans="1:6" hidden="1" x14ac:dyDescent="0.35">
      <c r="A1806" s="7">
        <v>50445</v>
      </c>
      <c r="B1806" s="8" t="s">
        <v>8</v>
      </c>
      <c r="C1806" s="9">
        <v>10.1</v>
      </c>
      <c r="D1806" s="10">
        <v>0</v>
      </c>
      <c r="E1806">
        <f t="shared" si="58"/>
        <v>6</v>
      </c>
      <c r="F1806">
        <f t="shared" si="57"/>
        <v>110.5</v>
      </c>
    </row>
    <row r="1807" spans="1:6" hidden="1" x14ac:dyDescent="0.35">
      <c r="A1807" s="11">
        <v>50446</v>
      </c>
      <c r="B1807" s="12" t="s">
        <v>11</v>
      </c>
      <c r="C1807" s="13">
        <v>29</v>
      </c>
      <c r="D1807" s="14">
        <v>12.6</v>
      </c>
      <c r="E1807">
        <f t="shared" si="58"/>
        <v>7</v>
      </c>
      <c r="F1807">
        <f t="shared" si="57"/>
        <v>139.5</v>
      </c>
    </row>
    <row r="1808" spans="1:6" hidden="1" x14ac:dyDescent="0.35">
      <c r="A1808" s="7">
        <v>50447</v>
      </c>
      <c r="B1808" s="8" t="s">
        <v>8</v>
      </c>
      <c r="C1808" s="9">
        <v>16.399999999999999</v>
      </c>
      <c r="D1808" s="10">
        <v>3.7</v>
      </c>
      <c r="E1808">
        <f t="shared" si="58"/>
        <v>1</v>
      </c>
      <c r="F1808">
        <f t="shared" si="57"/>
        <v>16.399999999999999</v>
      </c>
    </row>
    <row r="1809" spans="1:6" hidden="1" x14ac:dyDescent="0.35">
      <c r="A1809" s="11">
        <v>50448</v>
      </c>
      <c r="B1809" s="12" t="s">
        <v>19</v>
      </c>
      <c r="C1809" s="13">
        <v>13.5</v>
      </c>
      <c r="D1809" s="14">
        <v>38.5</v>
      </c>
      <c r="E1809">
        <f t="shared" si="58"/>
        <v>2</v>
      </c>
      <c r="F1809">
        <f t="shared" si="57"/>
        <v>29.9</v>
      </c>
    </row>
    <row r="1810" spans="1:6" hidden="1" x14ac:dyDescent="0.35">
      <c r="A1810" s="7">
        <v>50449</v>
      </c>
      <c r="B1810" s="8" t="s">
        <v>14</v>
      </c>
      <c r="C1810" s="9">
        <v>18.100000000000001</v>
      </c>
      <c r="D1810" s="10">
        <v>3</v>
      </c>
      <c r="E1810">
        <f t="shared" si="58"/>
        <v>3</v>
      </c>
      <c r="F1810">
        <f t="shared" si="57"/>
        <v>48</v>
      </c>
    </row>
    <row r="1811" spans="1:6" hidden="1" x14ac:dyDescent="0.35">
      <c r="A1811" s="11">
        <v>50450</v>
      </c>
      <c r="B1811" s="12" t="s">
        <v>7</v>
      </c>
      <c r="C1811" s="13">
        <v>20.399999999999999</v>
      </c>
      <c r="D1811" s="14">
        <v>11.7</v>
      </c>
      <c r="E1811">
        <f t="shared" si="58"/>
        <v>4</v>
      </c>
      <c r="F1811">
        <f t="shared" si="57"/>
        <v>68.400000000000006</v>
      </c>
    </row>
    <row r="1812" spans="1:6" hidden="1" x14ac:dyDescent="0.35">
      <c r="A1812" s="7">
        <v>50451</v>
      </c>
      <c r="B1812" s="8" t="s">
        <v>15</v>
      </c>
      <c r="C1812" s="9">
        <v>29.6</v>
      </c>
      <c r="D1812" s="10">
        <v>0.9</v>
      </c>
      <c r="E1812">
        <f t="shared" si="58"/>
        <v>5</v>
      </c>
      <c r="F1812">
        <f t="shared" si="57"/>
        <v>98</v>
      </c>
    </row>
    <row r="1813" spans="1:6" hidden="1" x14ac:dyDescent="0.35">
      <c r="A1813" s="11">
        <v>50452</v>
      </c>
      <c r="B1813" s="12" t="s">
        <v>32</v>
      </c>
      <c r="C1813" s="13">
        <v>11.4</v>
      </c>
      <c r="D1813" s="14">
        <v>0.6</v>
      </c>
      <c r="E1813">
        <f t="shared" si="58"/>
        <v>6</v>
      </c>
      <c r="F1813">
        <f t="shared" si="57"/>
        <v>109.4</v>
      </c>
    </row>
    <row r="1814" spans="1:6" hidden="1" x14ac:dyDescent="0.35">
      <c r="A1814" s="7">
        <v>50453</v>
      </c>
      <c r="B1814" s="8" t="s">
        <v>11</v>
      </c>
      <c r="C1814" s="9">
        <v>28.8</v>
      </c>
      <c r="D1814" s="10">
        <v>14.1</v>
      </c>
      <c r="E1814">
        <f t="shared" si="58"/>
        <v>7</v>
      </c>
      <c r="F1814">
        <f t="shared" si="57"/>
        <v>138.20000000000002</v>
      </c>
    </row>
    <row r="1815" spans="1:6" hidden="1" x14ac:dyDescent="0.35">
      <c r="A1815" s="11">
        <v>50454</v>
      </c>
      <c r="B1815" s="12" t="s">
        <v>10</v>
      </c>
      <c r="C1815" s="13">
        <v>11.8</v>
      </c>
      <c r="D1815" s="14">
        <v>42.4</v>
      </c>
      <c r="E1815">
        <f t="shared" si="58"/>
        <v>1</v>
      </c>
      <c r="F1815">
        <f t="shared" si="57"/>
        <v>11.8</v>
      </c>
    </row>
    <row r="1816" spans="1:6" hidden="1" x14ac:dyDescent="0.35">
      <c r="A1816" s="7">
        <v>50455</v>
      </c>
      <c r="B1816" s="8" t="s">
        <v>7</v>
      </c>
      <c r="C1816" s="9">
        <v>11.5</v>
      </c>
      <c r="D1816" s="10">
        <v>10.1</v>
      </c>
      <c r="E1816">
        <f t="shared" si="58"/>
        <v>2</v>
      </c>
      <c r="F1816">
        <f t="shared" si="57"/>
        <v>23.3</v>
      </c>
    </row>
    <row r="1817" spans="1:6" hidden="1" x14ac:dyDescent="0.35">
      <c r="A1817" s="11">
        <v>50456</v>
      </c>
      <c r="B1817" s="12" t="s">
        <v>13</v>
      </c>
      <c r="C1817" s="13">
        <v>13.6</v>
      </c>
      <c r="D1817" s="14">
        <v>8.4</v>
      </c>
      <c r="E1817">
        <f t="shared" si="58"/>
        <v>3</v>
      </c>
      <c r="F1817">
        <f t="shared" si="57"/>
        <v>36.9</v>
      </c>
    </row>
    <row r="1818" spans="1:6" hidden="1" x14ac:dyDescent="0.35">
      <c r="A1818" s="7">
        <v>50457</v>
      </c>
      <c r="B1818" s="8" t="s">
        <v>31</v>
      </c>
      <c r="C1818" s="9">
        <v>14.1</v>
      </c>
      <c r="D1818" s="10">
        <v>0.7</v>
      </c>
      <c r="E1818">
        <f t="shared" si="58"/>
        <v>4</v>
      </c>
      <c r="F1818">
        <f t="shared" si="57"/>
        <v>51</v>
      </c>
    </row>
    <row r="1819" spans="1:6" hidden="1" x14ac:dyDescent="0.35">
      <c r="A1819" s="11">
        <v>50458</v>
      </c>
      <c r="B1819" s="12" t="s">
        <v>19</v>
      </c>
      <c r="C1819" s="13">
        <v>19.399999999999999</v>
      </c>
      <c r="D1819" s="14">
        <v>32.700000000000003</v>
      </c>
      <c r="E1819">
        <f t="shared" si="58"/>
        <v>5</v>
      </c>
      <c r="F1819">
        <f t="shared" si="57"/>
        <v>70.400000000000006</v>
      </c>
    </row>
    <row r="1820" spans="1:6" hidden="1" x14ac:dyDescent="0.35">
      <c r="A1820" s="7">
        <v>50459</v>
      </c>
      <c r="B1820" s="8" t="s">
        <v>33</v>
      </c>
      <c r="C1820" s="9">
        <v>28.5</v>
      </c>
      <c r="D1820" s="10">
        <v>0</v>
      </c>
      <c r="E1820">
        <f t="shared" si="58"/>
        <v>6</v>
      </c>
      <c r="F1820">
        <f t="shared" si="57"/>
        <v>98.9</v>
      </c>
    </row>
    <row r="1821" spans="1:6" hidden="1" x14ac:dyDescent="0.35">
      <c r="A1821" s="11">
        <v>50460</v>
      </c>
      <c r="B1821" s="12" t="s">
        <v>19</v>
      </c>
      <c r="C1821" s="13">
        <v>23.7</v>
      </c>
      <c r="D1821" s="14">
        <v>12.2</v>
      </c>
      <c r="E1821">
        <f t="shared" si="58"/>
        <v>7</v>
      </c>
      <c r="F1821">
        <f t="shared" si="57"/>
        <v>122.60000000000001</v>
      </c>
    </row>
    <row r="1822" spans="1:6" hidden="1" x14ac:dyDescent="0.35">
      <c r="A1822" s="7">
        <v>50461</v>
      </c>
      <c r="B1822" s="8" t="s">
        <v>20</v>
      </c>
      <c r="C1822" s="9">
        <v>21.7</v>
      </c>
      <c r="D1822" s="10">
        <v>0</v>
      </c>
      <c r="E1822">
        <f t="shared" si="58"/>
        <v>1</v>
      </c>
      <c r="F1822">
        <f t="shared" si="57"/>
        <v>21.7</v>
      </c>
    </row>
    <row r="1823" spans="1:6" hidden="1" x14ac:dyDescent="0.35">
      <c r="A1823" s="11">
        <v>50462</v>
      </c>
      <c r="B1823" s="12" t="s">
        <v>6</v>
      </c>
      <c r="C1823" s="13">
        <v>13.3</v>
      </c>
      <c r="D1823" s="14">
        <v>0</v>
      </c>
      <c r="E1823">
        <f t="shared" si="58"/>
        <v>2</v>
      </c>
      <c r="F1823">
        <f t="shared" si="57"/>
        <v>35</v>
      </c>
    </row>
    <row r="1824" spans="1:6" hidden="1" x14ac:dyDescent="0.35">
      <c r="A1824" s="7">
        <v>50463</v>
      </c>
      <c r="B1824" s="8" t="s">
        <v>9</v>
      </c>
      <c r="C1824" s="9">
        <v>14.4</v>
      </c>
      <c r="D1824" s="10">
        <v>0</v>
      </c>
      <c r="E1824">
        <f t="shared" si="58"/>
        <v>3</v>
      </c>
      <c r="F1824">
        <f t="shared" si="57"/>
        <v>49.4</v>
      </c>
    </row>
    <row r="1825" spans="1:6" hidden="1" x14ac:dyDescent="0.35">
      <c r="A1825" s="11">
        <v>50464</v>
      </c>
      <c r="B1825" s="12" t="s">
        <v>11</v>
      </c>
      <c r="C1825" s="13">
        <v>28.5</v>
      </c>
      <c r="D1825" s="14">
        <v>21.5</v>
      </c>
      <c r="E1825">
        <f t="shared" si="58"/>
        <v>4</v>
      </c>
      <c r="F1825">
        <f t="shared" si="57"/>
        <v>77.900000000000006</v>
      </c>
    </row>
    <row r="1826" spans="1:6" hidden="1" x14ac:dyDescent="0.35">
      <c r="A1826" s="7">
        <v>50465</v>
      </c>
      <c r="B1826" s="8" t="s">
        <v>19</v>
      </c>
      <c r="C1826" s="9">
        <v>20.5</v>
      </c>
      <c r="D1826" s="10">
        <v>0</v>
      </c>
      <c r="E1826">
        <f t="shared" si="58"/>
        <v>5</v>
      </c>
      <c r="F1826">
        <f t="shared" si="57"/>
        <v>98.4</v>
      </c>
    </row>
    <row r="1827" spans="1:6" hidden="1" x14ac:dyDescent="0.35">
      <c r="A1827" s="11">
        <v>50466</v>
      </c>
      <c r="B1827" s="12" t="s">
        <v>10</v>
      </c>
      <c r="C1827" s="13">
        <v>11.4</v>
      </c>
      <c r="D1827" s="14">
        <v>39</v>
      </c>
      <c r="E1827">
        <f t="shared" si="58"/>
        <v>6</v>
      </c>
      <c r="F1827">
        <f t="shared" si="57"/>
        <v>109.80000000000001</v>
      </c>
    </row>
    <row r="1828" spans="1:6" hidden="1" x14ac:dyDescent="0.35">
      <c r="A1828" s="7">
        <v>50467</v>
      </c>
      <c r="B1828" s="8" t="s">
        <v>9</v>
      </c>
      <c r="C1828" s="9">
        <v>12.5</v>
      </c>
      <c r="D1828" s="10">
        <v>0</v>
      </c>
      <c r="E1828">
        <f t="shared" si="58"/>
        <v>7</v>
      </c>
      <c r="F1828">
        <f t="shared" si="57"/>
        <v>122.30000000000001</v>
      </c>
    </row>
    <row r="1829" spans="1:6" hidden="1" x14ac:dyDescent="0.35">
      <c r="A1829" s="11">
        <v>50468</v>
      </c>
      <c r="B1829" s="12" t="s">
        <v>15</v>
      </c>
      <c r="C1829" s="13">
        <v>16.600000000000001</v>
      </c>
      <c r="D1829" s="14">
        <v>4.5999999999999996</v>
      </c>
      <c r="E1829">
        <f t="shared" si="58"/>
        <v>1</v>
      </c>
      <c r="F1829">
        <f t="shared" si="57"/>
        <v>16.600000000000001</v>
      </c>
    </row>
    <row r="1830" spans="1:6" hidden="1" x14ac:dyDescent="0.35">
      <c r="A1830" s="7">
        <v>50469</v>
      </c>
      <c r="B1830" s="8" t="s">
        <v>15</v>
      </c>
      <c r="C1830" s="9">
        <v>10.6</v>
      </c>
      <c r="D1830" s="10">
        <v>11.3</v>
      </c>
      <c r="E1830">
        <f t="shared" si="58"/>
        <v>2</v>
      </c>
      <c r="F1830">
        <f t="shared" si="57"/>
        <v>27.200000000000003</v>
      </c>
    </row>
    <row r="1831" spans="1:6" hidden="1" x14ac:dyDescent="0.35">
      <c r="A1831" s="11">
        <v>50470</v>
      </c>
      <c r="B1831" s="12" t="s">
        <v>7</v>
      </c>
      <c r="C1831" s="13">
        <v>27.9</v>
      </c>
      <c r="D1831" s="14">
        <v>16.100000000000001</v>
      </c>
      <c r="E1831">
        <f t="shared" si="58"/>
        <v>3</v>
      </c>
      <c r="F1831">
        <f t="shared" si="57"/>
        <v>55.1</v>
      </c>
    </row>
    <row r="1832" spans="1:6" hidden="1" x14ac:dyDescent="0.35">
      <c r="A1832" s="7">
        <v>50471</v>
      </c>
      <c r="B1832" s="8" t="s">
        <v>10</v>
      </c>
      <c r="C1832" s="9">
        <v>11.1</v>
      </c>
      <c r="D1832" s="10">
        <v>28.2</v>
      </c>
      <c r="E1832">
        <f t="shared" si="58"/>
        <v>4</v>
      </c>
      <c r="F1832">
        <f t="shared" si="57"/>
        <v>66.2</v>
      </c>
    </row>
    <row r="1833" spans="1:6" hidden="1" x14ac:dyDescent="0.35">
      <c r="A1833" s="11">
        <v>50472</v>
      </c>
      <c r="B1833" s="12" t="s">
        <v>7</v>
      </c>
      <c r="C1833" s="13">
        <v>21.5</v>
      </c>
      <c r="D1833" s="14">
        <v>12.8</v>
      </c>
      <c r="E1833">
        <f t="shared" si="58"/>
        <v>5</v>
      </c>
      <c r="F1833">
        <f t="shared" si="57"/>
        <v>87.7</v>
      </c>
    </row>
    <row r="1834" spans="1:6" hidden="1" x14ac:dyDescent="0.35">
      <c r="A1834" s="7">
        <v>50473</v>
      </c>
      <c r="B1834" s="8" t="s">
        <v>6</v>
      </c>
      <c r="C1834" s="9">
        <v>28.4</v>
      </c>
      <c r="D1834" s="10">
        <v>4.5999999999999996</v>
      </c>
      <c r="E1834">
        <f t="shared" si="58"/>
        <v>6</v>
      </c>
      <c r="F1834">
        <f t="shared" si="57"/>
        <v>116.1</v>
      </c>
    </row>
    <row r="1835" spans="1:6" hidden="1" x14ac:dyDescent="0.35">
      <c r="A1835" s="11">
        <v>50474</v>
      </c>
      <c r="B1835" s="12" t="s">
        <v>22</v>
      </c>
      <c r="C1835" s="13">
        <v>18.100000000000001</v>
      </c>
      <c r="D1835" s="14">
        <v>5.9</v>
      </c>
      <c r="E1835">
        <f t="shared" si="58"/>
        <v>7</v>
      </c>
      <c r="F1835">
        <f t="shared" si="57"/>
        <v>134.19999999999999</v>
      </c>
    </row>
    <row r="1836" spans="1:6" hidden="1" x14ac:dyDescent="0.35">
      <c r="A1836" s="7">
        <v>50475</v>
      </c>
      <c r="B1836" s="8" t="s">
        <v>20</v>
      </c>
      <c r="C1836" s="9">
        <v>25.3</v>
      </c>
      <c r="D1836" s="10">
        <v>0</v>
      </c>
      <c r="E1836">
        <f t="shared" si="58"/>
        <v>1</v>
      </c>
      <c r="F1836">
        <f t="shared" si="57"/>
        <v>25.3</v>
      </c>
    </row>
    <row r="1837" spans="1:6" hidden="1" x14ac:dyDescent="0.35">
      <c r="A1837" s="11">
        <v>50476</v>
      </c>
      <c r="B1837" s="12" t="s">
        <v>9</v>
      </c>
      <c r="C1837" s="13">
        <v>15.6</v>
      </c>
      <c r="D1837" s="14">
        <v>10.6</v>
      </c>
      <c r="E1837">
        <f t="shared" si="58"/>
        <v>2</v>
      </c>
      <c r="F1837">
        <f t="shared" si="57"/>
        <v>40.9</v>
      </c>
    </row>
    <row r="1838" spans="1:6" hidden="1" x14ac:dyDescent="0.35">
      <c r="A1838" s="7">
        <v>50477</v>
      </c>
      <c r="B1838" s="8" t="s">
        <v>19</v>
      </c>
      <c r="C1838" s="9">
        <v>19.899999999999999</v>
      </c>
      <c r="D1838" s="10">
        <v>0</v>
      </c>
      <c r="E1838">
        <f t="shared" si="58"/>
        <v>3</v>
      </c>
      <c r="F1838">
        <f t="shared" si="57"/>
        <v>60.8</v>
      </c>
    </row>
    <row r="1839" spans="1:6" hidden="1" x14ac:dyDescent="0.35">
      <c r="A1839" s="11">
        <v>50478</v>
      </c>
      <c r="B1839" s="12" t="s">
        <v>7</v>
      </c>
      <c r="C1839" s="13">
        <v>24.7</v>
      </c>
      <c r="D1839" s="14">
        <v>14.7</v>
      </c>
      <c r="E1839">
        <f t="shared" si="58"/>
        <v>4</v>
      </c>
      <c r="F1839">
        <f t="shared" si="57"/>
        <v>85.5</v>
      </c>
    </row>
    <row r="1840" spans="1:6" hidden="1" x14ac:dyDescent="0.35">
      <c r="A1840" s="7">
        <v>50479</v>
      </c>
      <c r="B1840" s="8" t="s">
        <v>23</v>
      </c>
      <c r="C1840" s="9">
        <v>21.9</v>
      </c>
      <c r="D1840" s="10">
        <v>5.6</v>
      </c>
      <c r="E1840">
        <f t="shared" si="58"/>
        <v>5</v>
      </c>
      <c r="F1840">
        <f t="shared" si="57"/>
        <v>107.4</v>
      </c>
    </row>
    <row r="1841" spans="1:6" hidden="1" x14ac:dyDescent="0.35">
      <c r="A1841" s="11">
        <v>50480</v>
      </c>
      <c r="B1841" s="12" t="s">
        <v>14</v>
      </c>
      <c r="C1841" s="13">
        <v>18</v>
      </c>
      <c r="D1841" s="14">
        <v>6.2</v>
      </c>
      <c r="E1841">
        <f t="shared" si="58"/>
        <v>6</v>
      </c>
      <c r="F1841">
        <f t="shared" si="57"/>
        <v>125.4</v>
      </c>
    </row>
    <row r="1842" spans="1:6" hidden="1" x14ac:dyDescent="0.35">
      <c r="A1842" s="7">
        <v>50481</v>
      </c>
      <c r="B1842" s="8" t="s">
        <v>29</v>
      </c>
      <c r="C1842" s="9">
        <v>24.5</v>
      </c>
      <c r="D1842" s="10">
        <v>0.6</v>
      </c>
      <c r="E1842">
        <f t="shared" si="58"/>
        <v>7</v>
      </c>
      <c r="F1842">
        <f t="shared" si="57"/>
        <v>149.9</v>
      </c>
    </row>
    <row r="1843" spans="1:6" hidden="1" x14ac:dyDescent="0.35">
      <c r="A1843" s="11">
        <v>50482</v>
      </c>
      <c r="B1843" s="12" t="s">
        <v>8</v>
      </c>
      <c r="C1843" s="13">
        <v>10.9</v>
      </c>
      <c r="D1843" s="14">
        <v>0</v>
      </c>
      <c r="E1843">
        <f t="shared" si="58"/>
        <v>1</v>
      </c>
      <c r="F1843">
        <f t="shared" si="57"/>
        <v>10.9</v>
      </c>
    </row>
    <row r="1844" spans="1:6" hidden="1" x14ac:dyDescent="0.35">
      <c r="A1844" s="7">
        <v>50483</v>
      </c>
      <c r="B1844" s="8" t="s">
        <v>26</v>
      </c>
      <c r="C1844" s="9">
        <v>11.3</v>
      </c>
      <c r="D1844" s="10">
        <v>2.7</v>
      </c>
      <c r="E1844">
        <f t="shared" si="58"/>
        <v>2</v>
      </c>
      <c r="F1844">
        <f t="shared" si="57"/>
        <v>22.200000000000003</v>
      </c>
    </row>
    <row r="1845" spans="1:6" hidden="1" x14ac:dyDescent="0.35">
      <c r="A1845" s="11">
        <v>50484</v>
      </c>
      <c r="B1845" s="12" t="s">
        <v>10</v>
      </c>
      <c r="C1845" s="13">
        <v>13.2</v>
      </c>
      <c r="D1845" s="14">
        <v>30</v>
      </c>
      <c r="E1845">
        <f t="shared" si="58"/>
        <v>3</v>
      </c>
      <c r="F1845">
        <f t="shared" si="57"/>
        <v>35.400000000000006</v>
      </c>
    </row>
    <row r="1846" spans="1:6" hidden="1" x14ac:dyDescent="0.35">
      <c r="A1846" s="7">
        <v>50485</v>
      </c>
      <c r="B1846" s="8" t="s">
        <v>8</v>
      </c>
      <c r="C1846" s="9">
        <v>18.7</v>
      </c>
      <c r="D1846" s="10">
        <v>4.7</v>
      </c>
      <c r="E1846">
        <f t="shared" si="58"/>
        <v>4</v>
      </c>
      <c r="F1846">
        <f t="shared" si="57"/>
        <v>54.100000000000009</v>
      </c>
    </row>
    <row r="1847" spans="1:6" hidden="1" x14ac:dyDescent="0.35">
      <c r="A1847" s="11">
        <v>50486</v>
      </c>
      <c r="B1847" s="12" t="s">
        <v>8</v>
      </c>
      <c r="C1847" s="13">
        <v>12.1</v>
      </c>
      <c r="D1847" s="14">
        <v>1.5</v>
      </c>
      <c r="E1847">
        <f t="shared" si="58"/>
        <v>5</v>
      </c>
      <c r="F1847">
        <f t="shared" si="57"/>
        <v>66.2</v>
      </c>
    </row>
    <row r="1848" spans="1:6" hidden="1" x14ac:dyDescent="0.35">
      <c r="A1848" s="7">
        <v>50487</v>
      </c>
      <c r="B1848" s="8" t="s">
        <v>15</v>
      </c>
      <c r="C1848" s="9">
        <v>11.9</v>
      </c>
      <c r="D1848" s="10">
        <v>1.3</v>
      </c>
      <c r="E1848">
        <f t="shared" si="58"/>
        <v>6</v>
      </c>
      <c r="F1848">
        <f t="shared" si="57"/>
        <v>78.100000000000009</v>
      </c>
    </row>
    <row r="1849" spans="1:6" hidden="1" x14ac:dyDescent="0.35">
      <c r="A1849" s="11">
        <v>50488</v>
      </c>
      <c r="B1849" s="12" t="s">
        <v>26</v>
      </c>
      <c r="C1849" s="13">
        <v>17.7</v>
      </c>
      <c r="D1849" s="14">
        <v>2.6</v>
      </c>
      <c r="E1849">
        <f t="shared" si="58"/>
        <v>7</v>
      </c>
      <c r="F1849">
        <f t="shared" si="57"/>
        <v>95.800000000000011</v>
      </c>
    </row>
    <row r="1850" spans="1:6" hidden="1" x14ac:dyDescent="0.35">
      <c r="A1850" s="7">
        <v>50489</v>
      </c>
      <c r="B1850" s="8" t="s">
        <v>21</v>
      </c>
      <c r="C1850" s="9">
        <v>25.9</v>
      </c>
      <c r="D1850" s="10">
        <v>0.8</v>
      </c>
      <c r="E1850">
        <f t="shared" si="58"/>
        <v>1</v>
      </c>
      <c r="F1850">
        <f t="shared" si="57"/>
        <v>25.9</v>
      </c>
    </row>
    <row r="1851" spans="1:6" hidden="1" x14ac:dyDescent="0.35">
      <c r="A1851" s="11">
        <v>50490</v>
      </c>
      <c r="B1851" s="12" t="s">
        <v>6</v>
      </c>
      <c r="C1851" s="13">
        <v>27.7</v>
      </c>
      <c r="D1851" s="14">
        <v>0</v>
      </c>
      <c r="E1851">
        <f t="shared" si="58"/>
        <v>2</v>
      </c>
      <c r="F1851">
        <f t="shared" si="57"/>
        <v>53.599999999999994</v>
      </c>
    </row>
    <row r="1852" spans="1:6" hidden="1" x14ac:dyDescent="0.35">
      <c r="A1852" s="7">
        <v>50491</v>
      </c>
      <c r="B1852" s="8" t="s">
        <v>13</v>
      </c>
      <c r="C1852" s="9">
        <v>13.3</v>
      </c>
      <c r="D1852" s="10">
        <v>13.3</v>
      </c>
      <c r="E1852">
        <f t="shared" si="58"/>
        <v>3</v>
      </c>
      <c r="F1852">
        <f t="shared" si="57"/>
        <v>66.899999999999991</v>
      </c>
    </row>
    <row r="1853" spans="1:6" hidden="1" x14ac:dyDescent="0.35">
      <c r="A1853" s="11">
        <v>50492</v>
      </c>
      <c r="B1853" s="12" t="s">
        <v>19</v>
      </c>
      <c r="C1853" s="13">
        <v>11.7</v>
      </c>
      <c r="D1853" s="14">
        <v>4.9000000000000004</v>
      </c>
      <c r="E1853">
        <f t="shared" si="58"/>
        <v>4</v>
      </c>
      <c r="F1853">
        <f t="shared" si="57"/>
        <v>78.599999999999994</v>
      </c>
    </row>
    <row r="1854" spans="1:6" hidden="1" x14ac:dyDescent="0.35">
      <c r="A1854" s="7">
        <v>50493</v>
      </c>
      <c r="B1854" s="8" t="s">
        <v>26</v>
      </c>
      <c r="C1854" s="9">
        <v>26.5</v>
      </c>
      <c r="D1854" s="10">
        <v>4.5</v>
      </c>
      <c r="E1854">
        <f t="shared" si="58"/>
        <v>5</v>
      </c>
      <c r="F1854">
        <f t="shared" si="57"/>
        <v>105.1</v>
      </c>
    </row>
    <row r="1855" spans="1:6" hidden="1" x14ac:dyDescent="0.35">
      <c r="A1855" s="11">
        <v>50494</v>
      </c>
      <c r="B1855" s="12" t="s">
        <v>27</v>
      </c>
      <c r="C1855" s="13">
        <v>18.7</v>
      </c>
      <c r="D1855" s="14">
        <v>2.2999999999999998</v>
      </c>
      <c r="E1855">
        <f t="shared" si="58"/>
        <v>6</v>
      </c>
      <c r="F1855">
        <f t="shared" si="57"/>
        <v>123.8</v>
      </c>
    </row>
    <row r="1856" spans="1:6" hidden="1" x14ac:dyDescent="0.35">
      <c r="A1856" s="7">
        <v>50495</v>
      </c>
      <c r="B1856" s="8" t="s">
        <v>22</v>
      </c>
      <c r="C1856" s="9">
        <v>11.7</v>
      </c>
      <c r="D1856" s="10">
        <v>6</v>
      </c>
      <c r="E1856">
        <f t="shared" si="58"/>
        <v>7</v>
      </c>
      <c r="F1856">
        <f t="shared" si="57"/>
        <v>135.5</v>
      </c>
    </row>
    <row r="1857" spans="1:6" hidden="1" x14ac:dyDescent="0.35">
      <c r="A1857" s="11">
        <v>50496</v>
      </c>
      <c r="B1857" s="12" t="s">
        <v>19</v>
      </c>
      <c r="C1857" s="13">
        <v>27.5</v>
      </c>
      <c r="D1857" s="14">
        <v>22.6</v>
      </c>
      <c r="E1857">
        <f t="shared" si="58"/>
        <v>1</v>
      </c>
      <c r="F1857">
        <f t="shared" si="57"/>
        <v>27.5</v>
      </c>
    </row>
    <row r="1858" spans="1:6" hidden="1" x14ac:dyDescent="0.35">
      <c r="A1858" s="7">
        <v>50497</v>
      </c>
      <c r="B1858" s="8" t="s">
        <v>27</v>
      </c>
      <c r="C1858" s="9">
        <v>27.4</v>
      </c>
      <c r="D1858" s="10">
        <v>0</v>
      </c>
      <c r="E1858">
        <f t="shared" si="58"/>
        <v>2</v>
      </c>
      <c r="F1858">
        <f t="shared" si="57"/>
        <v>54.9</v>
      </c>
    </row>
    <row r="1859" spans="1:6" hidden="1" x14ac:dyDescent="0.35">
      <c r="A1859" s="11">
        <v>50498</v>
      </c>
      <c r="B1859" s="12" t="s">
        <v>11</v>
      </c>
      <c r="C1859" s="13">
        <v>14.8</v>
      </c>
      <c r="D1859" s="14">
        <v>0</v>
      </c>
      <c r="E1859">
        <f t="shared" si="58"/>
        <v>3</v>
      </c>
      <c r="F1859">
        <f t="shared" si="57"/>
        <v>69.7</v>
      </c>
    </row>
    <row r="1860" spans="1:6" hidden="1" x14ac:dyDescent="0.35">
      <c r="A1860" s="7">
        <v>50499</v>
      </c>
      <c r="B1860" s="8" t="s">
        <v>17</v>
      </c>
      <c r="C1860" s="9">
        <v>26.2</v>
      </c>
      <c r="D1860" s="10">
        <v>0</v>
      </c>
      <c r="E1860">
        <f t="shared" si="58"/>
        <v>4</v>
      </c>
      <c r="F1860">
        <f t="shared" ref="F1860:F1923" si="59">IF(E1859=7,C1860,C1860+F1859)</f>
        <v>95.9</v>
      </c>
    </row>
    <row r="1861" spans="1:6" hidden="1" x14ac:dyDescent="0.35">
      <c r="A1861" s="11">
        <v>50500</v>
      </c>
      <c r="B1861" s="12" t="s">
        <v>15</v>
      </c>
      <c r="C1861" s="13">
        <v>12.9</v>
      </c>
      <c r="D1861" s="14">
        <v>17.899999999999999</v>
      </c>
      <c r="E1861">
        <f t="shared" si="58"/>
        <v>5</v>
      </c>
      <c r="F1861">
        <f t="shared" si="59"/>
        <v>108.80000000000001</v>
      </c>
    </row>
    <row r="1862" spans="1:6" hidden="1" x14ac:dyDescent="0.35">
      <c r="A1862" s="7">
        <v>50501</v>
      </c>
      <c r="B1862" s="8" t="s">
        <v>25</v>
      </c>
      <c r="C1862" s="9">
        <v>12.5</v>
      </c>
      <c r="D1862" s="10">
        <v>0</v>
      </c>
      <c r="E1862">
        <f t="shared" si="58"/>
        <v>6</v>
      </c>
      <c r="F1862">
        <f t="shared" si="59"/>
        <v>121.30000000000001</v>
      </c>
    </row>
    <row r="1863" spans="1:6" hidden="1" x14ac:dyDescent="0.35">
      <c r="A1863" s="11">
        <v>50502</v>
      </c>
      <c r="B1863" s="12" t="s">
        <v>24</v>
      </c>
      <c r="C1863" s="13">
        <v>12.3</v>
      </c>
      <c r="D1863" s="14">
        <v>0</v>
      </c>
      <c r="E1863">
        <f t="shared" si="58"/>
        <v>7</v>
      </c>
      <c r="F1863">
        <f t="shared" si="59"/>
        <v>133.60000000000002</v>
      </c>
    </row>
    <row r="1864" spans="1:6" hidden="1" x14ac:dyDescent="0.35">
      <c r="A1864" s="7">
        <v>50503</v>
      </c>
      <c r="B1864" s="8" t="s">
        <v>5</v>
      </c>
      <c r="C1864" s="9">
        <v>19.399999999999999</v>
      </c>
      <c r="D1864" s="10">
        <v>0</v>
      </c>
      <c r="E1864">
        <f t="shared" si="58"/>
        <v>1</v>
      </c>
      <c r="F1864">
        <f t="shared" si="59"/>
        <v>19.399999999999999</v>
      </c>
    </row>
    <row r="1865" spans="1:6" hidden="1" x14ac:dyDescent="0.35">
      <c r="A1865" s="11">
        <v>50504</v>
      </c>
      <c r="B1865" s="12" t="s">
        <v>15</v>
      </c>
      <c r="C1865" s="13">
        <v>20.9</v>
      </c>
      <c r="D1865" s="14">
        <v>0</v>
      </c>
      <c r="E1865">
        <f t="shared" si="58"/>
        <v>2</v>
      </c>
      <c r="F1865">
        <f t="shared" si="59"/>
        <v>40.299999999999997</v>
      </c>
    </row>
    <row r="1866" spans="1:6" hidden="1" x14ac:dyDescent="0.35">
      <c r="A1866" s="7">
        <v>50505</v>
      </c>
      <c r="B1866" s="8" t="s">
        <v>9</v>
      </c>
      <c r="C1866" s="9">
        <v>10.4</v>
      </c>
      <c r="D1866" s="10">
        <v>0</v>
      </c>
      <c r="E1866">
        <f t="shared" ref="E1866:E1929" si="60">IF(E1865=7,1,E1865+1)</f>
        <v>3</v>
      </c>
      <c r="F1866">
        <f t="shared" si="59"/>
        <v>50.699999999999996</v>
      </c>
    </row>
    <row r="1867" spans="1:6" hidden="1" x14ac:dyDescent="0.35">
      <c r="A1867" s="11">
        <v>50506</v>
      </c>
      <c r="B1867" s="12" t="s">
        <v>11</v>
      </c>
      <c r="C1867" s="13">
        <v>22.2</v>
      </c>
      <c r="D1867" s="14">
        <v>2.5</v>
      </c>
      <c r="E1867">
        <f t="shared" si="60"/>
        <v>4</v>
      </c>
      <c r="F1867">
        <f t="shared" si="59"/>
        <v>72.899999999999991</v>
      </c>
    </row>
    <row r="1868" spans="1:6" hidden="1" x14ac:dyDescent="0.35">
      <c r="A1868" s="7">
        <v>50507</v>
      </c>
      <c r="B1868" s="8" t="s">
        <v>10</v>
      </c>
      <c r="C1868" s="9">
        <v>16.8</v>
      </c>
      <c r="D1868" s="10">
        <v>0</v>
      </c>
      <c r="E1868">
        <f t="shared" si="60"/>
        <v>5</v>
      </c>
      <c r="F1868">
        <f t="shared" si="59"/>
        <v>89.699999999999989</v>
      </c>
    </row>
    <row r="1869" spans="1:6" hidden="1" x14ac:dyDescent="0.35">
      <c r="A1869" s="11">
        <v>50508</v>
      </c>
      <c r="B1869" s="12" t="s">
        <v>19</v>
      </c>
      <c r="C1869" s="13">
        <v>21.7</v>
      </c>
      <c r="D1869" s="14">
        <v>33.299999999999997</v>
      </c>
      <c r="E1869">
        <f t="shared" si="60"/>
        <v>6</v>
      </c>
      <c r="F1869">
        <f t="shared" si="59"/>
        <v>111.39999999999999</v>
      </c>
    </row>
    <row r="1870" spans="1:6" hidden="1" x14ac:dyDescent="0.35">
      <c r="A1870" s="7">
        <v>50509</v>
      </c>
      <c r="B1870" s="8" t="s">
        <v>11</v>
      </c>
      <c r="C1870" s="9">
        <v>10.199999999999999</v>
      </c>
      <c r="D1870" s="10">
        <v>16.600000000000001</v>
      </c>
      <c r="E1870">
        <f t="shared" si="60"/>
        <v>7</v>
      </c>
      <c r="F1870">
        <f t="shared" si="59"/>
        <v>121.6</v>
      </c>
    </row>
    <row r="1871" spans="1:6" hidden="1" x14ac:dyDescent="0.35">
      <c r="A1871" s="11">
        <v>50510</v>
      </c>
      <c r="B1871" s="12" t="s">
        <v>10</v>
      </c>
      <c r="C1871" s="13">
        <v>16.5</v>
      </c>
      <c r="D1871" s="14">
        <v>0</v>
      </c>
      <c r="E1871">
        <f t="shared" si="60"/>
        <v>1</v>
      </c>
      <c r="F1871">
        <f t="shared" si="59"/>
        <v>16.5</v>
      </c>
    </row>
    <row r="1872" spans="1:6" hidden="1" x14ac:dyDescent="0.35">
      <c r="A1872" s="7">
        <v>50511</v>
      </c>
      <c r="B1872" s="8" t="s">
        <v>16</v>
      </c>
      <c r="C1872" s="9">
        <v>29.1</v>
      </c>
      <c r="D1872" s="10">
        <v>0.5</v>
      </c>
      <c r="E1872">
        <f t="shared" si="60"/>
        <v>2</v>
      </c>
      <c r="F1872">
        <f t="shared" si="59"/>
        <v>45.6</v>
      </c>
    </row>
    <row r="1873" spans="1:6" hidden="1" x14ac:dyDescent="0.35">
      <c r="A1873" s="11">
        <v>50512</v>
      </c>
      <c r="B1873" s="12" t="s">
        <v>11</v>
      </c>
      <c r="C1873" s="13">
        <v>17.8</v>
      </c>
      <c r="D1873" s="14">
        <v>0</v>
      </c>
      <c r="E1873">
        <f t="shared" si="60"/>
        <v>3</v>
      </c>
      <c r="F1873">
        <f t="shared" si="59"/>
        <v>63.400000000000006</v>
      </c>
    </row>
    <row r="1874" spans="1:6" hidden="1" x14ac:dyDescent="0.35">
      <c r="A1874" s="7">
        <v>50513</v>
      </c>
      <c r="B1874" s="8" t="s">
        <v>10</v>
      </c>
      <c r="C1874" s="9">
        <v>10</v>
      </c>
      <c r="D1874" s="10">
        <v>0</v>
      </c>
      <c r="E1874">
        <f t="shared" si="60"/>
        <v>4</v>
      </c>
      <c r="F1874">
        <f t="shared" si="59"/>
        <v>73.400000000000006</v>
      </c>
    </row>
    <row r="1875" spans="1:6" hidden="1" x14ac:dyDescent="0.35">
      <c r="A1875" s="11">
        <v>50514</v>
      </c>
      <c r="B1875" s="12" t="s">
        <v>9</v>
      </c>
      <c r="C1875" s="13">
        <v>15.5</v>
      </c>
      <c r="D1875" s="14">
        <v>8.6</v>
      </c>
      <c r="E1875">
        <f t="shared" si="60"/>
        <v>5</v>
      </c>
      <c r="F1875">
        <f t="shared" si="59"/>
        <v>88.9</v>
      </c>
    </row>
    <row r="1876" spans="1:6" hidden="1" x14ac:dyDescent="0.35">
      <c r="A1876" s="7">
        <v>50515</v>
      </c>
      <c r="B1876" s="8" t="s">
        <v>10</v>
      </c>
      <c r="C1876" s="9">
        <v>15.3</v>
      </c>
      <c r="D1876" s="10">
        <v>21.4</v>
      </c>
      <c r="E1876">
        <f t="shared" si="60"/>
        <v>6</v>
      </c>
      <c r="F1876">
        <f t="shared" si="59"/>
        <v>104.2</v>
      </c>
    </row>
    <row r="1877" spans="1:6" hidden="1" x14ac:dyDescent="0.35">
      <c r="A1877" s="11">
        <v>50516</v>
      </c>
      <c r="B1877" s="12" t="s">
        <v>12</v>
      </c>
      <c r="C1877" s="13">
        <v>23.7</v>
      </c>
      <c r="D1877" s="14">
        <v>0</v>
      </c>
      <c r="E1877">
        <f t="shared" si="60"/>
        <v>7</v>
      </c>
      <c r="F1877">
        <f t="shared" si="59"/>
        <v>127.9</v>
      </c>
    </row>
    <row r="1878" spans="1:6" hidden="1" x14ac:dyDescent="0.35">
      <c r="A1878" s="7">
        <v>50517</v>
      </c>
      <c r="B1878" s="8" t="s">
        <v>11</v>
      </c>
      <c r="C1878" s="9">
        <v>26.1</v>
      </c>
      <c r="D1878" s="10">
        <v>12.5</v>
      </c>
      <c r="E1878">
        <f t="shared" si="60"/>
        <v>1</v>
      </c>
      <c r="F1878">
        <f t="shared" si="59"/>
        <v>26.1</v>
      </c>
    </row>
    <row r="1879" spans="1:6" hidden="1" x14ac:dyDescent="0.35">
      <c r="A1879" s="11">
        <v>50518</v>
      </c>
      <c r="B1879" s="12" t="s">
        <v>11</v>
      </c>
      <c r="C1879" s="13">
        <v>13.4</v>
      </c>
      <c r="D1879" s="14">
        <v>0</v>
      </c>
      <c r="E1879">
        <f t="shared" si="60"/>
        <v>2</v>
      </c>
      <c r="F1879">
        <f t="shared" si="59"/>
        <v>39.5</v>
      </c>
    </row>
    <row r="1880" spans="1:6" hidden="1" x14ac:dyDescent="0.35">
      <c r="A1880" s="7">
        <v>50519</v>
      </c>
      <c r="B1880" s="8" t="s">
        <v>5</v>
      </c>
      <c r="C1880" s="9">
        <v>17.8</v>
      </c>
      <c r="D1880" s="10">
        <v>3.7</v>
      </c>
      <c r="E1880">
        <f t="shared" si="60"/>
        <v>3</v>
      </c>
      <c r="F1880">
        <f t="shared" si="59"/>
        <v>57.3</v>
      </c>
    </row>
    <row r="1881" spans="1:6" hidden="1" x14ac:dyDescent="0.35">
      <c r="A1881" s="11">
        <v>50520</v>
      </c>
      <c r="B1881" s="12" t="s">
        <v>24</v>
      </c>
      <c r="C1881" s="13">
        <v>13</v>
      </c>
      <c r="D1881" s="14">
        <v>2.7</v>
      </c>
      <c r="E1881">
        <f t="shared" si="60"/>
        <v>4</v>
      </c>
      <c r="F1881">
        <f t="shared" si="59"/>
        <v>70.3</v>
      </c>
    </row>
    <row r="1882" spans="1:6" hidden="1" x14ac:dyDescent="0.35">
      <c r="A1882" s="7">
        <v>50521</v>
      </c>
      <c r="B1882" s="8" t="s">
        <v>7</v>
      </c>
      <c r="C1882" s="9">
        <v>28.2</v>
      </c>
      <c r="D1882" s="10">
        <v>0</v>
      </c>
      <c r="E1882">
        <f t="shared" si="60"/>
        <v>5</v>
      </c>
      <c r="F1882">
        <f t="shared" si="59"/>
        <v>98.5</v>
      </c>
    </row>
    <row r="1883" spans="1:6" hidden="1" x14ac:dyDescent="0.35">
      <c r="A1883" s="11">
        <v>50522</v>
      </c>
      <c r="B1883" s="12" t="s">
        <v>10</v>
      </c>
      <c r="C1883" s="13">
        <v>23</v>
      </c>
      <c r="D1883" s="14">
        <v>0</v>
      </c>
      <c r="E1883">
        <f t="shared" si="60"/>
        <v>6</v>
      </c>
      <c r="F1883">
        <f t="shared" si="59"/>
        <v>121.5</v>
      </c>
    </row>
    <row r="1884" spans="1:6" hidden="1" x14ac:dyDescent="0.35">
      <c r="A1884" s="7">
        <v>50523</v>
      </c>
      <c r="B1884" s="8" t="s">
        <v>7</v>
      </c>
      <c r="C1884" s="9">
        <v>21.5</v>
      </c>
      <c r="D1884" s="10">
        <v>0</v>
      </c>
      <c r="E1884">
        <f t="shared" si="60"/>
        <v>7</v>
      </c>
      <c r="F1884">
        <f t="shared" si="59"/>
        <v>143</v>
      </c>
    </row>
    <row r="1885" spans="1:6" hidden="1" x14ac:dyDescent="0.35">
      <c r="A1885" s="11">
        <v>50524</v>
      </c>
      <c r="B1885" s="12" t="s">
        <v>18</v>
      </c>
      <c r="C1885" s="13">
        <v>22.3</v>
      </c>
      <c r="D1885" s="14">
        <v>0</v>
      </c>
      <c r="E1885">
        <f t="shared" si="60"/>
        <v>1</v>
      </c>
      <c r="F1885">
        <f t="shared" si="59"/>
        <v>22.3</v>
      </c>
    </row>
    <row r="1886" spans="1:6" hidden="1" x14ac:dyDescent="0.35">
      <c r="A1886" s="7">
        <v>50525</v>
      </c>
      <c r="B1886" s="8" t="s">
        <v>10</v>
      </c>
      <c r="C1886" s="9">
        <v>28.2</v>
      </c>
      <c r="D1886" s="10">
        <v>0</v>
      </c>
      <c r="E1886">
        <f t="shared" si="60"/>
        <v>2</v>
      </c>
      <c r="F1886">
        <f t="shared" si="59"/>
        <v>50.5</v>
      </c>
    </row>
    <row r="1887" spans="1:6" hidden="1" x14ac:dyDescent="0.35">
      <c r="A1887" s="11">
        <v>50526</v>
      </c>
      <c r="B1887" s="12" t="s">
        <v>24</v>
      </c>
      <c r="C1887" s="13">
        <v>11.9</v>
      </c>
      <c r="D1887" s="14">
        <v>3.4</v>
      </c>
      <c r="E1887">
        <f t="shared" si="60"/>
        <v>3</v>
      </c>
      <c r="F1887">
        <f t="shared" si="59"/>
        <v>62.4</v>
      </c>
    </row>
    <row r="1888" spans="1:6" hidden="1" x14ac:dyDescent="0.35">
      <c r="A1888" s="7">
        <v>50527</v>
      </c>
      <c r="B1888" s="8" t="s">
        <v>18</v>
      </c>
      <c r="C1888" s="9">
        <v>20.9</v>
      </c>
      <c r="D1888" s="10">
        <v>7.5</v>
      </c>
      <c r="E1888">
        <f t="shared" si="60"/>
        <v>4</v>
      </c>
      <c r="F1888">
        <f t="shared" si="59"/>
        <v>83.3</v>
      </c>
    </row>
    <row r="1889" spans="1:6" hidden="1" x14ac:dyDescent="0.35">
      <c r="A1889" s="11">
        <v>50528</v>
      </c>
      <c r="B1889" s="12" t="s">
        <v>32</v>
      </c>
      <c r="C1889" s="13">
        <v>18.399999999999999</v>
      </c>
      <c r="D1889" s="14">
        <v>0.2</v>
      </c>
      <c r="E1889">
        <f t="shared" si="60"/>
        <v>5</v>
      </c>
      <c r="F1889">
        <f t="shared" si="59"/>
        <v>101.69999999999999</v>
      </c>
    </row>
    <row r="1890" spans="1:6" hidden="1" x14ac:dyDescent="0.35">
      <c r="A1890" s="7">
        <v>50529</v>
      </c>
      <c r="B1890" s="8" t="s">
        <v>10</v>
      </c>
      <c r="C1890" s="9">
        <v>27.8</v>
      </c>
      <c r="D1890" s="10">
        <v>35.9</v>
      </c>
      <c r="E1890">
        <f t="shared" si="60"/>
        <v>6</v>
      </c>
      <c r="F1890">
        <f t="shared" si="59"/>
        <v>129.5</v>
      </c>
    </row>
    <row r="1891" spans="1:6" hidden="1" x14ac:dyDescent="0.35">
      <c r="A1891" s="11">
        <v>50530</v>
      </c>
      <c r="B1891" s="12" t="s">
        <v>19</v>
      </c>
      <c r="C1891" s="13">
        <v>20.7</v>
      </c>
      <c r="D1891" s="14">
        <v>14.7</v>
      </c>
      <c r="E1891">
        <f t="shared" si="60"/>
        <v>7</v>
      </c>
      <c r="F1891">
        <f t="shared" si="59"/>
        <v>150.19999999999999</v>
      </c>
    </row>
    <row r="1892" spans="1:6" hidden="1" x14ac:dyDescent="0.35">
      <c r="A1892" s="7">
        <v>50531</v>
      </c>
      <c r="B1892" s="8" t="s">
        <v>5</v>
      </c>
      <c r="C1892" s="9">
        <v>13</v>
      </c>
      <c r="D1892" s="10">
        <v>0</v>
      </c>
      <c r="E1892">
        <f t="shared" si="60"/>
        <v>1</v>
      </c>
      <c r="F1892">
        <f t="shared" si="59"/>
        <v>13</v>
      </c>
    </row>
    <row r="1893" spans="1:6" hidden="1" x14ac:dyDescent="0.35">
      <c r="A1893" s="11">
        <v>50532</v>
      </c>
      <c r="B1893" s="12" t="s">
        <v>19</v>
      </c>
      <c r="C1893" s="13">
        <v>29.4</v>
      </c>
      <c r="D1893" s="14">
        <v>0</v>
      </c>
      <c r="E1893">
        <f t="shared" si="60"/>
        <v>2</v>
      </c>
      <c r="F1893">
        <f t="shared" si="59"/>
        <v>42.4</v>
      </c>
    </row>
    <row r="1894" spans="1:6" hidden="1" x14ac:dyDescent="0.35">
      <c r="A1894" s="7">
        <v>50533</v>
      </c>
      <c r="B1894" s="8" t="s">
        <v>6</v>
      </c>
      <c r="C1894" s="9">
        <v>19.8</v>
      </c>
      <c r="D1894" s="10">
        <v>13.9</v>
      </c>
      <c r="E1894">
        <f t="shared" si="60"/>
        <v>3</v>
      </c>
      <c r="F1894">
        <f t="shared" si="59"/>
        <v>62.2</v>
      </c>
    </row>
    <row r="1895" spans="1:6" hidden="1" x14ac:dyDescent="0.35">
      <c r="A1895" s="11">
        <v>50534</v>
      </c>
      <c r="B1895" s="12" t="s">
        <v>11</v>
      </c>
      <c r="C1895" s="13">
        <v>10.9</v>
      </c>
      <c r="D1895" s="14">
        <v>17</v>
      </c>
      <c r="E1895">
        <f t="shared" si="60"/>
        <v>4</v>
      </c>
      <c r="F1895">
        <f t="shared" si="59"/>
        <v>73.100000000000009</v>
      </c>
    </row>
    <row r="1896" spans="1:6" hidden="1" x14ac:dyDescent="0.35">
      <c r="A1896" s="7">
        <v>50535</v>
      </c>
      <c r="B1896" s="8" t="s">
        <v>10</v>
      </c>
      <c r="C1896" s="9">
        <v>27.3</v>
      </c>
      <c r="D1896" s="10">
        <v>15.8</v>
      </c>
      <c r="E1896">
        <f t="shared" si="60"/>
        <v>5</v>
      </c>
      <c r="F1896">
        <f t="shared" si="59"/>
        <v>100.4</v>
      </c>
    </row>
    <row r="1897" spans="1:6" hidden="1" x14ac:dyDescent="0.35">
      <c r="A1897" s="11">
        <v>50536</v>
      </c>
      <c r="B1897" s="12" t="s">
        <v>19</v>
      </c>
      <c r="C1897" s="13">
        <v>16.399999999999999</v>
      </c>
      <c r="D1897" s="14">
        <v>0</v>
      </c>
      <c r="E1897">
        <f t="shared" si="60"/>
        <v>6</v>
      </c>
      <c r="F1897">
        <f t="shared" si="59"/>
        <v>116.80000000000001</v>
      </c>
    </row>
    <row r="1898" spans="1:6" hidden="1" x14ac:dyDescent="0.35">
      <c r="A1898" s="7">
        <v>50537</v>
      </c>
      <c r="B1898" s="8" t="s">
        <v>15</v>
      </c>
      <c r="C1898" s="9">
        <v>28</v>
      </c>
      <c r="D1898" s="10">
        <v>9.6999999999999993</v>
      </c>
      <c r="E1898">
        <f t="shared" si="60"/>
        <v>7</v>
      </c>
      <c r="F1898">
        <f t="shared" si="59"/>
        <v>144.80000000000001</v>
      </c>
    </row>
    <row r="1899" spans="1:6" hidden="1" x14ac:dyDescent="0.35">
      <c r="A1899" s="11">
        <v>50538</v>
      </c>
      <c r="B1899" s="12" t="s">
        <v>7</v>
      </c>
      <c r="C1899" s="13">
        <v>17.399999999999999</v>
      </c>
      <c r="D1899" s="14">
        <v>6.6</v>
      </c>
      <c r="E1899">
        <f t="shared" si="60"/>
        <v>1</v>
      </c>
      <c r="F1899">
        <f t="shared" si="59"/>
        <v>17.399999999999999</v>
      </c>
    </row>
    <row r="1900" spans="1:6" hidden="1" x14ac:dyDescent="0.35">
      <c r="A1900" s="7">
        <v>50539</v>
      </c>
      <c r="B1900" s="8" t="s">
        <v>8</v>
      </c>
      <c r="C1900" s="9">
        <v>25.7</v>
      </c>
      <c r="D1900" s="10">
        <v>0.7</v>
      </c>
      <c r="E1900">
        <f t="shared" si="60"/>
        <v>2</v>
      </c>
      <c r="F1900">
        <f t="shared" si="59"/>
        <v>43.099999999999994</v>
      </c>
    </row>
    <row r="1901" spans="1:6" hidden="1" x14ac:dyDescent="0.35">
      <c r="A1901" s="11">
        <v>50540</v>
      </c>
      <c r="B1901" s="12" t="s">
        <v>19</v>
      </c>
      <c r="C1901" s="13">
        <v>20.100000000000001</v>
      </c>
      <c r="D1901" s="14">
        <v>11</v>
      </c>
      <c r="E1901">
        <f t="shared" si="60"/>
        <v>3</v>
      </c>
      <c r="F1901">
        <f t="shared" si="59"/>
        <v>63.199999999999996</v>
      </c>
    </row>
    <row r="1902" spans="1:6" hidden="1" x14ac:dyDescent="0.35">
      <c r="A1902" s="7">
        <v>50541</v>
      </c>
      <c r="B1902" s="8" t="s">
        <v>19</v>
      </c>
      <c r="C1902" s="9">
        <v>17.899999999999999</v>
      </c>
      <c r="D1902" s="10">
        <v>0</v>
      </c>
      <c r="E1902">
        <f t="shared" si="60"/>
        <v>4</v>
      </c>
      <c r="F1902">
        <f t="shared" si="59"/>
        <v>81.099999999999994</v>
      </c>
    </row>
    <row r="1903" spans="1:6" hidden="1" x14ac:dyDescent="0.35">
      <c r="A1903" s="11">
        <v>50542</v>
      </c>
      <c r="B1903" s="12" t="s">
        <v>11</v>
      </c>
      <c r="C1903" s="13">
        <v>10.7</v>
      </c>
      <c r="D1903" s="14">
        <v>6.4</v>
      </c>
      <c r="E1903">
        <f t="shared" si="60"/>
        <v>5</v>
      </c>
      <c r="F1903">
        <f t="shared" si="59"/>
        <v>91.8</v>
      </c>
    </row>
    <row r="1904" spans="1:6" hidden="1" x14ac:dyDescent="0.35">
      <c r="A1904" s="7">
        <v>50543</v>
      </c>
      <c r="B1904" s="8" t="s">
        <v>9</v>
      </c>
      <c r="C1904" s="9">
        <v>20.399999999999999</v>
      </c>
      <c r="D1904" s="10">
        <v>0</v>
      </c>
      <c r="E1904">
        <f t="shared" si="60"/>
        <v>6</v>
      </c>
      <c r="F1904">
        <f t="shared" si="59"/>
        <v>112.19999999999999</v>
      </c>
    </row>
    <row r="1905" spans="1:6" hidden="1" x14ac:dyDescent="0.35">
      <c r="A1905" s="11">
        <v>50544</v>
      </c>
      <c r="B1905" s="12" t="s">
        <v>12</v>
      </c>
      <c r="C1905" s="13">
        <v>25.4</v>
      </c>
      <c r="D1905" s="14">
        <v>1</v>
      </c>
      <c r="E1905">
        <f t="shared" si="60"/>
        <v>7</v>
      </c>
      <c r="F1905">
        <f t="shared" si="59"/>
        <v>137.6</v>
      </c>
    </row>
    <row r="1906" spans="1:6" hidden="1" x14ac:dyDescent="0.35">
      <c r="A1906" s="7">
        <v>50545</v>
      </c>
      <c r="B1906" s="8" t="s">
        <v>8</v>
      </c>
      <c r="C1906" s="9">
        <v>10.9</v>
      </c>
      <c r="D1906" s="10">
        <v>0.2</v>
      </c>
      <c r="E1906">
        <f t="shared" si="60"/>
        <v>1</v>
      </c>
      <c r="F1906">
        <f t="shared" si="59"/>
        <v>10.9</v>
      </c>
    </row>
    <row r="1907" spans="1:6" hidden="1" x14ac:dyDescent="0.35">
      <c r="A1907" s="11">
        <v>50546</v>
      </c>
      <c r="B1907" s="12" t="s">
        <v>27</v>
      </c>
      <c r="C1907" s="13">
        <v>18.5</v>
      </c>
      <c r="D1907" s="14">
        <v>0.5</v>
      </c>
      <c r="E1907">
        <f t="shared" si="60"/>
        <v>2</v>
      </c>
      <c r="F1907">
        <f t="shared" si="59"/>
        <v>29.4</v>
      </c>
    </row>
    <row r="1908" spans="1:6" hidden="1" x14ac:dyDescent="0.35">
      <c r="A1908" s="7">
        <v>50547</v>
      </c>
      <c r="B1908" s="8" t="s">
        <v>10</v>
      </c>
      <c r="C1908" s="9">
        <v>14.8</v>
      </c>
      <c r="D1908" s="10">
        <v>50.3</v>
      </c>
      <c r="E1908">
        <f t="shared" si="60"/>
        <v>3</v>
      </c>
      <c r="F1908">
        <f t="shared" si="59"/>
        <v>44.2</v>
      </c>
    </row>
    <row r="1909" spans="1:6" hidden="1" x14ac:dyDescent="0.35">
      <c r="A1909" s="11">
        <v>50548</v>
      </c>
      <c r="B1909" s="12" t="s">
        <v>18</v>
      </c>
      <c r="C1909" s="13">
        <v>28.5</v>
      </c>
      <c r="D1909" s="14">
        <v>0.7</v>
      </c>
      <c r="E1909">
        <f t="shared" si="60"/>
        <v>4</v>
      </c>
      <c r="F1909">
        <f t="shared" si="59"/>
        <v>72.7</v>
      </c>
    </row>
    <row r="1910" spans="1:6" hidden="1" x14ac:dyDescent="0.35">
      <c r="A1910" s="7">
        <v>50549</v>
      </c>
      <c r="B1910" s="8" t="s">
        <v>31</v>
      </c>
      <c r="C1910" s="9">
        <v>19.399999999999999</v>
      </c>
      <c r="D1910" s="10">
        <v>0</v>
      </c>
      <c r="E1910">
        <f t="shared" si="60"/>
        <v>5</v>
      </c>
      <c r="F1910">
        <f t="shared" si="59"/>
        <v>92.1</v>
      </c>
    </row>
    <row r="1911" spans="1:6" hidden="1" x14ac:dyDescent="0.35">
      <c r="A1911" s="11">
        <v>50550</v>
      </c>
      <c r="B1911" s="12" t="s">
        <v>23</v>
      </c>
      <c r="C1911" s="13">
        <v>20.7</v>
      </c>
      <c r="D1911" s="14">
        <v>4.7</v>
      </c>
      <c r="E1911">
        <f t="shared" si="60"/>
        <v>6</v>
      </c>
      <c r="F1911">
        <f t="shared" si="59"/>
        <v>112.8</v>
      </c>
    </row>
    <row r="1912" spans="1:6" hidden="1" x14ac:dyDescent="0.35">
      <c r="A1912" s="7">
        <v>50551</v>
      </c>
      <c r="B1912" s="8" t="s">
        <v>26</v>
      </c>
      <c r="C1912" s="9">
        <v>25.7</v>
      </c>
      <c r="D1912" s="10">
        <v>0</v>
      </c>
      <c r="E1912">
        <f t="shared" si="60"/>
        <v>7</v>
      </c>
      <c r="F1912">
        <f t="shared" si="59"/>
        <v>138.5</v>
      </c>
    </row>
    <row r="1913" spans="1:6" hidden="1" x14ac:dyDescent="0.35">
      <c r="A1913" s="11">
        <v>50552</v>
      </c>
      <c r="B1913" s="12" t="s">
        <v>19</v>
      </c>
      <c r="C1913" s="13">
        <v>21.4</v>
      </c>
      <c r="D1913" s="14">
        <v>0</v>
      </c>
      <c r="E1913">
        <f t="shared" si="60"/>
        <v>1</v>
      </c>
      <c r="F1913">
        <f t="shared" si="59"/>
        <v>21.4</v>
      </c>
    </row>
    <row r="1914" spans="1:6" hidden="1" x14ac:dyDescent="0.35">
      <c r="A1914" s="7">
        <v>50553</v>
      </c>
      <c r="B1914" s="8" t="s">
        <v>10</v>
      </c>
      <c r="C1914" s="9">
        <v>19.2</v>
      </c>
      <c r="D1914" s="10">
        <v>0</v>
      </c>
      <c r="E1914">
        <f t="shared" si="60"/>
        <v>2</v>
      </c>
      <c r="F1914">
        <f t="shared" si="59"/>
        <v>40.599999999999994</v>
      </c>
    </row>
    <row r="1915" spans="1:6" hidden="1" x14ac:dyDescent="0.35">
      <c r="A1915" s="11">
        <v>50554</v>
      </c>
      <c r="B1915" s="12" t="s">
        <v>18</v>
      </c>
      <c r="C1915" s="13">
        <v>19.399999999999999</v>
      </c>
      <c r="D1915" s="14">
        <v>14.2</v>
      </c>
      <c r="E1915">
        <f t="shared" si="60"/>
        <v>3</v>
      </c>
      <c r="F1915">
        <f t="shared" si="59"/>
        <v>59.999999999999993</v>
      </c>
    </row>
    <row r="1916" spans="1:6" hidden="1" x14ac:dyDescent="0.35">
      <c r="A1916" s="7">
        <v>50555</v>
      </c>
      <c r="B1916" s="8" t="s">
        <v>19</v>
      </c>
      <c r="C1916" s="9">
        <v>24.2</v>
      </c>
      <c r="D1916" s="10">
        <v>1.9</v>
      </c>
      <c r="E1916">
        <f t="shared" si="60"/>
        <v>4</v>
      </c>
      <c r="F1916">
        <f t="shared" si="59"/>
        <v>84.199999999999989</v>
      </c>
    </row>
    <row r="1917" spans="1:6" hidden="1" x14ac:dyDescent="0.35">
      <c r="A1917" s="11">
        <v>50556</v>
      </c>
      <c r="B1917" s="12" t="s">
        <v>7</v>
      </c>
      <c r="C1917" s="13">
        <v>27.7</v>
      </c>
      <c r="D1917" s="14">
        <v>19.5</v>
      </c>
      <c r="E1917">
        <f t="shared" si="60"/>
        <v>5</v>
      </c>
      <c r="F1917">
        <f t="shared" si="59"/>
        <v>111.89999999999999</v>
      </c>
    </row>
    <row r="1918" spans="1:6" hidden="1" x14ac:dyDescent="0.35">
      <c r="A1918" s="7">
        <v>50557</v>
      </c>
      <c r="B1918" s="8" t="s">
        <v>5</v>
      </c>
      <c r="C1918" s="9">
        <v>16.899999999999999</v>
      </c>
      <c r="D1918" s="10">
        <v>4.0999999999999996</v>
      </c>
      <c r="E1918">
        <f t="shared" si="60"/>
        <v>6</v>
      </c>
      <c r="F1918">
        <f t="shared" si="59"/>
        <v>128.79999999999998</v>
      </c>
    </row>
    <row r="1919" spans="1:6" hidden="1" x14ac:dyDescent="0.35">
      <c r="A1919" s="11">
        <v>50558</v>
      </c>
      <c r="B1919" s="12" t="s">
        <v>19</v>
      </c>
      <c r="C1919" s="13">
        <v>11.8</v>
      </c>
      <c r="D1919" s="14">
        <v>0</v>
      </c>
      <c r="E1919">
        <f t="shared" si="60"/>
        <v>7</v>
      </c>
      <c r="F1919">
        <f t="shared" si="59"/>
        <v>140.6</v>
      </c>
    </row>
    <row r="1920" spans="1:6" hidden="1" x14ac:dyDescent="0.35">
      <c r="A1920" s="7">
        <v>50559</v>
      </c>
      <c r="B1920" s="8" t="s">
        <v>12</v>
      </c>
      <c r="C1920" s="9">
        <v>15.7</v>
      </c>
      <c r="D1920" s="10">
        <v>9.4</v>
      </c>
      <c r="E1920">
        <f t="shared" si="60"/>
        <v>1</v>
      </c>
      <c r="F1920">
        <f t="shared" si="59"/>
        <v>15.7</v>
      </c>
    </row>
    <row r="1921" spans="1:6" hidden="1" x14ac:dyDescent="0.35">
      <c r="A1921" s="11">
        <v>50560</v>
      </c>
      <c r="B1921" s="12" t="s">
        <v>6</v>
      </c>
      <c r="C1921" s="13">
        <v>14.2</v>
      </c>
      <c r="D1921" s="14">
        <v>0</v>
      </c>
      <c r="E1921">
        <f t="shared" si="60"/>
        <v>2</v>
      </c>
      <c r="F1921">
        <f t="shared" si="59"/>
        <v>29.9</v>
      </c>
    </row>
    <row r="1922" spans="1:6" hidden="1" x14ac:dyDescent="0.35">
      <c r="A1922" s="7">
        <v>50561</v>
      </c>
      <c r="B1922" s="8" t="s">
        <v>15</v>
      </c>
      <c r="C1922" s="9">
        <v>18.100000000000001</v>
      </c>
      <c r="D1922" s="10">
        <v>13.1</v>
      </c>
      <c r="E1922">
        <f t="shared" si="60"/>
        <v>3</v>
      </c>
      <c r="F1922">
        <f t="shared" si="59"/>
        <v>48</v>
      </c>
    </row>
    <row r="1923" spans="1:6" hidden="1" x14ac:dyDescent="0.35">
      <c r="A1923" s="11">
        <v>50562</v>
      </c>
      <c r="B1923" s="12" t="s">
        <v>19</v>
      </c>
      <c r="C1923" s="13">
        <v>21.9</v>
      </c>
      <c r="D1923" s="14">
        <v>27.5</v>
      </c>
      <c r="E1923">
        <f t="shared" si="60"/>
        <v>4</v>
      </c>
      <c r="F1923">
        <f t="shared" si="59"/>
        <v>69.900000000000006</v>
      </c>
    </row>
    <row r="1924" spans="1:6" hidden="1" x14ac:dyDescent="0.35">
      <c r="A1924" s="7">
        <v>50563</v>
      </c>
      <c r="B1924" s="8" t="s">
        <v>10</v>
      </c>
      <c r="C1924" s="9">
        <v>28</v>
      </c>
      <c r="D1924" s="10">
        <v>2.1</v>
      </c>
      <c r="E1924">
        <f t="shared" si="60"/>
        <v>5</v>
      </c>
      <c r="F1924">
        <f t="shared" ref="F1924:F1987" si="61">IF(E1923=7,C1924,C1924+F1923)</f>
        <v>97.9</v>
      </c>
    </row>
    <row r="1925" spans="1:6" hidden="1" x14ac:dyDescent="0.35">
      <c r="A1925" s="11">
        <v>50564</v>
      </c>
      <c r="B1925" s="12" t="s">
        <v>13</v>
      </c>
      <c r="C1925" s="13">
        <v>14.2</v>
      </c>
      <c r="D1925" s="14">
        <v>7</v>
      </c>
      <c r="E1925">
        <f t="shared" si="60"/>
        <v>6</v>
      </c>
      <c r="F1925">
        <f t="shared" si="61"/>
        <v>112.10000000000001</v>
      </c>
    </row>
    <row r="1926" spans="1:6" hidden="1" x14ac:dyDescent="0.35">
      <c r="A1926" s="7">
        <v>50565</v>
      </c>
      <c r="B1926" s="8" t="s">
        <v>13</v>
      </c>
      <c r="C1926" s="9">
        <v>11.1</v>
      </c>
      <c r="D1926" s="10">
        <v>0</v>
      </c>
      <c r="E1926">
        <f t="shared" si="60"/>
        <v>7</v>
      </c>
      <c r="F1926">
        <f t="shared" si="61"/>
        <v>123.2</v>
      </c>
    </row>
    <row r="1927" spans="1:6" hidden="1" x14ac:dyDescent="0.35">
      <c r="A1927" s="11">
        <v>50566</v>
      </c>
      <c r="B1927" s="12" t="s">
        <v>14</v>
      </c>
      <c r="C1927" s="13">
        <v>11.8</v>
      </c>
      <c r="D1927" s="14">
        <v>6</v>
      </c>
      <c r="E1927">
        <f t="shared" si="60"/>
        <v>1</v>
      </c>
      <c r="F1927">
        <f t="shared" si="61"/>
        <v>11.8</v>
      </c>
    </row>
    <row r="1928" spans="1:6" hidden="1" x14ac:dyDescent="0.35">
      <c r="A1928" s="7">
        <v>50567</v>
      </c>
      <c r="B1928" s="8" t="s">
        <v>33</v>
      </c>
      <c r="C1928" s="9">
        <v>26.8</v>
      </c>
      <c r="D1928" s="10">
        <v>0.9</v>
      </c>
      <c r="E1928">
        <f t="shared" si="60"/>
        <v>2</v>
      </c>
      <c r="F1928">
        <f t="shared" si="61"/>
        <v>38.6</v>
      </c>
    </row>
    <row r="1929" spans="1:6" hidden="1" x14ac:dyDescent="0.35">
      <c r="A1929" s="11">
        <v>50568</v>
      </c>
      <c r="B1929" s="12" t="s">
        <v>10</v>
      </c>
      <c r="C1929" s="13">
        <v>27.3</v>
      </c>
      <c r="D1929" s="14">
        <v>44.5</v>
      </c>
      <c r="E1929">
        <f t="shared" si="60"/>
        <v>3</v>
      </c>
      <c r="F1929">
        <f t="shared" si="61"/>
        <v>65.900000000000006</v>
      </c>
    </row>
    <row r="1930" spans="1:6" hidden="1" x14ac:dyDescent="0.35">
      <c r="A1930" s="7">
        <v>50569</v>
      </c>
      <c r="B1930" s="8" t="s">
        <v>8</v>
      </c>
      <c r="C1930" s="9">
        <v>14.3</v>
      </c>
      <c r="D1930" s="10">
        <v>3.7</v>
      </c>
      <c r="E1930">
        <f t="shared" ref="E1930:E1993" si="62">IF(E1929=7,1,E1929+1)</f>
        <v>4</v>
      </c>
      <c r="F1930">
        <f t="shared" si="61"/>
        <v>80.2</v>
      </c>
    </row>
    <row r="1931" spans="1:6" hidden="1" x14ac:dyDescent="0.35">
      <c r="A1931" s="11">
        <v>50570</v>
      </c>
      <c r="B1931" s="12" t="s">
        <v>5</v>
      </c>
      <c r="C1931" s="13">
        <v>19.399999999999999</v>
      </c>
      <c r="D1931" s="14">
        <v>0</v>
      </c>
      <c r="E1931">
        <f t="shared" si="62"/>
        <v>5</v>
      </c>
      <c r="F1931">
        <f t="shared" si="61"/>
        <v>99.6</v>
      </c>
    </row>
    <row r="1932" spans="1:6" hidden="1" x14ac:dyDescent="0.35">
      <c r="A1932" s="7">
        <v>50571</v>
      </c>
      <c r="B1932" s="8" t="s">
        <v>19</v>
      </c>
      <c r="C1932" s="9">
        <v>26.5</v>
      </c>
      <c r="D1932" s="10">
        <v>0</v>
      </c>
      <c r="E1932">
        <f t="shared" si="62"/>
        <v>6</v>
      </c>
      <c r="F1932">
        <f t="shared" si="61"/>
        <v>126.1</v>
      </c>
    </row>
    <row r="1933" spans="1:6" hidden="1" x14ac:dyDescent="0.35">
      <c r="A1933" s="11">
        <v>50572</v>
      </c>
      <c r="B1933" s="12" t="s">
        <v>19</v>
      </c>
      <c r="C1933" s="13">
        <v>28.3</v>
      </c>
      <c r="D1933" s="14">
        <v>14.4</v>
      </c>
      <c r="E1933">
        <f t="shared" si="62"/>
        <v>7</v>
      </c>
      <c r="F1933">
        <f t="shared" si="61"/>
        <v>154.4</v>
      </c>
    </row>
    <row r="1934" spans="1:6" hidden="1" x14ac:dyDescent="0.35">
      <c r="A1934" s="7">
        <v>50573</v>
      </c>
      <c r="B1934" s="8" t="s">
        <v>27</v>
      </c>
      <c r="C1934" s="9">
        <v>19.8</v>
      </c>
      <c r="D1934" s="10">
        <v>0</v>
      </c>
      <c r="E1934">
        <f t="shared" si="62"/>
        <v>1</v>
      </c>
      <c r="F1934">
        <f t="shared" si="61"/>
        <v>19.8</v>
      </c>
    </row>
    <row r="1935" spans="1:6" hidden="1" x14ac:dyDescent="0.35">
      <c r="A1935" s="11">
        <v>50574</v>
      </c>
      <c r="B1935" s="12" t="s">
        <v>10</v>
      </c>
      <c r="C1935" s="13">
        <v>16</v>
      </c>
      <c r="D1935" s="14">
        <v>28.7</v>
      </c>
      <c r="E1935">
        <f t="shared" si="62"/>
        <v>2</v>
      </c>
      <c r="F1935">
        <f t="shared" si="61"/>
        <v>35.799999999999997</v>
      </c>
    </row>
    <row r="1936" spans="1:6" hidden="1" x14ac:dyDescent="0.35">
      <c r="A1936" s="7">
        <v>50575</v>
      </c>
      <c r="B1936" s="8" t="s">
        <v>19</v>
      </c>
      <c r="C1936" s="9">
        <v>14.5</v>
      </c>
      <c r="D1936" s="10">
        <v>12</v>
      </c>
      <c r="E1936">
        <f t="shared" si="62"/>
        <v>3</v>
      </c>
      <c r="F1936">
        <f t="shared" si="61"/>
        <v>50.3</v>
      </c>
    </row>
    <row r="1937" spans="1:6" hidden="1" x14ac:dyDescent="0.35">
      <c r="A1937" s="11">
        <v>50576</v>
      </c>
      <c r="B1937" s="12" t="s">
        <v>15</v>
      </c>
      <c r="C1937" s="13">
        <v>14.3</v>
      </c>
      <c r="D1937" s="14">
        <v>13</v>
      </c>
      <c r="E1937">
        <f t="shared" si="62"/>
        <v>4</v>
      </c>
      <c r="F1937">
        <f t="shared" si="61"/>
        <v>64.599999999999994</v>
      </c>
    </row>
    <row r="1938" spans="1:6" hidden="1" x14ac:dyDescent="0.35">
      <c r="A1938" s="7">
        <v>50577</v>
      </c>
      <c r="B1938" s="8" t="s">
        <v>18</v>
      </c>
      <c r="C1938" s="9">
        <v>12.7</v>
      </c>
      <c r="D1938" s="10">
        <v>10.7</v>
      </c>
      <c r="E1938">
        <f t="shared" si="62"/>
        <v>5</v>
      </c>
      <c r="F1938">
        <f t="shared" si="61"/>
        <v>77.3</v>
      </c>
    </row>
    <row r="1939" spans="1:6" hidden="1" x14ac:dyDescent="0.35">
      <c r="A1939" s="11">
        <v>50578</v>
      </c>
      <c r="B1939" s="12" t="s">
        <v>22</v>
      </c>
      <c r="C1939" s="13">
        <v>12.6</v>
      </c>
      <c r="D1939" s="14">
        <v>0</v>
      </c>
      <c r="E1939">
        <f t="shared" si="62"/>
        <v>6</v>
      </c>
      <c r="F1939">
        <f t="shared" si="61"/>
        <v>89.899999999999991</v>
      </c>
    </row>
    <row r="1940" spans="1:6" hidden="1" x14ac:dyDescent="0.35">
      <c r="A1940" s="7">
        <v>50579</v>
      </c>
      <c r="B1940" s="8" t="s">
        <v>26</v>
      </c>
      <c r="C1940" s="9">
        <v>19.899999999999999</v>
      </c>
      <c r="D1940" s="10">
        <v>6.6</v>
      </c>
      <c r="E1940">
        <f t="shared" si="62"/>
        <v>7</v>
      </c>
      <c r="F1940">
        <f t="shared" si="61"/>
        <v>109.79999999999998</v>
      </c>
    </row>
    <row r="1941" spans="1:6" hidden="1" x14ac:dyDescent="0.35">
      <c r="A1941" s="11">
        <v>50580</v>
      </c>
      <c r="B1941" s="12" t="s">
        <v>7</v>
      </c>
      <c r="C1941" s="13">
        <v>27.4</v>
      </c>
      <c r="D1941" s="14">
        <v>6.6</v>
      </c>
      <c r="E1941">
        <f t="shared" si="62"/>
        <v>1</v>
      </c>
      <c r="F1941">
        <f t="shared" si="61"/>
        <v>27.4</v>
      </c>
    </row>
    <row r="1942" spans="1:6" hidden="1" x14ac:dyDescent="0.35">
      <c r="A1942" s="7">
        <v>50581</v>
      </c>
      <c r="B1942" s="8" t="s">
        <v>19</v>
      </c>
      <c r="C1942" s="9">
        <v>27.4</v>
      </c>
      <c r="D1942" s="10">
        <v>0</v>
      </c>
      <c r="E1942">
        <f t="shared" si="62"/>
        <v>2</v>
      </c>
      <c r="F1942">
        <f t="shared" si="61"/>
        <v>54.8</v>
      </c>
    </row>
    <row r="1943" spans="1:6" hidden="1" x14ac:dyDescent="0.35">
      <c r="A1943" s="11">
        <v>50582</v>
      </c>
      <c r="B1943" s="12" t="s">
        <v>28</v>
      </c>
      <c r="C1943" s="13">
        <v>11.2</v>
      </c>
      <c r="D1943" s="14">
        <v>0.3</v>
      </c>
      <c r="E1943">
        <f t="shared" si="62"/>
        <v>3</v>
      </c>
      <c r="F1943">
        <f t="shared" si="61"/>
        <v>66</v>
      </c>
    </row>
    <row r="1944" spans="1:6" hidden="1" x14ac:dyDescent="0.35">
      <c r="A1944" s="7">
        <v>50583</v>
      </c>
      <c r="B1944" s="8" t="s">
        <v>11</v>
      </c>
      <c r="C1944" s="9">
        <v>19.899999999999999</v>
      </c>
      <c r="D1944" s="10">
        <v>19.399999999999999</v>
      </c>
      <c r="E1944">
        <f t="shared" si="62"/>
        <v>4</v>
      </c>
      <c r="F1944">
        <f t="shared" si="61"/>
        <v>85.9</v>
      </c>
    </row>
    <row r="1945" spans="1:6" hidden="1" x14ac:dyDescent="0.35">
      <c r="A1945" s="11">
        <v>50584</v>
      </c>
      <c r="B1945" s="12" t="s">
        <v>4</v>
      </c>
      <c r="C1945" s="13">
        <v>13</v>
      </c>
      <c r="D1945" s="14">
        <v>0.4</v>
      </c>
      <c r="E1945">
        <f t="shared" si="62"/>
        <v>5</v>
      </c>
      <c r="F1945">
        <f t="shared" si="61"/>
        <v>98.9</v>
      </c>
    </row>
    <row r="1946" spans="1:6" hidden="1" x14ac:dyDescent="0.35">
      <c r="A1946" s="7">
        <v>50585</v>
      </c>
      <c r="B1946" s="8" t="s">
        <v>18</v>
      </c>
      <c r="C1946" s="9">
        <v>25.4</v>
      </c>
      <c r="D1946" s="10">
        <v>12.4</v>
      </c>
      <c r="E1946">
        <f t="shared" si="62"/>
        <v>6</v>
      </c>
      <c r="F1946">
        <f t="shared" si="61"/>
        <v>124.30000000000001</v>
      </c>
    </row>
    <row r="1947" spans="1:6" hidden="1" x14ac:dyDescent="0.35">
      <c r="A1947" s="11">
        <v>50586</v>
      </c>
      <c r="B1947" s="12" t="s">
        <v>9</v>
      </c>
      <c r="C1947" s="13">
        <v>23.5</v>
      </c>
      <c r="D1947" s="14">
        <v>0.7</v>
      </c>
      <c r="E1947">
        <f t="shared" si="62"/>
        <v>7</v>
      </c>
      <c r="F1947">
        <f t="shared" si="61"/>
        <v>147.80000000000001</v>
      </c>
    </row>
    <row r="1948" spans="1:6" hidden="1" x14ac:dyDescent="0.35">
      <c r="A1948" s="7">
        <v>50587</v>
      </c>
      <c r="B1948" s="8" t="s">
        <v>22</v>
      </c>
      <c r="C1948" s="9">
        <v>16</v>
      </c>
      <c r="D1948" s="10">
        <v>0.1</v>
      </c>
      <c r="E1948">
        <f t="shared" si="62"/>
        <v>1</v>
      </c>
      <c r="F1948">
        <f t="shared" si="61"/>
        <v>16</v>
      </c>
    </row>
    <row r="1949" spans="1:6" hidden="1" x14ac:dyDescent="0.35">
      <c r="A1949" s="11">
        <v>50588</v>
      </c>
      <c r="B1949" s="12" t="s">
        <v>6</v>
      </c>
      <c r="C1949" s="13">
        <v>25</v>
      </c>
      <c r="D1949" s="14">
        <v>11.7</v>
      </c>
      <c r="E1949">
        <f t="shared" si="62"/>
        <v>2</v>
      </c>
      <c r="F1949">
        <f t="shared" si="61"/>
        <v>41</v>
      </c>
    </row>
    <row r="1950" spans="1:6" hidden="1" x14ac:dyDescent="0.35">
      <c r="A1950" s="7">
        <v>50589</v>
      </c>
      <c r="B1950" s="8" t="s">
        <v>31</v>
      </c>
      <c r="C1950" s="9">
        <v>22.2</v>
      </c>
      <c r="D1950" s="10">
        <v>0.9</v>
      </c>
      <c r="E1950">
        <f t="shared" si="62"/>
        <v>3</v>
      </c>
      <c r="F1950">
        <f t="shared" si="61"/>
        <v>63.2</v>
      </c>
    </row>
    <row r="1951" spans="1:6" hidden="1" x14ac:dyDescent="0.35">
      <c r="A1951" s="11">
        <v>50590</v>
      </c>
      <c r="B1951" s="12" t="s">
        <v>24</v>
      </c>
      <c r="C1951" s="13">
        <v>29.6</v>
      </c>
      <c r="D1951" s="14">
        <v>0</v>
      </c>
      <c r="E1951">
        <f t="shared" si="62"/>
        <v>4</v>
      </c>
      <c r="F1951">
        <f t="shared" si="61"/>
        <v>92.800000000000011</v>
      </c>
    </row>
    <row r="1952" spans="1:6" hidden="1" x14ac:dyDescent="0.35">
      <c r="A1952" s="7">
        <v>50591</v>
      </c>
      <c r="B1952" s="8" t="s">
        <v>10</v>
      </c>
      <c r="C1952" s="9">
        <v>10.1</v>
      </c>
      <c r="D1952" s="10">
        <v>0</v>
      </c>
      <c r="E1952">
        <f t="shared" si="62"/>
        <v>5</v>
      </c>
      <c r="F1952">
        <f t="shared" si="61"/>
        <v>102.9</v>
      </c>
    </row>
    <row r="1953" spans="1:6" hidden="1" x14ac:dyDescent="0.35">
      <c r="A1953" s="11">
        <v>50592</v>
      </c>
      <c r="B1953" s="12" t="s">
        <v>9</v>
      </c>
      <c r="C1953" s="13">
        <v>26.3</v>
      </c>
      <c r="D1953" s="14">
        <v>6.7</v>
      </c>
      <c r="E1953">
        <f t="shared" si="62"/>
        <v>6</v>
      </c>
      <c r="F1953">
        <f t="shared" si="61"/>
        <v>129.20000000000002</v>
      </c>
    </row>
    <row r="1954" spans="1:6" hidden="1" x14ac:dyDescent="0.35">
      <c r="A1954" s="7">
        <v>50593</v>
      </c>
      <c r="B1954" s="8" t="s">
        <v>10</v>
      </c>
      <c r="C1954" s="9">
        <v>27.3</v>
      </c>
      <c r="D1954" s="10">
        <v>15.3</v>
      </c>
      <c r="E1954">
        <f t="shared" si="62"/>
        <v>7</v>
      </c>
      <c r="F1954">
        <f t="shared" si="61"/>
        <v>156.50000000000003</v>
      </c>
    </row>
    <row r="1955" spans="1:6" hidden="1" x14ac:dyDescent="0.35">
      <c r="A1955" s="11">
        <v>50594</v>
      </c>
      <c r="B1955" s="12" t="s">
        <v>11</v>
      </c>
      <c r="C1955" s="13">
        <v>27.8</v>
      </c>
      <c r="D1955" s="14">
        <v>0</v>
      </c>
      <c r="E1955">
        <f t="shared" si="62"/>
        <v>1</v>
      </c>
      <c r="F1955">
        <f t="shared" si="61"/>
        <v>27.8</v>
      </c>
    </row>
    <row r="1956" spans="1:6" hidden="1" x14ac:dyDescent="0.35">
      <c r="A1956" s="7">
        <v>50595</v>
      </c>
      <c r="B1956" s="8" t="s">
        <v>6</v>
      </c>
      <c r="C1956" s="9">
        <v>16.7</v>
      </c>
      <c r="D1956" s="10">
        <v>4.9000000000000004</v>
      </c>
      <c r="E1956">
        <f t="shared" si="62"/>
        <v>2</v>
      </c>
      <c r="F1956">
        <f t="shared" si="61"/>
        <v>44.5</v>
      </c>
    </row>
    <row r="1957" spans="1:6" hidden="1" x14ac:dyDescent="0.35">
      <c r="A1957" s="11">
        <v>50596</v>
      </c>
      <c r="B1957" s="12" t="s">
        <v>15</v>
      </c>
      <c r="C1957" s="13">
        <v>15</v>
      </c>
      <c r="D1957" s="14">
        <v>9.4</v>
      </c>
      <c r="E1957">
        <f t="shared" si="62"/>
        <v>3</v>
      </c>
      <c r="F1957">
        <f t="shared" si="61"/>
        <v>59.5</v>
      </c>
    </row>
    <row r="1958" spans="1:6" hidden="1" x14ac:dyDescent="0.35">
      <c r="A1958" s="7">
        <v>50597</v>
      </c>
      <c r="B1958" s="8" t="s">
        <v>10</v>
      </c>
      <c r="C1958" s="9">
        <v>10.4</v>
      </c>
      <c r="D1958" s="10">
        <v>28.5</v>
      </c>
      <c r="E1958">
        <f t="shared" si="62"/>
        <v>4</v>
      </c>
      <c r="F1958">
        <f t="shared" si="61"/>
        <v>69.900000000000006</v>
      </c>
    </row>
    <row r="1959" spans="1:6" hidden="1" x14ac:dyDescent="0.35">
      <c r="A1959" s="11">
        <v>50598</v>
      </c>
      <c r="B1959" s="12" t="s">
        <v>15</v>
      </c>
      <c r="C1959" s="13">
        <v>18.100000000000001</v>
      </c>
      <c r="D1959" s="14">
        <v>9.6</v>
      </c>
      <c r="E1959">
        <f t="shared" si="62"/>
        <v>5</v>
      </c>
      <c r="F1959">
        <f t="shared" si="61"/>
        <v>88</v>
      </c>
    </row>
    <row r="1960" spans="1:6" hidden="1" x14ac:dyDescent="0.35">
      <c r="A1960" s="7">
        <v>50599</v>
      </c>
      <c r="B1960" s="8" t="s">
        <v>33</v>
      </c>
      <c r="C1960" s="9">
        <v>26.7</v>
      </c>
      <c r="D1960" s="10">
        <v>1.5</v>
      </c>
      <c r="E1960">
        <f t="shared" si="62"/>
        <v>6</v>
      </c>
      <c r="F1960">
        <f t="shared" si="61"/>
        <v>114.7</v>
      </c>
    </row>
    <row r="1961" spans="1:6" hidden="1" x14ac:dyDescent="0.35">
      <c r="A1961" s="11">
        <v>50600</v>
      </c>
      <c r="B1961" s="12" t="s">
        <v>13</v>
      </c>
      <c r="C1961" s="13">
        <v>22.9</v>
      </c>
      <c r="D1961" s="14">
        <v>8.9</v>
      </c>
      <c r="E1961">
        <f t="shared" si="62"/>
        <v>7</v>
      </c>
      <c r="F1961">
        <f t="shared" si="61"/>
        <v>137.6</v>
      </c>
    </row>
    <row r="1962" spans="1:6" hidden="1" x14ac:dyDescent="0.35">
      <c r="A1962" s="7">
        <v>50601</v>
      </c>
      <c r="B1962" s="8" t="s">
        <v>15</v>
      </c>
      <c r="C1962" s="9">
        <v>29.3</v>
      </c>
      <c r="D1962" s="10">
        <v>0</v>
      </c>
      <c r="E1962">
        <f t="shared" si="62"/>
        <v>1</v>
      </c>
      <c r="F1962">
        <f t="shared" si="61"/>
        <v>29.3</v>
      </c>
    </row>
    <row r="1963" spans="1:6" hidden="1" x14ac:dyDescent="0.35">
      <c r="A1963" s="11">
        <v>50602</v>
      </c>
      <c r="B1963" s="12" t="s">
        <v>7</v>
      </c>
      <c r="C1963" s="13">
        <v>26.4</v>
      </c>
      <c r="D1963" s="14">
        <v>3.2</v>
      </c>
      <c r="E1963">
        <f t="shared" si="62"/>
        <v>2</v>
      </c>
      <c r="F1963">
        <f t="shared" si="61"/>
        <v>55.7</v>
      </c>
    </row>
    <row r="1964" spans="1:6" hidden="1" x14ac:dyDescent="0.35">
      <c r="A1964" s="7">
        <v>50603</v>
      </c>
      <c r="B1964" s="8" t="s">
        <v>18</v>
      </c>
      <c r="C1964" s="9">
        <v>20</v>
      </c>
      <c r="D1964" s="10">
        <v>7.3</v>
      </c>
      <c r="E1964">
        <f t="shared" si="62"/>
        <v>3</v>
      </c>
      <c r="F1964">
        <f t="shared" si="61"/>
        <v>75.7</v>
      </c>
    </row>
    <row r="1965" spans="1:6" hidden="1" x14ac:dyDescent="0.35">
      <c r="A1965" s="11">
        <v>50604</v>
      </c>
      <c r="B1965" s="12" t="s">
        <v>11</v>
      </c>
      <c r="C1965" s="13">
        <v>17.100000000000001</v>
      </c>
      <c r="D1965" s="14">
        <v>0</v>
      </c>
      <c r="E1965">
        <f t="shared" si="62"/>
        <v>4</v>
      </c>
      <c r="F1965">
        <f t="shared" si="61"/>
        <v>92.800000000000011</v>
      </c>
    </row>
    <row r="1966" spans="1:6" hidden="1" x14ac:dyDescent="0.35">
      <c r="A1966" s="7">
        <v>50605</v>
      </c>
      <c r="B1966" s="8" t="s">
        <v>5</v>
      </c>
      <c r="C1966" s="9">
        <v>18.8</v>
      </c>
      <c r="D1966" s="10">
        <v>0</v>
      </c>
      <c r="E1966">
        <f t="shared" si="62"/>
        <v>5</v>
      </c>
      <c r="F1966">
        <f t="shared" si="61"/>
        <v>111.60000000000001</v>
      </c>
    </row>
    <row r="1967" spans="1:6" hidden="1" x14ac:dyDescent="0.35">
      <c r="A1967" s="11">
        <v>50606</v>
      </c>
      <c r="B1967" s="12" t="s">
        <v>13</v>
      </c>
      <c r="C1967" s="13">
        <v>12.6</v>
      </c>
      <c r="D1967" s="14">
        <v>4.4000000000000004</v>
      </c>
      <c r="E1967">
        <f t="shared" si="62"/>
        <v>6</v>
      </c>
      <c r="F1967">
        <f t="shared" si="61"/>
        <v>124.2</v>
      </c>
    </row>
    <row r="1968" spans="1:6" hidden="1" x14ac:dyDescent="0.35">
      <c r="A1968" s="7">
        <v>50607</v>
      </c>
      <c r="B1968" s="8" t="s">
        <v>22</v>
      </c>
      <c r="C1968" s="9">
        <v>24</v>
      </c>
      <c r="D1968" s="10">
        <v>0</v>
      </c>
      <c r="E1968">
        <f t="shared" si="62"/>
        <v>7</v>
      </c>
      <c r="F1968">
        <f t="shared" si="61"/>
        <v>148.19999999999999</v>
      </c>
    </row>
    <row r="1969" spans="1:6" hidden="1" x14ac:dyDescent="0.35">
      <c r="A1969" s="11">
        <v>50608</v>
      </c>
      <c r="B1969" s="12" t="s">
        <v>19</v>
      </c>
      <c r="C1969" s="13">
        <v>13.4</v>
      </c>
      <c r="D1969" s="14">
        <v>35.6</v>
      </c>
      <c r="E1969">
        <f t="shared" si="62"/>
        <v>1</v>
      </c>
      <c r="F1969">
        <f t="shared" si="61"/>
        <v>13.4</v>
      </c>
    </row>
    <row r="1970" spans="1:6" hidden="1" x14ac:dyDescent="0.35">
      <c r="A1970" s="7">
        <v>50609</v>
      </c>
      <c r="B1970" s="8" t="s">
        <v>10</v>
      </c>
      <c r="C1970" s="9">
        <v>25.7</v>
      </c>
      <c r="D1970" s="10">
        <v>21.1</v>
      </c>
      <c r="E1970">
        <f t="shared" si="62"/>
        <v>2</v>
      </c>
      <c r="F1970">
        <f t="shared" si="61"/>
        <v>39.1</v>
      </c>
    </row>
    <row r="1971" spans="1:6" hidden="1" x14ac:dyDescent="0.35">
      <c r="A1971" s="11">
        <v>50610</v>
      </c>
      <c r="B1971" s="12" t="s">
        <v>21</v>
      </c>
      <c r="C1971" s="13">
        <v>24.9</v>
      </c>
      <c r="D1971" s="14">
        <v>2</v>
      </c>
      <c r="E1971">
        <f t="shared" si="62"/>
        <v>3</v>
      </c>
      <c r="F1971">
        <f t="shared" si="61"/>
        <v>64</v>
      </c>
    </row>
    <row r="1972" spans="1:6" hidden="1" x14ac:dyDescent="0.35">
      <c r="A1972" s="7">
        <v>50611</v>
      </c>
      <c r="B1972" s="8" t="s">
        <v>11</v>
      </c>
      <c r="C1972" s="9">
        <v>12.5</v>
      </c>
      <c r="D1972" s="10">
        <v>0</v>
      </c>
      <c r="E1972">
        <f t="shared" si="62"/>
        <v>4</v>
      </c>
      <c r="F1972">
        <f t="shared" si="61"/>
        <v>76.5</v>
      </c>
    </row>
    <row r="1973" spans="1:6" hidden="1" x14ac:dyDescent="0.35">
      <c r="A1973" s="11">
        <v>50612</v>
      </c>
      <c r="B1973" s="12" t="s">
        <v>10</v>
      </c>
      <c r="C1973" s="13">
        <v>21.8</v>
      </c>
      <c r="D1973" s="14">
        <v>0</v>
      </c>
      <c r="E1973">
        <f t="shared" si="62"/>
        <v>5</v>
      </c>
      <c r="F1973">
        <f t="shared" si="61"/>
        <v>98.3</v>
      </c>
    </row>
    <row r="1974" spans="1:6" hidden="1" x14ac:dyDescent="0.35">
      <c r="A1974" s="7">
        <v>50613</v>
      </c>
      <c r="B1974" s="8" t="s">
        <v>5</v>
      </c>
      <c r="C1974" s="9">
        <v>15.8</v>
      </c>
      <c r="D1974" s="10">
        <v>6.7</v>
      </c>
      <c r="E1974">
        <f t="shared" si="62"/>
        <v>6</v>
      </c>
      <c r="F1974">
        <f t="shared" si="61"/>
        <v>114.1</v>
      </c>
    </row>
    <row r="1975" spans="1:6" hidden="1" x14ac:dyDescent="0.35">
      <c r="A1975" s="11">
        <v>50614</v>
      </c>
      <c r="B1975" s="12" t="s">
        <v>12</v>
      </c>
      <c r="C1975" s="13">
        <v>13.9</v>
      </c>
      <c r="D1975" s="14">
        <v>0</v>
      </c>
      <c r="E1975">
        <f t="shared" si="62"/>
        <v>7</v>
      </c>
      <c r="F1975">
        <f t="shared" si="61"/>
        <v>128</v>
      </c>
    </row>
    <row r="1976" spans="1:6" hidden="1" x14ac:dyDescent="0.35">
      <c r="A1976" s="7">
        <v>50615</v>
      </c>
      <c r="B1976" s="8" t="s">
        <v>20</v>
      </c>
      <c r="C1976" s="9">
        <v>12.2</v>
      </c>
      <c r="D1976" s="10">
        <v>4.4000000000000004</v>
      </c>
      <c r="E1976">
        <f t="shared" si="62"/>
        <v>1</v>
      </c>
      <c r="F1976">
        <f t="shared" si="61"/>
        <v>12.2</v>
      </c>
    </row>
    <row r="1977" spans="1:6" hidden="1" x14ac:dyDescent="0.35">
      <c r="A1977" s="11">
        <v>50616</v>
      </c>
      <c r="B1977" s="12" t="s">
        <v>11</v>
      </c>
      <c r="C1977" s="13">
        <v>12.2</v>
      </c>
      <c r="D1977" s="14">
        <v>0</v>
      </c>
      <c r="E1977">
        <f t="shared" si="62"/>
        <v>2</v>
      </c>
      <c r="F1977">
        <f t="shared" si="61"/>
        <v>24.4</v>
      </c>
    </row>
    <row r="1978" spans="1:6" hidden="1" x14ac:dyDescent="0.35">
      <c r="A1978" s="7">
        <v>50617</v>
      </c>
      <c r="B1978" s="8" t="s">
        <v>19</v>
      </c>
      <c r="C1978" s="9">
        <v>13.7</v>
      </c>
      <c r="D1978" s="10">
        <v>28</v>
      </c>
      <c r="E1978">
        <f t="shared" si="62"/>
        <v>3</v>
      </c>
      <c r="F1978">
        <f t="shared" si="61"/>
        <v>38.099999999999994</v>
      </c>
    </row>
    <row r="1979" spans="1:6" hidden="1" x14ac:dyDescent="0.35">
      <c r="A1979" s="11">
        <v>50618</v>
      </c>
      <c r="B1979" s="12" t="s">
        <v>17</v>
      </c>
      <c r="C1979" s="13">
        <v>27.9</v>
      </c>
      <c r="D1979" s="14">
        <v>0</v>
      </c>
      <c r="E1979">
        <f t="shared" si="62"/>
        <v>4</v>
      </c>
      <c r="F1979">
        <f t="shared" si="61"/>
        <v>66</v>
      </c>
    </row>
    <row r="1980" spans="1:6" hidden="1" x14ac:dyDescent="0.35">
      <c r="A1980" s="7">
        <v>50619</v>
      </c>
      <c r="B1980" s="8" t="s">
        <v>13</v>
      </c>
      <c r="C1980" s="9">
        <v>25.6</v>
      </c>
      <c r="D1980" s="10">
        <v>1.7</v>
      </c>
      <c r="E1980">
        <f t="shared" si="62"/>
        <v>5</v>
      </c>
      <c r="F1980">
        <f t="shared" si="61"/>
        <v>91.6</v>
      </c>
    </row>
    <row r="1981" spans="1:6" hidden="1" x14ac:dyDescent="0.35">
      <c r="A1981" s="11">
        <v>50620</v>
      </c>
      <c r="B1981" s="12" t="s">
        <v>14</v>
      </c>
      <c r="C1981" s="13">
        <v>11.7</v>
      </c>
      <c r="D1981" s="14">
        <v>4.5999999999999996</v>
      </c>
      <c r="E1981">
        <f t="shared" si="62"/>
        <v>6</v>
      </c>
      <c r="F1981">
        <f t="shared" si="61"/>
        <v>103.3</v>
      </c>
    </row>
    <row r="1982" spans="1:6" hidden="1" x14ac:dyDescent="0.35">
      <c r="A1982" s="7">
        <v>50621</v>
      </c>
      <c r="B1982" s="8" t="s">
        <v>8</v>
      </c>
      <c r="C1982" s="9">
        <v>27.3</v>
      </c>
      <c r="D1982" s="10">
        <v>0</v>
      </c>
      <c r="E1982">
        <f t="shared" si="62"/>
        <v>7</v>
      </c>
      <c r="F1982">
        <f t="shared" si="61"/>
        <v>130.6</v>
      </c>
    </row>
    <row r="1983" spans="1:6" hidden="1" x14ac:dyDescent="0.35">
      <c r="A1983" s="11">
        <v>50622</v>
      </c>
      <c r="B1983" s="12" t="s">
        <v>11</v>
      </c>
      <c r="C1983" s="13">
        <v>25.6</v>
      </c>
      <c r="D1983" s="14">
        <v>18.2</v>
      </c>
      <c r="E1983">
        <f t="shared" si="62"/>
        <v>1</v>
      </c>
      <c r="F1983">
        <f t="shared" si="61"/>
        <v>25.6</v>
      </c>
    </row>
    <row r="1984" spans="1:6" hidden="1" x14ac:dyDescent="0.35">
      <c r="A1984" s="7">
        <v>50623</v>
      </c>
      <c r="B1984" s="8" t="s">
        <v>28</v>
      </c>
      <c r="C1984" s="9">
        <v>23.6</v>
      </c>
      <c r="D1984" s="10">
        <v>0.1</v>
      </c>
      <c r="E1984">
        <f t="shared" si="62"/>
        <v>2</v>
      </c>
      <c r="F1984">
        <f t="shared" si="61"/>
        <v>49.2</v>
      </c>
    </row>
    <row r="1985" spans="1:6" hidden="1" x14ac:dyDescent="0.35">
      <c r="A1985" s="11">
        <v>50624</v>
      </c>
      <c r="B1985" s="12" t="s">
        <v>10</v>
      </c>
      <c r="C1985" s="13">
        <v>14.6</v>
      </c>
      <c r="D1985" s="14">
        <v>0</v>
      </c>
      <c r="E1985">
        <f t="shared" si="62"/>
        <v>3</v>
      </c>
      <c r="F1985">
        <f t="shared" si="61"/>
        <v>63.800000000000004</v>
      </c>
    </row>
    <row r="1986" spans="1:6" hidden="1" x14ac:dyDescent="0.35">
      <c r="A1986" s="7">
        <v>50625</v>
      </c>
      <c r="B1986" s="8" t="s">
        <v>9</v>
      </c>
      <c r="C1986" s="9">
        <v>17.399999999999999</v>
      </c>
      <c r="D1986" s="10">
        <v>7.8</v>
      </c>
      <c r="E1986">
        <f t="shared" si="62"/>
        <v>4</v>
      </c>
      <c r="F1986">
        <f t="shared" si="61"/>
        <v>81.2</v>
      </c>
    </row>
    <row r="1987" spans="1:6" hidden="1" x14ac:dyDescent="0.35">
      <c r="A1987" s="11">
        <v>50626</v>
      </c>
      <c r="B1987" s="12" t="s">
        <v>10</v>
      </c>
      <c r="C1987" s="13">
        <v>27.4</v>
      </c>
      <c r="D1987" s="14">
        <v>0</v>
      </c>
      <c r="E1987">
        <f t="shared" si="62"/>
        <v>5</v>
      </c>
      <c r="F1987">
        <f t="shared" si="61"/>
        <v>108.6</v>
      </c>
    </row>
    <row r="1988" spans="1:6" hidden="1" x14ac:dyDescent="0.35">
      <c r="A1988" s="7">
        <v>50627</v>
      </c>
      <c r="B1988" s="8" t="s">
        <v>19</v>
      </c>
      <c r="C1988" s="9">
        <v>15.2</v>
      </c>
      <c r="D1988" s="10">
        <v>5.9</v>
      </c>
      <c r="E1988">
        <f t="shared" si="62"/>
        <v>6</v>
      </c>
      <c r="F1988">
        <f t="shared" ref="F1988:F2051" si="63">IF(E1987=7,C1988,C1988+F1987)</f>
        <v>123.8</v>
      </c>
    </row>
    <row r="1989" spans="1:6" hidden="1" x14ac:dyDescent="0.35">
      <c r="A1989" s="11">
        <v>50628</v>
      </c>
      <c r="B1989" s="12" t="s">
        <v>29</v>
      </c>
      <c r="C1989" s="13">
        <v>11.6</v>
      </c>
      <c r="D1989" s="14">
        <v>0</v>
      </c>
      <c r="E1989">
        <f t="shared" si="62"/>
        <v>7</v>
      </c>
      <c r="F1989">
        <f t="shared" si="63"/>
        <v>135.4</v>
      </c>
    </row>
    <row r="1990" spans="1:6" hidden="1" x14ac:dyDescent="0.35">
      <c r="A1990" s="7">
        <v>50629</v>
      </c>
      <c r="B1990" s="8" t="s">
        <v>26</v>
      </c>
      <c r="C1990" s="9">
        <v>10.8</v>
      </c>
      <c r="D1990" s="10">
        <v>1.6</v>
      </c>
      <c r="E1990">
        <f t="shared" si="62"/>
        <v>1</v>
      </c>
      <c r="F1990">
        <f t="shared" si="63"/>
        <v>10.8</v>
      </c>
    </row>
    <row r="1991" spans="1:6" hidden="1" x14ac:dyDescent="0.35">
      <c r="A1991" s="11">
        <v>50630</v>
      </c>
      <c r="B1991" s="12" t="s">
        <v>22</v>
      </c>
      <c r="C1991" s="13">
        <v>12</v>
      </c>
      <c r="D1991" s="14">
        <v>3.9</v>
      </c>
      <c r="E1991">
        <f t="shared" si="62"/>
        <v>2</v>
      </c>
      <c r="F1991">
        <f t="shared" si="63"/>
        <v>22.8</v>
      </c>
    </row>
    <row r="1992" spans="1:6" hidden="1" x14ac:dyDescent="0.35">
      <c r="A1992" s="7">
        <v>50631</v>
      </c>
      <c r="B1992" s="8" t="s">
        <v>26</v>
      </c>
      <c r="C1992" s="9">
        <v>14</v>
      </c>
      <c r="D1992" s="10">
        <v>5</v>
      </c>
      <c r="E1992">
        <f t="shared" si="62"/>
        <v>3</v>
      </c>
      <c r="F1992">
        <f t="shared" si="63"/>
        <v>36.799999999999997</v>
      </c>
    </row>
    <row r="1993" spans="1:6" hidden="1" x14ac:dyDescent="0.35">
      <c r="A1993" s="11">
        <v>50632</v>
      </c>
      <c r="B1993" s="12" t="s">
        <v>19</v>
      </c>
      <c r="C1993" s="13">
        <v>26.4</v>
      </c>
      <c r="D1993" s="14">
        <v>0</v>
      </c>
      <c r="E1993">
        <f t="shared" si="62"/>
        <v>4</v>
      </c>
      <c r="F1993">
        <f t="shared" si="63"/>
        <v>63.199999999999996</v>
      </c>
    </row>
    <row r="1994" spans="1:6" hidden="1" x14ac:dyDescent="0.35">
      <c r="A1994" s="7">
        <v>50633</v>
      </c>
      <c r="B1994" s="8" t="s">
        <v>15</v>
      </c>
      <c r="C1994" s="9">
        <v>23</v>
      </c>
      <c r="D1994" s="10">
        <v>20.100000000000001</v>
      </c>
      <c r="E1994">
        <f t="shared" ref="E1994:E2057" si="64">IF(E1993=7,1,E1993+1)</f>
        <v>5</v>
      </c>
      <c r="F1994">
        <f t="shared" si="63"/>
        <v>86.199999999999989</v>
      </c>
    </row>
    <row r="1995" spans="1:6" hidden="1" x14ac:dyDescent="0.35">
      <c r="A1995" s="11">
        <v>50634</v>
      </c>
      <c r="B1995" s="12" t="s">
        <v>8</v>
      </c>
      <c r="C1995" s="13">
        <v>20.5</v>
      </c>
      <c r="D1995" s="14">
        <v>1.1000000000000001</v>
      </c>
      <c r="E1995">
        <f t="shared" si="64"/>
        <v>6</v>
      </c>
      <c r="F1995">
        <f t="shared" si="63"/>
        <v>106.69999999999999</v>
      </c>
    </row>
    <row r="1996" spans="1:6" hidden="1" x14ac:dyDescent="0.35">
      <c r="A1996" s="7">
        <v>50635</v>
      </c>
      <c r="B1996" s="8" t="s">
        <v>14</v>
      </c>
      <c r="C1996" s="9">
        <v>15.9</v>
      </c>
      <c r="D1996" s="10">
        <v>3.1</v>
      </c>
      <c r="E1996">
        <f t="shared" si="64"/>
        <v>7</v>
      </c>
      <c r="F1996">
        <f t="shared" si="63"/>
        <v>122.6</v>
      </c>
    </row>
    <row r="1997" spans="1:6" hidden="1" x14ac:dyDescent="0.35">
      <c r="A1997" s="11">
        <v>50636</v>
      </c>
      <c r="B1997" s="12" t="s">
        <v>10</v>
      </c>
      <c r="C1997" s="13">
        <v>20.8</v>
      </c>
      <c r="D1997" s="14">
        <v>6.9</v>
      </c>
      <c r="E1997">
        <f t="shared" si="64"/>
        <v>1</v>
      </c>
      <c r="F1997">
        <f t="shared" si="63"/>
        <v>20.8</v>
      </c>
    </row>
    <row r="1998" spans="1:6" hidden="1" x14ac:dyDescent="0.35">
      <c r="A1998" s="7">
        <v>50637</v>
      </c>
      <c r="B1998" s="8" t="s">
        <v>21</v>
      </c>
      <c r="C1998" s="9">
        <v>12.9</v>
      </c>
      <c r="D1998" s="10">
        <v>1.5</v>
      </c>
      <c r="E1998">
        <f t="shared" si="64"/>
        <v>2</v>
      </c>
      <c r="F1998">
        <f t="shared" si="63"/>
        <v>33.700000000000003</v>
      </c>
    </row>
    <row r="1999" spans="1:6" hidden="1" x14ac:dyDescent="0.35">
      <c r="A1999" s="11">
        <v>50638</v>
      </c>
      <c r="B1999" s="12" t="s">
        <v>19</v>
      </c>
      <c r="C1999" s="13">
        <v>11.6</v>
      </c>
      <c r="D1999" s="14">
        <v>15.8</v>
      </c>
      <c r="E1999">
        <f t="shared" si="64"/>
        <v>3</v>
      </c>
      <c r="F1999">
        <f t="shared" si="63"/>
        <v>45.300000000000004</v>
      </c>
    </row>
    <row r="2000" spans="1:6" hidden="1" x14ac:dyDescent="0.35">
      <c r="A2000" s="7">
        <v>50639</v>
      </c>
      <c r="B2000" s="8" t="s">
        <v>13</v>
      </c>
      <c r="C2000" s="9">
        <v>25.6</v>
      </c>
      <c r="D2000" s="10">
        <v>0</v>
      </c>
      <c r="E2000">
        <f t="shared" si="64"/>
        <v>4</v>
      </c>
      <c r="F2000">
        <f t="shared" si="63"/>
        <v>70.900000000000006</v>
      </c>
    </row>
    <row r="2001" spans="1:6" hidden="1" x14ac:dyDescent="0.35">
      <c r="A2001" s="11">
        <v>50640</v>
      </c>
      <c r="B2001" s="12" t="s">
        <v>7</v>
      </c>
      <c r="C2001" s="13">
        <v>15.7</v>
      </c>
      <c r="D2001" s="14">
        <v>6.7</v>
      </c>
      <c r="E2001">
        <f t="shared" si="64"/>
        <v>5</v>
      </c>
      <c r="F2001">
        <f t="shared" si="63"/>
        <v>86.600000000000009</v>
      </c>
    </row>
    <row r="2002" spans="1:6" hidden="1" x14ac:dyDescent="0.35">
      <c r="A2002" s="7">
        <v>50641</v>
      </c>
      <c r="B2002" s="8" t="s">
        <v>14</v>
      </c>
      <c r="C2002" s="9">
        <v>25.5</v>
      </c>
      <c r="D2002" s="10">
        <v>0</v>
      </c>
      <c r="E2002">
        <f t="shared" si="64"/>
        <v>6</v>
      </c>
      <c r="F2002">
        <f t="shared" si="63"/>
        <v>112.10000000000001</v>
      </c>
    </row>
    <row r="2003" spans="1:6" hidden="1" x14ac:dyDescent="0.35">
      <c r="A2003" s="11">
        <v>50642</v>
      </c>
      <c r="B2003" s="12" t="s">
        <v>22</v>
      </c>
      <c r="C2003" s="13">
        <v>19.5</v>
      </c>
      <c r="D2003" s="14">
        <v>3.4</v>
      </c>
      <c r="E2003">
        <f t="shared" si="64"/>
        <v>7</v>
      </c>
      <c r="F2003">
        <f t="shared" si="63"/>
        <v>131.60000000000002</v>
      </c>
    </row>
    <row r="2004" spans="1:6" hidden="1" x14ac:dyDescent="0.35">
      <c r="A2004" s="7">
        <v>50643</v>
      </c>
      <c r="B2004" s="8" t="s">
        <v>25</v>
      </c>
      <c r="C2004" s="9">
        <v>14.1</v>
      </c>
      <c r="D2004" s="10">
        <v>0</v>
      </c>
      <c r="E2004">
        <f t="shared" si="64"/>
        <v>1</v>
      </c>
      <c r="F2004">
        <f t="shared" si="63"/>
        <v>14.1</v>
      </c>
    </row>
    <row r="2005" spans="1:6" hidden="1" x14ac:dyDescent="0.35">
      <c r="A2005" s="11">
        <v>50644</v>
      </c>
      <c r="B2005" s="12" t="s">
        <v>6</v>
      </c>
      <c r="C2005" s="13">
        <v>26.4</v>
      </c>
      <c r="D2005" s="14">
        <v>0</v>
      </c>
      <c r="E2005">
        <f t="shared" si="64"/>
        <v>2</v>
      </c>
      <c r="F2005">
        <f t="shared" si="63"/>
        <v>40.5</v>
      </c>
    </row>
    <row r="2006" spans="1:6" hidden="1" x14ac:dyDescent="0.35">
      <c r="A2006" s="7">
        <v>50645</v>
      </c>
      <c r="B2006" s="8" t="s">
        <v>15</v>
      </c>
      <c r="C2006" s="9">
        <v>11.7</v>
      </c>
      <c r="D2006" s="10">
        <v>8.4</v>
      </c>
      <c r="E2006">
        <f t="shared" si="64"/>
        <v>3</v>
      </c>
      <c r="F2006">
        <f t="shared" si="63"/>
        <v>52.2</v>
      </c>
    </row>
    <row r="2007" spans="1:6" hidden="1" x14ac:dyDescent="0.35">
      <c r="A2007" s="11">
        <v>50646</v>
      </c>
      <c r="B2007" s="12" t="s">
        <v>25</v>
      </c>
      <c r="C2007" s="13">
        <v>28</v>
      </c>
      <c r="D2007" s="14">
        <v>0</v>
      </c>
      <c r="E2007">
        <f t="shared" si="64"/>
        <v>4</v>
      </c>
      <c r="F2007">
        <f t="shared" si="63"/>
        <v>80.2</v>
      </c>
    </row>
    <row r="2008" spans="1:6" hidden="1" x14ac:dyDescent="0.35">
      <c r="A2008" s="7">
        <v>50647</v>
      </c>
      <c r="B2008" s="8" t="s">
        <v>17</v>
      </c>
      <c r="C2008" s="9">
        <v>13</v>
      </c>
      <c r="D2008" s="10">
        <v>0.1</v>
      </c>
      <c r="E2008">
        <f t="shared" si="64"/>
        <v>5</v>
      </c>
      <c r="F2008">
        <f t="shared" si="63"/>
        <v>93.2</v>
      </c>
    </row>
    <row r="2009" spans="1:6" hidden="1" x14ac:dyDescent="0.35">
      <c r="A2009" s="11">
        <v>50648</v>
      </c>
      <c r="B2009" s="12" t="s">
        <v>11</v>
      </c>
      <c r="C2009" s="13">
        <v>10.8</v>
      </c>
      <c r="D2009" s="14">
        <v>11.3</v>
      </c>
      <c r="E2009">
        <f t="shared" si="64"/>
        <v>6</v>
      </c>
      <c r="F2009">
        <f t="shared" si="63"/>
        <v>104</v>
      </c>
    </row>
    <row r="2010" spans="1:6" hidden="1" x14ac:dyDescent="0.35">
      <c r="A2010" s="7">
        <v>50649</v>
      </c>
      <c r="B2010" s="8" t="s">
        <v>11</v>
      </c>
      <c r="C2010" s="9">
        <v>26.4</v>
      </c>
      <c r="D2010" s="10">
        <v>18.7</v>
      </c>
      <c r="E2010">
        <f t="shared" si="64"/>
        <v>7</v>
      </c>
      <c r="F2010">
        <f t="shared" si="63"/>
        <v>130.4</v>
      </c>
    </row>
    <row r="2011" spans="1:6" hidden="1" x14ac:dyDescent="0.35">
      <c r="A2011" s="11">
        <v>50650</v>
      </c>
      <c r="B2011" s="12" t="s">
        <v>19</v>
      </c>
      <c r="C2011" s="13">
        <v>26.7</v>
      </c>
      <c r="D2011" s="14">
        <v>3.9</v>
      </c>
      <c r="E2011">
        <f t="shared" si="64"/>
        <v>1</v>
      </c>
      <c r="F2011">
        <f t="shared" si="63"/>
        <v>26.7</v>
      </c>
    </row>
    <row r="2012" spans="1:6" hidden="1" x14ac:dyDescent="0.35">
      <c r="A2012" s="7">
        <v>50651</v>
      </c>
      <c r="B2012" s="8" t="s">
        <v>11</v>
      </c>
      <c r="C2012" s="9">
        <v>11.7</v>
      </c>
      <c r="D2012" s="10">
        <v>13</v>
      </c>
      <c r="E2012">
        <f t="shared" si="64"/>
        <v>2</v>
      </c>
      <c r="F2012">
        <f t="shared" si="63"/>
        <v>38.4</v>
      </c>
    </row>
    <row r="2013" spans="1:6" hidden="1" x14ac:dyDescent="0.35">
      <c r="A2013" s="11">
        <v>50652</v>
      </c>
      <c r="B2013" s="12" t="s">
        <v>30</v>
      </c>
      <c r="C2013" s="13">
        <v>12</v>
      </c>
      <c r="D2013" s="14">
        <v>0.4</v>
      </c>
      <c r="E2013">
        <f t="shared" si="64"/>
        <v>3</v>
      </c>
      <c r="F2013">
        <f t="shared" si="63"/>
        <v>50.4</v>
      </c>
    </row>
    <row r="2014" spans="1:6" hidden="1" x14ac:dyDescent="0.35">
      <c r="A2014" s="7">
        <v>50653</v>
      </c>
      <c r="B2014" s="8" t="s">
        <v>21</v>
      </c>
      <c r="C2014" s="9">
        <v>24.2</v>
      </c>
      <c r="D2014" s="10">
        <v>0.7</v>
      </c>
      <c r="E2014">
        <f t="shared" si="64"/>
        <v>4</v>
      </c>
      <c r="F2014">
        <f t="shared" si="63"/>
        <v>74.599999999999994</v>
      </c>
    </row>
    <row r="2015" spans="1:6" hidden="1" x14ac:dyDescent="0.35">
      <c r="A2015" s="11">
        <v>50654</v>
      </c>
      <c r="B2015" s="12" t="s">
        <v>26</v>
      </c>
      <c r="C2015" s="13">
        <v>27.3</v>
      </c>
      <c r="D2015" s="14">
        <v>3.7</v>
      </c>
      <c r="E2015">
        <f t="shared" si="64"/>
        <v>5</v>
      </c>
      <c r="F2015">
        <f t="shared" si="63"/>
        <v>101.89999999999999</v>
      </c>
    </row>
    <row r="2016" spans="1:6" hidden="1" x14ac:dyDescent="0.35">
      <c r="A2016" s="7">
        <v>50655</v>
      </c>
      <c r="B2016" s="8" t="s">
        <v>13</v>
      </c>
      <c r="C2016" s="9">
        <v>10.7</v>
      </c>
      <c r="D2016" s="10">
        <v>0</v>
      </c>
      <c r="E2016">
        <f t="shared" si="64"/>
        <v>6</v>
      </c>
      <c r="F2016">
        <f t="shared" si="63"/>
        <v>112.6</v>
      </c>
    </row>
    <row r="2017" spans="1:6" hidden="1" x14ac:dyDescent="0.35">
      <c r="A2017" s="11">
        <v>50656</v>
      </c>
      <c r="B2017" s="12" t="s">
        <v>8</v>
      </c>
      <c r="C2017" s="13">
        <v>11.1</v>
      </c>
      <c r="D2017" s="14">
        <v>0</v>
      </c>
      <c r="E2017">
        <f t="shared" si="64"/>
        <v>7</v>
      </c>
      <c r="F2017">
        <f t="shared" si="63"/>
        <v>123.69999999999999</v>
      </c>
    </row>
    <row r="2018" spans="1:6" hidden="1" x14ac:dyDescent="0.35">
      <c r="A2018" s="7">
        <v>50657</v>
      </c>
      <c r="B2018" s="8" t="s">
        <v>7</v>
      </c>
      <c r="C2018" s="9">
        <v>28.5</v>
      </c>
      <c r="D2018" s="10">
        <v>19.8</v>
      </c>
      <c r="E2018">
        <f t="shared" si="64"/>
        <v>1</v>
      </c>
      <c r="F2018">
        <f t="shared" si="63"/>
        <v>28.5</v>
      </c>
    </row>
    <row r="2019" spans="1:6" hidden="1" x14ac:dyDescent="0.35">
      <c r="A2019" s="11">
        <v>50658</v>
      </c>
      <c r="B2019" s="12" t="s">
        <v>19</v>
      </c>
      <c r="C2019" s="13">
        <v>10.1</v>
      </c>
      <c r="D2019" s="14">
        <v>0</v>
      </c>
      <c r="E2019">
        <f t="shared" si="64"/>
        <v>2</v>
      </c>
      <c r="F2019">
        <f t="shared" si="63"/>
        <v>38.6</v>
      </c>
    </row>
    <row r="2020" spans="1:6" hidden="1" x14ac:dyDescent="0.35">
      <c r="A2020" s="7">
        <v>50659</v>
      </c>
      <c r="B2020" s="8" t="s">
        <v>9</v>
      </c>
      <c r="C2020" s="9">
        <v>20.8</v>
      </c>
      <c r="D2020" s="10">
        <v>11.2</v>
      </c>
      <c r="E2020">
        <f t="shared" si="64"/>
        <v>3</v>
      </c>
      <c r="F2020">
        <f t="shared" si="63"/>
        <v>59.400000000000006</v>
      </c>
    </row>
    <row r="2021" spans="1:6" hidden="1" x14ac:dyDescent="0.35">
      <c r="A2021" s="11">
        <v>50660</v>
      </c>
      <c r="B2021" s="12" t="s">
        <v>7</v>
      </c>
      <c r="C2021" s="13">
        <v>16.600000000000001</v>
      </c>
      <c r="D2021" s="14">
        <v>0</v>
      </c>
      <c r="E2021">
        <f t="shared" si="64"/>
        <v>4</v>
      </c>
      <c r="F2021">
        <f t="shared" si="63"/>
        <v>76</v>
      </c>
    </row>
    <row r="2022" spans="1:6" hidden="1" x14ac:dyDescent="0.35">
      <c r="A2022" s="7">
        <v>50661</v>
      </c>
      <c r="B2022" s="8" t="s">
        <v>13</v>
      </c>
      <c r="C2022" s="9">
        <v>26.4</v>
      </c>
      <c r="D2022" s="10">
        <v>10</v>
      </c>
      <c r="E2022">
        <f t="shared" si="64"/>
        <v>5</v>
      </c>
      <c r="F2022">
        <f t="shared" si="63"/>
        <v>102.4</v>
      </c>
    </row>
    <row r="2023" spans="1:6" hidden="1" x14ac:dyDescent="0.35">
      <c r="A2023" s="11">
        <v>50662</v>
      </c>
      <c r="B2023" s="12" t="s">
        <v>22</v>
      </c>
      <c r="C2023" s="13">
        <v>15.1</v>
      </c>
      <c r="D2023" s="14">
        <v>0</v>
      </c>
      <c r="E2023">
        <f t="shared" si="64"/>
        <v>6</v>
      </c>
      <c r="F2023">
        <f t="shared" si="63"/>
        <v>117.5</v>
      </c>
    </row>
    <row r="2024" spans="1:6" hidden="1" x14ac:dyDescent="0.35">
      <c r="A2024" s="7">
        <v>50663</v>
      </c>
      <c r="B2024" s="8" t="s">
        <v>6</v>
      </c>
      <c r="C2024" s="9">
        <v>20.9</v>
      </c>
      <c r="D2024" s="10">
        <v>10.1</v>
      </c>
      <c r="E2024">
        <f t="shared" si="64"/>
        <v>7</v>
      </c>
      <c r="F2024">
        <f t="shared" si="63"/>
        <v>138.4</v>
      </c>
    </row>
    <row r="2025" spans="1:6" hidden="1" x14ac:dyDescent="0.35">
      <c r="A2025" s="11">
        <v>50664</v>
      </c>
      <c r="B2025" s="12" t="s">
        <v>13</v>
      </c>
      <c r="C2025" s="13">
        <v>27.3</v>
      </c>
      <c r="D2025" s="14">
        <v>5.3</v>
      </c>
      <c r="E2025">
        <f t="shared" si="64"/>
        <v>1</v>
      </c>
      <c r="F2025">
        <f t="shared" si="63"/>
        <v>27.3</v>
      </c>
    </row>
    <row r="2026" spans="1:6" hidden="1" x14ac:dyDescent="0.35">
      <c r="A2026" s="7">
        <v>50665</v>
      </c>
      <c r="B2026" s="8" t="s">
        <v>6</v>
      </c>
      <c r="C2026" s="9">
        <v>17.600000000000001</v>
      </c>
      <c r="D2026" s="10">
        <v>5.5</v>
      </c>
      <c r="E2026">
        <f t="shared" si="64"/>
        <v>2</v>
      </c>
      <c r="F2026">
        <f t="shared" si="63"/>
        <v>44.900000000000006</v>
      </c>
    </row>
    <row r="2027" spans="1:6" hidden="1" x14ac:dyDescent="0.35">
      <c r="A2027" s="11">
        <v>50666</v>
      </c>
      <c r="B2027" s="12" t="s">
        <v>19</v>
      </c>
      <c r="C2027" s="13">
        <v>27.8</v>
      </c>
      <c r="D2027" s="14">
        <v>0</v>
      </c>
      <c r="E2027">
        <f t="shared" si="64"/>
        <v>3</v>
      </c>
      <c r="F2027">
        <f t="shared" si="63"/>
        <v>72.7</v>
      </c>
    </row>
    <row r="2028" spans="1:6" hidden="1" x14ac:dyDescent="0.35">
      <c r="A2028" s="7">
        <v>50667</v>
      </c>
      <c r="B2028" s="8" t="s">
        <v>10</v>
      </c>
      <c r="C2028" s="9">
        <v>25.8</v>
      </c>
      <c r="D2028" s="10">
        <v>12.1</v>
      </c>
      <c r="E2028">
        <f t="shared" si="64"/>
        <v>4</v>
      </c>
      <c r="F2028">
        <f t="shared" si="63"/>
        <v>98.5</v>
      </c>
    </row>
    <row r="2029" spans="1:6" hidden="1" x14ac:dyDescent="0.35">
      <c r="A2029" s="11">
        <v>50668</v>
      </c>
      <c r="B2029" s="12" t="s">
        <v>26</v>
      </c>
      <c r="C2029" s="13">
        <v>18.100000000000001</v>
      </c>
      <c r="D2029" s="14">
        <v>1.1000000000000001</v>
      </c>
      <c r="E2029">
        <f t="shared" si="64"/>
        <v>5</v>
      </c>
      <c r="F2029">
        <f t="shared" si="63"/>
        <v>116.6</v>
      </c>
    </row>
    <row r="2030" spans="1:6" hidden="1" x14ac:dyDescent="0.35">
      <c r="A2030" s="7">
        <v>50669</v>
      </c>
      <c r="B2030" s="8" t="s">
        <v>12</v>
      </c>
      <c r="C2030" s="9">
        <v>21.9</v>
      </c>
      <c r="D2030" s="10">
        <v>7.7</v>
      </c>
      <c r="E2030">
        <f t="shared" si="64"/>
        <v>6</v>
      </c>
      <c r="F2030">
        <f t="shared" si="63"/>
        <v>138.5</v>
      </c>
    </row>
    <row r="2031" spans="1:6" hidden="1" x14ac:dyDescent="0.35">
      <c r="A2031" s="11">
        <v>50670</v>
      </c>
      <c r="B2031" s="12" t="s">
        <v>27</v>
      </c>
      <c r="C2031" s="13">
        <v>23.2</v>
      </c>
      <c r="D2031" s="14">
        <v>5.0999999999999996</v>
      </c>
      <c r="E2031">
        <f t="shared" si="64"/>
        <v>7</v>
      </c>
      <c r="F2031">
        <f t="shared" si="63"/>
        <v>161.69999999999999</v>
      </c>
    </row>
    <row r="2032" spans="1:6" hidden="1" x14ac:dyDescent="0.35">
      <c r="A2032" s="7">
        <v>50671</v>
      </c>
      <c r="B2032" s="8" t="s">
        <v>31</v>
      </c>
      <c r="C2032" s="9">
        <v>26.6</v>
      </c>
      <c r="D2032" s="10">
        <v>0.3</v>
      </c>
      <c r="E2032">
        <f t="shared" si="64"/>
        <v>1</v>
      </c>
      <c r="F2032">
        <f t="shared" si="63"/>
        <v>26.6</v>
      </c>
    </row>
    <row r="2033" spans="1:6" hidden="1" x14ac:dyDescent="0.35">
      <c r="A2033" s="11">
        <v>50672</v>
      </c>
      <c r="B2033" s="12" t="s">
        <v>11</v>
      </c>
      <c r="C2033" s="13">
        <v>23.2</v>
      </c>
      <c r="D2033" s="14">
        <v>0</v>
      </c>
      <c r="E2033">
        <f t="shared" si="64"/>
        <v>2</v>
      </c>
      <c r="F2033">
        <f t="shared" si="63"/>
        <v>49.8</v>
      </c>
    </row>
    <row r="2034" spans="1:6" hidden="1" x14ac:dyDescent="0.35">
      <c r="A2034" s="7">
        <v>50673</v>
      </c>
      <c r="B2034" s="8" t="s">
        <v>10</v>
      </c>
      <c r="C2034" s="9">
        <v>11</v>
      </c>
      <c r="D2034" s="10">
        <v>40.9</v>
      </c>
      <c r="E2034">
        <f t="shared" si="64"/>
        <v>3</v>
      </c>
      <c r="F2034">
        <f t="shared" si="63"/>
        <v>60.8</v>
      </c>
    </row>
    <row r="2035" spans="1:6" hidden="1" x14ac:dyDescent="0.35">
      <c r="A2035" s="11">
        <v>50674</v>
      </c>
      <c r="B2035" s="12" t="s">
        <v>23</v>
      </c>
      <c r="C2035" s="13">
        <v>26.8</v>
      </c>
      <c r="D2035" s="14">
        <v>2.2999999999999998</v>
      </c>
      <c r="E2035">
        <f t="shared" si="64"/>
        <v>4</v>
      </c>
      <c r="F2035">
        <f t="shared" si="63"/>
        <v>87.6</v>
      </c>
    </row>
    <row r="2036" spans="1:6" hidden="1" x14ac:dyDescent="0.35">
      <c r="A2036" s="7">
        <v>50675</v>
      </c>
      <c r="B2036" s="8" t="s">
        <v>13</v>
      </c>
      <c r="C2036" s="9">
        <v>22.2</v>
      </c>
      <c r="D2036" s="10">
        <v>0</v>
      </c>
      <c r="E2036">
        <f t="shared" si="64"/>
        <v>5</v>
      </c>
      <c r="F2036">
        <f t="shared" si="63"/>
        <v>109.8</v>
      </c>
    </row>
    <row r="2037" spans="1:6" hidden="1" x14ac:dyDescent="0.35">
      <c r="A2037" s="11">
        <v>50676</v>
      </c>
      <c r="B2037" s="12" t="s">
        <v>18</v>
      </c>
      <c r="C2037" s="13">
        <v>10.199999999999999</v>
      </c>
      <c r="D2037" s="14">
        <v>6.1</v>
      </c>
      <c r="E2037">
        <f t="shared" si="64"/>
        <v>6</v>
      </c>
      <c r="F2037">
        <f t="shared" si="63"/>
        <v>120</v>
      </c>
    </row>
    <row r="2038" spans="1:6" hidden="1" x14ac:dyDescent="0.35">
      <c r="A2038" s="7">
        <v>50677</v>
      </c>
      <c r="B2038" s="8" t="s">
        <v>33</v>
      </c>
      <c r="C2038" s="9">
        <v>18.399999999999999</v>
      </c>
      <c r="D2038" s="10">
        <v>1.5</v>
      </c>
      <c r="E2038">
        <f t="shared" si="64"/>
        <v>7</v>
      </c>
      <c r="F2038">
        <f t="shared" si="63"/>
        <v>138.4</v>
      </c>
    </row>
    <row r="2039" spans="1:6" hidden="1" x14ac:dyDescent="0.35">
      <c r="A2039" s="11">
        <v>50678</v>
      </c>
      <c r="B2039" s="12" t="s">
        <v>7</v>
      </c>
      <c r="C2039" s="13">
        <v>29.4</v>
      </c>
      <c r="D2039" s="14">
        <v>22.3</v>
      </c>
      <c r="E2039">
        <f t="shared" si="64"/>
        <v>1</v>
      </c>
      <c r="F2039">
        <f t="shared" si="63"/>
        <v>29.4</v>
      </c>
    </row>
    <row r="2040" spans="1:6" hidden="1" x14ac:dyDescent="0.35">
      <c r="A2040" s="7">
        <v>50679</v>
      </c>
      <c r="B2040" s="8" t="s">
        <v>23</v>
      </c>
      <c r="C2040" s="9">
        <v>23.4</v>
      </c>
      <c r="D2040" s="10">
        <v>0</v>
      </c>
      <c r="E2040">
        <f t="shared" si="64"/>
        <v>2</v>
      </c>
      <c r="F2040">
        <f t="shared" si="63"/>
        <v>52.8</v>
      </c>
    </row>
    <row r="2041" spans="1:6" hidden="1" x14ac:dyDescent="0.35">
      <c r="A2041" s="11">
        <v>50680</v>
      </c>
      <c r="B2041" s="12" t="s">
        <v>5</v>
      </c>
      <c r="C2041" s="13">
        <v>13.6</v>
      </c>
      <c r="D2041" s="14">
        <v>6.1</v>
      </c>
      <c r="E2041">
        <f t="shared" si="64"/>
        <v>3</v>
      </c>
      <c r="F2041">
        <f t="shared" si="63"/>
        <v>66.399999999999991</v>
      </c>
    </row>
    <row r="2042" spans="1:6" hidden="1" x14ac:dyDescent="0.35">
      <c r="A2042" s="7">
        <v>50681</v>
      </c>
      <c r="B2042" s="8" t="s">
        <v>7</v>
      </c>
      <c r="C2042" s="9">
        <v>17.7</v>
      </c>
      <c r="D2042" s="10">
        <v>1.4</v>
      </c>
      <c r="E2042">
        <f t="shared" si="64"/>
        <v>4</v>
      </c>
      <c r="F2042">
        <f t="shared" si="63"/>
        <v>84.1</v>
      </c>
    </row>
    <row r="2043" spans="1:6" hidden="1" x14ac:dyDescent="0.35">
      <c r="A2043" s="11">
        <v>50682</v>
      </c>
      <c r="B2043" s="12" t="s">
        <v>23</v>
      </c>
      <c r="C2043" s="13">
        <v>17</v>
      </c>
      <c r="D2043" s="14">
        <v>5.9</v>
      </c>
      <c r="E2043">
        <f t="shared" si="64"/>
        <v>5</v>
      </c>
      <c r="F2043">
        <f t="shared" si="63"/>
        <v>101.1</v>
      </c>
    </row>
    <row r="2044" spans="1:6" hidden="1" x14ac:dyDescent="0.35">
      <c r="A2044" s="7">
        <v>50683</v>
      </c>
      <c r="B2044" s="8" t="s">
        <v>6</v>
      </c>
      <c r="C2044" s="9">
        <v>29.6</v>
      </c>
      <c r="D2044" s="10">
        <v>6.6</v>
      </c>
      <c r="E2044">
        <f t="shared" si="64"/>
        <v>6</v>
      </c>
      <c r="F2044">
        <f t="shared" si="63"/>
        <v>130.69999999999999</v>
      </c>
    </row>
    <row r="2045" spans="1:6" hidden="1" x14ac:dyDescent="0.35">
      <c r="A2045" s="11">
        <v>50684</v>
      </c>
      <c r="B2045" s="12" t="s">
        <v>10</v>
      </c>
      <c r="C2045" s="13">
        <v>23.4</v>
      </c>
      <c r="D2045" s="14">
        <v>0</v>
      </c>
      <c r="E2045">
        <f t="shared" si="64"/>
        <v>7</v>
      </c>
      <c r="F2045">
        <f t="shared" si="63"/>
        <v>154.1</v>
      </c>
    </row>
    <row r="2046" spans="1:6" hidden="1" x14ac:dyDescent="0.35">
      <c r="A2046" s="7">
        <v>50685</v>
      </c>
      <c r="B2046" s="8" t="s">
        <v>7</v>
      </c>
      <c r="C2046" s="9">
        <v>21.3</v>
      </c>
      <c r="D2046" s="10">
        <v>22.4</v>
      </c>
      <c r="E2046">
        <f t="shared" si="64"/>
        <v>1</v>
      </c>
      <c r="F2046">
        <f t="shared" si="63"/>
        <v>21.3</v>
      </c>
    </row>
    <row r="2047" spans="1:6" hidden="1" x14ac:dyDescent="0.35">
      <c r="A2047" s="11">
        <v>50686</v>
      </c>
      <c r="B2047" s="12" t="s">
        <v>19</v>
      </c>
      <c r="C2047" s="13">
        <v>18.600000000000001</v>
      </c>
      <c r="D2047" s="14">
        <v>0</v>
      </c>
      <c r="E2047">
        <f t="shared" si="64"/>
        <v>2</v>
      </c>
      <c r="F2047">
        <f t="shared" si="63"/>
        <v>39.900000000000006</v>
      </c>
    </row>
    <row r="2048" spans="1:6" hidden="1" x14ac:dyDescent="0.35">
      <c r="A2048" s="7">
        <v>50687</v>
      </c>
      <c r="B2048" s="8" t="s">
        <v>13</v>
      </c>
      <c r="C2048" s="9">
        <v>16.8</v>
      </c>
      <c r="D2048" s="10">
        <v>2.8</v>
      </c>
      <c r="E2048">
        <f t="shared" si="64"/>
        <v>3</v>
      </c>
      <c r="F2048">
        <f t="shared" si="63"/>
        <v>56.7</v>
      </c>
    </row>
    <row r="2049" spans="1:6" hidden="1" x14ac:dyDescent="0.35">
      <c r="A2049" s="11">
        <v>50688</v>
      </c>
      <c r="B2049" s="12" t="s">
        <v>20</v>
      </c>
      <c r="C2049" s="13">
        <v>13.2</v>
      </c>
      <c r="D2049" s="14">
        <v>4</v>
      </c>
      <c r="E2049">
        <f t="shared" si="64"/>
        <v>4</v>
      </c>
      <c r="F2049">
        <f t="shared" si="63"/>
        <v>69.900000000000006</v>
      </c>
    </row>
    <row r="2050" spans="1:6" hidden="1" x14ac:dyDescent="0.35">
      <c r="A2050" s="7">
        <v>50689</v>
      </c>
      <c r="B2050" s="8" t="s">
        <v>19</v>
      </c>
      <c r="C2050" s="9">
        <v>29.8</v>
      </c>
      <c r="D2050" s="10">
        <v>24.9</v>
      </c>
      <c r="E2050">
        <f t="shared" si="64"/>
        <v>5</v>
      </c>
      <c r="F2050">
        <f t="shared" si="63"/>
        <v>99.7</v>
      </c>
    </row>
    <row r="2051" spans="1:6" hidden="1" x14ac:dyDescent="0.35">
      <c r="A2051" s="11">
        <v>50690</v>
      </c>
      <c r="B2051" s="12" t="s">
        <v>10</v>
      </c>
      <c r="C2051" s="13">
        <v>10.6</v>
      </c>
      <c r="D2051" s="14">
        <v>31.8</v>
      </c>
      <c r="E2051">
        <f t="shared" si="64"/>
        <v>6</v>
      </c>
      <c r="F2051">
        <f t="shared" si="63"/>
        <v>110.3</v>
      </c>
    </row>
    <row r="2052" spans="1:6" hidden="1" x14ac:dyDescent="0.35">
      <c r="A2052" s="7">
        <v>50691</v>
      </c>
      <c r="B2052" s="8" t="s">
        <v>15</v>
      </c>
      <c r="C2052" s="9">
        <v>11.9</v>
      </c>
      <c r="D2052" s="10">
        <v>12.3</v>
      </c>
      <c r="E2052">
        <f t="shared" si="64"/>
        <v>7</v>
      </c>
      <c r="F2052">
        <f t="shared" ref="F2052:F2073" si="65">IF(E2051=7,C2052,C2052+F2051)</f>
        <v>122.2</v>
      </c>
    </row>
    <row r="2053" spans="1:6" hidden="1" x14ac:dyDescent="0.35">
      <c r="A2053" s="11">
        <v>50692</v>
      </c>
      <c r="B2053" s="12" t="s">
        <v>30</v>
      </c>
      <c r="C2053" s="13">
        <v>26.8</v>
      </c>
      <c r="D2053" s="14">
        <v>0.5</v>
      </c>
      <c r="E2053">
        <f t="shared" si="64"/>
        <v>1</v>
      </c>
      <c r="F2053">
        <f t="shared" si="65"/>
        <v>26.8</v>
      </c>
    </row>
    <row r="2054" spans="1:6" hidden="1" x14ac:dyDescent="0.35">
      <c r="A2054" s="7">
        <v>50693</v>
      </c>
      <c r="B2054" s="8" t="s">
        <v>22</v>
      </c>
      <c r="C2054" s="9">
        <v>29</v>
      </c>
      <c r="D2054" s="10">
        <v>3.5</v>
      </c>
      <c r="E2054">
        <f t="shared" si="64"/>
        <v>2</v>
      </c>
      <c r="F2054">
        <f t="shared" si="65"/>
        <v>55.8</v>
      </c>
    </row>
    <row r="2055" spans="1:6" hidden="1" x14ac:dyDescent="0.35">
      <c r="A2055" s="11">
        <v>50694</v>
      </c>
      <c r="B2055" s="12" t="s">
        <v>20</v>
      </c>
      <c r="C2055" s="13">
        <v>22.9</v>
      </c>
      <c r="D2055" s="14">
        <v>2</v>
      </c>
      <c r="E2055">
        <f t="shared" si="64"/>
        <v>3</v>
      </c>
      <c r="F2055">
        <f t="shared" si="65"/>
        <v>78.699999999999989</v>
      </c>
    </row>
    <row r="2056" spans="1:6" hidden="1" x14ac:dyDescent="0.35">
      <c r="A2056" s="7">
        <v>50695</v>
      </c>
      <c r="B2056" s="8" t="s">
        <v>21</v>
      </c>
      <c r="C2056" s="9">
        <v>27.1</v>
      </c>
      <c r="D2056" s="10">
        <v>0</v>
      </c>
      <c r="E2056">
        <f t="shared" si="64"/>
        <v>4</v>
      </c>
      <c r="F2056">
        <f t="shared" si="65"/>
        <v>105.79999999999998</v>
      </c>
    </row>
    <row r="2057" spans="1:6" hidden="1" x14ac:dyDescent="0.35">
      <c r="A2057" s="11">
        <v>50696</v>
      </c>
      <c r="B2057" s="12" t="s">
        <v>10</v>
      </c>
      <c r="C2057" s="13">
        <v>11.8</v>
      </c>
      <c r="D2057" s="14">
        <v>49</v>
      </c>
      <c r="E2057">
        <f t="shared" si="64"/>
        <v>5</v>
      </c>
      <c r="F2057">
        <f t="shared" si="65"/>
        <v>117.59999999999998</v>
      </c>
    </row>
    <row r="2058" spans="1:6" hidden="1" x14ac:dyDescent="0.35">
      <c r="A2058" s="7">
        <v>50697</v>
      </c>
      <c r="B2058" s="8" t="s">
        <v>6</v>
      </c>
      <c r="C2058" s="9">
        <v>26.6</v>
      </c>
      <c r="D2058" s="10">
        <v>0</v>
      </c>
      <c r="E2058">
        <f t="shared" ref="E2058:E2073" si="66">IF(E2057=7,1,E2057+1)</f>
        <v>6</v>
      </c>
      <c r="F2058">
        <f t="shared" si="65"/>
        <v>144.19999999999999</v>
      </c>
    </row>
    <row r="2059" spans="1:6" hidden="1" x14ac:dyDescent="0.35">
      <c r="A2059" s="11">
        <v>50698</v>
      </c>
      <c r="B2059" s="12" t="s">
        <v>18</v>
      </c>
      <c r="C2059" s="13">
        <v>21.3</v>
      </c>
      <c r="D2059" s="14">
        <v>0</v>
      </c>
      <c r="E2059">
        <f t="shared" si="66"/>
        <v>7</v>
      </c>
      <c r="F2059">
        <f t="shared" si="65"/>
        <v>165.5</v>
      </c>
    </row>
    <row r="2060" spans="1:6" hidden="1" x14ac:dyDescent="0.35">
      <c r="A2060" s="7">
        <v>50699</v>
      </c>
      <c r="B2060" s="8" t="s">
        <v>11</v>
      </c>
      <c r="C2060" s="9">
        <v>23.2</v>
      </c>
      <c r="D2060" s="10">
        <v>0</v>
      </c>
      <c r="E2060">
        <f t="shared" si="66"/>
        <v>1</v>
      </c>
      <c r="F2060">
        <f t="shared" si="65"/>
        <v>23.2</v>
      </c>
    </row>
    <row r="2061" spans="1:6" hidden="1" x14ac:dyDescent="0.35">
      <c r="A2061" s="11">
        <v>50700</v>
      </c>
      <c r="B2061" s="12" t="s">
        <v>10</v>
      </c>
      <c r="C2061" s="13">
        <v>27.3</v>
      </c>
      <c r="D2061" s="14">
        <v>0</v>
      </c>
      <c r="E2061">
        <f t="shared" si="66"/>
        <v>2</v>
      </c>
      <c r="F2061">
        <f t="shared" si="65"/>
        <v>50.5</v>
      </c>
    </row>
    <row r="2062" spans="1:6" hidden="1" x14ac:dyDescent="0.35">
      <c r="A2062" s="7">
        <v>50701</v>
      </c>
      <c r="B2062" s="8" t="s">
        <v>13</v>
      </c>
      <c r="C2062" s="9">
        <v>21.3</v>
      </c>
      <c r="D2062" s="10">
        <v>2.6</v>
      </c>
      <c r="E2062">
        <f t="shared" si="66"/>
        <v>3</v>
      </c>
      <c r="F2062">
        <f t="shared" si="65"/>
        <v>71.8</v>
      </c>
    </row>
    <row r="2063" spans="1:6" hidden="1" x14ac:dyDescent="0.35">
      <c r="A2063" s="11">
        <v>50702</v>
      </c>
      <c r="B2063" s="12" t="s">
        <v>19</v>
      </c>
      <c r="C2063" s="13">
        <v>22.9</v>
      </c>
      <c r="D2063" s="14">
        <v>5.3</v>
      </c>
      <c r="E2063">
        <f t="shared" si="66"/>
        <v>4</v>
      </c>
      <c r="F2063">
        <f t="shared" si="65"/>
        <v>94.699999999999989</v>
      </c>
    </row>
    <row r="2064" spans="1:6" hidden="1" x14ac:dyDescent="0.35">
      <c r="A2064" s="7">
        <v>50703</v>
      </c>
      <c r="B2064" s="8" t="s">
        <v>28</v>
      </c>
      <c r="C2064" s="9">
        <v>25</v>
      </c>
      <c r="D2064" s="10">
        <v>0</v>
      </c>
      <c r="E2064">
        <f t="shared" si="66"/>
        <v>5</v>
      </c>
      <c r="F2064">
        <f t="shared" si="65"/>
        <v>119.69999999999999</v>
      </c>
    </row>
    <row r="2065" spans="1:6" hidden="1" x14ac:dyDescent="0.35">
      <c r="A2065" s="11">
        <v>50704</v>
      </c>
      <c r="B2065" s="12" t="s">
        <v>24</v>
      </c>
      <c r="C2065" s="13">
        <v>15.9</v>
      </c>
      <c r="D2065" s="14">
        <v>2.5</v>
      </c>
      <c r="E2065">
        <f t="shared" si="66"/>
        <v>6</v>
      </c>
      <c r="F2065">
        <f t="shared" si="65"/>
        <v>135.6</v>
      </c>
    </row>
    <row r="2066" spans="1:6" hidden="1" x14ac:dyDescent="0.35">
      <c r="A2066" s="7">
        <v>50705</v>
      </c>
      <c r="B2066" s="8" t="s">
        <v>22</v>
      </c>
      <c r="C2066" s="9">
        <v>19.2</v>
      </c>
      <c r="D2066" s="10">
        <v>1.3</v>
      </c>
      <c r="E2066">
        <f t="shared" si="66"/>
        <v>7</v>
      </c>
      <c r="F2066">
        <f t="shared" si="65"/>
        <v>154.79999999999998</v>
      </c>
    </row>
    <row r="2067" spans="1:6" hidden="1" x14ac:dyDescent="0.35">
      <c r="A2067" s="11">
        <v>50706</v>
      </c>
      <c r="B2067" s="12" t="s">
        <v>7</v>
      </c>
      <c r="C2067" s="13">
        <v>22.5</v>
      </c>
      <c r="D2067" s="14">
        <v>10.9</v>
      </c>
      <c r="E2067">
        <f t="shared" si="66"/>
        <v>1</v>
      </c>
      <c r="F2067">
        <f t="shared" si="65"/>
        <v>22.5</v>
      </c>
    </row>
    <row r="2068" spans="1:6" hidden="1" x14ac:dyDescent="0.35">
      <c r="A2068" s="7">
        <v>50707</v>
      </c>
      <c r="B2068" s="8" t="s">
        <v>13</v>
      </c>
      <c r="C2068" s="9">
        <v>28.7</v>
      </c>
      <c r="D2068" s="10">
        <v>13.3</v>
      </c>
      <c r="E2068">
        <f t="shared" si="66"/>
        <v>2</v>
      </c>
      <c r="F2068">
        <f t="shared" si="65"/>
        <v>51.2</v>
      </c>
    </row>
    <row r="2069" spans="1:6" hidden="1" x14ac:dyDescent="0.35">
      <c r="A2069" s="11">
        <v>50708</v>
      </c>
      <c r="B2069" s="12" t="s">
        <v>19</v>
      </c>
      <c r="C2069" s="13">
        <v>14.6</v>
      </c>
      <c r="D2069" s="14">
        <v>29.3</v>
      </c>
      <c r="E2069">
        <f t="shared" si="66"/>
        <v>3</v>
      </c>
      <c r="F2069">
        <f t="shared" si="65"/>
        <v>65.8</v>
      </c>
    </row>
    <row r="2070" spans="1:6" hidden="1" x14ac:dyDescent="0.35">
      <c r="A2070" s="7">
        <v>50709</v>
      </c>
      <c r="B2070" s="8" t="s">
        <v>18</v>
      </c>
      <c r="C2070" s="9">
        <v>12.1</v>
      </c>
      <c r="D2070" s="10">
        <v>6.5</v>
      </c>
      <c r="E2070">
        <f t="shared" si="66"/>
        <v>4</v>
      </c>
      <c r="F2070">
        <f t="shared" si="65"/>
        <v>77.899999999999991</v>
      </c>
    </row>
    <row r="2071" spans="1:6" hidden="1" x14ac:dyDescent="0.35">
      <c r="A2071" s="11">
        <v>50710</v>
      </c>
      <c r="B2071" s="12" t="s">
        <v>19</v>
      </c>
      <c r="C2071" s="13">
        <v>20</v>
      </c>
      <c r="D2071" s="14">
        <v>26.1</v>
      </c>
      <c r="E2071">
        <f t="shared" si="66"/>
        <v>5</v>
      </c>
      <c r="F2071">
        <f t="shared" si="65"/>
        <v>97.899999999999991</v>
      </c>
    </row>
    <row r="2072" spans="1:6" hidden="1" x14ac:dyDescent="0.35">
      <c r="A2072" s="7">
        <v>50711</v>
      </c>
      <c r="B2072" s="8" t="s">
        <v>27</v>
      </c>
      <c r="C2072" s="9">
        <v>20.8</v>
      </c>
      <c r="D2072" s="10">
        <v>2.5</v>
      </c>
      <c r="E2072">
        <f t="shared" si="66"/>
        <v>6</v>
      </c>
      <c r="F2072">
        <f t="shared" si="65"/>
        <v>118.69999999999999</v>
      </c>
    </row>
    <row r="2073" spans="1:6" hidden="1" x14ac:dyDescent="0.35">
      <c r="A2073" s="15">
        <v>50712</v>
      </c>
      <c r="B2073" s="16" t="s">
        <v>7</v>
      </c>
      <c r="C2073" s="2">
        <v>26.6</v>
      </c>
      <c r="D2073" s="3">
        <v>5.9</v>
      </c>
      <c r="E2073">
        <f t="shared" si="66"/>
        <v>7</v>
      </c>
      <c r="F2073">
        <f t="shared" si="65"/>
        <v>145.29999999999998</v>
      </c>
    </row>
  </sheetData>
  <autoFilter ref="A1:F2073" xr:uid="{C12F64CB-F1C6-4EB9-8AE8-2984093E7982}">
    <filterColumn colId="5">
      <filters>
        <filter val="174,5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BDEF-8587-43CE-A0E4-3A6445A0620D}">
  <dimension ref="A1:W2073"/>
  <sheetViews>
    <sheetView topLeftCell="J9" workbookViewId="0">
      <selection activeCell="P25" sqref="P25"/>
    </sheetView>
  </sheetViews>
  <sheetFormatPr defaultRowHeight="14.5" x14ac:dyDescent="0.35"/>
  <cols>
    <col min="1" max="1" width="9.90625" bestFit="1" customWidth="1"/>
    <col min="2" max="2" width="16.1796875" bestFit="1" customWidth="1"/>
    <col min="3" max="3" width="11.1796875" bestFit="1" customWidth="1"/>
    <col min="4" max="4" width="14.7265625" bestFit="1" customWidth="1"/>
    <col min="8" max="8" width="16.54296875" bestFit="1" customWidth="1"/>
    <col min="9" max="9" width="16.7265625" bestFit="1" customWidth="1"/>
    <col min="10" max="14" width="4.81640625" bestFit="1" customWidth="1"/>
    <col min="15" max="15" width="13.54296875" bestFit="1" customWidth="1"/>
    <col min="17" max="17" width="15.7265625" bestFit="1" customWidth="1"/>
  </cols>
  <sheetData>
    <row r="1" spans="1:23" x14ac:dyDescent="0.35">
      <c r="A1" s="4" t="s">
        <v>0</v>
      </c>
      <c r="B1" s="5" t="s">
        <v>1</v>
      </c>
      <c r="C1" s="5" t="s">
        <v>2</v>
      </c>
      <c r="D1" s="6" t="s">
        <v>3</v>
      </c>
      <c r="E1" s="17" t="s">
        <v>45</v>
      </c>
      <c r="F1" s="17" t="s">
        <v>36</v>
      </c>
    </row>
    <row r="2" spans="1:23" x14ac:dyDescent="0.35">
      <c r="A2" s="7">
        <v>48641</v>
      </c>
      <c r="B2" s="8" t="s">
        <v>4</v>
      </c>
      <c r="C2" s="9">
        <v>27.8</v>
      </c>
      <c r="D2" s="10">
        <v>0.2</v>
      </c>
      <c r="E2">
        <f>YEAR(A2)</f>
        <v>2033</v>
      </c>
      <c r="F2" s="18">
        <v>1</v>
      </c>
    </row>
    <row r="3" spans="1:23" x14ac:dyDescent="0.35">
      <c r="A3" s="11">
        <v>48642</v>
      </c>
      <c r="B3" s="12" t="s">
        <v>5</v>
      </c>
      <c r="C3" s="13">
        <v>11.8</v>
      </c>
      <c r="D3" s="14">
        <v>1.7</v>
      </c>
      <c r="E3">
        <f t="shared" ref="E3:E66" si="0">YEAR(A3)</f>
        <v>2033</v>
      </c>
      <c r="F3" s="18">
        <v>1</v>
      </c>
    </row>
    <row r="4" spans="1:23" x14ac:dyDescent="0.35">
      <c r="A4" s="7">
        <v>48643</v>
      </c>
      <c r="B4" s="8" t="s">
        <v>6</v>
      </c>
      <c r="C4" s="9">
        <v>21</v>
      </c>
      <c r="D4" s="10">
        <v>6</v>
      </c>
      <c r="E4">
        <f t="shared" si="0"/>
        <v>2033</v>
      </c>
      <c r="F4" s="18">
        <v>1</v>
      </c>
      <c r="H4" s="19" t="s">
        <v>40</v>
      </c>
      <c r="I4" s="19" t="s">
        <v>46</v>
      </c>
    </row>
    <row r="5" spans="1:23" x14ac:dyDescent="0.35">
      <c r="A5" s="11">
        <v>48644</v>
      </c>
      <c r="B5" s="12" t="s">
        <v>7</v>
      </c>
      <c r="C5" s="13">
        <v>26.3</v>
      </c>
      <c r="D5" s="14">
        <v>11.4</v>
      </c>
      <c r="E5">
        <f t="shared" si="0"/>
        <v>2033</v>
      </c>
      <c r="F5" s="18">
        <v>1</v>
      </c>
      <c r="H5" s="19" t="s">
        <v>37</v>
      </c>
      <c r="I5">
        <v>2033</v>
      </c>
      <c r="J5">
        <v>2034</v>
      </c>
      <c r="K5">
        <v>2035</v>
      </c>
      <c r="L5">
        <v>2036</v>
      </c>
      <c r="M5">
        <v>2037</v>
      </c>
      <c r="N5">
        <v>2038</v>
      </c>
      <c r="O5" t="s">
        <v>38</v>
      </c>
      <c r="Q5" t="s">
        <v>47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</row>
    <row r="6" spans="1:23" x14ac:dyDescent="0.35">
      <c r="A6" s="7">
        <v>48645</v>
      </c>
      <c r="B6" s="8" t="s">
        <v>8</v>
      </c>
      <c r="C6" s="9">
        <v>28.8</v>
      </c>
      <c r="D6" s="10">
        <v>0</v>
      </c>
      <c r="E6">
        <f t="shared" si="0"/>
        <v>2033</v>
      </c>
      <c r="F6" s="18">
        <v>1</v>
      </c>
      <c r="H6" s="20" t="s">
        <v>23</v>
      </c>
      <c r="I6" s="1">
        <v>5</v>
      </c>
      <c r="J6" s="1">
        <v>7</v>
      </c>
      <c r="K6" s="1">
        <v>11</v>
      </c>
      <c r="L6" s="1">
        <v>2</v>
      </c>
      <c r="M6" s="1">
        <v>13</v>
      </c>
      <c r="N6" s="1">
        <v>5</v>
      </c>
      <c r="O6" s="1">
        <v>43</v>
      </c>
      <c r="Q6" t="s">
        <v>23</v>
      </c>
      <c r="R6">
        <v>5</v>
      </c>
      <c r="S6">
        <v>7</v>
      </c>
      <c r="T6">
        <v>11</v>
      </c>
      <c r="U6">
        <v>2</v>
      </c>
      <c r="V6">
        <v>13</v>
      </c>
      <c r="W6">
        <v>5</v>
      </c>
    </row>
    <row r="7" spans="1:23" x14ac:dyDescent="0.35">
      <c r="A7" s="11">
        <v>48646</v>
      </c>
      <c r="B7" s="12" t="s">
        <v>9</v>
      </c>
      <c r="C7" s="13">
        <v>29.2</v>
      </c>
      <c r="D7" s="14">
        <v>0</v>
      </c>
      <c r="E7">
        <f t="shared" si="0"/>
        <v>2033</v>
      </c>
      <c r="F7" s="18">
        <v>1</v>
      </c>
      <c r="H7" s="20" t="s">
        <v>11</v>
      </c>
      <c r="I7" s="1">
        <v>23</v>
      </c>
      <c r="J7" s="1">
        <v>20</v>
      </c>
      <c r="K7" s="1">
        <v>21</v>
      </c>
      <c r="L7" s="1">
        <v>29</v>
      </c>
      <c r="M7" s="1">
        <v>20</v>
      </c>
      <c r="N7" s="1">
        <v>25</v>
      </c>
      <c r="O7" s="1">
        <v>138</v>
      </c>
      <c r="Q7" t="s">
        <v>11</v>
      </c>
      <c r="R7">
        <v>23</v>
      </c>
      <c r="S7">
        <v>20</v>
      </c>
      <c r="T7">
        <v>21</v>
      </c>
      <c r="U7">
        <v>29</v>
      </c>
      <c r="V7">
        <v>20</v>
      </c>
      <c r="W7">
        <v>25</v>
      </c>
    </row>
    <row r="8" spans="1:23" x14ac:dyDescent="0.35">
      <c r="A8" s="7">
        <v>48647</v>
      </c>
      <c r="B8" s="8" t="s">
        <v>10</v>
      </c>
      <c r="C8" s="9">
        <v>25.6</v>
      </c>
      <c r="D8" s="10">
        <v>28.7</v>
      </c>
      <c r="E8">
        <f t="shared" si="0"/>
        <v>2033</v>
      </c>
      <c r="F8" s="18">
        <v>1</v>
      </c>
      <c r="H8" s="20" t="s">
        <v>5</v>
      </c>
      <c r="I8" s="1">
        <v>10</v>
      </c>
      <c r="J8" s="1">
        <v>5</v>
      </c>
      <c r="K8" s="1">
        <v>9</v>
      </c>
      <c r="L8" s="1">
        <v>12</v>
      </c>
      <c r="M8" s="1">
        <v>10</v>
      </c>
      <c r="N8" s="1">
        <v>10</v>
      </c>
      <c r="O8" s="1">
        <v>56</v>
      </c>
      <c r="Q8" t="s">
        <v>5</v>
      </c>
      <c r="R8">
        <v>10</v>
      </c>
      <c r="S8">
        <v>5</v>
      </c>
      <c r="T8">
        <v>9</v>
      </c>
      <c r="U8">
        <v>12</v>
      </c>
      <c r="V8">
        <v>10</v>
      </c>
      <c r="W8">
        <v>10</v>
      </c>
    </row>
    <row r="9" spans="1:23" x14ac:dyDescent="0.35">
      <c r="A9" s="11">
        <v>48648</v>
      </c>
      <c r="B9" s="12" t="s">
        <v>11</v>
      </c>
      <c r="C9" s="13">
        <v>10.1</v>
      </c>
      <c r="D9" s="14">
        <v>7.7</v>
      </c>
      <c r="E9">
        <f t="shared" si="0"/>
        <v>2033</v>
      </c>
      <c r="F9" s="18">
        <v>1</v>
      </c>
      <c r="H9" s="20" t="s">
        <v>14</v>
      </c>
      <c r="I9" s="1">
        <v>9</v>
      </c>
      <c r="J9" s="1">
        <v>10</v>
      </c>
      <c r="K9" s="1">
        <v>15</v>
      </c>
      <c r="L9" s="1">
        <v>8</v>
      </c>
      <c r="M9" s="1">
        <v>10</v>
      </c>
      <c r="N9" s="1">
        <v>7</v>
      </c>
      <c r="O9" s="1">
        <v>59</v>
      </c>
      <c r="Q9" t="s">
        <v>14</v>
      </c>
      <c r="R9">
        <v>9</v>
      </c>
      <c r="S9">
        <v>10</v>
      </c>
      <c r="T9">
        <v>15</v>
      </c>
      <c r="U9">
        <v>8</v>
      </c>
      <c r="V9">
        <v>10</v>
      </c>
      <c r="W9">
        <v>7</v>
      </c>
    </row>
    <row r="10" spans="1:23" x14ac:dyDescent="0.35">
      <c r="A10" s="7">
        <v>48649</v>
      </c>
      <c r="B10" s="8" t="s">
        <v>12</v>
      </c>
      <c r="C10" s="9">
        <v>14.6</v>
      </c>
      <c r="D10" s="10">
        <v>0</v>
      </c>
      <c r="E10">
        <f t="shared" si="0"/>
        <v>2033</v>
      </c>
      <c r="F10" s="18">
        <v>1</v>
      </c>
      <c r="H10" s="20" t="s">
        <v>26</v>
      </c>
      <c r="I10" s="1">
        <v>7</v>
      </c>
      <c r="J10" s="1">
        <v>7</v>
      </c>
      <c r="K10" s="1">
        <v>11</v>
      </c>
      <c r="L10" s="1">
        <v>14</v>
      </c>
      <c r="M10" s="1">
        <v>5</v>
      </c>
      <c r="N10" s="1">
        <v>9</v>
      </c>
      <c r="O10" s="1">
        <v>53</v>
      </c>
      <c r="Q10" t="s">
        <v>26</v>
      </c>
      <c r="R10">
        <v>7</v>
      </c>
      <c r="S10">
        <v>7</v>
      </c>
      <c r="T10">
        <v>11</v>
      </c>
      <c r="U10">
        <v>14</v>
      </c>
      <c r="V10">
        <v>5</v>
      </c>
      <c r="W10">
        <v>9</v>
      </c>
    </row>
    <row r="11" spans="1:23" x14ac:dyDescent="0.35">
      <c r="A11" s="11">
        <v>48650</v>
      </c>
      <c r="B11" s="12" t="s">
        <v>13</v>
      </c>
      <c r="C11" s="13">
        <v>11.5</v>
      </c>
      <c r="D11" s="14">
        <v>1.9</v>
      </c>
      <c r="E11">
        <f t="shared" si="0"/>
        <v>2033</v>
      </c>
      <c r="F11" s="18">
        <v>1</v>
      </c>
      <c r="H11" s="20" t="s">
        <v>24</v>
      </c>
      <c r="I11" s="1">
        <v>4</v>
      </c>
      <c r="J11" s="1">
        <v>4</v>
      </c>
      <c r="K11" s="1">
        <v>3</v>
      </c>
      <c r="L11" s="1">
        <v>3</v>
      </c>
      <c r="M11" s="1">
        <v>10</v>
      </c>
      <c r="N11" s="1">
        <v>7</v>
      </c>
      <c r="O11" s="1">
        <v>31</v>
      </c>
      <c r="Q11" t="s">
        <v>24</v>
      </c>
      <c r="R11">
        <v>4</v>
      </c>
      <c r="S11">
        <v>4</v>
      </c>
      <c r="T11">
        <v>3</v>
      </c>
      <c r="U11">
        <v>3</v>
      </c>
      <c r="V11">
        <v>10</v>
      </c>
      <c r="W11">
        <v>7</v>
      </c>
    </row>
    <row r="12" spans="1:23" x14ac:dyDescent="0.35">
      <c r="A12" s="7">
        <v>48651</v>
      </c>
      <c r="B12" s="8" t="s">
        <v>9</v>
      </c>
      <c r="C12" s="9">
        <v>15.2</v>
      </c>
      <c r="D12" s="10">
        <v>0</v>
      </c>
      <c r="E12">
        <f t="shared" si="0"/>
        <v>2033</v>
      </c>
      <c r="F12" s="18">
        <v>1</v>
      </c>
      <c r="H12" s="20" t="s">
        <v>27</v>
      </c>
      <c r="I12" s="1">
        <v>6</v>
      </c>
      <c r="J12" s="1">
        <v>10</v>
      </c>
      <c r="K12" s="1">
        <v>7</v>
      </c>
      <c r="L12" s="1">
        <v>13</v>
      </c>
      <c r="M12" s="1">
        <v>7</v>
      </c>
      <c r="N12" s="1">
        <v>7</v>
      </c>
      <c r="O12" s="1">
        <v>50</v>
      </c>
      <c r="Q12" t="s">
        <v>27</v>
      </c>
      <c r="R12">
        <v>6</v>
      </c>
      <c r="S12">
        <v>10</v>
      </c>
      <c r="T12">
        <v>7</v>
      </c>
      <c r="U12">
        <v>13</v>
      </c>
      <c r="V12">
        <v>7</v>
      </c>
      <c r="W12">
        <v>7</v>
      </c>
    </row>
    <row r="13" spans="1:23" x14ac:dyDescent="0.35">
      <c r="A13" s="11">
        <v>48652</v>
      </c>
      <c r="B13" s="12" t="s">
        <v>10</v>
      </c>
      <c r="C13" s="13">
        <v>10.199999999999999</v>
      </c>
      <c r="D13" s="14">
        <v>13.3</v>
      </c>
      <c r="E13">
        <f t="shared" si="0"/>
        <v>2033</v>
      </c>
      <c r="F13" s="18">
        <v>1</v>
      </c>
      <c r="H13" s="20" t="s">
        <v>4</v>
      </c>
      <c r="I13" s="1">
        <v>4</v>
      </c>
      <c r="J13" s="1">
        <v>5</v>
      </c>
      <c r="K13" s="1">
        <v>1</v>
      </c>
      <c r="L13" s="1">
        <v>1</v>
      </c>
      <c r="M13" s="1">
        <v>1</v>
      </c>
      <c r="N13" s="1">
        <v>1</v>
      </c>
      <c r="O13" s="1">
        <v>13</v>
      </c>
      <c r="Q13" t="s">
        <v>4</v>
      </c>
      <c r="R13">
        <v>4</v>
      </c>
      <c r="S13">
        <v>5</v>
      </c>
      <c r="T13">
        <v>1</v>
      </c>
      <c r="U13">
        <v>1</v>
      </c>
      <c r="V13">
        <v>1</v>
      </c>
      <c r="W13">
        <v>1</v>
      </c>
    </row>
    <row r="14" spans="1:23" x14ac:dyDescent="0.35">
      <c r="A14" s="7">
        <v>48653</v>
      </c>
      <c r="B14" s="8" t="s">
        <v>14</v>
      </c>
      <c r="C14" s="9">
        <v>20.399999999999999</v>
      </c>
      <c r="D14" s="10">
        <v>4.5999999999999996</v>
      </c>
      <c r="E14">
        <f t="shared" si="0"/>
        <v>2033</v>
      </c>
      <c r="F14" s="18">
        <v>1</v>
      </c>
      <c r="H14" s="20" t="s">
        <v>7</v>
      </c>
      <c r="I14" s="1">
        <v>21</v>
      </c>
      <c r="J14" s="1">
        <v>27</v>
      </c>
      <c r="K14" s="1">
        <v>18</v>
      </c>
      <c r="L14" s="1">
        <v>33</v>
      </c>
      <c r="M14" s="1">
        <v>30</v>
      </c>
      <c r="N14" s="1">
        <v>23</v>
      </c>
      <c r="O14" s="1">
        <v>152</v>
      </c>
      <c r="Q14" t="s">
        <v>7</v>
      </c>
      <c r="R14">
        <v>21</v>
      </c>
      <c r="S14">
        <v>27</v>
      </c>
      <c r="T14">
        <v>18</v>
      </c>
      <c r="U14">
        <v>33</v>
      </c>
      <c r="V14">
        <v>30</v>
      </c>
      <c r="W14">
        <v>23</v>
      </c>
    </row>
    <row r="15" spans="1:23" x14ac:dyDescent="0.35">
      <c r="A15" s="11">
        <v>48654</v>
      </c>
      <c r="B15" s="12" t="s">
        <v>14</v>
      </c>
      <c r="C15" s="13">
        <v>13.6</v>
      </c>
      <c r="D15" s="14">
        <v>8</v>
      </c>
      <c r="E15">
        <f t="shared" si="0"/>
        <v>2033</v>
      </c>
      <c r="F15" s="18">
        <v>1</v>
      </c>
      <c r="H15" s="20" t="s">
        <v>30</v>
      </c>
      <c r="I15" s="1">
        <v>2</v>
      </c>
      <c r="J15" s="1">
        <v>3</v>
      </c>
      <c r="K15" s="1">
        <v>2</v>
      </c>
      <c r="L15" s="1">
        <v>3</v>
      </c>
      <c r="M15" s="1">
        <v>3</v>
      </c>
      <c r="N15" s="1">
        <v>2</v>
      </c>
      <c r="O15" s="1">
        <v>15</v>
      </c>
      <c r="Q15" t="s">
        <v>30</v>
      </c>
      <c r="R15">
        <v>2</v>
      </c>
      <c r="S15">
        <v>3</v>
      </c>
      <c r="T15">
        <v>2</v>
      </c>
      <c r="U15">
        <v>3</v>
      </c>
      <c r="V15">
        <v>3</v>
      </c>
      <c r="W15">
        <v>2</v>
      </c>
    </row>
    <row r="16" spans="1:23" x14ac:dyDescent="0.35">
      <c r="A16" s="7">
        <v>48655</v>
      </c>
      <c r="B16" s="8" t="s">
        <v>15</v>
      </c>
      <c r="C16" s="9">
        <v>11</v>
      </c>
      <c r="D16" s="10">
        <v>11.6</v>
      </c>
      <c r="E16">
        <f t="shared" si="0"/>
        <v>2033</v>
      </c>
      <c r="F16" s="18">
        <v>1</v>
      </c>
      <c r="H16" s="20" t="s">
        <v>20</v>
      </c>
      <c r="I16" s="1">
        <v>6</v>
      </c>
      <c r="J16" s="1">
        <v>9</v>
      </c>
      <c r="K16" s="1">
        <v>5</v>
      </c>
      <c r="L16" s="1">
        <v>4</v>
      </c>
      <c r="M16" s="1">
        <v>8</v>
      </c>
      <c r="N16" s="1">
        <v>7</v>
      </c>
      <c r="O16" s="1">
        <v>39</v>
      </c>
      <c r="Q16" t="s">
        <v>20</v>
      </c>
      <c r="R16">
        <v>6</v>
      </c>
      <c r="S16">
        <v>9</v>
      </c>
      <c r="T16">
        <v>5</v>
      </c>
      <c r="U16">
        <v>4</v>
      </c>
      <c r="V16">
        <v>8</v>
      </c>
      <c r="W16">
        <v>7</v>
      </c>
    </row>
    <row r="17" spans="1:23" x14ac:dyDescent="0.35">
      <c r="A17" s="11">
        <v>48656</v>
      </c>
      <c r="B17" s="12" t="s">
        <v>16</v>
      </c>
      <c r="C17" s="13">
        <v>14.1</v>
      </c>
      <c r="D17" s="14">
        <v>0</v>
      </c>
      <c r="E17">
        <f t="shared" si="0"/>
        <v>2033</v>
      </c>
      <c r="F17" s="18">
        <v>1</v>
      </c>
      <c r="H17" s="20" t="s">
        <v>13</v>
      </c>
      <c r="I17" s="1">
        <v>8</v>
      </c>
      <c r="J17" s="1">
        <v>19</v>
      </c>
      <c r="K17" s="1">
        <v>23</v>
      </c>
      <c r="L17" s="1">
        <v>20</v>
      </c>
      <c r="M17" s="1">
        <v>22</v>
      </c>
      <c r="N17" s="1">
        <v>16</v>
      </c>
      <c r="O17" s="1">
        <v>108</v>
      </c>
      <c r="Q17" t="s">
        <v>13</v>
      </c>
      <c r="R17">
        <v>8</v>
      </c>
      <c r="S17">
        <v>19</v>
      </c>
      <c r="T17">
        <v>23</v>
      </c>
      <c r="U17">
        <v>20</v>
      </c>
      <c r="V17">
        <v>22</v>
      </c>
      <c r="W17">
        <v>16</v>
      </c>
    </row>
    <row r="18" spans="1:23" x14ac:dyDescent="0.35">
      <c r="A18" s="7">
        <v>48657</v>
      </c>
      <c r="B18" s="8" t="s">
        <v>10</v>
      </c>
      <c r="C18" s="9">
        <v>19.2</v>
      </c>
      <c r="D18" s="10">
        <v>0</v>
      </c>
      <c r="E18">
        <f t="shared" si="0"/>
        <v>2033</v>
      </c>
      <c r="F18" s="18">
        <v>1</v>
      </c>
      <c r="H18" s="20" t="s">
        <v>31</v>
      </c>
      <c r="I18" s="1">
        <v>1</v>
      </c>
      <c r="J18" s="1">
        <v>4</v>
      </c>
      <c r="K18" s="1">
        <v>2</v>
      </c>
      <c r="L18" s="1">
        <v>1</v>
      </c>
      <c r="M18" s="1">
        <v>3</v>
      </c>
      <c r="N18" s="1">
        <v>4</v>
      </c>
      <c r="O18" s="1">
        <v>15</v>
      </c>
      <c r="Q18" t="s">
        <v>31</v>
      </c>
      <c r="R18">
        <v>1</v>
      </c>
      <c r="S18">
        <v>4</v>
      </c>
      <c r="T18">
        <v>2</v>
      </c>
      <c r="U18">
        <v>1</v>
      </c>
      <c r="V18">
        <v>3</v>
      </c>
      <c r="W18">
        <v>4</v>
      </c>
    </row>
    <row r="19" spans="1:23" x14ac:dyDescent="0.35">
      <c r="A19" s="11">
        <v>48658</v>
      </c>
      <c r="B19" s="12" t="s">
        <v>10</v>
      </c>
      <c r="C19" s="13">
        <v>20.7</v>
      </c>
      <c r="D19" s="14">
        <v>0</v>
      </c>
      <c r="E19">
        <f t="shared" si="0"/>
        <v>2033</v>
      </c>
      <c r="F19" s="18">
        <v>1</v>
      </c>
      <c r="H19" s="20" t="s">
        <v>10</v>
      </c>
      <c r="I19" s="1">
        <v>47</v>
      </c>
      <c r="J19" s="1">
        <v>51</v>
      </c>
      <c r="K19" s="1">
        <v>67</v>
      </c>
      <c r="L19" s="1">
        <v>53</v>
      </c>
      <c r="M19" s="1">
        <v>51</v>
      </c>
      <c r="N19" s="1">
        <v>33</v>
      </c>
      <c r="O19" s="1">
        <v>302</v>
      </c>
      <c r="Q19" t="s">
        <v>10</v>
      </c>
      <c r="R19">
        <v>47</v>
      </c>
      <c r="S19">
        <v>51</v>
      </c>
      <c r="T19">
        <v>67</v>
      </c>
      <c r="U19">
        <v>53</v>
      </c>
      <c r="V19">
        <v>51</v>
      </c>
      <c r="W19">
        <v>33</v>
      </c>
    </row>
    <row r="20" spans="1:23" x14ac:dyDescent="0.35">
      <c r="A20" s="7">
        <v>48659</v>
      </c>
      <c r="B20" s="8" t="s">
        <v>17</v>
      </c>
      <c r="C20" s="9">
        <v>29.5</v>
      </c>
      <c r="D20" s="10">
        <v>2.1</v>
      </c>
      <c r="E20">
        <f t="shared" si="0"/>
        <v>2033</v>
      </c>
      <c r="F20" s="18">
        <v>1</v>
      </c>
      <c r="H20" s="20" t="s">
        <v>8</v>
      </c>
      <c r="I20" s="1">
        <v>6</v>
      </c>
      <c r="J20" s="1">
        <v>4</v>
      </c>
      <c r="K20" s="1">
        <v>5</v>
      </c>
      <c r="L20" s="1">
        <v>3</v>
      </c>
      <c r="M20" s="1">
        <v>9</v>
      </c>
      <c r="N20" s="1">
        <v>13</v>
      </c>
      <c r="O20" s="1">
        <v>40</v>
      </c>
      <c r="Q20" t="s">
        <v>8</v>
      </c>
      <c r="R20">
        <v>6</v>
      </c>
      <c r="S20">
        <v>4</v>
      </c>
      <c r="T20">
        <v>5</v>
      </c>
      <c r="U20">
        <v>3</v>
      </c>
      <c r="V20">
        <v>9</v>
      </c>
      <c r="W20">
        <v>13</v>
      </c>
    </row>
    <row r="21" spans="1:23" x14ac:dyDescent="0.35">
      <c r="A21" s="11">
        <v>48660</v>
      </c>
      <c r="B21" s="12" t="s">
        <v>11</v>
      </c>
      <c r="C21" s="13">
        <v>24.4</v>
      </c>
      <c r="D21" s="14">
        <v>10.1</v>
      </c>
      <c r="E21">
        <f t="shared" si="0"/>
        <v>2033</v>
      </c>
      <c r="F21" s="18">
        <v>1</v>
      </c>
      <c r="H21" s="20" t="s">
        <v>17</v>
      </c>
      <c r="I21" s="1">
        <v>11</v>
      </c>
      <c r="J21" s="1">
        <v>11</v>
      </c>
      <c r="K21" s="1">
        <v>9</v>
      </c>
      <c r="L21" s="1">
        <v>10</v>
      </c>
      <c r="M21" s="1">
        <v>10</v>
      </c>
      <c r="N21" s="1">
        <v>3</v>
      </c>
      <c r="O21" s="1">
        <v>54</v>
      </c>
      <c r="Q21" t="s">
        <v>17</v>
      </c>
      <c r="R21">
        <v>11</v>
      </c>
      <c r="S21">
        <v>11</v>
      </c>
      <c r="T21">
        <v>9</v>
      </c>
      <c r="U21">
        <v>10</v>
      </c>
      <c r="V21">
        <v>10</v>
      </c>
      <c r="W21">
        <v>3</v>
      </c>
    </row>
    <row r="22" spans="1:23" x14ac:dyDescent="0.35">
      <c r="A22" s="7">
        <v>48661</v>
      </c>
      <c r="B22" s="8" t="s">
        <v>18</v>
      </c>
      <c r="C22" s="9">
        <v>15.6</v>
      </c>
      <c r="D22" s="10">
        <v>6.6</v>
      </c>
      <c r="E22">
        <f t="shared" si="0"/>
        <v>2033</v>
      </c>
      <c r="F22" s="18">
        <v>1</v>
      </c>
      <c r="H22" s="20" t="s">
        <v>22</v>
      </c>
      <c r="I22" s="1">
        <v>8</v>
      </c>
      <c r="J22" s="1">
        <v>14</v>
      </c>
      <c r="K22" s="1">
        <v>10</v>
      </c>
      <c r="L22" s="1">
        <v>8</v>
      </c>
      <c r="M22" s="1">
        <v>14</v>
      </c>
      <c r="N22" s="1">
        <v>10</v>
      </c>
      <c r="O22" s="1">
        <v>64</v>
      </c>
      <c r="Q22" t="s">
        <v>22</v>
      </c>
      <c r="R22">
        <v>8</v>
      </c>
      <c r="S22">
        <v>14</v>
      </c>
      <c r="T22">
        <v>10</v>
      </c>
      <c r="U22">
        <v>8</v>
      </c>
      <c r="V22">
        <v>14</v>
      </c>
      <c r="W22">
        <v>10</v>
      </c>
    </row>
    <row r="23" spans="1:23" x14ac:dyDescent="0.35">
      <c r="A23" s="11">
        <v>48662</v>
      </c>
      <c r="B23" s="12" t="s">
        <v>9</v>
      </c>
      <c r="C23" s="13">
        <v>22.7</v>
      </c>
      <c r="D23" s="14">
        <v>2.9</v>
      </c>
      <c r="E23">
        <f t="shared" si="0"/>
        <v>2033</v>
      </c>
      <c r="F23" s="18">
        <v>1</v>
      </c>
      <c r="H23" s="20" t="s">
        <v>29</v>
      </c>
      <c r="I23" s="1">
        <v>2</v>
      </c>
      <c r="J23" s="1">
        <v>3</v>
      </c>
      <c r="K23" s="1">
        <v>2</v>
      </c>
      <c r="L23" s="1">
        <v>3</v>
      </c>
      <c r="M23" s="1">
        <v>2</v>
      </c>
      <c r="N23" s="1">
        <v>2</v>
      </c>
      <c r="O23" s="1">
        <v>14</v>
      </c>
      <c r="Q23" t="s">
        <v>29</v>
      </c>
      <c r="R23">
        <v>2</v>
      </c>
      <c r="S23">
        <v>3</v>
      </c>
      <c r="T23">
        <v>2</v>
      </c>
      <c r="U23">
        <v>3</v>
      </c>
      <c r="V23">
        <v>2</v>
      </c>
      <c r="W23">
        <v>2</v>
      </c>
    </row>
    <row r="24" spans="1:23" x14ac:dyDescent="0.35">
      <c r="A24" s="7">
        <v>48663</v>
      </c>
      <c r="B24" s="8" t="s">
        <v>15</v>
      </c>
      <c r="C24" s="9">
        <v>15.1</v>
      </c>
      <c r="D24" s="10">
        <v>0</v>
      </c>
      <c r="E24">
        <f t="shared" si="0"/>
        <v>2033</v>
      </c>
      <c r="F24" s="18">
        <v>1</v>
      </c>
      <c r="H24" s="20" t="s">
        <v>9</v>
      </c>
      <c r="I24" s="1">
        <v>14</v>
      </c>
      <c r="J24" s="1">
        <v>19</v>
      </c>
      <c r="K24" s="1">
        <v>8</v>
      </c>
      <c r="L24" s="1">
        <v>13</v>
      </c>
      <c r="M24" s="1">
        <v>14</v>
      </c>
      <c r="N24" s="1">
        <v>12</v>
      </c>
      <c r="O24" s="1">
        <v>80</v>
      </c>
      <c r="Q24" t="s">
        <v>9</v>
      </c>
      <c r="R24">
        <v>14</v>
      </c>
      <c r="S24">
        <v>19</v>
      </c>
      <c r="T24">
        <v>8</v>
      </c>
      <c r="U24">
        <v>13</v>
      </c>
      <c r="V24">
        <v>14</v>
      </c>
      <c r="W24">
        <v>12</v>
      </c>
    </row>
    <row r="25" spans="1:23" x14ac:dyDescent="0.35">
      <c r="A25" s="11">
        <v>48664</v>
      </c>
      <c r="B25" s="12" t="s">
        <v>19</v>
      </c>
      <c r="C25" s="13">
        <v>14.1</v>
      </c>
      <c r="D25" s="14">
        <v>0.8</v>
      </c>
      <c r="E25">
        <f t="shared" si="0"/>
        <v>2033</v>
      </c>
      <c r="F25" s="18">
        <v>1</v>
      </c>
      <c r="H25" s="20" t="s">
        <v>32</v>
      </c>
      <c r="I25" s="1">
        <v>2</v>
      </c>
      <c r="J25" s="1">
        <v>5</v>
      </c>
      <c r="K25" s="1">
        <v>3</v>
      </c>
      <c r="L25" s="1">
        <v>2</v>
      </c>
      <c r="M25" s="1"/>
      <c r="N25" s="1">
        <v>2</v>
      </c>
      <c r="O25" s="1">
        <v>14</v>
      </c>
      <c r="Q25" t="s">
        <v>32</v>
      </c>
      <c r="R25">
        <v>2</v>
      </c>
      <c r="S25">
        <v>5</v>
      </c>
      <c r="T25">
        <v>3</v>
      </c>
      <c r="U25">
        <v>2</v>
      </c>
      <c r="V25">
        <v>0</v>
      </c>
      <c r="W25">
        <v>2</v>
      </c>
    </row>
    <row r="26" spans="1:23" x14ac:dyDescent="0.35">
      <c r="A26" s="7">
        <v>48665</v>
      </c>
      <c r="B26" s="8" t="s">
        <v>7</v>
      </c>
      <c r="C26" s="9">
        <v>24.9</v>
      </c>
      <c r="D26" s="10">
        <v>2.2000000000000002</v>
      </c>
      <c r="E26">
        <f t="shared" si="0"/>
        <v>2033</v>
      </c>
      <c r="F26" s="18">
        <v>1</v>
      </c>
      <c r="H26" s="20" t="s">
        <v>21</v>
      </c>
      <c r="I26" s="1">
        <v>4</v>
      </c>
      <c r="J26" s="1">
        <v>5</v>
      </c>
      <c r="K26" s="1">
        <v>5</v>
      </c>
      <c r="L26" s="1">
        <v>2</v>
      </c>
      <c r="M26" s="1">
        <v>2</v>
      </c>
      <c r="N26" s="1">
        <v>7</v>
      </c>
      <c r="O26" s="1">
        <v>25</v>
      </c>
      <c r="Q26" t="s">
        <v>21</v>
      </c>
      <c r="R26">
        <v>4</v>
      </c>
      <c r="S26">
        <v>5</v>
      </c>
      <c r="T26">
        <v>5</v>
      </c>
      <c r="U26">
        <v>2</v>
      </c>
      <c r="V26">
        <v>2</v>
      </c>
      <c r="W26">
        <v>7</v>
      </c>
    </row>
    <row r="27" spans="1:23" x14ac:dyDescent="0.35">
      <c r="A27" s="11">
        <v>48666</v>
      </c>
      <c r="B27" s="12" t="s">
        <v>20</v>
      </c>
      <c r="C27" s="13">
        <v>14.8</v>
      </c>
      <c r="D27" s="14">
        <v>0</v>
      </c>
      <c r="E27">
        <f t="shared" si="0"/>
        <v>2033</v>
      </c>
      <c r="F27" s="18">
        <v>1</v>
      </c>
      <c r="H27" s="20" t="s">
        <v>18</v>
      </c>
      <c r="I27" s="1">
        <v>11</v>
      </c>
      <c r="J27" s="1">
        <v>24</v>
      </c>
      <c r="K27" s="1">
        <v>23</v>
      </c>
      <c r="L27" s="1">
        <v>19</v>
      </c>
      <c r="M27" s="1">
        <v>14</v>
      </c>
      <c r="N27" s="1">
        <v>13</v>
      </c>
      <c r="O27" s="1">
        <v>104</v>
      </c>
      <c r="Q27" t="s">
        <v>18</v>
      </c>
      <c r="R27">
        <v>11</v>
      </c>
      <c r="S27">
        <v>24</v>
      </c>
      <c r="T27">
        <v>23</v>
      </c>
      <c r="U27">
        <v>19</v>
      </c>
      <c r="V27">
        <v>14</v>
      </c>
      <c r="W27">
        <v>13</v>
      </c>
    </row>
    <row r="28" spans="1:23" x14ac:dyDescent="0.35">
      <c r="A28" s="7">
        <v>48667</v>
      </c>
      <c r="B28" s="8" t="s">
        <v>14</v>
      </c>
      <c r="C28" s="9">
        <v>18.8</v>
      </c>
      <c r="D28" s="10">
        <v>0</v>
      </c>
      <c r="E28">
        <f t="shared" si="0"/>
        <v>2033</v>
      </c>
      <c r="F28" s="18">
        <v>1</v>
      </c>
      <c r="H28" s="20" t="s">
        <v>6</v>
      </c>
      <c r="I28" s="1">
        <v>13</v>
      </c>
      <c r="J28" s="1">
        <v>11</v>
      </c>
      <c r="K28" s="1">
        <v>11</v>
      </c>
      <c r="L28" s="1">
        <v>25</v>
      </c>
      <c r="M28" s="1">
        <v>17</v>
      </c>
      <c r="N28" s="1">
        <v>14</v>
      </c>
      <c r="O28" s="1">
        <v>91</v>
      </c>
      <c r="Q28" t="s">
        <v>6</v>
      </c>
      <c r="R28">
        <v>13</v>
      </c>
      <c r="S28">
        <v>11</v>
      </c>
      <c r="T28">
        <v>11</v>
      </c>
      <c r="U28">
        <v>25</v>
      </c>
      <c r="V28">
        <v>17</v>
      </c>
      <c r="W28">
        <v>14</v>
      </c>
    </row>
    <row r="29" spans="1:23" x14ac:dyDescent="0.35">
      <c r="A29" s="11">
        <v>48668</v>
      </c>
      <c r="B29" s="12" t="s">
        <v>15</v>
      </c>
      <c r="C29" s="13">
        <v>29.3</v>
      </c>
      <c r="D29" s="14">
        <v>8</v>
      </c>
      <c r="E29">
        <f t="shared" si="0"/>
        <v>2033</v>
      </c>
      <c r="F29" s="18">
        <v>1</v>
      </c>
      <c r="H29" s="20" t="s">
        <v>16</v>
      </c>
      <c r="I29" s="1">
        <v>3</v>
      </c>
      <c r="J29" s="1">
        <v>3</v>
      </c>
      <c r="K29" s="1">
        <v>1</v>
      </c>
      <c r="L29" s="1"/>
      <c r="M29" s="1">
        <v>4</v>
      </c>
      <c r="N29" s="1">
        <v>2</v>
      </c>
      <c r="O29" s="1">
        <v>13</v>
      </c>
      <c r="Q29" t="s">
        <v>16</v>
      </c>
      <c r="R29">
        <v>3</v>
      </c>
      <c r="S29">
        <v>3</v>
      </c>
      <c r="T29">
        <v>1</v>
      </c>
      <c r="U29">
        <v>0</v>
      </c>
      <c r="V29">
        <v>4</v>
      </c>
      <c r="W29">
        <v>2</v>
      </c>
    </row>
    <row r="30" spans="1:23" x14ac:dyDescent="0.35">
      <c r="A30" s="7">
        <v>48669</v>
      </c>
      <c r="B30" s="8" t="s">
        <v>21</v>
      </c>
      <c r="C30" s="9">
        <v>29.4</v>
      </c>
      <c r="D30" s="10">
        <v>2.4</v>
      </c>
      <c r="E30">
        <f t="shared" si="0"/>
        <v>2033</v>
      </c>
      <c r="F30" s="18">
        <v>1</v>
      </c>
      <c r="H30" s="20" t="s">
        <v>33</v>
      </c>
      <c r="I30" s="1">
        <v>1</v>
      </c>
      <c r="J30" s="1">
        <v>7</v>
      </c>
      <c r="K30" s="1">
        <v>2</v>
      </c>
      <c r="L30" s="1">
        <v>4</v>
      </c>
      <c r="M30" s="1">
        <v>5</v>
      </c>
      <c r="N30" s="1">
        <v>4</v>
      </c>
      <c r="O30" s="1">
        <v>23</v>
      </c>
      <c r="Q30" t="s">
        <v>33</v>
      </c>
      <c r="R30">
        <v>1</v>
      </c>
      <c r="S30">
        <v>7</v>
      </c>
      <c r="T30">
        <v>2</v>
      </c>
      <c r="U30">
        <v>4</v>
      </c>
      <c r="V30">
        <v>5</v>
      </c>
      <c r="W30">
        <v>4</v>
      </c>
    </row>
    <row r="31" spans="1:23" x14ac:dyDescent="0.35">
      <c r="A31" s="11">
        <v>48670</v>
      </c>
      <c r="B31" s="12" t="s">
        <v>22</v>
      </c>
      <c r="C31" s="13">
        <v>16.8</v>
      </c>
      <c r="D31" s="14">
        <v>2.9</v>
      </c>
      <c r="E31">
        <f t="shared" si="0"/>
        <v>2033</v>
      </c>
      <c r="F31" s="18">
        <v>1</v>
      </c>
      <c r="H31" s="20" t="s">
        <v>15</v>
      </c>
      <c r="I31" s="1">
        <v>25</v>
      </c>
      <c r="J31" s="1">
        <v>22</v>
      </c>
      <c r="K31" s="1">
        <v>25</v>
      </c>
      <c r="L31" s="1">
        <v>22</v>
      </c>
      <c r="M31" s="1">
        <v>15</v>
      </c>
      <c r="N31" s="1">
        <v>18</v>
      </c>
      <c r="O31" s="1">
        <v>127</v>
      </c>
      <c r="Q31" t="s">
        <v>15</v>
      </c>
      <c r="R31">
        <v>25</v>
      </c>
      <c r="S31">
        <v>22</v>
      </c>
      <c r="T31">
        <v>25</v>
      </c>
      <c r="U31">
        <v>22</v>
      </c>
      <c r="V31">
        <v>15</v>
      </c>
      <c r="W31">
        <v>18</v>
      </c>
    </row>
    <row r="32" spans="1:23" x14ac:dyDescent="0.35">
      <c r="A32" s="7">
        <v>48671</v>
      </c>
      <c r="B32" s="8" t="s">
        <v>12</v>
      </c>
      <c r="C32" s="9">
        <v>21.4</v>
      </c>
      <c r="D32" s="10">
        <v>6.3</v>
      </c>
      <c r="E32">
        <f t="shared" si="0"/>
        <v>2033</v>
      </c>
      <c r="F32" s="18">
        <v>1</v>
      </c>
      <c r="H32" s="20" t="s">
        <v>12</v>
      </c>
      <c r="I32" s="1">
        <v>14</v>
      </c>
      <c r="J32" s="1">
        <v>12</v>
      </c>
      <c r="K32" s="1">
        <v>19</v>
      </c>
      <c r="L32" s="1">
        <v>13</v>
      </c>
      <c r="M32" s="1">
        <v>12</v>
      </c>
      <c r="N32" s="1">
        <v>6</v>
      </c>
      <c r="O32" s="1">
        <v>76</v>
      </c>
      <c r="Q32" t="s">
        <v>12</v>
      </c>
      <c r="R32">
        <v>14</v>
      </c>
      <c r="S32">
        <v>12</v>
      </c>
      <c r="T32">
        <v>19</v>
      </c>
      <c r="U32">
        <v>13</v>
      </c>
      <c r="V32">
        <v>12</v>
      </c>
      <c r="W32">
        <v>6</v>
      </c>
    </row>
    <row r="33" spans="1:23" x14ac:dyDescent="0.35">
      <c r="A33" s="11">
        <v>48672</v>
      </c>
      <c r="B33" s="12" t="s">
        <v>7</v>
      </c>
      <c r="C33" s="13">
        <v>23.9</v>
      </c>
      <c r="D33" s="14">
        <v>0</v>
      </c>
      <c r="E33">
        <f t="shared" si="0"/>
        <v>2033</v>
      </c>
      <c r="F33" s="18">
        <v>1</v>
      </c>
      <c r="H33" s="20" t="s">
        <v>25</v>
      </c>
      <c r="I33" s="1">
        <v>6</v>
      </c>
      <c r="J33" s="1">
        <v>2</v>
      </c>
      <c r="K33" s="1">
        <v>5</v>
      </c>
      <c r="L33" s="1">
        <v>4</v>
      </c>
      <c r="M33" s="1">
        <v>6</v>
      </c>
      <c r="N33" s="1">
        <v>3</v>
      </c>
      <c r="O33" s="1">
        <v>26</v>
      </c>
      <c r="Q33" t="s">
        <v>25</v>
      </c>
      <c r="R33">
        <v>6</v>
      </c>
      <c r="S33">
        <v>2</v>
      </c>
      <c r="T33">
        <v>5</v>
      </c>
      <c r="U33">
        <v>4</v>
      </c>
      <c r="V33">
        <v>6</v>
      </c>
      <c r="W33">
        <v>3</v>
      </c>
    </row>
    <row r="34" spans="1:23" x14ac:dyDescent="0.35">
      <c r="A34" s="7">
        <v>48673</v>
      </c>
      <c r="B34" s="8" t="s">
        <v>12</v>
      </c>
      <c r="C34" s="9">
        <v>26.7</v>
      </c>
      <c r="D34" s="10">
        <v>0</v>
      </c>
      <c r="E34">
        <f t="shared" si="0"/>
        <v>2033</v>
      </c>
      <c r="F34" s="18">
        <v>1</v>
      </c>
      <c r="H34" s="20" t="s">
        <v>19</v>
      </c>
      <c r="I34" s="1">
        <v>29</v>
      </c>
      <c r="J34" s="1">
        <v>40</v>
      </c>
      <c r="K34" s="1">
        <v>38</v>
      </c>
      <c r="L34" s="1">
        <v>41</v>
      </c>
      <c r="M34" s="1">
        <v>46</v>
      </c>
      <c r="N34" s="1">
        <v>39</v>
      </c>
      <c r="O34" s="1">
        <v>233</v>
      </c>
      <c r="Q34" t="s">
        <v>19</v>
      </c>
      <c r="R34">
        <v>29</v>
      </c>
      <c r="S34">
        <v>40</v>
      </c>
      <c r="T34">
        <v>38</v>
      </c>
      <c r="U34">
        <v>41</v>
      </c>
      <c r="V34">
        <v>46</v>
      </c>
      <c r="W34">
        <v>39</v>
      </c>
    </row>
    <row r="35" spans="1:23" x14ac:dyDescent="0.35">
      <c r="A35" s="11">
        <v>48674</v>
      </c>
      <c r="B35" s="12" t="s">
        <v>7</v>
      </c>
      <c r="C35" s="13">
        <v>12.4</v>
      </c>
      <c r="D35" s="14">
        <v>0</v>
      </c>
      <c r="E35">
        <f t="shared" si="0"/>
        <v>2033</v>
      </c>
      <c r="F35" s="18">
        <v>1</v>
      </c>
      <c r="H35" s="20" t="s">
        <v>28</v>
      </c>
      <c r="I35" s="1">
        <v>2</v>
      </c>
      <c r="J35" s="1">
        <v>2</v>
      </c>
      <c r="K35" s="1">
        <v>4</v>
      </c>
      <c r="L35" s="1">
        <v>1</v>
      </c>
      <c r="M35" s="1">
        <v>2</v>
      </c>
      <c r="N35" s="1">
        <v>3</v>
      </c>
      <c r="O35" s="1">
        <v>14</v>
      </c>
      <c r="Q35" t="s">
        <v>28</v>
      </c>
      <c r="R35">
        <v>2</v>
      </c>
      <c r="S35">
        <v>2</v>
      </c>
      <c r="T35">
        <v>4</v>
      </c>
      <c r="U35">
        <v>1</v>
      </c>
      <c r="V35">
        <v>2</v>
      </c>
      <c r="W35">
        <v>3</v>
      </c>
    </row>
    <row r="36" spans="1:23" x14ac:dyDescent="0.35">
      <c r="A36" s="7">
        <v>48675</v>
      </c>
      <c r="B36" s="8" t="s">
        <v>12</v>
      </c>
      <c r="C36" s="9">
        <v>10.4</v>
      </c>
      <c r="D36" s="10">
        <v>10.7</v>
      </c>
      <c r="E36">
        <f t="shared" si="0"/>
        <v>2033</v>
      </c>
      <c r="F36" s="18">
        <v>1</v>
      </c>
      <c r="H36" s="20" t="s">
        <v>38</v>
      </c>
      <c r="I36" s="1">
        <v>304</v>
      </c>
      <c r="J36" s="1">
        <v>365</v>
      </c>
      <c r="K36" s="1">
        <v>365</v>
      </c>
      <c r="L36" s="1">
        <v>366</v>
      </c>
      <c r="M36" s="1">
        <v>365</v>
      </c>
      <c r="N36" s="1">
        <v>307</v>
      </c>
      <c r="O36" s="1">
        <v>2072</v>
      </c>
    </row>
    <row r="37" spans="1:23" x14ac:dyDescent="0.35">
      <c r="A37" s="11">
        <v>48676</v>
      </c>
      <c r="B37" s="12" t="s">
        <v>9</v>
      </c>
      <c r="C37" s="13">
        <v>17.899999999999999</v>
      </c>
      <c r="D37" s="14">
        <v>0</v>
      </c>
      <c r="E37">
        <f t="shared" si="0"/>
        <v>2033</v>
      </c>
      <c r="F37" s="18">
        <v>1</v>
      </c>
    </row>
    <row r="38" spans="1:23" x14ac:dyDescent="0.35">
      <c r="A38" s="7">
        <v>48677</v>
      </c>
      <c r="B38" s="8" t="s">
        <v>20</v>
      </c>
      <c r="C38" s="9">
        <v>17.399999999999999</v>
      </c>
      <c r="D38" s="10">
        <v>1.6</v>
      </c>
      <c r="E38">
        <f t="shared" si="0"/>
        <v>2033</v>
      </c>
      <c r="F38" s="18">
        <v>1</v>
      </c>
    </row>
    <row r="39" spans="1:23" x14ac:dyDescent="0.35">
      <c r="A39" s="11">
        <v>48678</v>
      </c>
      <c r="B39" s="12" t="s">
        <v>11</v>
      </c>
      <c r="C39" s="13">
        <v>29.4</v>
      </c>
      <c r="D39" s="14">
        <v>21.7</v>
      </c>
      <c r="E39">
        <f t="shared" si="0"/>
        <v>2033</v>
      </c>
      <c r="F39" s="18">
        <v>1</v>
      </c>
    </row>
    <row r="40" spans="1:23" x14ac:dyDescent="0.35">
      <c r="A40" s="7">
        <v>48679</v>
      </c>
      <c r="B40" s="8" t="s">
        <v>19</v>
      </c>
      <c r="C40" s="9">
        <v>22.9</v>
      </c>
      <c r="D40" s="10">
        <v>26.9</v>
      </c>
      <c r="E40">
        <f t="shared" si="0"/>
        <v>2033</v>
      </c>
      <c r="F40" s="18">
        <v>1</v>
      </c>
    </row>
    <row r="41" spans="1:23" x14ac:dyDescent="0.35">
      <c r="A41" s="11">
        <v>48680</v>
      </c>
      <c r="B41" s="12" t="s">
        <v>19</v>
      </c>
      <c r="C41" s="13">
        <v>18.899999999999999</v>
      </c>
      <c r="D41" s="14">
        <v>11.3</v>
      </c>
      <c r="E41">
        <f t="shared" si="0"/>
        <v>2033</v>
      </c>
      <c r="F41" s="18">
        <v>1</v>
      </c>
    </row>
    <row r="42" spans="1:23" x14ac:dyDescent="0.35">
      <c r="A42" s="7">
        <v>48681</v>
      </c>
      <c r="B42" s="8" t="s">
        <v>5</v>
      </c>
      <c r="C42" s="9">
        <v>23.5</v>
      </c>
      <c r="D42" s="10">
        <v>0</v>
      </c>
      <c r="E42">
        <f t="shared" si="0"/>
        <v>2033</v>
      </c>
      <c r="F42" s="18">
        <v>1</v>
      </c>
    </row>
    <row r="43" spans="1:23" x14ac:dyDescent="0.35">
      <c r="A43" s="11">
        <v>48682</v>
      </c>
      <c r="B43" s="12" t="s">
        <v>18</v>
      </c>
      <c r="C43" s="13">
        <v>13.4</v>
      </c>
      <c r="D43" s="14">
        <v>14.2</v>
      </c>
      <c r="E43">
        <f t="shared" si="0"/>
        <v>2033</v>
      </c>
      <c r="F43" s="18">
        <v>1</v>
      </c>
    </row>
    <row r="44" spans="1:23" x14ac:dyDescent="0.35">
      <c r="A44" s="7">
        <v>48683</v>
      </c>
      <c r="B44" s="8" t="s">
        <v>20</v>
      </c>
      <c r="C44" s="9">
        <v>18.899999999999999</v>
      </c>
      <c r="D44" s="10">
        <v>1.5</v>
      </c>
      <c r="E44">
        <f t="shared" si="0"/>
        <v>2033</v>
      </c>
      <c r="F44" s="18">
        <v>1</v>
      </c>
    </row>
    <row r="45" spans="1:23" x14ac:dyDescent="0.35">
      <c r="A45" s="11">
        <v>48684</v>
      </c>
      <c r="B45" s="12" t="s">
        <v>17</v>
      </c>
      <c r="C45" s="13">
        <v>13.5</v>
      </c>
      <c r="D45" s="14">
        <v>1.4</v>
      </c>
      <c r="E45">
        <f t="shared" si="0"/>
        <v>2033</v>
      </c>
      <c r="F45" s="18">
        <v>1</v>
      </c>
    </row>
    <row r="46" spans="1:23" x14ac:dyDescent="0.35">
      <c r="A46" s="7">
        <v>48685</v>
      </c>
      <c r="B46" s="8" t="s">
        <v>5</v>
      </c>
      <c r="C46" s="9">
        <v>17.7</v>
      </c>
      <c r="D46" s="10">
        <v>5.9</v>
      </c>
      <c r="E46">
        <f t="shared" si="0"/>
        <v>2033</v>
      </c>
      <c r="F46" s="18">
        <v>1</v>
      </c>
    </row>
    <row r="47" spans="1:23" x14ac:dyDescent="0.35">
      <c r="A47" s="11">
        <v>48686</v>
      </c>
      <c r="B47" s="12" t="s">
        <v>11</v>
      </c>
      <c r="C47" s="13">
        <v>24.7</v>
      </c>
      <c r="D47" s="14">
        <v>0</v>
      </c>
      <c r="E47">
        <f t="shared" si="0"/>
        <v>2033</v>
      </c>
      <c r="F47" s="18">
        <v>1</v>
      </c>
    </row>
    <row r="48" spans="1:23" x14ac:dyDescent="0.35">
      <c r="A48" s="7">
        <v>48687</v>
      </c>
      <c r="B48" s="8" t="s">
        <v>18</v>
      </c>
      <c r="C48" s="9">
        <v>25.6</v>
      </c>
      <c r="D48" s="10">
        <v>1.9</v>
      </c>
      <c r="E48">
        <f t="shared" si="0"/>
        <v>2033</v>
      </c>
      <c r="F48" s="18">
        <v>1</v>
      </c>
    </row>
    <row r="49" spans="1:6" x14ac:dyDescent="0.35">
      <c r="A49" s="11">
        <v>48688</v>
      </c>
      <c r="B49" s="12" t="s">
        <v>22</v>
      </c>
      <c r="C49" s="13">
        <v>18.399999999999999</v>
      </c>
      <c r="D49" s="14">
        <v>0</v>
      </c>
      <c r="E49">
        <f t="shared" si="0"/>
        <v>2033</v>
      </c>
      <c r="F49" s="18">
        <v>1</v>
      </c>
    </row>
    <row r="50" spans="1:6" x14ac:dyDescent="0.35">
      <c r="A50" s="7">
        <v>48689</v>
      </c>
      <c r="B50" s="8" t="s">
        <v>23</v>
      </c>
      <c r="C50" s="9">
        <v>27</v>
      </c>
      <c r="D50" s="10">
        <v>0</v>
      </c>
      <c r="E50">
        <f t="shared" si="0"/>
        <v>2033</v>
      </c>
      <c r="F50" s="18">
        <v>1</v>
      </c>
    </row>
    <row r="51" spans="1:6" x14ac:dyDescent="0.35">
      <c r="A51" s="11">
        <v>48690</v>
      </c>
      <c r="B51" s="12" t="s">
        <v>10</v>
      </c>
      <c r="C51" s="13">
        <v>16</v>
      </c>
      <c r="D51" s="14">
        <v>0</v>
      </c>
      <c r="E51">
        <f t="shared" si="0"/>
        <v>2033</v>
      </c>
      <c r="F51" s="18">
        <v>1</v>
      </c>
    </row>
    <row r="52" spans="1:6" x14ac:dyDescent="0.35">
      <c r="A52" s="7">
        <v>48691</v>
      </c>
      <c r="B52" s="8" t="s">
        <v>7</v>
      </c>
      <c r="C52" s="9">
        <v>18.600000000000001</v>
      </c>
      <c r="D52" s="10">
        <v>7.4</v>
      </c>
      <c r="E52">
        <f t="shared" si="0"/>
        <v>2033</v>
      </c>
      <c r="F52" s="18">
        <v>1</v>
      </c>
    </row>
    <row r="53" spans="1:6" x14ac:dyDescent="0.35">
      <c r="A53" s="11">
        <v>48692</v>
      </c>
      <c r="B53" s="12" t="s">
        <v>10</v>
      </c>
      <c r="C53" s="13">
        <v>12.7</v>
      </c>
      <c r="D53" s="14">
        <v>30.8</v>
      </c>
      <c r="E53">
        <f t="shared" si="0"/>
        <v>2033</v>
      </c>
      <c r="F53" s="18">
        <v>1</v>
      </c>
    </row>
    <row r="54" spans="1:6" x14ac:dyDescent="0.35">
      <c r="A54" s="7">
        <v>48693</v>
      </c>
      <c r="B54" s="8" t="s">
        <v>19</v>
      </c>
      <c r="C54" s="9">
        <v>14.5</v>
      </c>
      <c r="D54" s="10">
        <v>0</v>
      </c>
      <c r="E54">
        <f t="shared" si="0"/>
        <v>2033</v>
      </c>
      <c r="F54" s="18">
        <v>1</v>
      </c>
    </row>
    <row r="55" spans="1:6" x14ac:dyDescent="0.35">
      <c r="A55" s="11">
        <v>48694</v>
      </c>
      <c r="B55" s="12" t="s">
        <v>24</v>
      </c>
      <c r="C55" s="13">
        <v>12.2</v>
      </c>
      <c r="D55" s="14">
        <v>3.5</v>
      </c>
      <c r="E55">
        <f t="shared" si="0"/>
        <v>2033</v>
      </c>
      <c r="F55" s="18">
        <v>1</v>
      </c>
    </row>
    <row r="56" spans="1:6" x14ac:dyDescent="0.35">
      <c r="A56" s="7">
        <v>48695</v>
      </c>
      <c r="B56" s="8" t="s">
        <v>25</v>
      </c>
      <c r="C56" s="9">
        <v>19.899999999999999</v>
      </c>
      <c r="D56" s="10">
        <v>0</v>
      </c>
      <c r="E56">
        <f t="shared" si="0"/>
        <v>2033</v>
      </c>
      <c r="F56" s="18">
        <v>1</v>
      </c>
    </row>
    <row r="57" spans="1:6" x14ac:dyDescent="0.35">
      <c r="A57" s="11">
        <v>48696</v>
      </c>
      <c r="B57" s="12" t="s">
        <v>26</v>
      </c>
      <c r="C57" s="13">
        <v>28.1</v>
      </c>
      <c r="D57" s="14">
        <v>5.3</v>
      </c>
      <c r="E57">
        <f t="shared" si="0"/>
        <v>2033</v>
      </c>
      <c r="F57" s="18">
        <v>1</v>
      </c>
    </row>
    <row r="58" spans="1:6" x14ac:dyDescent="0.35">
      <c r="A58" s="7">
        <v>48697</v>
      </c>
      <c r="B58" s="8" t="s">
        <v>10</v>
      </c>
      <c r="C58" s="9">
        <v>27.7</v>
      </c>
      <c r="D58" s="10">
        <v>45.3</v>
      </c>
      <c r="E58">
        <f t="shared" si="0"/>
        <v>2033</v>
      </c>
      <c r="F58" s="18">
        <v>1</v>
      </c>
    </row>
    <row r="59" spans="1:6" x14ac:dyDescent="0.35">
      <c r="A59" s="11">
        <v>48698</v>
      </c>
      <c r="B59" s="12" t="s">
        <v>5</v>
      </c>
      <c r="C59" s="13">
        <v>14.6</v>
      </c>
      <c r="D59" s="14">
        <v>5.2</v>
      </c>
      <c r="E59">
        <f t="shared" si="0"/>
        <v>2033</v>
      </c>
      <c r="F59" s="18">
        <v>1</v>
      </c>
    </row>
    <row r="60" spans="1:6" x14ac:dyDescent="0.35">
      <c r="A60" s="7">
        <v>48699</v>
      </c>
      <c r="B60" s="8" t="s">
        <v>18</v>
      </c>
      <c r="C60" s="9">
        <v>10.8</v>
      </c>
      <c r="D60" s="10">
        <v>0</v>
      </c>
      <c r="E60">
        <f t="shared" si="0"/>
        <v>2033</v>
      </c>
      <c r="F60" s="18">
        <v>1</v>
      </c>
    </row>
    <row r="61" spans="1:6" x14ac:dyDescent="0.35">
      <c r="A61" s="11">
        <v>48700</v>
      </c>
      <c r="B61" s="12" t="s">
        <v>27</v>
      </c>
      <c r="C61" s="13">
        <v>12.4</v>
      </c>
      <c r="D61" s="14">
        <v>3.2</v>
      </c>
      <c r="E61">
        <f t="shared" si="0"/>
        <v>2033</v>
      </c>
      <c r="F61" s="18">
        <v>1</v>
      </c>
    </row>
    <row r="62" spans="1:6" x14ac:dyDescent="0.35">
      <c r="A62" s="7">
        <v>48701</v>
      </c>
      <c r="B62" s="8" t="s">
        <v>10</v>
      </c>
      <c r="C62" s="9">
        <v>25.2</v>
      </c>
      <c r="D62" s="10">
        <v>0</v>
      </c>
      <c r="E62">
        <f t="shared" si="0"/>
        <v>2033</v>
      </c>
      <c r="F62" s="18">
        <v>1</v>
      </c>
    </row>
    <row r="63" spans="1:6" x14ac:dyDescent="0.35">
      <c r="A63" s="11">
        <v>48702</v>
      </c>
      <c r="B63" s="12" t="s">
        <v>10</v>
      </c>
      <c r="C63" s="13">
        <v>28.9</v>
      </c>
      <c r="D63" s="14">
        <v>0</v>
      </c>
      <c r="E63">
        <f t="shared" si="0"/>
        <v>2033</v>
      </c>
      <c r="F63" s="18">
        <v>1</v>
      </c>
    </row>
    <row r="64" spans="1:6" x14ac:dyDescent="0.35">
      <c r="A64" s="7">
        <v>48703</v>
      </c>
      <c r="B64" s="8" t="s">
        <v>19</v>
      </c>
      <c r="C64" s="9">
        <v>13.2</v>
      </c>
      <c r="D64" s="10">
        <v>23.3</v>
      </c>
      <c r="E64">
        <f t="shared" si="0"/>
        <v>2033</v>
      </c>
      <c r="F64" s="18">
        <v>1</v>
      </c>
    </row>
    <row r="65" spans="1:6" x14ac:dyDescent="0.35">
      <c r="A65" s="11">
        <v>48704</v>
      </c>
      <c r="B65" s="12" t="s">
        <v>10</v>
      </c>
      <c r="C65" s="13">
        <v>27.9</v>
      </c>
      <c r="D65" s="14">
        <v>0</v>
      </c>
      <c r="E65">
        <f t="shared" si="0"/>
        <v>2033</v>
      </c>
      <c r="F65" s="18">
        <v>1</v>
      </c>
    </row>
    <row r="66" spans="1:6" x14ac:dyDescent="0.35">
      <c r="A66" s="7">
        <v>48705</v>
      </c>
      <c r="B66" s="8" t="s">
        <v>7</v>
      </c>
      <c r="C66" s="9">
        <v>10.9</v>
      </c>
      <c r="D66" s="10">
        <v>3.5</v>
      </c>
      <c r="E66">
        <f t="shared" si="0"/>
        <v>2033</v>
      </c>
      <c r="F66" s="18">
        <v>1</v>
      </c>
    </row>
    <row r="67" spans="1:6" x14ac:dyDescent="0.35">
      <c r="A67" s="11">
        <v>48706</v>
      </c>
      <c r="B67" s="12" t="s">
        <v>15</v>
      </c>
      <c r="C67" s="13">
        <v>25.5</v>
      </c>
      <c r="D67" s="14">
        <v>20</v>
      </c>
      <c r="E67">
        <f t="shared" ref="E67:E130" si="1">YEAR(A67)</f>
        <v>2033</v>
      </c>
      <c r="F67" s="18">
        <v>1</v>
      </c>
    </row>
    <row r="68" spans="1:6" x14ac:dyDescent="0.35">
      <c r="A68" s="7">
        <v>48707</v>
      </c>
      <c r="B68" s="8" t="s">
        <v>9</v>
      </c>
      <c r="C68" s="9">
        <v>26</v>
      </c>
      <c r="D68" s="10">
        <v>0</v>
      </c>
      <c r="E68">
        <f t="shared" si="1"/>
        <v>2033</v>
      </c>
      <c r="F68" s="18">
        <v>1</v>
      </c>
    </row>
    <row r="69" spans="1:6" x14ac:dyDescent="0.35">
      <c r="A69" s="11">
        <v>48708</v>
      </c>
      <c r="B69" s="12" t="s">
        <v>25</v>
      </c>
      <c r="C69" s="13">
        <v>25.8</v>
      </c>
      <c r="D69" s="14">
        <v>0.1</v>
      </c>
      <c r="E69">
        <f t="shared" si="1"/>
        <v>2033</v>
      </c>
      <c r="F69" s="18">
        <v>1</v>
      </c>
    </row>
    <row r="70" spans="1:6" x14ac:dyDescent="0.35">
      <c r="A70" s="7">
        <v>48709</v>
      </c>
      <c r="B70" s="8" t="s">
        <v>14</v>
      </c>
      <c r="C70" s="9">
        <v>17.5</v>
      </c>
      <c r="D70" s="10">
        <v>0.5</v>
      </c>
      <c r="E70">
        <f t="shared" si="1"/>
        <v>2033</v>
      </c>
      <c r="F70" s="18">
        <v>1</v>
      </c>
    </row>
    <row r="71" spans="1:6" x14ac:dyDescent="0.35">
      <c r="A71" s="11">
        <v>48710</v>
      </c>
      <c r="B71" s="12" t="s">
        <v>10</v>
      </c>
      <c r="C71" s="13">
        <v>17.8</v>
      </c>
      <c r="D71" s="14">
        <v>3.3</v>
      </c>
      <c r="E71">
        <f t="shared" si="1"/>
        <v>2033</v>
      </c>
      <c r="F71" s="18">
        <v>1</v>
      </c>
    </row>
    <row r="72" spans="1:6" x14ac:dyDescent="0.35">
      <c r="A72" s="7">
        <v>48711</v>
      </c>
      <c r="B72" s="8" t="s">
        <v>10</v>
      </c>
      <c r="C72" s="9">
        <v>17.5</v>
      </c>
      <c r="D72" s="10">
        <v>0</v>
      </c>
      <c r="E72">
        <f t="shared" si="1"/>
        <v>2033</v>
      </c>
      <c r="F72" s="18">
        <v>1</v>
      </c>
    </row>
    <row r="73" spans="1:6" x14ac:dyDescent="0.35">
      <c r="A73" s="11">
        <v>48712</v>
      </c>
      <c r="B73" s="12" t="s">
        <v>13</v>
      </c>
      <c r="C73" s="13">
        <v>16.100000000000001</v>
      </c>
      <c r="D73" s="14">
        <v>0</v>
      </c>
      <c r="E73">
        <f t="shared" si="1"/>
        <v>2033</v>
      </c>
      <c r="F73" s="18">
        <v>1</v>
      </c>
    </row>
    <row r="74" spans="1:6" x14ac:dyDescent="0.35">
      <c r="A74" s="7">
        <v>48713</v>
      </c>
      <c r="B74" s="8" t="s">
        <v>5</v>
      </c>
      <c r="C74" s="9">
        <v>11.8</v>
      </c>
      <c r="D74" s="10">
        <v>7</v>
      </c>
      <c r="E74">
        <f t="shared" si="1"/>
        <v>2033</v>
      </c>
      <c r="F74" s="18">
        <v>1</v>
      </c>
    </row>
    <row r="75" spans="1:6" x14ac:dyDescent="0.35">
      <c r="A75" s="11">
        <v>48714</v>
      </c>
      <c r="B75" s="12" t="s">
        <v>15</v>
      </c>
      <c r="C75" s="13">
        <v>26.2</v>
      </c>
      <c r="D75" s="14">
        <v>0</v>
      </c>
      <c r="E75">
        <f t="shared" si="1"/>
        <v>2033</v>
      </c>
      <c r="F75" s="18">
        <v>1</v>
      </c>
    </row>
    <row r="76" spans="1:6" x14ac:dyDescent="0.35">
      <c r="A76" s="7">
        <v>48715</v>
      </c>
      <c r="B76" s="8" t="s">
        <v>6</v>
      </c>
      <c r="C76" s="9">
        <v>28.8</v>
      </c>
      <c r="D76" s="10">
        <v>2.9</v>
      </c>
      <c r="E76">
        <f t="shared" si="1"/>
        <v>2033</v>
      </c>
      <c r="F76" s="18">
        <v>1</v>
      </c>
    </row>
    <row r="77" spans="1:6" x14ac:dyDescent="0.35">
      <c r="A77" s="11">
        <v>48716</v>
      </c>
      <c r="B77" s="12" t="s">
        <v>10</v>
      </c>
      <c r="C77" s="13">
        <v>18.7</v>
      </c>
      <c r="D77" s="14">
        <v>0</v>
      </c>
      <c r="E77">
        <f t="shared" si="1"/>
        <v>2033</v>
      </c>
      <c r="F77" s="18">
        <v>1</v>
      </c>
    </row>
    <row r="78" spans="1:6" x14ac:dyDescent="0.35">
      <c r="A78" s="7">
        <v>48717</v>
      </c>
      <c r="B78" s="8" t="s">
        <v>18</v>
      </c>
      <c r="C78" s="9">
        <v>10.3</v>
      </c>
      <c r="D78" s="10">
        <v>9.1999999999999993</v>
      </c>
      <c r="E78">
        <f t="shared" si="1"/>
        <v>2033</v>
      </c>
      <c r="F78" s="18">
        <v>1</v>
      </c>
    </row>
    <row r="79" spans="1:6" x14ac:dyDescent="0.35">
      <c r="A79" s="11">
        <v>48718</v>
      </c>
      <c r="B79" s="12" t="s">
        <v>6</v>
      </c>
      <c r="C79" s="13">
        <v>29.8</v>
      </c>
      <c r="D79" s="14">
        <v>3.4</v>
      </c>
      <c r="E79">
        <f t="shared" si="1"/>
        <v>2033</v>
      </c>
      <c r="F79" s="18">
        <v>1</v>
      </c>
    </row>
    <row r="80" spans="1:6" x14ac:dyDescent="0.35">
      <c r="A80" s="7">
        <v>48719</v>
      </c>
      <c r="B80" s="8" t="s">
        <v>10</v>
      </c>
      <c r="C80" s="9">
        <v>26.2</v>
      </c>
      <c r="D80" s="10">
        <v>32.299999999999997</v>
      </c>
      <c r="E80">
        <f t="shared" si="1"/>
        <v>2033</v>
      </c>
      <c r="F80" s="18">
        <v>1</v>
      </c>
    </row>
    <row r="81" spans="1:6" x14ac:dyDescent="0.35">
      <c r="A81" s="11">
        <v>48720</v>
      </c>
      <c r="B81" s="12" t="s">
        <v>19</v>
      </c>
      <c r="C81" s="13">
        <v>13.8</v>
      </c>
      <c r="D81" s="14">
        <v>15.9</v>
      </c>
      <c r="E81">
        <f t="shared" si="1"/>
        <v>2033</v>
      </c>
      <c r="F81" s="18">
        <v>1</v>
      </c>
    </row>
    <row r="82" spans="1:6" x14ac:dyDescent="0.35">
      <c r="A82" s="7">
        <v>48721</v>
      </c>
      <c r="B82" s="8" t="s">
        <v>19</v>
      </c>
      <c r="C82" s="9">
        <v>22.4</v>
      </c>
      <c r="D82" s="10">
        <v>24.5</v>
      </c>
      <c r="E82">
        <f t="shared" si="1"/>
        <v>2033</v>
      </c>
      <c r="F82" s="18">
        <v>1</v>
      </c>
    </row>
    <row r="83" spans="1:6" x14ac:dyDescent="0.35">
      <c r="A83" s="11">
        <v>48722</v>
      </c>
      <c r="B83" s="12" t="s">
        <v>19</v>
      </c>
      <c r="C83" s="13">
        <v>24.5</v>
      </c>
      <c r="D83" s="14">
        <v>0.9</v>
      </c>
      <c r="E83">
        <f t="shared" si="1"/>
        <v>2033</v>
      </c>
      <c r="F83" s="18">
        <v>1</v>
      </c>
    </row>
    <row r="84" spans="1:6" x14ac:dyDescent="0.35">
      <c r="A84" s="7">
        <v>48723</v>
      </c>
      <c r="B84" s="8" t="s">
        <v>28</v>
      </c>
      <c r="C84" s="9">
        <v>23.1</v>
      </c>
      <c r="D84" s="10">
        <v>0.3</v>
      </c>
      <c r="E84">
        <f t="shared" si="1"/>
        <v>2033</v>
      </c>
      <c r="F84" s="18">
        <v>1</v>
      </c>
    </row>
    <row r="85" spans="1:6" x14ac:dyDescent="0.35">
      <c r="A85" s="11">
        <v>48724</v>
      </c>
      <c r="B85" s="12" t="s">
        <v>25</v>
      </c>
      <c r="C85" s="13">
        <v>29.8</v>
      </c>
      <c r="D85" s="14">
        <v>0</v>
      </c>
      <c r="E85">
        <f t="shared" si="1"/>
        <v>2033</v>
      </c>
      <c r="F85" s="18">
        <v>1</v>
      </c>
    </row>
    <row r="86" spans="1:6" x14ac:dyDescent="0.35">
      <c r="A86" s="7">
        <v>48725</v>
      </c>
      <c r="B86" s="8" t="s">
        <v>4</v>
      </c>
      <c r="C86" s="9">
        <v>11.2</v>
      </c>
      <c r="D86" s="10">
        <v>0</v>
      </c>
      <c r="E86">
        <f t="shared" si="1"/>
        <v>2033</v>
      </c>
      <c r="F86" s="18">
        <v>1</v>
      </c>
    </row>
    <row r="87" spans="1:6" x14ac:dyDescent="0.35">
      <c r="A87" s="11">
        <v>48726</v>
      </c>
      <c r="B87" s="12" t="s">
        <v>19</v>
      </c>
      <c r="C87" s="13">
        <v>18.7</v>
      </c>
      <c r="D87" s="14">
        <v>0</v>
      </c>
      <c r="E87">
        <f t="shared" si="1"/>
        <v>2033</v>
      </c>
      <c r="F87" s="18">
        <v>1</v>
      </c>
    </row>
    <row r="88" spans="1:6" x14ac:dyDescent="0.35">
      <c r="A88" s="7">
        <v>48727</v>
      </c>
      <c r="B88" s="8" t="s">
        <v>18</v>
      </c>
      <c r="C88" s="9">
        <v>11.4</v>
      </c>
      <c r="D88" s="10">
        <v>8.1</v>
      </c>
      <c r="E88">
        <f t="shared" si="1"/>
        <v>2033</v>
      </c>
      <c r="F88" s="18">
        <v>1</v>
      </c>
    </row>
    <row r="89" spans="1:6" x14ac:dyDescent="0.35">
      <c r="A89" s="11">
        <v>48728</v>
      </c>
      <c r="B89" s="12" t="s">
        <v>13</v>
      </c>
      <c r="C89" s="13">
        <v>21.3</v>
      </c>
      <c r="D89" s="14">
        <v>13.4</v>
      </c>
      <c r="E89">
        <f t="shared" si="1"/>
        <v>2033</v>
      </c>
      <c r="F89" s="18">
        <v>1</v>
      </c>
    </row>
    <row r="90" spans="1:6" x14ac:dyDescent="0.35">
      <c r="A90" s="7">
        <v>48729</v>
      </c>
      <c r="B90" s="8" t="s">
        <v>5</v>
      </c>
      <c r="C90" s="9">
        <v>24.5</v>
      </c>
      <c r="D90" s="10">
        <v>2.6</v>
      </c>
      <c r="E90">
        <f t="shared" si="1"/>
        <v>2033</v>
      </c>
      <c r="F90" s="18">
        <v>1</v>
      </c>
    </row>
    <row r="91" spans="1:6" x14ac:dyDescent="0.35">
      <c r="A91" s="11">
        <v>48730</v>
      </c>
      <c r="B91" s="12" t="s">
        <v>19</v>
      </c>
      <c r="C91" s="13">
        <v>20</v>
      </c>
      <c r="D91" s="14">
        <v>13.2</v>
      </c>
      <c r="E91">
        <f t="shared" si="1"/>
        <v>2033</v>
      </c>
      <c r="F91" s="18">
        <v>1</v>
      </c>
    </row>
    <row r="92" spans="1:6" x14ac:dyDescent="0.35">
      <c r="A92" s="7">
        <v>48731</v>
      </c>
      <c r="B92" s="8" t="s">
        <v>10</v>
      </c>
      <c r="C92" s="9">
        <v>28.4</v>
      </c>
      <c r="D92" s="10">
        <v>12</v>
      </c>
      <c r="E92">
        <f t="shared" si="1"/>
        <v>2033</v>
      </c>
      <c r="F92" s="18">
        <v>1</v>
      </c>
    </row>
    <row r="93" spans="1:6" x14ac:dyDescent="0.35">
      <c r="A93" s="11">
        <v>48732</v>
      </c>
      <c r="B93" s="12" t="s">
        <v>11</v>
      </c>
      <c r="C93" s="13">
        <v>14.8</v>
      </c>
      <c r="D93" s="14">
        <v>10.1</v>
      </c>
      <c r="E93">
        <f t="shared" si="1"/>
        <v>2033</v>
      </c>
      <c r="F93" s="18">
        <v>1</v>
      </c>
    </row>
    <row r="94" spans="1:6" x14ac:dyDescent="0.35">
      <c r="A94" s="7">
        <v>48733</v>
      </c>
      <c r="B94" s="8" t="s">
        <v>29</v>
      </c>
      <c r="C94" s="9">
        <v>27.9</v>
      </c>
      <c r="D94" s="10">
        <v>0.6</v>
      </c>
      <c r="E94">
        <f t="shared" si="1"/>
        <v>2033</v>
      </c>
      <c r="F94" s="18">
        <v>1</v>
      </c>
    </row>
    <row r="95" spans="1:6" x14ac:dyDescent="0.35">
      <c r="A95" s="11">
        <v>48734</v>
      </c>
      <c r="B95" s="12" t="s">
        <v>12</v>
      </c>
      <c r="C95" s="13">
        <v>19.899999999999999</v>
      </c>
      <c r="D95" s="14">
        <v>9.8000000000000007</v>
      </c>
      <c r="E95">
        <f t="shared" si="1"/>
        <v>2033</v>
      </c>
      <c r="F95" s="18">
        <v>1</v>
      </c>
    </row>
    <row r="96" spans="1:6" x14ac:dyDescent="0.35">
      <c r="A96" s="7">
        <v>48735</v>
      </c>
      <c r="B96" s="8" t="s">
        <v>19</v>
      </c>
      <c r="C96" s="9">
        <v>22.5</v>
      </c>
      <c r="D96" s="10">
        <v>0</v>
      </c>
      <c r="E96">
        <f t="shared" si="1"/>
        <v>2033</v>
      </c>
      <c r="F96" s="18">
        <v>1</v>
      </c>
    </row>
    <row r="97" spans="1:6" x14ac:dyDescent="0.35">
      <c r="A97" s="11">
        <v>48736</v>
      </c>
      <c r="B97" s="12" t="s">
        <v>8</v>
      </c>
      <c r="C97" s="13">
        <v>21.6</v>
      </c>
      <c r="D97" s="14">
        <v>4.9000000000000004</v>
      </c>
      <c r="E97">
        <f t="shared" si="1"/>
        <v>2033</v>
      </c>
      <c r="F97" s="18">
        <v>1</v>
      </c>
    </row>
    <row r="98" spans="1:6" x14ac:dyDescent="0.35">
      <c r="A98" s="7">
        <v>48737</v>
      </c>
      <c r="B98" s="8" t="s">
        <v>10</v>
      </c>
      <c r="C98" s="9">
        <v>28.1</v>
      </c>
      <c r="D98" s="10">
        <v>0</v>
      </c>
      <c r="E98">
        <f t="shared" si="1"/>
        <v>2033</v>
      </c>
      <c r="F98" s="18">
        <v>1</v>
      </c>
    </row>
    <row r="99" spans="1:6" x14ac:dyDescent="0.35">
      <c r="A99" s="11">
        <v>48738</v>
      </c>
      <c r="B99" s="12" t="s">
        <v>12</v>
      </c>
      <c r="C99" s="13">
        <v>21.5</v>
      </c>
      <c r="D99" s="14">
        <v>8.6</v>
      </c>
      <c r="E99">
        <f t="shared" si="1"/>
        <v>2033</v>
      </c>
      <c r="F99" s="18">
        <v>1</v>
      </c>
    </row>
    <row r="100" spans="1:6" x14ac:dyDescent="0.35">
      <c r="A100" s="7">
        <v>48739</v>
      </c>
      <c r="B100" s="8" t="s">
        <v>14</v>
      </c>
      <c r="C100" s="9">
        <v>22.7</v>
      </c>
      <c r="D100" s="10">
        <v>0.1</v>
      </c>
      <c r="E100">
        <f t="shared" si="1"/>
        <v>2033</v>
      </c>
      <c r="F100" s="18">
        <v>1</v>
      </c>
    </row>
    <row r="101" spans="1:6" x14ac:dyDescent="0.35">
      <c r="A101" s="11">
        <v>48740</v>
      </c>
      <c r="B101" s="12" t="s">
        <v>10</v>
      </c>
      <c r="C101" s="13">
        <v>27.4</v>
      </c>
      <c r="D101" s="14">
        <v>21.8</v>
      </c>
      <c r="E101">
        <f t="shared" si="1"/>
        <v>2033</v>
      </c>
      <c r="F101" s="18">
        <v>1</v>
      </c>
    </row>
    <row r="102" spans="1:6" x14ac:dyDescent="0.35">
      <c r="A102" s="7">
        <v>48741</v>
      </c>
      <c r="B102" s="8" t="s">
        <v>19</v>
      </c>
      <c r="C102" s="9">
        <v>18.3</v>
      </c>
      <c r="D102" s="10">
        <v>17.3</v>
      </c>
      <c r="E102">
        <f t="shared" si="1"/>
        <v>2033</v>
      </c>
      <c r="F102" s="18">
        <v>1</v>
      </c>
    </row>
    <row r="103" spans="1:6" x14ac:dyDescent="0.35">
      <c r="A103" s="11">
        <v>48742</v>
      </c>
      <c r="B103" s="12" t="s">
        <v>19</v>
      </c>
      <c r="C103" s="13">
        <v>29</v>
      </c>
      <c r="D103" s="14">
        <v>27.3</v>
      </c>
      <c r="E103">
        <f t="shared" si="1"/>
        <v>2033</v>
      </c>
      <c r="F103" s="18">
        <v>1</v>
      </c>
    </row>
    <row r="104" spans="1:6" x14ac:dyDescent="0.35">
      <c r="A104" s="7">
        <v>48743</v>
      </c>
      <c r="B104" s="8" t="s">
        <v>18</v>
      </c>
      <c r="C104" s="9">
        <v>18.100000000000001</v>
      </c>
      <c r="D104" s="10">
        <v>0</v>
      </c>
      <c r="E104">
        <f t="shared" si="1"/>
        <v>2033</v>
      </c>
      <c r="F104" s="18">
        <v>1</v>
      </c>
    </row>
    <row r="105" spans="1:6" x14ac:dyDescent="0.35">
      <c r="A105" s="11">
        <v>48744</v>
      </c>
      <c r="B105" s="12" t="s">
        <v>20</v>
      </c>
      <c r="C105" s="13">
        <v>16.399999999999999</v>
      </c>
      <c r="D105" s="14">
        <v>1.1000000000000001</v>
      </c>
      <c r="E105">
        <f t="shared" si="1"/>
        <v>2033</v>
      </c>
      <c r="F105" s="18">
        <v>1</v>
      </c>
    </row>
    <row r="106" spans="1:6" x14ac:dyDescent="0.35">
      <c r="A106" s="7">
        <v>48745</v>
      </c>
      <c r="B106" s="8" t="s">
        <v>6</v>
      </c>
      <c r="C106" s="9">
        <v>21.8</v>
      </c>
      <c r="D106" s="10">
        <v>0</v>
      </c>
      <c r="E106">
        <f t="shared" si="1"/>
        <v>2033</v>
      </c>
      <c r="F106" s="18">
        <v>1</v>
      </c>
    </row>
    <row r="107" spans="1:6" x14ac:dyDescent="0.35">
      <c r="A107" s="11">
        <v>48746</v>
      </c>
      <c r="B107" s="12" t="s">
        <v>29</v>
      </c>
      <c r="C107" s="13">
        <v>27.2</v>
      </c>
      <c r="D107" s="14">
        <v>0</v>
      </c>
      <c r="E107">
        <f t="shared" si="1"/>
        <v>2033</v>
      </c>
      <c r="F107" s="18">
        <v>1</v>
      </c>
    </row>
    <row r="108" spans="1:6" x14ac:dyDescent="0.35">
      <c r="A108" s="7">
        <v>48747</v>
      </c>
      <c r="B108" s="8" t="s">
        <v>22</v>
      </c>
      <c r="C108" s="9">
        <v>21.2</v>
      </c>
      <c r="D108" s="10">
        <v>0</v>
      </c>
      <c r="E108">
        <f t="shared" si="1"/>
        <v>2033</v>
      </c>
      <c r="F108" s="18">
        <v>1</v>
      </c>
    </row>
    <row r="109" spans="1:6" x14ac:dyDescent="0.35">
      <c r="A109" s="11">
        <v>48748</v>
      </c>
      <c r="B109" s="12" t="s">
        <v>19</v>
      </c>
      <c r="C109" s="13">
        <v>17.7</v>
      </c>
      <c r="D109" s="14">
        <v>13.9</v>
      </c>
      <c r="E109">
        <f t="shared" si="1"/>
        <v>2033</v>
      </c>
      <c r="F109" s="18">
        <v>1</v>
      </c>
    </row>
    <row r="110" spans="1:6" x14ac:dyDescent="0.35">
      <c r="A110" s="7">
        <v>48749</v>
      </c>
      <c r="B110" s="8" t="s">
        <v>22</v>
      </c>
      <c r="C110" s="9">
        <v>10.6</v>
      </c>
      <c r="D110" s="10">
        <v>6.9</v>
      </c>
      <c r="E110">
        <f t="shared" si="1"/>
        <v>2033</v>
      </c>
      <c r="F110" s="18">
        <v>1</v>
      </c>
    </row>
    <row r="111" spans="1:6" x14ac:dyDescent="0.35">
      <c r="A111" s="11">
        <v>48750</v>
      </c>
      <c r="B111" s="12" t="s">
        <v>27</v>
      </c>
      <c r="C111" s="13">
        <v>10.4</v>
      </c>
      <c r="D111" s="14">
        <v>1.1000000000000001</v>
      </c>
      <c r="E111">
        <f t="shared" si="1"/>
        <v>2033</v>
      </c>
      <c r="F111" s="18">
        <v>1</v>
      </c>
    </row>
    <row r="112" spans="1:6" x14ac:dyDescent="0.35">
      <c r="A112" s="7">
        <v>48751</v>
      </c>
      <c r="B112" s="8" t="s">
        <v>10</v>
      </c>
      <c r="C112" s="9">
        <v>15.8</v>
      </c>
      <c r="D112" s="10">
        <v>7.1</v>
      </c>
      <c r="E112">
        <f t="shared" si="1"/>
        <v>2033</v>
      </c>
      <c r="F112" s="18">
        <v>1</v>
      </c>
    </row>
    <row r="113" spans="1:6" x14ac:dyDescent="0.35">
      <c r="A113" s="11">
        <v>48752</v>
      </c>
      <c r="B113" s="12" t="s">
        <v>9</v>
      </c>
      <c r="C113" s="13">
        <v>19.899999999999999</v>
      </c>
      <c r="D113" s="14">
        <v>10.8</v>
      </c>
      <c r="E113">
        <f t="shared" si="1"/>
        <v>2033</v>
      </c>
      <c r="F113" s="18">
        <v>1</v>
      </c>
    </row>
    <row r="114" spans="1:6" x14ac:dyDescent="0.35">
      <c r="A114" s="7">
        <v>48753</v>
      </c>
      <c r="B114" s="8" t="s">
        <v>11</v>
      </c>
      <c r="C114" s="9">
        <v>13</v>
      </c>
      <c r="D114" s="10">
        <v>0</v>
      </c>
      <c r="E114">
        <f t="shared" si="1"/>
        <v>2033</v>
      </c>
      <c r="F114" s="18">
        <v>1</v>
      </c>
    </row>
    <row r="115" spans="1:6" x14ac:dyDescent="0.35">
      <c r="A115" s="11">
        <v>48754</v>
      </c>
      <c r="B115" s="12" t="s">
        <v>7</v>
      </c>
      <c r="C115" s="13">
        <v>28.1</v>
      </c>
      <c r="D115" s="14">
        <v>15</v>
      </c>
      <c r="E115">
        <f t="shared" si="1"/>
        <v>2033</v>
      </c>
      <c r="F115" s="18">
        <v>1</v>
      </c>
    </row>
    <row r="116" spans="1:6" x14ac:dyDescent="0.35">
      <c r="A116" s="7">
        <v>48755</v>
      </c>
      <c r="B116" s="8" t="s">
        <v>12</v>
      </c>
      <c r="C116" s="9">
        <v>22.5</v>
      </c>
      <c r="D116" s="10">
        <v>8.6</v>
      </c>
      <c r="E116">
        <f t="shared" si="1"/>
        <v>2033</v>
      </c>
      <c r="F116" s="18">
        <v>1</v>
      </c>
    </row>
    <row r="117" spans="1:6" x14ac:dyDescent="0.35">
      <c r="A117" s="11">
        <v>48756</v>
      </c>
      <c r="B117" s="12" t="s">
        <v>19</v>
      </c>
      <c r="C117" s="13">
        <v>14</v>
      </c>
      <c r="D117" s="14">
        <v>36.1</v>
      </c>
      <c r="E117">
        <f t="shared" si="1"/>
        <v>2033</v>
      </c>
      <c r="F117" s="18">
        <v>1</v>
      </c>
    </row>
    <row r="118" spans="1:6" x14ac:dyDescent="0.35">
      <c r="A118" s="7">
        <v>48757</v>
      </c>
      <c r="B118" s="8" t="s">
        <v>10</v>
      </c>
      <c r="C118" s="9">
        <v>10.6</v>
      </c>
      <c r="D118" s="10">
        <v>18.399999999999999</v>
      </c>
      <c r="E118">
        <f t="shared" si="1"/>
        <v>2033</v>
      </c>
      <c r="F118" s="18">
        <v>1</v>
      </c>
    </row>
    <row r="119" spans="1:6" x14ac:dyDescent="0.35">
      <c r="A119" s="11">
        <v>48758</v>
      </c>
      <c r="B119" s="12" t="s">
        <v>23</v>
      </c>
      <c r="C119" s="13">
        <v>22.3</v>
      </c>
      <c r="D119" s="14">
        <v>0</v>
      </c>
      <c r="E119">
        <f t="shared" si="1"/>
        <v>2033</v>
      </c>
      <c r="F119" s="18">
        <v>1</v>
      </c>
    </row>
    <row r="120" spans="1:6" x14ac:dyDescent="0.35">
      <c r="A120" s="7">
        <v>48759</v>
      </c>
      <c r="B120" s="8" t="s">
        <v>19</v>
      </c>
      <c r="C120" s="9">
        <v>14.5</v>
      </c>
      <c r="D120" s="10">
        <v>26</v>
      </c>
      <c r="E120">
        <f t="shared" si="1"/>
        <v>2033</v>
      </c>
      <c r="F120" s="18">
        <v>1</v>
      </c>
    </row>
    <row r="121" spans="1:6" x14ac:dyDescent="0.35">
      <c r="A121" s="11">
        <v>48760</v>
      </c>
      <c r="B121" s="12" t="s">
        <v>5</v>
      </c>
      <c r="C121" s="13">
        <v>21</v>
      </c>
      <c r="D121" s="14">
        <v>1.7</v>
      </c>
      <c r="E121">
        <f t="shared" si="1"/>
        <v>2033</v>
      </c>
      <c r="F121" s="18">
        <v>1</v>
      </c>
    </row>
    <row r="122" spans="1:6" x14ac:dyDescent="0.35">
      <c r="A122" s="7">
        <v>48761</v>
      </c>
      <c r="B122" s="8" t="s">
        <v>4</v>
      </c>
      <c r="C122" s="9">
        <v>17.7</v>
      </c>
      <c r="D122" s="10">
        <v>0.4</v>
      </c>
      <c r="E122">
        <f t="shared" si="1"/>
        <v>2033</v>
      </c>
      <c r="F122" s="18">
        <v>1</v>
      </c>
    </row>
    <row r="123" spans="1:6" x14ac:dyDescent="0.35">
      <c r="A123" s="11">
        <v>48762</v>
      </c>
      <c r="B123" s="12" t="s">
        <v>7</v>
      </c>
      <c r="C123" s="13">
        <v>24.3</v>
      </c>
      <c r="D123" s="14">
        <v>9.6999999999999993</v>
      </c>
      <c r="E123">
        <f t="shared" si="1"/>
        <v>2033</v>
      </c>
      <c r="F123" s="18">
        <v>1</v>
      </c>
    </row>
    <row r="124" spans="1:6" x14ac:dyDescent="0.35">
      <c r="A124" s="7">
        <v>48763</v>
      </c>
      <c r="B124" s="8" t="s">
        <v>15</v>
      </c>
      <c r="C124" s="9">
        <v>18.8</v>
      </c>
      <c r="D124" s="10">
        <v>6.4</v>
      </c>
      <c r="E124">
        <f t="shared" si="1"/>
        <v>2033</v>
      </c>
      <c r="F124" s="18">
        <v>1</v>
      </c>
    </row>
    <row r="125" spans="1:6" x14ac:dyDescent="0.35">
      <c r="A125" s="11">
        <v>48764</v>
      </c>
      <c r="B125" s="12" t="s">
        <v>13</v>
      </c>
      <c r="C125" s="13">
        <v>15.9</v>
      </c>
      <c r="D125" s="14">
        <v>5.2</v>
      </c>
      <c r="E125">
        <f t="shared" si="1"/>
        <v>2033</v>
      </c>
      <c r="F125" s="18">
        <v>1</v>
      </c>
    </row>
    <row r="126" spans="1:6" x14ac:dyDescent="0.35">
      <c r="A126" s="7">
        <v>48765</v>
      </c>
      <c r="B126" s="8" t="s">
        <v>7</v>
      </c>
      <c r="C126" s="9">
        <v>26.1</v>
      </c>
      <c r="D126" s="10">
        <v>0</v>
      </c>
      <c r="E126">
        <f t="shared" si="1"/>
        <v>2033</v>
      </c>
      <c r="F126" s="18">
        <v>1</v>
      </c>
    </row>
    <row r="127" spans="1:6" x14ac:dyDescent="0.35">
      <c r="A127" s="11">
        <v>48766</v>
      </c>
      <c r="B127" s="12" t="s">
        <v>19</v>
      </c>
      <c r="C127" s="13">
        <v>29.4</v>
      </c>
      <c r="D127" s="14">
        <v>8.8000000000000007</v>
      </c>
      <c r="E127">
        <f t="shared" si="1"/>
        <v>2033</v>
      </c>
      <c r="F127" s="18">
        <v>1</v>
      </c>
    </row>
    <row r="128" spans="1:6" x14ac:dyDescent="0.35">
      <c r="A128" s="7">
        <v>48767</v>
      </c>
      <c r="B128" s="8" t="s">
        <v>13</v>
      </c>
      <c r="C128" s="9">
        <v>10.5</v>
      </c>
      <c r="D128" s="10">
        <v>14.5</v>
      </c>
      <c r="E128">
        <f t="shared" si="1"/>
        <v>2033</v>
      </c>
      <c r="F128" s="18">
        <v>1</v>
      </c>
    </row>
    <row r="129" spans="1:6" x14ac:dyDescent="0.35">
      <c r="A129" s="11">
        <v>48768</v>
      </c>
      <c r="B129" s="12" t="s">
        <v>30</v>
      </c>
      <c r="C129" s="13">
        <v>18.100000000000001</v>
      </c>
      <c r="D129" s="14">
        <v>0</v>
      </c>
      <c r="E129">
        <f t="shared" si="1"/>
        <v>2033</v>
      </c>
      <c r="F129" s="18">
        <v>1</v>
      </c>
    </row>
    <row r="130" spans="1:6" x14ac:dyDescent="0.35">
      <c r="A130" s="7">
        <v>48769</v>
      </c>
      <c r="B130" s="8" t="s">
        <v>15</v>
      </c>
      <c r="C130" s="9">
        <v>20.6</v>
      </c>
      <c r="D130" s="10">
        <v>0</v>
      </c>
      <c r="E130">
        <f t="shared" si="1"/>
        <v>2033</v>
      </c>
      <c r="F130" s="18">
        <v>1</v>
      </c>
    </row>
    <row r="131" spans="1:6" x14ac:dyDescent="0.35">
      <c r="A131" s="11">
        <v>48770</v>
      </c>
      <c r="B131" s="12" t="s">
        <v>15</v>
      </c>
      <c r="C131" s="13">
        <v>17.100000000000001</v>
      </c>
      <c r="D131" s="14">
        <v>0</v>
      </c>
      <c r="E131">
        <f t="shared" ref="E131:E194" si="2">YEAR(A131)</f>
        <v>2033</v>
      </c>
      <c r="F131" s="18">
        <v>1</v>
      </c>
    </row>
    <row r="132" spans="1:6" x14ac:dyDescent="0.35">
      <c r="A132" s="7">
        <v>48771</v>
      </c>
      <c r="B132" s="8" t="s">
        <v>22</v>
      </c>
      <c r="C132" s="9">
        <v>17</v>
      </c>
      <c r="D132" s="10">
        <v>0.3</v>
      </c>
      <c r="E132">
        <f t="shared" si="2"/>
        <v>2033</v>
      </c>
      <c r="F132" s="18">
        <v>1</v>
      </c>
    </row>
    <row r="133" spans="1:6" x14ac:dyDescent="0.35">
      <c r="A133" s="11">
        <v>48772</v>
      </c>
      <c r="B133" s="12" t="s">
        <v>23</v>
      </c>
      <c r="C133" s="13">
        <v>14.7</v>
      </c>
      <c r="D133" s="14">
        <v>2.2999999999999998</v>
      </c>
      <c r="E133">
        <f t="shared" si="2"/>
        <v>2033</v>
      </c>
      <c r="F133" s="18">
        <v>1</v>
      </c>
    </row>
    <row r="134" spans="1:6" x14ac:dyDescent="0.35">
      <c r="A134" s="7">
        <v>48773</v>
      </c>
      <c r="B134" s="8" t="s">
        <v>15</v>
      </c>
      <c r="C134" s="9">
        <v>21.7</v>
      </c>
      <c r="D134" s="10">
        <v>0</v>
      </c>
      <c r="E134">
        <f t="shared" si="2"/>
        <v>2033</v>
      </c>
      <c r="F134" s="18">
        <v>1</v>
      </c>
    </row>
    <row r="135" spans="1:6" x14ac:dyDescent="0.35">
      <c r="A135" s="11">
        <v>48774</v>
      </c>
      <c r="B135" s="12" t="s">
        <v>16</v>
      </c>
      <c r="C135" s="13">
        <v>12.5</v>
      </c>
      <c r="D135" s="14">
        <v>0</v>
      </c>
      <c r="E135">
        <f t="shared" si="2"/>
        <v>2033</v>
      </c>
      <c r="F135" s="18">
        <v>1</v>
      </c>
    </row>
    <row r="136" spans="1:6" x14ac:dyDescent="0.35">
      <c r="A136" s="7">
        <v>48775</v>
      </c>
      <c r="B136" s="8" t="s">
        <v>8</v>
      </c>
      <c r="C136" s="9">
        <v>17.8</v>
      </c>
      <c r="D136" s="10">
        <v>4.0999999999999996</v>
      </c>
      <c r="E136">
        <f t="shared" si="2"/>
        <v>2033</v>
      </c>
      <c r="F136" s="18">
        <v>1</v>
      </c>
    </row>
    <row r="137" spans="1:6" x14ac:dyDescent="0.35">
      <c r="A137" s="11">
        <v>48776</v>
      </c>
      <c r="B137" s="12" t="s">
        <v>10</v>
      </c>
      <c r="C137" s="13">
        <v>28.9</v>
      </c>
      <c r="D137" s="14">
        <v>38.700000000000003</v>
      </c>
      <c r="E137">
        <f t="shared" si="2"/>
        <v>2033</v>
      </c>
      <c r="F137" s="18">
        <v>1</v>
      </c>
    </row>
    <row r="138" spans="1:6" x14ac:dyDescent="0.35">
      <c r="A138" s="7">
        <v>48777</v>
      </c>
      <c r="B138" s="8" t="s">
        <v>11</v>
      </c>
      <c r="C138" s="9">
        <v>21</v>
      </c>
      <c r="D138" s="10">
        <v>3.5</v>
      </c>
      <c r="E138">
        <f t="shared" si="2"/>
        <v>2033</v>
      </c>
      <c r="F138" s="18">
        <v>1</v>
      </c>
    </row>
    <row r="139" spans="1:6" x14ac:dyDescent="0.35">
      <c r="A139" s="11">
        <v>48778</v>
      </c>
      <c r="B139" s="12" t="s">
        <v>21</v>
      </c>
      <c r="C139" s="13">
        <v>13</v>
      </c>
      <c r="D139" s="14">
        <v>0.1</v>
      </c>
      <c r="E139">
        <f t="shared" si="2"/>
        <v>2033</v>
      </c>
      <c r="F139" s="18">
        <v>1</v>
      </c>
    </row>
    <row r="140" spans="1:6" x14ac:dyDescent="0.35">
      <c r="A140" s="7">
        <v>48779</v>
      </c>
      <c r="B140" s="8" t="s">
        <v>10</v>
      </c>
      <c r="C140" s="9">
        <v>23.1</v>
      </c>
      <c r="D140" s="10">
        <v>0</v>
      </c>
      <c r="E140">
        <f t="shared" si="2"/>
        <v>2033</v>
      </c>
      <c r="F140" s="18">
        <v>1</v>
      </c>
    </row>
    <row r="141" spans="1:6" x14ac:dyDescent="0.35">
      <c r="A141" s="11">
        <v>48780</v>
      </c>
      <c r="B141" s="12" t="s">
        <v>15</v>
      </c>
      <c r="C141" s="13">
        <v>28.5</v>
      </c>
      <c r="D141" s="14">
        <v>0</v>
      </c>
      <c r="E141">
        <f t="shared" si="2"/>
        <v>2033</v>
      </c>
      <c r="F141" s="18">
        <v>1</v>
      </c>
    </row>
    <row r="142" spans="1:6" x14ac:dyDescent="0.35">
      <c r="A142" s="7">
        <v>48781</v>
      </c>
      <c r="B142" s="8" t="s">
        <v>15</v>
      </c>
      <c r="C142" s="9">
        <v>12.8</v>
      </c>
      <c r="D142" s="10">
        <v>0</v>
      </c>
      <c r="E142">
        <f t="shared" si="2"/>
        <v>2033</v>
      </c>
      <c r="F142" s="18">
        <v>1</v>
      </c>
    </row>
    <row r="143" spans="1:6" x14ac:dyDescent="0.35">
      <c r="A143" s="11">
        <v>48782</v>
      </c>
      <c r="B143" s="12" t="s">
        <v>31</v>
      </c>
      <c r="C143" s="13">
        <v>26.8</v>
      </c>
      <c r="D143" s="14">
        <v>0</v>
      </c>
      <c r="E143">
        <f t="shared" si="2"/>
        <v>2033</v>
      </c>
      <c r="F143" s="18">
        <v>1</v>
      </c>
    </row>
    <row r="144" spans="1:6" x14ac:dyDescent="0.35">
      <c r="A144" s="7">
        <v>48783</v>
      </c>
      <c r="B144" s="8" t="s">
        <v>10</v>
      </c>
      <c r="C144" s="9">
        <v>15.1</v>
      </c>
      <c r="D144" s="10">
        <v>24.8</v>
      </c>
      <c r="E144">
        <f t="shared" si="2"/>
        <v>2033</v>
      </c>
      <c r="F144" s="18">
        <v>1</v>
      </c>
    </row>
    <row r="145" spans="1:6" x14ac:dyDescent="0.35">
      <c r="A145" s="11">
        <v>48784</v>
      </c>
      <c r="B145" s="12" t="s">
        <v>18</v>
      </c>
      <c r="C145" s="13">
        <v>14.4</v>
      </c>
      <c r="D145" s="14">
        <v>13.5</v>
      </c>
      <c r="E145">
        <f t="shared" si="2"/>
        <v>2033</v>
      </c>
      <c r="F145" s="18">
        <v>1</v>
      </c>
    </row>
    <row r="146" spans="1:6" x14ac:dyDescent="0.35">
      <c r="A146" s="7">
        <v>48785</v>
      </c>
      <c r="B146" s="8" t="s">
        <v>11</v>
      </c>
      <c r="C146" s="9">
        <v>29.2</v>
      </c>
      <c r="D146" s="10">
        <v>15.7</v>
      </c>
      <c r="E146">
        <f t="shared" si="2"/>
        <v>2033</v>
      </c>
      <c r="F146" s="18">
        <v>1</v>
      </c>
    </row>
    <row r="147" spans="1:6" x14ac:dyDescent="0.35">
      <c r="A147" s="11">
        <v>48786</v>
      </c>
      <c r="B147" s="12" t="s">
        <v>10</v>
      </c>
      <c r="C147" s="13">
        <v>28.9</v>
      </c>
      <c r="D147" s="14">
        <v>47.2</v>
      </c>
      <c r="E147">
        <f t="shared" si="2"/>
        <v>2033</v>
      </c>
      <c r="F147" s="18">
        <v>1</v>
      </c>
    </row>
    <row r="148" spans="1:6" x14ac:dyDescent="0.35">
      <c r="A148" s="7">
        <v>48787</v>
      </c>
      <c r="B148" s="8" t="s">
        <v>20</v>
      </c>
      <c r="C148" s="9">
        <v>18.399999999999999</v>
      </c>
      <c r="D148" s="10">
        <v>3.9</v>
      </c>
      <c r="E148">
        <f t="shared" si="2"/>
        <v>2033</v>
      </c>
      <c r="F148" s="18">
        <v>1</v>
      </c>
    </row>
    <row r="149" spans="1:6" x14ac:dyDescent="0.35">
      <c r="A149" s="11">
        <v>48788</v>
      </c>
      <c r="B149" s="12" t="s">
        <v>17</v>
      </c>
      <c r="C149" s="13">
        <v>26.2</v>
      </c>
      <c r="D149" s="14">
        <v>4</v>
      </c>
      <c r="E149">
        <f t="shared" si="2"/>
        <v>2033</v>
      </c>
      <c r="F149" s="18">
        <v>1</v>
      </c>
    </row>
    <row r="150" spans="1:6" x14ac:dyDescent="0.35">
      <c r="A150" s="7">
        <v>48789</v>
      </c>
      <c r="B150" s="8" t="s">
        <v>10</v>
      </c>
      <c r="C150" s="9">
        <v>14.3</v>
      </c>
      <c r="D150" s="10">
        <v>45.1</v>
      </c>
      <c r="E150">
        <f t="shared" si="2"/>
        <v>2033</v>
      </c>
      <c r="F150" s="18">
        <v>1</v>
      </c>
    </row>
    <row r="151" spans="1:6" x14ac:dyDescent="0.35">
      <c r="A151" s="11">
        <v>48790</v>
      </c>
      <c r="B151" s="12" t="s">
        <v>7</v>
      </c>
      <c r="C151" s="13">
        <v>14.5</v>
      </c>
      <c r="D151" s="14">
        <v>0</v>
      </c>
      <c r="E151">
        <f t="shared" si="2"/>
        <v>2033</v>
      </c>
      <c r="F151" s="18">
        <v>1</v>
      </c>
    </row>
    <row r="152" spans="1:6" x14ac:dyDescent="0.35">
      <c r="A152" s="7">
        <v>48791</v>
      </c>
      <c r="B152" s="8" t="s">
        <v>10</v>
      </c>
      <c r="C152" s="9">
        <v>18.600000000000001</v>
      </c>
      <c r="D152" s="10">
        <v>5.5</v>
      </c>
      <c r="E152">
        <f t="shared" si="2"/>
        <v>2033</v>
      </c>
      <c r="F152" s="18">
        <v>1</v>
      </c>
    </row>
    <row r="153" spans="1:6" x14ac:dyDescent="0.35">
      <c r="A153" s="11">
        <v>48792</v>
      </c>
      <c r="B153" s="12" t="s">
        <v>7</v>
      </c>
      <c r="C153" s="13">
        <v>26.3</v>
      </c>
      <c r="D153" s="14">
        <v>14.5</v>
      </c>
      <c r="E153">
        <f t="shared" si="2"/>
        <v>2033</v>
      </c>
      <c r="F153" s="18">
        <v>1</v>
      </c>
    </row>
    <row r="154" spans="1:6" x14ac:dyDescent="0.35">
      <c r="A154" s="7">
        <v>48793</v>
      </c>
      <c r="B154" s="8" t="s">
        <v>32</v>
      </c>
      <c r="C154" s="9">
        <v>25.9</v>
      </c>
      <c r="D154" s="10">
        <v>0.7</v>
      </c>
      <c r="E154">
        <f t="shared" si="2"/>
        <v>2033</v>
      </c>
      <c r="F154" s="18">
        <v>1</v>
      </c>
    </row>
    <row r="155" spans="1:6" x14ac:dyDescent="0.35">
      <c r="A155" s="11">
        <v>48794</v>
      </c>
      <c r="B155" s="12" t="s">
        <v>12</v>
      </c>
      <c r="C155" s="13">
        <v>29.8</v>
      </c>
      <c r="D155" s="14">
        <v>0</v>
      </c>
      <c r="E155">
        <f t="shared" si="2"/>
        <v>2033</v>
      </c>
      <c r="F155" s="18">
        <v>1</v>
      </c>
    </row>
    <row r="156" spans="1:6" x14ac:dyDescent="0.35">
      <c r="A156" s="7">
        <v>48795</v>
      </c>
      <c r="B156" s="8" t="s">
        <v>10</v>
      </c>
      <c r="C156" s="9">
        <v>18.3</v>
      </c>
      <c r="D156" s="10">
        <v>18.7</v>
      </c>
      <c r="E156">
        <f t="shared" si="2"/>
        <v>2033</v>
      </c>
      <c r="F156" s="18">
        <v>1</v>
      </c>
    </row>
    <row r="157" spans="1:6" x14ac:dyDescent="0.35">
      <c r="A157" s="11">
        <v>48796</v>
      </c>
      <c r="B157" s="12" t="s">
        <v>12</v>
      </c>
      <c r="C157" s="13">
        <v>24.5</v>
      </c>
      <c r="D157" s="14">
        <v>6.7</v>
      </c>
      <c r="E157">
        <f t="shared" si="2"/>
        <v>2033</v>
      </c>
      <c r="F157" s="18">
        <v>1</v>
      </c>
    </row>
    <row r="158" spans="1:6" x14ac:dyDescent="0.35">
      <c r="A158" s="7">
        <v>48797</v>
      </c>
      <c r="B158" s="8" t="s">
        <v>19</v>
      </c>
      <c r="C158" s="9">
        <v>18.7</v>
      </c>
      <c r="D158" s="10">
        <v>0</v>
      </c>
      <c r="E158">
        <f t="shared" si="2"/>
        <v>2033</v>
      </c>
      <c r="F158" s="18">
        <v>1</v>
      </c>
    </row>
    <row r="159" spans="1:6" x14ac:dyDescent="0.35">
      <c r="A159" s="11">
        <v>48798</v>
      </c>
      <c r="B159" s="12" t="s">
        <v>19</v>
      </c>
      <c r="C159" s="13">
        <v>29.2</v>
      </c>
      <c r="D159" s="14">
        <v>34.9</v>
      </c>
      <c r="E159">
        <f t="shared" si="2"/>
        <v>2033</v>
      </c>
      <c r="F159" s="18">
        <v>1</v>
      </c>
    </row>
    <row r="160" spans="1:6" x14ac:dyDescent="0.35">
      <c r="A160" s="7">
        <v>48799</v>
      </c>
      <c r="B160" s="8" t="s">
        <v>9</v>
      </c>
      <c r="C160" s="9">
        <v>21.4</v>
      </c>
      <c r="D160" s="10">
        <v>10.7</v>
      </c>
      <c r="E160">
        <f t="shared" si="2"/>
        <v>2033</v>
      </c>
      <c r="F160" s="18">
        <v>1</v>
      </c>
    </row>
    <row r="161" spans="1:6" x14ac:dyDescent="0.35">
      <c r="A161" s="11">
        <v>48800</v>
      </c>
      <c r="B161" s="12" t="s">
        <v>15</v>
      </c>
      <c r="C161" s="13">
        <v>25.6</v>
      </c>
      <c r="D161" s="14">
        <v>3.1</v>
      </c>
      <c r="E161">
        <f t="shared" si="2"/>
        <v>2033</v>
      </c>
      <c r="F161" s="18">
        <v>1</v>
      </c>
    </row>
    <row r="162" spans="1:6" x14ac:dyDescent="0.35">
      <c r="A162" s="7">
        <v>48801</v>
      </c>
      <c r="B162" s="8" t="s">
        <v>15</v>
      </c>
      <c r="C162" s="9">
        <v>15.7</v>
      </c>
      <c r="D162" s="10">
        <v>5.0999999999999996</v>
      </c>
      <c r="E162">
        <f t="shared" si="2"/>
        <v>2033</v>
      </c>
      <c r="F162" s="18">
        <v>1</v>
      </c>
    </row>
    <row r="163" spans="1:6" x14ac:dyDescent="0.35">
      <c r="A163" s="11">
        <v>48802</v>
      </c>
      <c r="B163" s="12" t="s">
        <v>6</v>
      </c>
      <c r="C163" s="13">
        <v>27.3</v>
      </c>
      <c r="D163" s="14">
        <v>11</v>
      </c>
      <c r="E163">
        <f t="shared" si="2"/>
        <v>2033</v>
      </c>
      <c r="F163" s="18">
        <v>1</v>
      </c>
    </row>
    <row r="164" spans="1:6" x14ac:dyDescent="0.35">
      <c r="A164" s="7">
        <v>48803</v>
      </c>
      <c r="B164" s="8" t="s">
        <v>25</v>
      </c>
      <c r="C164" s="9">
        <v>28.4</v>
      </c>
      <c r="D164" s="10">
        <v>2.7</v>
      </c>
      <c r="E164">
        <f t="shared" si="2"/>
        <v>2033</v>
      </c>
      <c r="F164" s="18">
        <v>1</v>
      </c>
    </row>
    <row r="165" spans="1:6" x14ac:dyDescent="0.35">
      <c r="A165" s="11">
        <v>48804</v>
      </c>
      <c r="B165" s="12" t="s">
        <v>11</v>
      </c>
      <c r="C165" s="13">
        <v>22</v>
      </c>
      <c r="D165" s="14">
        <v>3.3</v>
      </c>
      <c r="E165">
        <f t="shared" si="2"/>
        <v>2033</v>
      </c>
      <c r="F165" s="18">
        <v>1</v>
      </c>
    </row>
    <row r="166" spans="1:6" x14ac:dyDescent="0.35">
      <c r="A166" s="7">
        <v>48805</v>
      </c>
      <c r="B166" s="8" t="s">
        <v>8</v>
      </c>
      <c r="C166" s="9">
        <v>19.399999999999999</v>
      </c>
      <c r="D166" s="10">
        <v>0</v>
      </c>
      <c r="E166">
        <f t="shared" si="2"/>
        <v>2033</v>
      </c>
      <c r="F166" s="18">
        <v>1</v>
      </c>
    </row>
    <row r="167" spans="1:6" x14ac:dyDescent="0.35">
      <c r="A167" s="11">
        <v>48806</v>
      </c>
      <c r="B167" s="12" t="s">
        <v>15</v>
      </c>
      <c r="C167" s="13">
        <v>22.7</v>
      </c>
      <c r="D167" s="14">
        <v>14.8</v>
      </c>
      <c r="E167">
        <f t="shared" si="2"/>
        <v>2033</v>
      </c>
      <c r="F167" s="18">
        <v>1</v>
      </c>
    </row>
    <row r="168" spans="1:6" x14ac:dyDescent="0.35">
      <c r="A168" s="7">
        <v>48807</v>
      </c>
      <c r="B168" s="8" t="s">
        <v>7</v>
      </c>
      <c r="C168" s="9">
        <v>22.6</v>
      </c>
      <c r="D168" s="10">
        <v>16.5</v>
      </c>
      <c r="E168">
        <f t="shared" si="2"/>
        <v>2033</v>
      </c>
      <c r="F168" s="18">
        <v>1</v>
      </c>
    </row>
    <row r="169" spans="1:6" x14ac:dyDescent="0.35">
      <c r="A169" s="11">
        <v>48808</v>
      </c>
      <c r="B169" s="12" t="s">
        <v>17</v>
      </c>
      <c r="C169" s="13">
        <v>26.1</v>
      </c>
      <c r="D169" s="14">
        <v>0</v>
      </c>
      <c r="E169">
        <f t="shared" si="2"/>
        <v>2033</v>
      </c>
      <c r="F169" s="18">
        <v>1</v>
      </c>
    </row>
    <row r="170" spans="1:6" x14ac:dyDescent="0.35">
      <c r="A170" s="7">
        <v>48809</v>
      </c>
      <c r="B170" s="8" t="s">
        <v>15</v>
      </c>
      <c r="C170" s="9">
        <v>27.6</v>
      </c>
      <c r="D170" s="10">
        <v>6.7</v>
      </c>
      <c r="E170">
        <f t="shared" si="2"/>
        <v>2033</v>
      </c>
      <c r="F170" s="18">
        <v>1</v>
      </c>
    </row>
    <row r="171" spans="1:6" x14ac:dyDescent="0.35">
      <c r="A171" s="11">
        <v>48810</v>
      </c>
      <c r="B171" s="12" t="s">
        <v>12</v>
      </c>
      <c r="C171" s="13">
        <v>13.2</v>
      </c>
      <c r="D171" s="14">
        <v>0</v>
      </c>
      <c r="E171">
        <f t="shared" si="2"/>
        <v>2033</v>
      </c>
      <c r="F171" s="18">
        <v>1</v>
      </c>
    </row>
    <row r="172" spans="1:6" x14ac:dyDescent="0.35">
      <c r="A172" s="7">
        <v>48811</v>
      </c>
      <c r="B172" s="8" t="s">
        <v>21</v>
      </c>
      <c r="C172" s="9">
        <v>22</v>
      </c>
      <c r="D172" s="10">
        <v>0</v>
      </c>
      <c r="E172">
        <f t="shared" si="2"/>
        <v>2033</v>
      </c>
      <c r="F172" s="18">
        <v>1</v>
      </c>
    </row>
    <row r="173" spans="1:6" x14ac:dyDescent="0.35">
      <c r="A173" s="11">
        <v>48812</v>
      </c>
      <c r="B173" s="12" t="s">
        <v>9</v>
      </c>
      <c r="C173" s="13">
        <v>10.8</v>
      </c>
      <c r="D173" s="14">
        <v>7.6</v>
      </c>
      <c r="E173">
        <f t="shared" si="2"/>
        <v>2033</v>
      </c>
      <c r="F173" s="18">
        <v>1</v>
      </c>
    </row>
    <row r="174" spans="1:6" x14ac:dyDescent="0.35">
      <c r="A174" s="7">
        <v>48813</v>
      </c>
      <c r="B174" s="8" t="s">
        <v>10</v>
      </c>
      <c r="C174" s="9">
        <v>15.6</v>
      </c>
      <c r="D174" s="10">
        <v>38.4</v>
      </c>
      <c r="E174">
        <f t="shared" si="2"/>
        <v>2033</v>
      </c>
      <c r="F174" s="18">
        <v>1</v>
      </c>
    </row>
    <row r="175" spans="1:6" x14ac:dyDescent="0.35">
      <c r="A175" s="11">
        <v>48814</v>
      </c>
      <c r="B175" s="12" t="s">
        <v>26</v>
      </c>
      <c r="C175" s="13">
        <v>11.7</v>
      </c>
      <c r="D175" s="14">
        <v>0.5</v>
      </c>
      <c r="E175">
        <f t="shared" si="2"/>
        <v>2033</v>
      </c>
      <c r="F175" s="18">
        <v>1</v>
      </c>
    </row>
    <row r="176" spans="1:6" x14ac:dyDescent="0.35">
      <c r="A176" s="7">
        <v>48815</v>
      </c>
      <c r="B176" s="8" t="s">
        <v>10</v>
      </c>
      <c r="C176" s="9">
        <v>27.2</v>
      </c>
      <c r="D176" s="10">
        <v>8.3000000000000007</v>
      </c>
      <c r="E176">
        <f t="shared" si="2"/>
        <v>2033</v>
      </c>
      <c r="F176" s="18">
        <v>1</v>
      </c>
    </row>
    <row r="177" spans="1:6" x14ac:dyDescent="0.35">
      <c r="A177" s="11">
        <v>48816</v>
      </c>
      <c r="B177" s="12" t="s">
        <v>10</v>
      </c>
      <c r="C177" s="13">
        <v>24.7</v>
      </c>
      <c r="D177" s="14">
        <v>28.9</v>
      </c>
      <c r="E177">
        <f t="shared" si="2"/>
        <v>2033</v>
      </c>
      <c r="F177" s="18">
        <v>1</v>
      </c>
    </row>
    <row r="178" spans="1:6" x14ac:dyDescent="0.35">
      <c r="A178" s="7">
        <v>48817</v>
      </c>
      <c r="B178" s="8" t="s">
        <v>11</v>
      </c>
      <c r="C178" s="9">
        <v>18.2</v>
      </c>
      <c r="D178" s="10">
        <v>12.5</v>
      </c>
      <c r="E178">
        <f t="shared" si="2"/>
        <v>2033</v>
      </c>
      <c r="F178" s="18">
        <v>1</v>
      </c>
    </row>
    <row r="179" spans="1:6" x14ac:dyDescent="0.35">
      <c r="A179" s="11">
        <v>48818</v>
      </c>
      <c r="B179" s="12" t="s">
        <v>11</v>
      </c>
      <c r="C179" s="13">
        <v>14.6</v>
      </c>
      <c r="D179" s="14">
        <v>17.899999999999999</v>
      </c>
      <c r="E179">
        <f t="shared" si="2"/>
        <v>2033</v>
      </c>
      <c r="F179" s="18">
        <v>1</v>
      </c>
    </row>
    <row r="180" spans="1:6" x14ac:dyDescent="0.35">
      <c r="A180" s="7">
        <v>48819</v>
      </c>
      <c r="B180" s="8" t="s">
        <v>11</v>
      </c>
      <c r="C180" s="9">
        <v>16.5</v>
      </c>
      <c r="D180" s="10">
        <v>13.9</v>
      </c>
      <c r="E180">
        <f t="shared" si="2"/>
        <v>2033</v>
      </c>
      <c r="F180" s="18">
        <v>1</v>
      </c>
    </row>
    <row r="181" spans="1:6" x14ac:dyDescent="0.35">
      <c r="A181" s="11">
        <v>48820</v>
      </c>
      <c r="B181" s="12" t="s">
        <v>18</v>
      </c>
      <c r="C181" s="13">
        <v>29.4</v>
      </c>
      <c r="D181" s="14">
        <v>0</v>
      </c>
      <c r="E181">
        <f t="shared" si="2"/>
        <v>2033</v>
      </c>
      <c r="F181" s="18">
        <v>1</v>
      </c>
    </row>
    <row r="182" spans="1:6" x14ac:dyDescent="0.35">
      <c r="A182" s="7">
        <v>48821</v>
      </c>
      <c r="B182" s="8" t="s">
        <v>10</v>
      </c>
      <c r="C182" s="9">
        <v>17.899999999999999</v>
      </c>
      <c r="D182" s="10">
        <v>0</v>
      </c>
      <c r="E182">
        <f t="shared" si="2"/>
        <v>2033</v>
      </c>
      <c r="F182" s="18">
        <v>1</v>
      </c>
    </row>
    <row r="183" spans="1:6" x14ac:dyDescent="0.35">
      <c r="A183" s="11">
        <v>48822</v>
      </c>
      <c r="B183" s="12" t="s">
        <v>17</v>
      </c>
      <c r="C183" s="13">
        <v>29.8</v>
      </c>
      <c r="D183" s="14">
        <v>0</v>
      </c>
      <c r="E183">
        <f t="shared" si="2"/>
        <v>2033</v>
      </c>
      <c r="F183" s="18">
        <v>1</v>
      </c>
    </row>
    <row r="184" spans="1:6" x14ac:dyDescent="0.35">
      <c r="A184" s="7">
        <v>48823</v>
      </c>
      <c r="B184" s="8" t="s">
        <v>4</v>
      </c>
      <c r="C184" s="9">
        <v>18.7</v>
      </c>
      <c r="D184" s="10">
        <v>0</v>
      </c>
      <c r="E184">
        <f t="shared" si="2"/>
        <v>2033</v>
      </c>
      <c r="F184" s="18">
        <v>1</v>
      </c>
    </row>
    <row r="185" spans="1:6" x14ac:dyDescent="0.35">
      <c r="A185" s="11">
        <v>48824</v>
      </c>
      <c r="B185" s="12" t="s">
        <v>12</v>
      </c>
      <c r="C185" s="13">
        <v>24.3</v>
      </c>
      <c r="D185" s="14">
        <v>7.8</v>
      </c>
      <c r="E185">
        <f t="shared" si="2"/>
        <v>2033</v>
      </c>
      <c r="F185" s="18">
        <v>1</v>
      </c>
    </row>
    <row r="186" spans="1:6" x14ac:dyDescent="0.35">
      <c r="A186" s="7">
        <v>48825</v>
      </c>
      <c r="B186" s="8" t="s">
        <v>13</v>
      </c>
      <c r="C186" s="9">
        <v>29.3</v>
      </c>
      <c r="D186" s="10">
        <v>4.5999999999999996</v>
      </c>
      <c r="E186">
        <f t="shared" si="2"/>
        <v>2033</v>
      </c>
      <c r="F186" s="18">
        <v>1</v>
      </c>
    </row>
    <row r="187" spans="1:6" x14ac:dyDescent="0.35">
      <c r="A187" s="11">
        <v>48826</v>
      </c>
      <c r="B187" s="12" t="s">
        <v>7</v>
      </c>
      <c r="C187" s="13">
        <v>18.399999999999999</v>
      </c>
      <c r="D187" s="14">
        <v>0</v>
      </c>
      <c r="E187">
        <f t="shared" si="2"/>
        <v>2033</v>
      </c>
      <c r="F187" s="18">
        <v>1</v>
      </c>
    </row>
    <row r="188" spans="1:6" x14ac:dyDescent="0.35">
      <c r="A188" s="7">
        <v>48827</v>
      </c>
      <c r="B188" s="8" t="s">
        <v>7</v>
      </c>
      <c r="C188" s="9">
        <v>10.3</v>
      </c>
      <c r="D188" s="10">
        <v>16</v>
      </c>
      <c r="E188">
        <f t="shared" si="2"/>
        <v>2033</v>
      </c>
      <c r="F188" s="18">
        <v>1</v>
      </c>
    </row>
    <row r="189" spans="1:6" x14ac:dyDescent="0.35">
      <c r="A189" s="11">
        <v>48828</v>
      </c>
      <c r="B189" s="12" t="s">
        <v>10</v>
      </c>
      <c r="C189" s="13">
        <v>27.5</v>
      </c>
      <c r="D189" s="14">
        <v>0</v>
      </c>
      <c r="E189">
        <f t="shared" si="2"/>
        <v>2033</v>
      </c>
      <c r="F189" s="18">
        <v>1</v>
      </c>
    </row>
    <row r="190" spans="1:6" x14ac:dyDescent="0.35">
      <c r="A190" s="7">
        <v>48829</v>
      </c>
      <c r="B190" s="8" t="s">
        <v>7</v>
      </c>
      <c r="C190" s="9">
        <v>20.6</v>
      </c>
      <c r="D190" s="10">
        <v>15.7</v>
      </c>
      <c r="E190">
        <f t="shared" si="2"/>
        <v>2033</v>
      </c>
      <c r="F190" s="18">
        <v>1</v>
      </c>
    </row>
    <row r="191" spans="1:6" x14ac:dyDescent="0.35">
      <c r="A191" s="11">
        <v>48830</v>
      </c>
      <c r="B191" s="12" t="s">
        <v>11</v>
      </c>
      <c r="C191" s="13">
        <v>21.3</v>
      </c>
      <c r="D191" s="14">
        <v>0</v>
      </c>
      <c r="E191">
        <f t="shared" si="2"/>
        <v>2033</v>
      </c>
      <c r="F191" s="18">
        <v>1</v>
      </c>
    </row>
    <row r="192" spans="1:6" x14ac:dyDescent="0.35">
      <c r="A192" s="7">
        <v>48831</v>
      </c>
      <c r="B192" s="8" t="s">
        <v>19</v>
      </c>
      <c r="C192" s="9">
        <v>26.2</v>
      </c>
      <c r="D192" s="10">
        <v>0</v>
      </c>
      <c r="E192">
        <f t="shared" si="2"/>
        <v>2033</v>
      </c>
      <c r="F192" s="18">
        <v>1</v>
      </c>
    </row>
    <row r="193" spans="1:6" x14ac:dyDescent="0.35">
      <c r="A193" s="11">
        <v>48832</v>
      </c>
      <c r="B193" s="12" t="s">
        <v>10</v>
      </c>
      <c r="C193" s="13">
        <v>23.9</v>
      </c>
      <c r="D193" s="14">
        <v>0</v>
      </c>
      <c r="E193">
        <f t="shared" si="2"/>
        <v>2033</v>
      </c>
      <c r="F193" s="18">
        <v>1</v>
      </c>
    </row>
    <row r="194" spans="1:6" x14ac:dyDescent="0.35">
      <c r="A194" s="7">
        <v>48833</v>
      </c>
      <c r="B194" s="8" t="s">
        <v>27</v>
      </c>
      <c r="C194" s="9">
        <v>26.6</v>
      </c>
      <c r="D194" s="10">
        <v>1.6</v>
      </c>
      <c r="E194">
        <f t="shared" si="2"/>
        <v>2033</v>
      </c>
      <c r="F194" s="18">
        <v>1</v>
      </c>
    </row>
    <row r="195" spans="1:6" x14ac:dyDescent="0.35">
      <c r="A195" s="11">
        <v>48834</v>
      </c>
      <c r="B195" s="12" t="s">
        <v>10</v>
      </c>
      <c r="C195" s="13">
        <v>18.600000000000001</v>
      </c>
      <c r="D195" s="14">
        <v>20.399999999999999</v>
      </c>
      <c r="E195">
        <f t="shared" ref="E195:E258" si="3">YEAR(A195)</f>
        <v>2033</v>
      </c>
      <c r="F195" s="18">
        <v>1</v>
      </c>
    </row>
    <row r="196" spans="1:6" x14ac:dyDescent="0.35">
      <c r="A196" s="7">
        <v>48835</v>
      </c>
      <c r="B196" s="8" t="s">
        <v>18</v>
      </c>
      <c r="C196" s="9">
        <v>22.3</v>
      </c>
      <c r="D196" s="10">
        <v>1.7</v>
      </c>
      <c r="E196">
        <f t="shared" si="3"/>
        <v>2033</v>
      </c>
      <c r="F196" s="18">
        <v>1</v>
      </c>
    </row>
    <row r="197" spans="1:6" x14ac:dyDescent="0.35">
      <c r="A197" s="11">
        <v>48836</v>
      </c>
      <c r="B197" s="12" t="s">
        <v>17</v>
      </c>
      <c r="C197" s="13">
        <v>18.399999999999999</v>
      </c>
      <c r="D197" s="14">
        <v>3.9</v>
      </c>
      <c r="E197">
        <f t="shared" si="3"/>
        <v>2033</v>
      </c>
      <c r="F197" s="18">
        <v>1</v>
      </c>
    </row>
    <row r="198" spans="1:6" x14ac:dyDescent="0.35">
      <c r="A198" s="7">
        <v>48837</v>
      </c>
      <c r="B198" s="8" t="s">
        <v>27</v>
      </c>
      <c r="C198" s="9">
        <v>28</v>
      </c>
      <c r="D198" s="10">
        <v>4.4000000000000004</v>
      </c>
      <c r="E198">
        <f t="shared" si="3"/>
        <v>2033</v>
      </c>
      <c r="F198" s="18">
        <v>1</v>
      </c>
    </row>
    <row r="199" spans="1:6" x14ac:dyDescent="0.35">
      <c r="A199" s="11">
        <v>48838</v>
      </c>
      <c r="B199" s="12" t="s">
        <v>10</v>
      </c>
      <c r="C199" s="13">
        <v>10.9</v>
      </c>
      <c r="D199" s="14">
        <v>32.9</v>
      </c>
      <c r="E199">
        <f t="shared" si="3"/>
        <v>2033</v>
      </c>
      <c r="F199" s="18">
        <v>1</v>
      </c>
    </row>
    <row r="200" spans="1:6" x14ac:dyDescent="0.35">
      <c r="A200" s="7">
        <v>48839</v>
      </c>
      <c r="B200" s="8" t="s">
        <v>19</v>
      </c>
      <c r="C200" s="9">
        <v>25.1</v>
      </c>
      <c r="D200" s="10">
        <v>33.299999999999997</v>
      </c>
      <c r="E200">
        <f t="shared" si="3"/>
        <v>2033</v>
      </c>
      <c r="F200" s="18">
        <v>1</v>
      </c>
    </row>
    <row r="201" spans="1:6" x14ac:dyDescent="0.35">
      <c r="A201" s="11">
        <v>48840</v>
      </c>
      <c r="B201" s="12" t="s">
        <v>28</v>
      </c>
      <c r="C201" s="13">
        <v>10.7</v>
      </c>
      <c r="D201" s="14">
        <v>0.3</v>
      </c>
      <c r="E201">
        <f t="shared" si="3"/>
        <v>2033</v>
      </c>
      <c r="F201" s="18">
        <v>1</v>
      </c>
    </row>
    <row r="202" spans="1:6" x14ac:dyDescent="0.35">
      <c r="A202" s="7">
        <v>48841</v>
      </c>
      <c r="B202" s="8" t="s">
        <v>10</v>
      </c>
      <c r="C202" s="9">
        <v>26.1</v>
      </c>
      <c r="D202" s="10">
        <v>31</v>
      </c>
      <c r="E202">
        <f t="shared" si="3"/>
        <v>2033</v>
      </c>
      <c r="F202" s="18">
        <v>1</v>
      </c>
    </row>
    <row r="203" spans="1:6" x14ac:dyDescent="0.35">
      <c r="A203" s="11">
        <v>48842</v>
      </c>
      <c r="B203" s="12" t="s">
        <v>11</v>
      </c>
      <c r="C203" s="13">
        <v>15.2</v>
      </c>
      <c r="D203" s="14">
        <v>12.7</v>
      </c>
      <c r="E203">
        <f t="shared" si="3"/>
        <v>2033</v>
      </c>
      <c r="F203" s="18">
        <v>1</v>
      </c>
    </row>
    <row r="204" spans="1:6" x14ac:dyDescent="0.35">
      <c r="A204" s="7">
        <v>48843</v>
      </c>
      <c r="B204" s="8" t="s">
        <v>14</v>
      </c>
      <c r="C204" s="9">
        <v>28.8</v>
      </c>
      <c r="D204" s="10">
        <v>4.3</v>
      </c>
      <c r="E204">
        <f t="shared" si="3"/>
        <v>2033</v>
      </c>
      <c r="F204" s="18">
        <v>1</v>
      </c>
    </row>
    <row r="205" spans="1:6" x14ac:dyDescent="0.35">
      <c r="A205" s="11">
        <v>48844</v>
      </c>
      <c r="B205" s="12" t="s">
        <v>26</v>
      </c>
      <c r="C205" s="13">
        <v>10.3</v>
      </c>
      <c r="D205" s="14">
        <v>0</v>
      </c>
      <c r="E205">
        <f t="shared" si="3"/>
        <v>2033</v>
      </c>
      <c r="F205" s="18">
        <v>1</v>
      </c>
    </row>
    <row r="206" spans="1:6" x14ac:dyDescent="0.35">
      <c r="A206" s="7">
        <v>48845</v>
      </c>
      <c r="B206" s="8" t="s">
        <v>6</v>
      </c>
      <c r="C206" s="9">
        <v>14.9</v>
      </c>
      <c r="D206" s="10">
        <v>0.1</v>
      </c>
      <c r="E206">
        <f t="shared" si="3"/>
        <v>2033</v>
      </c>
      <c r="F206" s="18">
        <v>1</v>
      </c>
    </row>
    <row r="207" spans="1:6" x14ac:dyDescent="0.35">
      <c r="A207" s="11">
        <v>48846</v>
      </c>
      <c r="B207" s="12" t="s">
        <v>10</v>
      </c>
      <c r="C207" s="13">
        <v>11.3</v>
      </c>
      <c r="D207" s="14">
        <v>0</v>
      </c>
      <c r="E207">
        <f t="shared" si="3"/>
        <v>2033</v>
      </c>
      <c r="F207" s="18">
        <v>1</v>
      </c>
    </row>
    <row r="208" spans="1:6" x14ac:dyDescent="0.35">
      <c r="A208" s="7">
        <v>48847</v>
      </c>
      <c r="B208" s="8" t="s">
        <v>10</v>
      </c>
      <c r="C208" s="9">
        <v>20.8</v>
      </c>
      <c r="D208" s="10">
        <v>34.9</v>
      </c>
      <c r="E208">
        <f t="shared" si="3"/>
        <v>2033</v>
      </c>
      <c r="F208" s="18">
        <v>1</v>
      </c>
    </row>
    <row r="209" spans="1:6" x14ac:dyDescent="0.35">
      <c r="A209" s="11">
        <v>48848</v>
      </c>
      <c r="B209" s="12" t="s">
        <v>19</v>
      </c>
      <c r="C209" s="13">
        <v>18.2</v>
      </c>
      <c r="D209" s="14">
        <v>0</v>
      </c>
      <c r="E209">
        <f t="shared" si="3"/>
        <v>2033</v>
      </c>
      <c r="F209" s="18">
        <v>1</v>
      </c>
    </row>
    <row r="210" spans="1:6" x14ac:dyDescent="0.35">
      <c r="A210" s="7">
        <v>48849</v>
      </c>
      <c r="B210" s="8" t="s">
        <v>17</v>
      </c>
      <c r="C210" s="9">
        <v>12.7</v>
      </c>
      <c r="D210" s="10">
        <v>5.3</v>
      </c>
      <c r="E210">
        <f t="shared" si="3"/>
        <v>2033</v>
      </c>
      <c r="F210" s="18">
        <v>1</v>
      </c>
    </row>
    <row r="211" spans="1:6" x14ac:dyDescent="0.35">
      <c r="A211" s="11">
        <v>48850</v>
      </c>
      <c r="B211" s="12" t="s">
        <v>14</v>
      </c>
      <c r="C211" s="13">
        <v>21.4</v>
      </c>
      <c r="D211" s="14">
        <v>8.3000000000000007</v>
      </c>
      <c r="E211">
        <f t="shared" si="3"/>
        <v>2033</v>
      </c>
      <c r="F211" s="18">
        <v>1</v>
      </c>
    </row>
    <row r="212" spans="1:6" x14ac:dyDescent="0.35">
      <c r="A212" s="7">
        <v>48851</v>
      </c>
      <c r="B212" s="8" t="s">
        <v>6</v>
      </c>
      <c r="C212" s="9">
        <v>21.3</v>
      </c>
      <c r="D212" s="10">
        <v>11.8</v>
      </c>
      <c r="E212">
        <f t="shared" si="3"/>
        <v>2033</v>
      </c>
      <c r="F212" s="18">
        <v>1</v>
      </c>
    </row>
    <row r="213" spans="1:6" x14ac:dyDescent="0.35">
      <c r="A213" s="11">
        <v>48852</v>
      </c>
      <c r="B213" s="12" t="s">
        <v>17</v>
      </c>
      <c r="C213" s="13">
        <v>20.7</v>
      </c>
      <c r="D213" s="14">
        <v>3.9</v>
      </c>
      <c r="E213">
        <f t="shared" si="3"/>
        <v>2033</v>
      </c>
      <c r="F213" s="18">
        <v>1</v>
      </c>
    </row>
    <row r="214" spans="1:6" x14ac:dyDescent="0.35">
      <c r="A214" s="7">
        <v>48853</v>
      </c>
      <c r="B214" s="8" t="s">
        <v>20</v>
      </c>
      <c r="C214" s="9">
        <v>19.7</v>
      </c>
      <c r="D214" s="10">
        <v>0</v>
      </c>
      <c r="E214">
        <f t="shared" si="3"/>
        <v>2033</v>
      </c>
      <c r="F214" s="18">
        <v>1</v>
      </c>
    </row>
    <row r="215" spans="1:6" x14ac:dyDescent="0.35">
      <c r="A215" s="11">
        <v>48854</v>
      </c>
      <c r="B215" s="12" t="s">
        <v>11</v>
      </c>
      <c r="C215" s="13">
        <v>27.2</v>
      </c>
      <c r="D215" s="14">
        <v>17.600000000000001</v>
      </c>
      <c r="E215">
        <f t="shared" si="3"/>
        <v>2033</v>
      </c>
      <c r="F215" s="18">
        <v>1</v>
      </c>
    </row>
    <row r="216" spans="1:6" x14ac:dyDescent="0.35">
      <c r="A216" s="7">
        <v>48855</v>
      </c>
      <c r="B216" s="8" t="s">
        <v>25</v>
      </c>
      <c r="C216" s="9">
        <v>16.600000000000001</v>
      </c>
      <c r="D216" s="10">
        <v>1.7</v>
      </c>
      <c r="E216">
        <f t="shared" si="3"/>
        <v>2033</v>
      </c>
      <c r="F216" s="18">
        <v>1</v>
      </c>
    </row>
    <row r="217" spans="1:6" x14ac:dyDescent="0.35">
      <c r="A217" s="11">
        <v>48856</v>
      </c>
      <c r="B217" s="12" t="s">
        <v>11</v>
      </c>
      <c r="C217" s="13">
        <v>22.3</v>
      </c>
      <c r="D217" s="14">
        <v>0</v>
      </c>
      <c r="E217">
        <f t="shared" si="3"/>
        <v>2033</v>
      </c>
      <c r="F217" s="18">
        <v>1</v>
      </c>
    </row>
    <row r="218" spans="1:6" x14ac:dyDescent="0.35">
      <c r="A218" s="7">
        <v>48857</v>
      </c>
      <c r="B218" s="8" t="s">
        <v>10</v>
      </c>
      <c r="C218" s="9">
        <v>18</v>
      </c>
      <c r="D218" s="10">
        <v>40.799999999999997</v>
      </c>
      <c r="E218">
        <f t="shared" si="3"/>
        <v>2033</v>
      </c>
      <c r="F218" s="18">
        <v>1</v>
      </c>
    </row>
    <row r="219" spans="1:6" x14ac:dyDescent="0.35">
      <c r="A219" s="11">
        <v>48858</v>
      </c>
      <c r="B219" s="12" t="s">
        <v>24</v>
      </c>
      <c r="C219" s="13">
        <v>21.8</v>
      </c>
      <c r="D219" s="14">
        <v>0</v>
      </c>
      <c r="E219">
        <f t="shared" si="3"/>
        <v>2033</v>
      </c>
      <c r="F219" s="18">
        <v>1</v>
      </c>
    </row>
    <row r="220" spans="1:6" x14ac:dyDescent="0.35">
      <c r="A220" s="7">
        <v>48859</v>
      </c>
      <c r="B220" s="8" t="s">
        <v>6</v>
      </c>
      <c r="C220" s="9">
        <v>22.2</v>
      </c>
      <c r="D220" s="10">
        <v>11.2</v>
      </c>
      <c r="E220">
        <f t="shared" si="3"/>
        <v>2033</v>
      </c>
      <c r="F220" s="18">
        <v>1</v>
      </c>
    </row>
    <row r="221" spans="1:6" x14ac:dyDescent="0.35">
      <c r="A221" s="11">
        <v>48860</v>
      </c>
      <c r="B221" s="12" t="s">
        <v>6</v>
      </c>
      <c r="C221" s="13">
        <v>20</v>
      </c>
      <c r="D221" s="14">
        <v>0</v>
      </c>
      <c r="E221">
        <f t="shared" si="3"/>
        <v>2033</v>
      </c>
      <c r="F221" s="18">
        <v>1</v>
      </c>
    </row>
    <row r="222" spans="1:6" x14ac:dyDescent="0.35">
      <c r="A222" s="7">
        <v>48861</v>
      </c>
      <c r="B222" s="8" t="s">
        <v>32</v>
      </c>
      <c r="C222" s="9">
        <v>29.4</v>
      </c>
      <c r="D222" s="10">
        <v>0.7</v>
      </c>
      <c r="E222">
        <f t="shared" si="3"/>
        <v>2033</v>
      </c>
      <c r="F222" s="18">
        <v>1</v>
      </c>
    </row>
    <row r="223" spans="1:6" x14ac:dyDescent="0.35">
      <c r="A223" s="11">
        <v>48862</v>
      </c>
      <c r="B223" s="12" t="s">
        <v>10</v>
      </c>
      <c r="C223" s="13">
        <v>23.6</v>
      </c>
      <c r="D223" s="14">
        <v>0</v>
      </c>
      <c r="E223">
        <f t="shared" si="3"/>
        <v>2033</v>
      </c>
      <c r="F223" s="18">
        <v>1</v>
      </c>
    </row>
    <row r="224" spans="1:6" x14ac:dyDescent="0.35">
      <c r="A224" s="7">
        <v>48863</v>
      </c>
      <c r="B224" s="8" t="s">
        <v>7</v>
      </c>
      <c r="C224" s="9">
        <v>16.3</v>
      </c>
      <c r="D224" s="10">
        <v>22</v>
      </c>
      <c r="E224">
        <f t="shared" si="3"/>
        <v>2033</v>
      </c>
      <c r="F224" s="18">
        <v>1</v>
      </c>
    </row>
    <row r="225" spans="1:6" x14ac:dyDescent="0.35">
      <c r="A225" s="11">
        <v>48864</v>
      </c>
      <c r="B225" s="12" t="s">
        <v>15</v>
      </c>
      <c r="C225" s="13">
        <v>15</v>
      </c>
      <c r="D225" s="14">
        <v>0</v>
      </c>
      <c r="E225">
        <f t="shared" si="3"/>
        <v>2033</v>
      </c>
      <c r="F225" s="18">
        <v>1</v>
      </c>
    </row>
    <row r="226" spans="1:6" x14ac:dyDescent="0.35">
      <c r="A226" s="7">
        <v>48865</v>
      </c>
      <c r="B226" s="8" t="s">
        <v>14</v>
      </c>
      <c r="C226" s="9">
        <v>10.8</v>
      </c>
      <c r="D226" s="10">
        <v>0</v>
      </c>
      <c r="E226">
        <f t="shared" si="3"/>
        <v>2033</v>
      </c>
      <c r="F226" s="18">
        <v>1</v>
      </c>
    </row>
    <row r="227" spans="1:6" x14ac:dyDescent="0.35">
      <c r="A227" s="11">
        <v>48866</v>
      </c>
      <c r="B227" s="12" t="s">
        <v>19</v>
      </c>
      <c r="C227" s="13">
        <v>10.5</v>
      </c>
      <c r="D227" s="14">
        <v>0</v>
      </c>
      <c r="E227">
        <f t="shared" si="3"/>
        <v>2033</v>
      </c>
      <c r="F227" s="18">
        <v>1</v>
      </c>
    </row>
    <row r="228" spans="1:6" x14ac:dyDescent="0.35">
      <c r="A228" s="7">
        <v>48867</v>
      </c>
      <c r="B228" s="8" t="s">
        <v>5</v>
      </c>
      <c r="C228" s="9">
        <v>20.3</v>
      </c>
      <c r="D228" s="10">
        <v>0</v>
      </c>
      <c r="E228">
        <f t="shared" si="3"/>
        <v>2033</v>
      </c>
      <c r="F228" s="18">
        <v>1</v>
      </c>
    </row>
    <row r="229" spans="1:6" x14ac:dyDescent="0.35">
      <c r="A229" s="11">
        <v>48868</v>
      </c>
      <c r="B229" s="12" t="s">
        <v>10</v>
      </c>
      <c r="C229" s="13">
        <v>13.1</v>
      </c>
      <c r="D229" s="14">
        <v>50.4</v>
      </c>
      <c r="E229">
        <f t="shared" si="3"/>
        <v>2033</v>
      </c>
      <c r="F229" s="18">
        <v>1</v>
      </c>
    </row>
    <row r="230" spans="1:6" x14ac:dyDescent="0.35">
      <c r="A230" s="7">
        <v>48869</v>
      </c>
      <c r="B230" s="8" t="s">
        <v>12</v>
      </c>
      <c r="C230" s="9">
        <v>24.8</v>
      </c>
      <c r="D230" s="10">
        <v>7.9</v>
      </c>
      <c r="E230">
        <f t="shared" si="3"/>
        <v>2033</v>
      </c>
      <c r="F230" s="18">
        <v>1</v>
      </c>
    </row>
    <row r="231" spans="1:6" x14ac:dyDescent="0.35">
      <c r="A231" s="11">
        <v>48870</v>
      </c>
      <c r="B231" s="12" t="s">
        <v>11</v>
      </c>
      <c r="C231" s="13">
        <v>23.6</v>
      </c>
      <c r="D231" s="14">
        <v>0.8</v>
      </c>
      <c r="E231">
        <f t="shared" si="3"/>
        <v>2033</v>
      </c>
      <c r="F231" s="18">
        <v>1</v>
      </c>
    </row>
    <row r="232" spans="1:6" x14ac:dyDescent="0.35">
      <c r="A232" s="7">
        <v>48871</v>
      </c>
      <c r="B232" s="8" t="s">
        <v>17</v>
      </c>
      <c r="C232" s="9">
        <v>17.899999999999999</v>
      </c>
      <c r="D232" s="10">
        <v>0</v>
      </c>
      <c r="E232">
        <f t="shared" si="3"/>
        <v>2033</v>
      </c>
      <c r="F232" s="18">
        <v>1</v>
      </c>
    </row>
    <row r="233" spans="1:6" x14ac:dyDescent="0.35">
      <c r="A233" s="11">
        <v>48872</v>
      </c>
      <c r="B233" s="12" t="s">
        <v>12</v>
      </c>
      <c r="C233" s="13">
        <v>23.2</v>
      </c>
      <c r="D233" s="14">
        <v>3</v>
      </c>
      <c r="E233">
        <f t="shared" si="3"/>
        <v>2033</v>
      </c>
      <c r="F233" s="18">
        <v>1</v>
      </c>
    </row>
    <row r="234" spans="1:6" x14ac:dyDescent="0.35">
      <c r="A234" s="7">
        <v>48873</v>
      </c>
      <c r="B234" s="8" t="s">
        <v>8</v>
      </c>
      <c r="C234" s="9">
        <v>21.8</v>
      </c>
      <c r="D234" s="10">
        <v>2</v>
      </c>
      <c r="E234">
        <f t="shared" si="3"/>
        <v>2033</v>
      </c>
      <c r="F234" s="18">
        <v>1</v>
      </c>
    </row>
    <row r="235" spans="1:6" x14ac:dyDescent="0.35">
      <c r="A235" s="11">
        <v>48874</v>
      </c>
      <c r="B235" s="12" t="s">
        <v>26</v>
      </c>
      <c r="C235" s="13">
        <v>22.2</v>
      </c>
      <c r="D235" s="14">
        <v>3.1</v>
      </c>
      <c r="E235">
        <f t="shared" si="3"/>
        <v>2033</v>
      </c>
      <c r="F235" s="18">
        <v>1</v>
      </c>
    </row>
    <row r="236" spans="1:6" x14ac:dyDescent="0.35">
      <c r="A236" s="7">
        <v>48875</v>
      </c>
      <c r="B236" s="8" t="s">
        <v>15</v>
      </c>
      <c r="C236" s="9">
        <v>29</v>
      </c>
      <c r="D236" s="10">
        <v>16.399999999999999</v>
      </c>
      <c r="E236">
        <f t="shared" si="3"/>
        <v>2033</v>
      </c>
      <c r="F236" s="18">
        <v>1</v>
      </c>
    </row>
    <row r="237" spans="1:6" x14ac:dyDescent="0.35">
      <c r="A237" s="11">
        <v>48876</v>
      </c>
      <c r="B237" s="12" t="s">
        <v>24</v>
      </c>
      <c r="C237" s="13">
        <v>24.6</v>
      </c>
      <c r="D237" s="14">
        <v>1.7</v>
      </c>
      <c r="E237">
        <f t="shared" si="3"/>
        <v>2033</v>
      </c>
      <c r="F237" s="18">
        <v>1</v>
      </c>
    </row>
    <row r="238" spans="1:6" x14ac:dyDescent="0.35">
      <c r="A238" s="7">
        <v>48877</v>
      </c>
      <c r="B238" s="8" t="s">
        <v>12</v>
      </c>
      <c r="C238" s="9">
        <v>23.4</v>
      </c>
      <c r="D238" s="10">
        <v>0.6</v>
      </c>
      <c r="E238">
        <f t="shared" si="3"/>
        <v>2033</v>
      </c>
      <c r="F238" s="18">
        <v>1</v>
      </c>
    </row>
    <row r="239" spans="1:6" x14ac:dyDescent="0.35">
      <c r="A239" s="11">
        <v>48878</v>
      </c>
      <c r="B239" s="12" t="s">
        <v>15</v>
      </c>
      <c r="C239" s="13">
        <v>21</v>
      </c>
      <c r="D239" s="14">
        <v>0</v>
      </c>
      <c r="E239">
        <f t="shared" si="3"/>
        <v>2033</v>
      </c>
      <c r="F239" s="18">
        <v>1</v>
      </c>
    </row>
    <row r="240" spans="1:6" x14ac:dyDescent="0.35">
      <c r="A240" s="7">
        <v>48879</v>
      </c>
      <c r="B240" s="8" t="s">
        <v>5</v>
      </c>
      <c r="C240" s="9">
        <v>22</v>
      </c>
      <c r="D240" s="10">
        <v>0</v>
      </c>
      <c r="E240">
        <f t="shared" si="3"/>
        <v>2033</v>
      </c>
      <c r="F240" s="18">
        <v>1</v>
      </c>
    </row>
    <row r="241" spans="1:6" x14ac:dyDescent="0.35">
      <c r="A241" s="11">
        <v>48880</v>
      </c>
      <c r="B241" s="12" t="s">
        <v>9</v>
      </c>
      <c r="C241" s="13">
        <v>29.9</v>
      </c>
      <c r="D241" s="14">
        <v>8</v>
      </c>
      <c r="E241">
        <f t="shared" si="3"/>
        <v>2033</v>
      </c>
      <c r="F241" s="18">
        <v>1</v>
      </c>
    </row>
    <row r="242" spans="1:6" x14ac:dyDescent="0.35">
      <c r="A242" s="7">
        <v>48881</v>
      </c>
      <c r="B242" s="8" t="s">
        <v>7</v>
      </c>
      <c r="C242" s="9">
        <v>27.2</v>
      </c>
      <c r="D242" s="10">
        <v>19.2</v>
      </c>
      <c r="E242">
        <f t="shared" si="3"/>
        <v>2033</v>
      </c>
      <c r="F242" s="18">
        <v>1</v>
      </c>
    </row>
    <row r="243" spans="1:6" x14ac:dyDescent="0.35">
      <c r="A243" s="11">
        <v>48882</v>
      </c>
      <c r="B243" s="12" t="s">
        <v>19</v>
      </c>
      <c r="C243" s="13">
        <v>10.9</v>
      </c>
      <c r="D243" s="14">
        <v>9</v>
      </c>
      <c r="E243">
        <f t="shared" si="3"/>
        <v>2033</v>
      </c>
      <c r="F243" s="18">
        <v>1</v>
      </c>
    </row>
    <row r="244" spans="1:6" x14ac:dyDescent="0.35">
      <c r="A244" s="7">
        <v>48883</v>
      </c>
      <c r="B244" s="8" t="s">
        <v>9</v>
      </c>
      <c r="C244" s="9">
        <v>22.6</v>
      </c>
      <c r="D244" s="10">
        <v>5.9</v>
      </c>
      <c r="E244">
        <f t="shared" si="3"/>
        <v>2033</v>
      </c>
      <c r="F244" s="18">
        <v>1</v>
      </c>
    </row>
    <row r="245" spans="1:6" x14ac:dyDescent="0.35">
      <c r="A245" s="11">
        <v>48884</v>
      </c>
      <c r="B245" s="12" t="s">
        <v>23</v>
      </c>
      <c r="C245" s="13">
        <v>12</v>
      </c>
      <c r="D245" s="14">
        <v>3.9</v>
      </c>
      <c r="E245">
        <f t="shared" si="3"/>
        <v>2033</v>
      </c>
      <c r="F245" s="18">
        <v>1</v>
      </c>
    </row>
    <row r="246" spans="1:6" x14ac:dyDescent="0.35">
      <c r="A246" s="7">
        <v>48885</v>
      </c>
      <c r="B246" s="8" t="s">
        <v>15</v>
      </c>
      <c r="C246" s="9">
        <v>19.5</v>
      </c>
      <c r="D246" s="10">
        <v>14.2</v>
      </c>
      <c r="E246">
        <f t="shared" si="3"/>
        <v>2033</v>
      </c>
      <c r="F246" s="18">
        <v>1</v>
      </c>
    </row>
    <row r="247" spans="1:6" x14ac:dyDescent="0.35">
      <c r="A247" s="11">
        <v>48886</v>
      </c>
      <c r="B247" s="12" t="s">
        <v>10</v>
      </c>
      <c r="C247" s="13">
        <v>27</v>
      </c>
      <c r="D247" s="14">
        <v>10.9</v>
      </c>
      <c r="E247">
        <f t="shared" si="3"/>
        <v>2033</v>
      </c>
      <c r="F247" s="18">
        <v>1</v>
      </c>
    </row>
    <row r="248" spans="1:6" x14ac:dyDescent="0.35">
      <c r="A248" s="7">
        <v>48887</v>
      </c>
      <c r="B248" s="8" t="s">
        <v>22</v>
      </c>
      <c r="C248" s="9">
        <v>10.7</v>
      </c>
      <c r="D248" s="10">
        <v>5.6</v>
      </c>
      <c r="E248">
        <f t="shared" si="3"/>
        <v>2033</v>
      </c>
      <c r="F248" s="18">
        <v>1</v>
      </c>
    </row>
    <row r="249" spans="1:6" x14ac:dyDescent="0.35">
      <c r="A249" s="11">
        <v>48888</v>
      </c>
      <c r="B249" s="12" t="s">
        <v>19</v>
      </c>
      <c r="C249" s="13">
        <v>29.1</v>
      </c>
      <c r="D249" s="14">
        <v>0</v>
      </c>
      <c r="E249">
        <f t="shared" si="3"/>
        <v>2033</v>
      </c>
      <c r="F249" s="18">
        <v>1</v>
      </c>
    </row>
    <row r="250" spans="1:6" x14ac:dyDescent="0.35">
      <c r="A250" s="7">
        <v>48889</v>
      </c>
      <c r="B250" s="8" t="s">
        <v>27</v>
      </c>
      <c r="C250" s="9">
        <v>25.3</v>
      </c>
      <c r="D250" s="10">
        <v>0</v>
      </c>
      <c r="E250">
        <f t="shared" si="3"/>
        <v>2033</v>
      </c>
      <c r="F250" s="18">
        <v>1</v>
      </c>
    </row>
    <row r="251" spans="1:6" x14ac:dyDescent="0.35">
      <c r="A251" s="11">
        <v>48890</v>
      </c>
      <c r="B251" s="12" t="s">
        <v>6</v>
      </c>
      <c r="C251" s="13">
        <v>13.3</v>
      </c>
      <c r="D251" s="14">
        <v>4.4000000000000004</v>
      </c>
      <c r="E251">
        <f t="shared" si="3"/>
        <v>2033</v>
      </c>
      <c r="F251" s="18">
        <v>1</v>
      </c>
    </row>
    <row r="252" spans="1:6" x14ac:dyDescent="0.35">
      <c r="A252" s="7">
        <v>48891</v>
      </c>
      <c r="B252" s="8" t="s">
        <v>7</v>
      </c>
      <c r="C252" s="9">
        <v>16.899999999999999</v>
      </c>
      <c r="D252" s="10">
        <v>0</v>
      </c>
      <c r="E252">
        <f t="shared" si="3"/>
        <v>2033</v>
      </c>
      <c r="F252" s="18">
        <v>1</v>
      </c>
    </row>
    <row r="253" spans="1:6" x14ac:dyDescent="0.35">
      <c r="A253" s="11">
        <v>48892</v>
      </c>
      <c r="B253" s="12" t="s">
        <v>15</v>
      </c>
      <c r="C253" s="13">
        <v>26.4</v>
      </c>
      <c r="D253" s="14">
        <v>6.8</v>
      </c>
      <c r="E253">
        <f t="shared" si="3"/>
        <v>2033</v>
      </c>
      <c r="F253" s="18">
        <v>1</v>
      </c>
    </row>
    <row r="254" spans="1:6" x14ac:dyDescent="0.35">
      <c r="A254" s="7">
        <v>48893</v>
      </c>
      <c r="B254" s="8" t="s">
        <v>14</v>
      </c>
      <c r="C254" s="9">
        <v>29.7</v>
      </c>
      <c r="D254" s="10">
        <v>0</v>
      </c>
      <c r="E254">
        <f t="shared" si="3"/>
        <v>2033</v>
      </c>
      <c r="F254" s="18">
        <v>1</v>
      </c>
    </row>
    <row r="255" spans="1:6" x14ac:dyDescent="0.35">
      <c r="A255" s="11">
        <v>48894</v>
      </c>
      <c r="B255" s="12" t="s">
        <v>7</v>
      </c>
      <c r="C255" s="13">
        <v>17.600000000000001</v>
      </c>
      <c r="D255" s="14">
        <v>8.6999999999999993</v>
      </c>
      <c r="E255">
        <f t="shared" si="3"/>
        <v>2033</v>
      </c>
      <c r="F255" s="18">
        <v>1</v>
      </c>
    </row>
    <row r="256" spans="1:6" x14ac:dyDescent="0.35">
      <c r="A256" s="7">
        <v>48895</v>
      </c>
      <c r="B256" s="8" t="s">
        <v>17</v>
      </c>
      <c r="C256" s="9">
        <v>13.2</v>
      </c>
      <c r="D256" s="10">
        <v>3.3</v>
      </c>
      <c r="E256">
        <f t="shared" si="3"/>
        <v>2033</v>
      </c>
      <c r="F256" s="18">
        <v>1</v>
      </c>
    </row>
    <row r="257" spans="1:6" x14ac:dyDescent="0.35">
      <c r="A257" s="11">
        <v>48896</v>
      </c>
      <c r="B257" s="12" t="s">
        <v>15</v>
      </c>
      <c r="C257" s="13">
        <v>21.2</v>
      </c>
      <c r="D257" s="14">
        <v>0</v>
      </c>
      <c r="E257">
        <f t="shared" si="3"/>
        <v>2033</v>
      </c>
      <c r="F257" s="18">
        <v>1</v>
      </c>
    </row>
    <row r="258" spans="1:6" x14ac:dyDescent="0.35">
      <c r="A258" s="7">
        <v>48897</v>
      </c>
      <c r="B258" s="8" t="s">
        <v>15</v>
      </c>
      <c r="C258" s="9">
        <v>23</v>
      </c>
      <c r="D258" s="10">
        <v>7.7</v>
      </c>
      <c r="E258">
        <f t="shared" si="3"/>
        <v>2033</v>
      </c>
      <c r="F258" s="18">
        <v>1</v>
      </c>
    </row>
    <row r="259" spans="1:6" x14ac:dyDescent="0.35">
      <c r="A259" s="11">
        <v>48898</v>
      </c>
      <c r="B259" s="12" t="s">
        <v>11</v>
      </c>
      <c r="C259" s="13">
        <v>23</v>
      </c>
      <c r="D259" s="14">
        <v>0</v>
      </c>
      <c r="E259">
        <f t="shared" ref="E259:E322" si="4">YEAR(A259)</f>
        <v>2033</v>
      </c>
      <c r="F259" s="18">
        <v>1</v>
      </c>
    </row>
    <row r="260" spans="1:6" x14ac:dyDescent="0.35">
      <c r="A260" s="7">
        <v>48899</v>
      </c>
      <c r="B260" s="8" t="s">
        <v>11</v>
      </c>
      <c r="C260" s="9">
        <v>23.4</v>
      </c>
      <c r="D260" s="10">
        <v>0</v>
      </c>
      <c r="E260">
        <f t="shared" si="4"/>
        <v>2033</v>
      </c>
      <c r="F260" s="18">
        <v>1</v>
      </c>
    </row>
    <row r="261" spans="1:6" x14ac:dyDescent="0.35">
      <c r="A261" s="11">
        <v>48900</v>
      </c>
      <c r="B261" s="12" t="s">
        <v>7</v>
      </c>
      <c r="C261" s="13">
        <v>28.7</v>
      </c>
      <c r="D261" s="14">
        <v>3.3</v>
      </c>
      <c r="E261">
        <f t="shared" si="4"/>
        <v>2033</v>
      </c>
      <c r="F261" s="18">
        <v>1</v>
      </c>
    </row>
    <row r="262" spans="1:6" x14ac:dyDescent="0.35">
      <c r="A262" s="7">
        <v>48901</v>
      </c>
      <c r="B262" s="8" t="s">
        <v>26</v>
      </c>
      <c r="C262" s="9">
        <v>23.6</v>
      </c>
      <c r="D262" s="10">
        <v>4.3</v>
      </c>
      <c r="E262">
        <f t="shared" si="4"/>
        <v>2033</v>
      </c>
      <c r="F262" s="18">
        <v>1</v>
      </c>
    </row>
    <row r="263" spans="1:6" x14ac:dyDescent="0.35">
      <c r="A263" s="11">
        <v>48902</v>
      </c>
      <c r="B263" s="12" t="s">
        <v>6</v>
      </c>
      <c r="C263" s="13">
        <v>10.199999999999999</v>
      </c>
      <c r="D263" s="14">
        <v>8.6999999999999993</v>
      </c>
      <c r="E263">
        <f t="shared" si="4"/>
        <v>2033</v>
      </c>
      <c r="F263" s="18">
        <v>1</v>
      </c>
    </row>
    <row r="264" spans="1:6" x14ac:dyDescent="0.35">
      <c r="A264" s="7">
        <v>48903</v>
      </c>
      <c r="B264" s="8" t="s">
        <v>9</v>
      </c>
      <c r="C264" s="9">
        <v>13.8</v>
      </c>
      <c r="D264" s="10">
        <v>0</v>
      </c>
      <c r="E264">
        <f t="shared" si="4"/>
        <v>2033</v>
      </c>
      <c r="F264" s="18">
        <v>1</v>
      </c>
    </row>
    <row r="265" spans="1:6" x14ac:dyDescent="0.35">
      <c r="A265" s="11">
        <v>48904</v>
      </c>
      <c r="B265" s="12" t="s">
        <v>8</v>
      </c>
      <c r="C265" s="13">
        <v>27.7</v>
      </c>
      <c r="D265" s="14">
        <v>0</v>
      </c>
      <c r="E265">
        <f t="shared" si="4"/>
        <v>2033</v>
      </c>
      <c r="F265" s="18">
        <v>1</v>
      </c>
    </row>
    <row r="266" spans="1:6" x14ac:dyDescent="0.35">
      <c r="A266" s="7">
        <v>48905</v>
      </c>
      <c r="B266" s="8" t="s">
        <v>7</v>
      </c>
      <c r="C266" s="9">
        <v>13.3</v>
      </c>
      <c r="D266" s="10">
        <v>7.2</v>
      </c>
      <c r="E266">
        <f t="shared" si="4"/>
        <v>2033</v>
      </c>
      <c r="F266" s="18">
        <v>1</v>
      </c>
    </row>
    <row r="267" spans="1:6" x14ac:dyDescent="0.35">
      <c r="A267" s="11">
        <v>48906</v>
      </c>
      <c r="B267" s="12" t="s">
        <v>11</v>
      </c>
      <c r="C267" s="13">
        <v>26</v>
      </c>
      <c r="D267" s="14">
        <v>0.7</v>
      </c>
      <c r="E267">
        <f t="shared" si="4"/>
        <v>2033</v>
      </c>
      <c r="F267" s="18">
        <v>1</v>
      </c>
    </row>
    <row r="268" spans="1:6" x14ac:dyDescent="0.35">
      <c r="A268" s="7">
        <v>48907</v>
      </c>
      <c r="B268" s="8" t="s">
        <v>6</v>
      </c>
      <c r="C268" s="9">
        <v>16.3</v>
      </c>
      <c r="D268" s="10">
        <v>11</v>
      </c>
      <c r="E268">
        <f t="shared" si="4"/>
        <v>2033</v>
      </c>
      <c r="F268" s="18">
        <v>1</v>
      </c>
    </row>
    <row r="269" spans="1:6" x14ac:dyDescent="0.35">
      <c r="A269" s="11">
        <v>48908</v>
      </c>
      <c r="B269" s="12" t="s">
        <v>15</v>
      </c>
      <c r="C269" s="13">
        <v>23.5</v>
      </c>
      <c r="D269" s="14">
        <v>15.5</v>
      </c>
      <c r="E269">
        <f t="shared" si="4"/>
        <v>2033</v>
      </c>
      <c r="F269" s="18">
        <v>1</v>
      </c>
    </row>
    <row r="270" spans="1:6" x14ac:dyDescent="0.35">
      <c r="A270" s="7">
        <v>48909</v>
      </c>
      <c r="B270" s="8" t="s">
        <v>27</v>
      </c>
      <c r="C270" s="9">
        <v>15.7</v>
      </c>
      <c r="D270" s="10">
        <v>0</v>
      </c>
      <c r="E270">
        <f t="shared" si="4"/>
        <v>2033</v>
      </c>
      <c r="F270" s="18">
        <v>1</v>
      </c>
    </row>
    <row r="271" spans="1:6" x14ac:dyDescent="0.35">
      <c r="A271" s="11">
        <v>48910</v>
      </c>
      <c r="B271" s="12" t="s">
        <v>26</v>
      </c>
      <c r="C271" s="13">
        <v>26</v>
      </c>
      <c r="D271" s="14">
        <v>6.4</v>
      </c>
      <c r="E271">
        <f t="shared" si="4"/>
        <v>2033</v>
      </c>
      <c r="F271" s="18">
        <v>1</v>
      </c>
    </row>
    <row r="272" spans="1:6" x14ac:dyDescent="0.35">
      <c r="A272" s="7">
        <v>48911</v>
      </c>
      <c r="B272" s="8" t="s">
        <v>19</v>
      </c>
      <c r="C272" s="9">
        <v>22.7</v>
      </c>
      <c r="D272" s="10">
        <v>0</v>
      </c>
      <c r="E272">
        <f t="shared" si="4"/>
        <v>2033</v>
      </c>
      <c r="F272" s="18">
        <v>1</v>
      </c>
    </row>
    <row r="273" spans="1:6" x14ac:dyDescent="0.35">
      <c r="A273" s="11">
        <v>48912</v>
      </c>
      <c r="B273" s="12" t="s">
        <v>9</v>
      </c>
      <c r="C273" s="13">
        <v>26.2</v>
      </c>
      <c r="D273" s="14">
        <v>5.7</v>
      </c>
      <c r="E273">
        <f t="shared" si="4"/>
        <v>2033</v>
      </c>
      <c r="F273" s="18">
        <v>1</v>
      </c>
    </row>
    <row r="274" spans="1:6" x14ac:dyDescent="0.35">
      <c r="A274" s="7">
        <v>48913</v>
      </c>
      <c r="B274" s="8" t="s">
        <v>22</v>
      </c>
      <c r="C274" s="9">
        <v>14.1</v>
      </c>
      <c r="D274" s="10">
        <v>0</v>
      </c>
      <c r="E274">
        <f t="shared" si="4"/>
        <v>2033</v>
      </c>
      <c r="F274" s="18">
        <v>1</v>
      </c>
    </row>
    <row r="275" spans="1:6" x14ac:dyDescent="0.35">
      <c r="A275" s="11">
        <v>48914</v>
      </c>
      <c r="B275" s="12" t="s">
        <v>11</v>
      </c>
      <c r="C275" s="13">
        <v>23.6</v>
      </c>
      <c r="D275" s="14">
        <v>19.7</v>
      </c>
      <c r="E275">
        <f t="shared" si="4"/>
        <v>2033</v>
      </c>
      <c r="F275" s="18">
        <v>1</v>
      </c>
    </row>
    <row r="276" spans="1:6" x14ac:dyDescent="0.35">
      <c r="A276" s="7">
        <v>48915</v>
      </c>
      <c r="B276" s="8" t="s">
        <v>19</v>
      </c>
      <c r="C276" s="9">
        <v>25.2</v>
      </c>
      <c r="D276" s="10">
        <v>37.200000000000003</v>
      </c>
      <c r="E276">
        <f t="shared" si="4"/>
        <v>2033</v>
      </c>
      <c r="F276" s="18">
        <v>1</v>
      </c>
    </row>
    <row r="277" spans="1:6" x14ac:dyDescent="0.35">
      <c r="A277" s="11">
        <v>48916</v>
      </c>
      <c r="B277" s="12" t="s">
        <v>13</v>
      </c>
      <c r="C277" s="13">
        <v>23</v>
      </c>
      <c r="D277" s="14">
        <v>0</v>
      </c>
      <c r="E277">
        <f t="shared" si="4"/>
        <v>2033</v>
      </c>
      <c r="F277" s="18">
        <v>1</v>
      </c>
    </row>
    <row r="278" spans="1:6" x14ac:dyDescent="0.35">
      <c r="A278" s="7">
        <v>48917</v>
      </c>
      <c r="B278" s="8" t="s">
        <v>6</v>
      </c>
      <c r="C278" s="9">
        <v>29.7</v>
      </c>
      <c r="D278" s="10">
        <v>6.8</v>
      </c>
      <c r="E278">
        <f t="shared" si="4"/>
        <v>2033</v>
      </c>
      <c r="F278" s="18">
        <v>1</v>
      </c>
    </row>
    <row r="279" spans="1:6" x14ac:dyDescent="0.35">
      <c r="A279" s="11">
        <v>48918</v>
      </c>
      <c r="B279" s="12" t="s">
        <v>9</v>
      </c>
      <c r="C279" s="13">
        <v>17.2</v>
      </c>
      <c r="D279" s="14">
        <v>3.5</v>
      </c>
      <c r="E279">
        <f t="shared" si="4"/>
        <v>2033</v>
      </c>
      <c r="F279" s="18">
        <v>1</v>
      </c>
    </row>
    <row r="280" spans="1:6" x14ac:dyDescent="0.35">
      <c r="A280" s="7">
        <v>48919</v>
      </c>
      <c r="B280" s="8" t="s">
        <v>9</v>
      </c>
      <c r="C280" s="9">
        <v>21.7</v>
      </c>
      <c r="D280" s="10">
        <v>2.5</v>
      </c>
      <c r="E280">
        <f t="shared" si="4"/>
        <v>2033</v>
      </c>
      <c r="F280" s="18">
        <v>1</v>
      </c>
    </row>
    <row r="281" spans="1:6" x14ac:dyDescent="0.35">
      <c r="A281" s="11">
        <v>48920</v>
      </c>
      <c r="B281" s="12" t="s">
        <v>11</v>
      </c>
      <c r="C281" s="13">
        <v>25.8</v>
      </c>
      <c r="D281" s="14">
        <v>3.8</v>
      </c>
      <c r="E281">
        <f t="shared" si="4"/>
        <v>2033</v>
      </c>
      <c r="F281" s="18">
        <v>1</v>
      </c>
    </row>
    <row r="282" spans="1:6" x14ac:dyDescent="0.35">
      <c r="A282" s="7">
        <v>48921</v>
      </c>
      <c r="B282" s="8" t="s">
        <v>26</v>
      </c>
      <c r="C282" s="9">
        <v>12.9</v>
      </c>
      <c r="D282" s="10">
        <v>1.6</v>
      </c>
      <c r="E282">
        <f t="shared" si="4"/>
        <v>2033</v>
      </c>
      <c r="F282" s="18">
        <v>1</v>
      </c>
    </row>
    <row r="283" spans="1:6" x14ac:dyDescent="0.35">
      <c r="A283" s="11">
        <v>48922</v>
      </c>
      <c r="B283" s="12" t="s">
        <v>16</v>
      </c>
      <c r="C283" s="13">
        <v>18.2</v>
      </c>
      <c r="D283" s="14">
        <v>0</v>
      </c>
      <c r="E283">
        <f t="shared" si="4"/>
        <v>2033</v>
      </c>
      <c r="F283" s="18">
        <v>1</v>
      </c>
    </row>
    <row r="284" spans="1:6" x14ac:dyDescent="0.35">
      <c r="A284" s="7">
        <v>48923</v>
      </c>
      <c r="B284" s="8" t="s">
        <v>10</v>
      </c>
      <c r="C284" s="9">
        <v>20</v>
      </c>
      <c r="D284" s="10">
        <v>25.7</v>
      </c>
      <c r="E284">
        <f t="shared" si="4"/>
        <v>2033</v>
      </c>
      <c r="F284" s="18">
        <v>1</v>
      </c>
    </row>
    <row r="285" spans="1:6" x14ac:dyDescent="0.35">
      <c r="A285" s="11">
        <v>48924</v>
      </c>
      <c r="B285" s="12" t="s">
        <v>19</v>
      </c>
      <c r="C285" s="13">
        <v>17.100000000000001</v>
      </c>
      <c r="D285" s="14">
        <v>33</v>
      </c>
      <c r="E285">
        <f t="shared" si="4"/>
        <v>2033</v>
      </c>
      <c r="F285" s="18">
        <v>1</v>
      </c>
    </row>
    <row r="286" spans="1:6" x14ac:dyDescent="0.35">
      <c r="A286" s="7">
        <v>48925</v>
      </c>
      <c r="B286" s="8" t="s">
        <v>5</v>
      </c>
      <c r="C286" s="9">
        <v>23.2</v>
      </c>
      <c r="D286" s="10">
        <v>2.2999999999999998</v>
      </c>
      <c r="E286">
        <f t="shared" si="4"/>
        <v>2033</v>
      </c>
      <c r="F286" s="18">
        <v>1</v>
      </c>
    </row>
    <row r="287" spans="1:6" x14ac:dyDescent="0.35">
      <c r="A287" s="11">
        <v>48926</v>
      </c>
      <c r="B287" s="12" t="s">
        <v>15</v>
      </c>
      <c r="C287" s="13">
        <v>23.1</v>
      </c>
      <c r="D287" s="14">
        <v>2.2000000000000002</v>
      </c>
      <c r="E287">
        <f t="shared" si="4"/>
        <v>2033</v>
      </c>
      <c r="F287" s="18">
        <v>1</v>
      </c>
    </row>
    <row r="288" spans="1:6" x14ac:dyDescent="0.35">
      <c r="A288" s="7">
        <v>48927</v>
      </c>
      <c r="B288" s="8" t="s">
        <v>10</v>
      </c>
      <c r="C288" s="9">
        <v>22.4</v>
      </c>
      <c r="D288" s="10">
        <v>33.5</v>
      </c>
      <c r="E288">
        <f t="shared" si="4"/>
        <v>2033</v>
      </c>
      <c r="F288" s="18">
        <v>1</v>
      </c>
    </row>
    <row r="289" spans="1:6" x14ac:dyDescent="0.35">
      <c r="A289" s="11">
        <v>48928</v>
      </c>
      <c r="B289" s="12" t="s">
        <v>33</v>
      </c>
      <c r="C289" s="13">
        <v>25.4</v>
      </c>
      <c r="D289" s="14">
        <v>0.9</v>
      </c>
      <c r="E289">
        <f t="shared" si="4"/>
        <v>2033</v>
      </c>
      <c r="F289" s="18">
        <v>1</v>
      </c>
    </row>
    <row r="290" spans="1:6" x14ac:dyDescent="0.35">
      <c r="A290" s="7">
        <v>48929</v>
      </c>
      <c r="B290" s="8" t="s">
        <v>10</v>
      </c>
      <c r="C290" s="9">
        <v>15.4</v>
      </c>
      <c r="D290" s="10">
        <v>1.6</v>
      </c>
      <c r="E290">
        <f t="shared" si="4"/>
        <v>2033</v>
      </c>
      <c r="F290" s="18">
        <v>1</v>
      </c>
    </row>
    <row r="291" spans="1:6" x14ac:dyDescent="0.35">
      <c r="A291" s="11">
        <v>48930</v>
      </c>
      <c r="B291" s="12" t="s">
        <v>25</v>
      </c>
      <c r="C291" s="13">
        <v>23.5</v>
      </c>
      <c r="D291" s="14">
        <v>0.6</v>
      </c>
      <c r="E291">
        <f t="shared" si="4"/>
        <v>2033</v>
      </c>
      <c r="F291" s="18">
        <v>1</v>
      </c>
    </row>
    <row r="292" spans="1:6" x14ac:dyDescent="0.35">
      <c r="A292" s="7">
        <v>48931</v>
      </c>
      <c r="B292" s="8" t="s">
        <v>15</v>
      </c>
      <c r="C292" s="9">
        <v>10.3</v>
      </c>
      <c r="D292" s="10">
        <v>15.4</v>
      </c>
      <c r="E292">
        <f t="shared" si="4"/>
        <v>2033</v>
      </c>
      <c r="F292" s="18">
        <v>1</v>
      </c>
    </row>
    <row r="293" spans="1:6" x14ac:dyDescent="0.35">
      <c r="A293" s="11">
        <v>48932</v>
      </c>
      <c r="B293" s="12" t="s">
        <v>10</v>
      </c>
      <c r="C293" s="13">
        <v>15.5</v>
      </c>
      <c r="D293" s="14">
        <v>20.2</v>
      </c>
      <c r="E293">
        <f t="shared" si="4"/>
        <v>2033</v>
      </c>
      <c r="F293" s="18">
        <v>1</v>
      </c>
    </row>
    <row r="294" spans="1:6" x14ac:dyDescent="0.35">
      <c r="A294" s="7">
        <v>48933</v>
      </c>
      <c r="B294" s="8" t="s">
        <v>24</v>
      </c>
      <c r="C294" s="9">
        <v>20.7</v>
      </c>
      <c r="D294" s="10">
        <v>3</v>
      </c>
      <c r="E294">
        <f t="shared" si="4"/>
        <v>2033</v>
      </c>
      <c r="F294" s="18">
        <v>1</v>
      </c>
    </row>
    <row r="295" spans="1:6" x14ac:dyDescent="0.35">
      <c r="A295" s="11">
        <v>48934</v>
      </c>
      <c r="B295" s="12" t="s">
        <v>13</v>
      </c>
      <c r="C295" s="13">
        <v>12.7</v>
      </c>
      <c r="D295" s="14">
        <v>14.4</v>
      </c>
      <c r="E295">
        <f t="shared" si="4"/>
        <v>2033</v>
      </c>
      <c r="F295" s="18">
        <v>1</v>
      </c>
    </row>
    <row r="296" spans="1:6" x14ac:dyDescent="0.35">
      <c r="A296" s="7">
        <v>48935</v>
      </c>
      <c r="B296" s="8" t="s">
        <v>23</v>
      </c>
      <c r="C296" s="9">
        <v>22.8</v>
      </c>
      <c r="D296" s="10">
        <v>3.3</v>
      </c>
      <c r="E296">
        <f t="shared" si="4"/>
        <v>2033</v>
      </c>
      <c r="F296" s="18">
        <v>1</v>
      </c>
    </row>
    <row r="297" spans="1:6" x14ac:dyDescent="0.35">
      <c r="A297" s="11">
        <v>48936</v>
      </c>
      <c r="B297" s="12" t="s">
        <v>30</v>
      </c>
      <c r="C297" s="13">
        <v>20.5</v>
      </c>
      <c r="D297" s="14">
        <v>0</v>
      </c>
      <c r="E297">
        <f t="shared" si="4"/>
        <v>2033</v>
      </c>
      <c r="F297" s="18">
        <v>1</v>
      </c>
    </row>
    <row r="298" spans="1:6" x14ac:dyDescent="0.35">
      <c r="A298" s="7">
        <v>48937</v>
      </c>
      <c r="B298" s="8" t="s">
        <v>22</v>
      </c>
      <c r="C298" s="9">
        <v>13.1</v>
      </c>
      <c r="D298" s="10">
        <v>5.9</v>
      </c>
      <c r="E298">
        <f t="shared" si="4"/>
        <v>2033</v>
      </c>
      <c r="F298" s="18">
        <v>1</v>
      </c>
    </row>
    <row r="299" spans="1:6" x14ac:dyDescent="0.35">
      <c r="A299" s="11">
        <v>48938</v>
      </c>
      <c r="B299" s="12" t="s">
        <v>21</v>
      </c>
      <c r="C299" s="13">
        <v>29</v>
      </c>
      <c r="D299" s="14">
        <v>1</v>
      </c>
      <c r="E299">
        <f t="shared" si="4"/>
        <v>2033</v>
      </c>
      <c r="F299" s="18">
        <v>1</v>
      </c>
    </row>
    <row r="300" spans="1:6" x14ac:dyDescent="0.35">
      <c r="A300" s="7">
        <v>48939</v>
      </c>
      <c r="B300" s="8" t="s">
        <v>19</v>
      </c>
      <c r="C300" s="9">
        <v>15.4</v>
      </c>
      <c r="D300" s="10">
        <v>0</v>
      </c>
      <c r="E300">
        <f t="shared" si="4"/>
        <v>2033</v>
      </c>
      <c r="F300" s="18">
        <v>1</v>
      </c>
    </row>
    <row r="301" spans="1:6" x14ac:dyDescent="0.35">
      <c r="A301" s="11">
        <v>48940</v>
      </c>
      <c r="B301" s="12" t="s">
        <v>10</v>
      </c>
      <c r="C301" s="13">
        <v>20.3</v>
      </c>
      <c r="D301" s="14">
        <v>10.7</v>
      </c>
      <c r="E301">
        <f t="shared" si="4"/>
        <v>2033</v>
      </c>
      <c r="F301" s="18">
        <v>1</v>
      </c>
    </row>
    <row r="302" spans="1:6" x14ac:dyDescent="0.35">
      <c r="A302" s="7">
        <v>48941</v>
      </c>
      <c r="B302" s="8" t="s">
        <v>10</v>
      </c>
      <c r="C302" s="9">
        <v>15</v>
      </c>
      <c r="D302" s="10">
        <v>0</v>
      </c>
      <c r="E302">
        <f t="shared" si="4"/>
        <v>2033</v>
      </c>
      <c r="F302" s="18">
        <v>1</v>
      </c>
    </row>
    <row r="303" spans="1:6" x14ac:dyDescent="0.35">
      <c r="A303" s="11">
        <v>48942</v>
      </c>
      <c r="B303" s="12" t="s">
        <v>18</v>
      </c>
      <c r="C303" s="13">
        <v>16.600000000000001</v>
      </c>
      <c r="D303" s="14">
        <v>0</v>
      </c>
      <c r="E303">
        <f t="shared" si="4"/>
        <v>2033</v>
      </c>
      <c r="F303" s="18">
        <v>1</v>
      </c>
    </row>
    <row r="304" spans="1:6" x14ac:dyDescent="0.35">
      <c r="A304" s="7">
        <v>48943</v>
      </c>
      <c r="B304" s="8" t="s">
        <v>11</v>
      </c>
      <c r="C304" s="9">
        <v>28.6</v>
      </c>
      <c r="D304" s="10">
        <v>0</v>
      </c>
      <c r="E304">
        <f t="shared" si="4"/>
        <v>2033</v>
      </c>
      <c r="F304" s="18">
        <v>1</v>
      </c>
    </row>
    <row r="305" spans="1:6" x14ac:dyDescent="0.35">
      <c r="A305" s="11">
        <v>48944</v>
      </c>
      <c r="B305" s="12" t="s">
        <v>17</v>
      </c>
      <c r="C305" s="13">
        <v>11.4</v>
      </c>
      <c r="D305" s="14">
        <v>3.6</v>
      </c>
      <c r="E305">
        <f t="shared" si="4"/>
        <v>2033</v>
      </c>
      <c r="F305" s="18">
        <v>1</v>
      </c>
    </row>
    <row r="306" spans="1:6" x14ac:dyDescent="0.35">
      <c r="A306" s="7">
        <v>48945</v>
      </c>
      <c r="B306" s="8" t="s">
        <v>9</v>
      </c>
      <c r="C306" s="9">
        <v>15.5</v>
      </c>
      <c r="D306" s="10">
        <v>1</v>
      </c>
      <c r="E306">
        <f t="shared" si="4"/>
        <v>2034</v>
      </c>
      <c r="F306" s="18">
        <v>1</v>
      </c>
    </row>
    <row r="307" spans="1:6" x14ac:dyDescent="0.35">
      <c r="A307" s="11">
        <v>48946</v>
      </c>
      <c r="B307" s="12" t="s">
        <v>6</v>
      </c>
      <c r="C307" s="13">
        <v>18.3</v>
      </c>
      <c r="D307" s="14">
        <v>0.7</v>
      </c>
      <c r="E307">
        <f t="shared" si="4"/>
        <v>2034</v>
      </c>
      <c r="F307" s="18">
        <v>1</v>
      </c>
    </row>
    <row r="308" spans="1:6" x14ac:dyDescent="0.35">
      <c r="A308" s="7">
        <v>48947</v>
      </c>
      <c r="B308" s="8" t="s">
        <v>19</v>
      </c>
      <c r="C308" s="9">
        <v>14.9</v>
      </c>
      <c r="D308" s="10">
        <v>6.1</v>
      </c>
      <c r="E308">
        <f t="shared" si="4"/>
        <v>2034</v>
      </c>
      <c r="F308" s="18">
        <v>1</v>
      </c>
    </row>
    <row r="309" spans="1:6" x14ac:dyDescent="0.35">
      <c r="A309" s="11">
        <v>48948</v>
      </c>
      <c r="B309" s="12" t="s">
        <v>11</v>
      </c>
      <c r="C309" s="13">
        <v>29.7</v>
      </c>
      <c r="D309" s="14">
        <v>13.3</v>
      </c>
      <c r="E309">
        <f t="shared" si="4"/>
        <v>2034</v>
      </c>
      <c r="F309" s="18">
        <v>1</v>
      </c>
    </row>
    <row r="310" spans="1:6" x14ac:dyDescent="0.35">
      <c r="A310" s="7">
        <v>48949</v>
      </c>
      <c r="B310" s="8" t="s">
        <v>7</v>
      </c>
      <c r="C310" s="9">
        <v>28.9</v>
      </c>
      <c r="D310" s="10">
        <v>13.8</v>
      </c>
      <c r="E310">
        <f t="shared" si="4"/>
        <v>2034</v>
      </c>
      <c r="F310" s="18">
        <v>1</v>
      </c>
    </row>
    <row r="311" spans="1:6" x14ac:dyDescent="0.35">
      <c r="A311" s="11">
        <v>48950</v>
      </c>
      <c r="B311" s="12" t="s">
        <v>17</v>
      </c>
      <c r="C311" s="13">
        <v>24.3</v>
      </c>
      <c r="D311" s="14">
        <v>0</v>
      </c>
      <c r="E311">
        <f t="shared" si="4"/>
        <v>2034</v>
      </c>
      <c r="F311" s="18">
        <v>1</v>
      </c>
    </row>
    <row r="312" spans="1:6" x14ac:dyDescent="0.35">
      <c r="A312" s="7">
        <v>48951</v>
      </c>
      <c r="B312" s="8" t="s">
        <v>10</v>
      </c>
      <c r="C312" s="9">
        <v>24</v>
      </c>
      <c r="D312" s="10">
        <v>19.7</v>
      </c>
      <c r="E312">
        <f t="shared" si="4"/>
        <v>2034</v>
      </c>
      <c r="F312" s="18">
        <v>1</v>
      </c>
    </row>
    <row r="313" spans="1:6" x14ac:dyDescent="0.35">
      <c r="A313" s="11">
        <v>48952</v>
      </c>
      <c r="B313" s="12" t="s">
        <v>15</v>
      </c>
      <c r="C313" s="13">
        <v>11.8</v>
      </c>
      <c r="D313" s="14">
        <v>13.3</v>
      </c>
      <c r="E313">
        <f t="shared" si="4"/>
        <v>2034</v>
      </c>
      <c r="F313" s="18">
        <v>1</v>
      </c>
    </row>
    <row r="314" spans="1:6" x14ac:dyDescent="0.35">
      <c r="A314" s="7">
        <v>48953</v>
      </c>
      <c r="B314" s="8" t="s">
        <v>10</v>
      </c>
      <c r="C314" s="9">
        <v>26.5</v>
      </c>
      <c r="D314" s="10">
        <v>19.7</v>
      </c>
      <c r="E314">
        <f t="shared" si="4"/>
        <v>2034</v>
      </c>
      <c r="F314" s="18">
        <v>1</v>
      </c>
    </row>
    <row r="315" spans="1:6" x14ac:dyDescent="0.35">
      <c r="A315" s="11">
        <v>48954</v>
      </c>
      <c r="B315" s="12" t="s">
        <v>26</v>
      </c>
      <c r="C315" s="13">
        <v>12.4</v>
      </c>
      <c r="D315" s="14">
        <v>5.0999999999999996</v>
      </c>
      <c r="E315">
        <f t="shared" si="4"/>
        <v>2034</v>
      </c>
      <c r="F315" s="18">
        <v>1</v>
      </c>
    </row>
    <row r="316" spans="1:6" x14ac:dyDescent="0.35">
      <c r="A316" s="7">
        <v>48955</v>
      </c>
      <c r="B316" s="8" t="s">
        <v>10</v>
      </c>
      <c r="C316" s="9">
        <v>21.9</v>
      </c>
      <c r="D316" s="10">
        <v>6.6</v>
      </c>
      <c r="E316">
        <f t="shared" si="4"/>
        <v>2034</v>
      </c>
      <c r="F316" s="18">
        <v>1</v>
      </c>
    </row>
    <row r="317" spans="1:6" x14ac:dyDescent="0.35">
      <c r="A317" s="11">
        <v>48956</v>
      </c>
      <c r="B317" s="12" t="s">
        <v>10</v>
      </c>
      <c r="C317" s="13">
        <v>20.3</v>
      </c>
      <c r="D317" s="14">
        <v>0</v>
      </c>
      <c r="E317">
        <f t="shared" si="4"/>
        <v>2034</v>
      </c>
      <c r="F317" s="18">
        <v>1</v>
      </c>
    </row>
    <row r="318" spans="1:6" x14ac:dyDescent="0.35">
      <c r="A318" s="7">
        <v>48957</v>
      </c>
      <c r="B318" s="8" t="s">
        <v>32</v>
      </c>
      <c r="C318" s="9">
        <v>27.7</v>
      </c>
      <c r="D318" s="10">
        <v>0.3</v>
      </c>
      <c r="E318">
        <f t="shared" si="4"/>
        <v>2034</v>
      </c>
      <c r="F318" s="18">
        <v>1</v>
      </c>
    </row>
    <row r="319" spans="1:6" x14ac:dyDescent="0.35">
      <c r="A319" s="11">
        <v>48958</v>
      </c>
      <c r="B319" s="12" t="s">
        <v>19</v>
      </c>
      <c r="C319" s="13">
        <v>28.5</v>
      </c>
      <c r="D319" s="14">
        <v>30</v>
      </c>
      <c r="E319">
        <f t="shared" si="4"/>
        <v>2034</v>
      </c>
      <c r="F319" s="18">
        <v>1</v>
      </c>
    </row>
    <row r="320" spans="1:6" x14ac:dyDescent="0.35">
      <c r="A320" s="7">
        <v>48959</v>
      </c>
      <c r="B320" s="8" t="s">
        <v>21</v>
      </c>
      <c r="C320" s="9">
        <v>28.7</v>
      </c>
      <c r="D320" s="10">
        <v>1.9</v>
      </c>
      <c r="E320">
        <f t="shared" si="4"/>
        <v>2034</v>
      </c>
      <c r="F320" s="18">
        <v>1</v>
      </c>
    </row>
    <row r="321" spans="1:6" x14ac:dyDescent="0.35">
      <c r="A321" s="11">
        <v>48960</v>
      </c>
      <c r="B321" s="12" t="s">
        <v>4</v>
      </c>
      <c r="C321" s="13">
        <v>10.9</v>
      </c>
      <c r="D321" s="14">
        <v>0</v>
      </c>
      <c r="E321">
        <f t="shared" si="4"/>
        <v>2034</v>
      </c>
      <c r="F321" s="18">
        <v>1</v>
      </c>
    </row>
    <row r="322" spans="1:6" x14ac:dyDescent="0.35">
      <c r="A322" s="7">
        <v>48961</v>
      </c>
      <c r="B322" s="8" t="s">
        <v>9</v>
      </c>
      <c r="C322" s="9">
        <v>13.7</v>
      </c>
      <c r="D322" s="10">
        <v>0</v>
      </c>
      <c r="E322">
        <f t="shared" si="4"/>
        <v>2034</v>
      </c>
      <c r="F322" s="18">
        <v>1</v>
      </c>
    </row>
    <row r="323" spans="1:6" x14ac:dyDescent="0.35">
      <c r="A323" s="11">
        <v>48962</v>
      </c>
      <c r="B323" s="12" t="s">
        <v>11</v>
      </c>
      <c r="C323" s="13">
        <v>28.2</v>
      </c>
      <c r="D323" s="14">
        <v>0</v>
      </c>
      <c r="E323">
        <f t="shared" ref="E323:E386" si="5">YEAR(A323)</f>
        <v>2034</v>
      </c>
      <c r="F323" s="18">
        <v>1</v>
      </c>
    </row>
    <row r="324" spans="1:6" x14ac:dyDescent="0.35">
      <c r="A324" s="7">
        <v>48963</v>
      </c>
      <c r="B324" s="8" t="s">
        <v>19</v>
      </c>
      <c r="C324" s="9">
        <v>20.100000000000001</v>
      </c>
      <c r="D324" s="10">
        <v>0</v>
      </c>
      <c r="E324">
        <f t="shared" si="5"/>
        <v>2034</v>
      </c>
      <c r="F324" s="18">
        <v>1</v>
      </c>
    </row>
    <row r="325" spans="1:6" x14ac:dyDescent="0.35">
      <c r="A325" s="11">
        <v>48964</v>
      </c>
      <c r="B325" s="12" t="s">
        <v>11</v>
      </c>
      <c r="C325" s="13">
        <v>20.6</v>
      </c>
      <c r="D325" s="14">
        <v>0</v>
      </c>
      <c r="E325">
        <f t="shared" si="5"/>
        <v>2034</v>
      </c>
      <c r="F325" s="18">
        <v>1</v>
      </c>
    </row>
    <row r="326" spans="1:6" x14ac:dyDescent="0.35">
      <c r="A326" s="7">
        <v>48965</v>
      </c>
      <c r="B326" s="8" t="s">
        <v>13</v>
      </c>
      <c r="C326" s="9">
        <v>15.5</v>
      </c>
      <c r="D326" s="10">
        <v>16.8</v>
      </c>
      <c r="E326">
        <f t="shared" si="5"/>
        <v>2034</v>
      </c>
      <c r="F326" s="18">
        <v>1</v>
      </c>
    </row>
    <row r="327" spans="1:6" x14ac:dyDescent="0.35">
      <c r="A327" s="11">
        <v>48966</v>
      </c>
      <c r="B327" s="12" t="s">
        <v>12</v>
      </c>
      <c r="C327" s="13">
        <v>22.2</v>
      </c>
      <c r="D327" s="14">
        <v>2.4</v>
      </c>
      <c r="E327">
        <f t="shared" si="5"/>
        <v>2034</v>
      </c>
      <c r="F327" s="18">
        <v>1</v>
      </c>
    </row>
    <row r="328" spans="1:6" x14ac:dyDescent="0.35">
      <c r="A328" s="7">
        <v>48967</v>
      </c>
      <c r="B328" s="8" t="s">
        <v>13</v>
      </c>
      <c r="C328" s="9">
        <v>15</v>
      </c>
      <c r="D328" s="10">
        <v>4.0999999999999996</v>
      </c>
      <c r="E328">
        <f t="shared" si="5"/>
        <v>2034</v>
      </c>
      <c r="F328" s="18">
        <v>1</v>
      </c>
    </row>
    <row r="329" spans="1:6" x14ac:dyDescent="0.35">
      <c r="A329" s="11">
        <v>48968</v>
      </c>
      <c r="B329" s="12" t="s">
        <v>19</v>
      </c>
      <c r="C329" s="13">
        <v>18.399999999999999</v>
      </c>
      <c r="D329" s="14">
        <v>30.4</v>
      </c>
      <c r="E329">
        <f t="shared" si="5"/>
        <v>2034</v>
      </c>
      <c r="F329" s="18">
        <v>1</v>
      </c>
    </row>
    <row r="330" spans="1:6" x14ac:dyDescent="0.35">
      <c r="A330" s="7">
        <v>48969</v>
      </c>
      <c r="B330" s="8" t="s">
        <v>32</v>
      </c>
      <c r="C330" s="9">
        <v>29.3</v>
      </c>
      <c r="D330" s="10">
        <v>0.4</v>
      </c>
      <c r="E330">
        <f t="shared" si="5"/>
        <v>2034</v>
      </c>
      <c r="F330" s="18">
        <v>1</v>
      </c>
    </row>
    <row r="331" spans="1:6" x14ac:dyDescent="0.35">
      <c r="A331" s="11">
        <v>48970</v>
      </c>
      <c r="B331" s="12" t="s">
        <v>23</v>
      </c>
      <c r="C331" s="13">
        <v>23.9</v>
      </c>
      <c r="D331" s="14">
        <v>3.3</v>
      </c>
      <c r="E331">
        <f t="shared" si="5"/>
        <v>2034</v>
      </c>
      <c r="F331" s="18">
        <v>1</v>
      </c>
    </row>
    <row r="332" spans="1:6" x14ac:dyDescent="0.35">
      <c r="A332" s="7">
        <v>48971</v>
      </c>
      <c r="B332" s="8" t="s">
        <v>20</v>
      </c>
      <c r="C332" s="9">
        <v>29.8</v>
      </c>
      <c r="D332" s="10">
        <v>3.3</v>
      </c>
      <c r="E332">
        <f t="shared" si="5"/>
        <v>2034</v>
      </c>
      <c r="F332" s="18">
        <v>1</v>
      </c>
    </row>
    <row r="333" spans="1:6" x14ac:dyDescent="0.35">
      <c r="A333" s="11">
        <v>48972</v>
      </c>
      <c r="B333" s="12" t="s">
        <v>10</v>
      </c>
      <c r="C333" s="13">
        <v>29.1</v>
      </c>
      <c r="D333" s="14">
        <v>23</v>
      </c>
      <c r="E333">
        <f t="shared" si="5"/>
        <v>2034</v>
      </c>
      <c r="F333" s="18">
        <v>1</v>
      </c>
    </row>
    <row r="334" spans="1:6" x14ac:dyDescent="0.35">
      <c r="A334" s="7">
        <v>48973</v>
      </c>
      <c r="B334" s="8" t="s">
        <v>11</v>
      </c>
      <c r="C334" s="9">
        <v>22.5</v>
      </c>
      <c r="D334" s="10">
        <v>17.2</v>
      </c>
      <c r="E334">
        <f t="shared" si="5"/>
        <v>2034</v>
      </c>
      <c r="F334" s="18">
        <v>1</v>
      </c>
    </row>
    <row r="335" spans="1:6" x14ac:dyDescent="0.35">
      <c r="A335" s="11">
        <v>48974</v>
      </c>
      <c r="B335" s="12" t="s">
        <v>19</v>
      </c>
      <c r="C335" s="13">
        <v>15.3</v>
      </c>
      <c r="D335" s="14">
        <v>21.5</v>
      </c>
      <c r="E335">
        <f t="shared" si="5"/>
        <v>2034</v>
      </c>
      <c r="F335" s="18">
        <v>1</v>
      </c>
    </row>
    <row r="336" spans="1:6" x14ac:dyDescent="0.35">
      <c r="A336" s="7">
        <v>48975</v>
      </c>
      <c r="B336" s="8" t="s">
        <v>10</v>
      </c>
      <c r="C336" s="9">
        <v>13.8</v>
      </c>
      <c r="D336" s="10">
        <v>40.4</v>
      </c>
      <c r="E336">
        <f t="shared" si="5"/>
        <v>2034</v>
      </c>
      <c r="F336" s="18">
        <v>1</v>
      </c>
    </row>
    <row r="337" spans="1:6" x14ac:dyDescent="0.35">
      <c r="A337" s="11">
        <v>48976</v>
      </c>
      <c r="B337" s="12" t="s">
        <v>7</v>
      </c>
      <c r="C337" s="13">
        <v>12.3</v>
      </c>
      <c r="D337" s="14">
        <v>0</v>
      </c>
      <c r="E337">
        <f t="shared" si="5"/>
        <v>2034</v>
      </c>
      <c r="F337" s="18">
        <v>1</v>
      </c>
    </row>
    <row r="338" spans="1:6" x14ac:dyDescent="0.35">
      <c r="A338" s="7">
        <v>48977</v>
      </c>
      <c r="B338" s="8" t="s">
        <v>5</v>
      </c>
      <c r="C338" s="9">
        <v>18.5</v>
      </c>
      <c r="D338" s="10">
        <v>4.2</v>
      </c>
      <c r="E338">
        <f t="shared" si="5"/>
        <v>2034</v>
      </c>
      <c r="F338" s="18">
        <v>1</v>
      </c>
    </row>
    <row r="339" spans="1:6" x14ac:dyDescent="0.35">
      <c r="A339" s="11">
        <v>48978</v>
      </c>
      <c r="B339" s="12" t="s">
        <v>20</v>
      </c>
      <c r="C339" s="13">
        <v>10.3</v>
      </c>
      <c r="D339" s="14">
        <v>3.2</v>
      </c>
      <c r="E339">
        <f t="shared" si="5"/>
        <v>2034</v>
      </c>
      <c r="F339" s="18">
        <v>1</v>
      </c>
    </row>
    <row r="340" spans="1:6" x14ac:dyDescent="0.35">
      <c r="A340" s="7">
        <v>48979</v>
      </c>
      <c r="B340" s="8" t="s">
        <v>19</v>
      </c>
      <c r="C340" s="9">
        <v>24.9</v>
      </c>
      <c r="D340" s="10">
        <v>12.1</v>
      </c>
      <c r="E340">
        <f t="shared" si="5"/>
        <v>2034</v>
      </c>
      <c r="F340" s="18">
        <v>1</v>
      </c>
    </row>
    <row r="341" spans="1:6" x14ac:dyDescent="0.35">
      <c r="A341" s="11">
        <v>48980</v>
      </c>
      <c r="B341" s="12" t="s">
        <v>10</v>
      </c>
      <c r="C341" s="13">
        <v>26.4</v>
      </c>
      <c r="D341" s="14">
        <v>0</v>
      </c>
      <c r="E341">
        <f t="shared" si="5"/>
        <v>2034</v>
      </c>
      <c r="F341" s="18">
        <v>1</v>
      </c>
    </row>
    <row r="342" spans="1:6" x14ac:dyDescent="0.35">
      <c r="A342" s="7">
        <v>48981</v>
      </c>
      <c r="B342" s="8" t="s">
        <v>7</v>
      </c>
      <c r="C342" s="9">
        <v>11.8</v>
      </c>
      <c r="D342" s="10">
        <v>0</v>
      </c>
      <c r="E342">
        <f t="shared" si="5"/>
        <v>2034</v>
      </c>
      <c r="F342" s="18">
        <v>1</v>
      </c>
    </row>
    <row r="343" spans="1:6" x14ac:dyDescent="0.35">
      <c r="A343" s="11">
        <v>48982</v>
      </c>
      <c r="B343" s="12" t="s">
        <v>6</v>
      </c>
      <c r="C343" s="13">
        <v>11</v>
      </c>
      <c r="D343" s="14">
        <v>7.5</v>
      </c>
      <c r="E343">
        <f t="shared" si="5"/>
        <v>2034</v>
      </c>
      <c r="F343" s="18">
        <v>1</v>
      </c>
    </row>
    <row r="344" spans="1:6" x14ac:dyDescent="0.35">
      <c r="A344" s="7">
        <v>48983</v>
      </c>
      <c r="B344" s="8" t="s">
        <v>10</v>
      </c>
      <c r="C344" s="9">
        <v>15.4</v>
      </c>
      <c r="D344" s="10">
        <v>5.2</v>
      </c>
      <c r="E344">
        <f t="shared" si="5"/>
        <v>2034</v>
      </c>
      <c r="F344" s="18">
        <v>1</v>
      </c>
    </row>
    <row r="345" spans="1:6" x14ac:dyDescent="0.35">
      <c r="A345" s="11">
        <v>48984</v>
      </c>
      <c r="B345" s="12" t="s">
        <v>27</v>
      </c>
      <c r="C345" s="13">
        <v>25.7</v>
      </c>
      <c r="D345" s="14">
        <v>5.8</v>
      </c>
      <c r="E345">
        <f t="shared" si="5"/>
        <v>2034</v>
      </c>
      <c r="F345" s="18">
        <v>1</v>
      </c>
    </row>
    <row r="346" spans="1:6" x14ac:dyDescent="0.35">
      <c r="A346" s="7">
        <v>48985</v>
      </c>
      <c r="B346" s="8" t="s">
        <v>13</v>
      </c>
      <c r="C346" s="9">
        <v>14.8</v>
      </c>
      <c r="D346" s="10">
        <v>0</v>
      </c>
      <c r="E346">
        <f t="shared" si="5"/>
        <v>2034</v>
      </c>
      <c r="F346" s="18">
        <v>1</v>
      </c>
    </row>
    <row r="347" spans="1:6" x14ac:dyDescent="0.35">
      <c r="A347" s="11">
        <v>48986</v>
      </c>
      <c r="B347" s="12" t="s">
        <v>31</v>
      </c>
      <c r="C347" s="13">
        <v>21.5</v>
      </c>
      <c r="D347" s="14">
        <v>0.8</v>
      </c>
      <c r="E347">
        <f t="shared" si="5"/>
        <v>2034</v>
      </c>
      <c r="F347" s="18">
        <v>1</v>
      </c>
    </row>
    <row r="348" spans="1:6" x14ac:dyDescent="0.35">
      <c r="A348" s="7">
        <v>48987</v>
      </c>
      <c r="B348" s="8" t="s">
        <v>19</v>
      </c>
      <c r="C348" s="9">
        <v>26.2</v>
      </c>
      <c r="D348" s="10">
        <v>8.9</v>
      </c>
      <c r="E348">
        <f t="shared" si="5"/>
        <v>2034</v>
      </c>
      <c r="F348" s="18">
        <v>1</v>
      </c>
    </row>
    <row r="349" spans="1:6" x14ac:dyDescent="0.35">
      <c r="A349" s="11">
        <v>48988</v>
      </c>
      <c r="B349" s="12" t="s">
        <v>4</v>
      </c>
      <c r="C349" s="13">
        <v>20.6</v>
      </c>
      <c r="D349" s="14">
        <v>0.1</v>
      </c>
      <c r="E349">
        <f t="shared" si="5"/>
        <v>2034</v>
      </c>
      <c r="F349" s="18">
        <v>1</v>
      </c>
    </row>
    <row r="350" spans="1:6" x14ac:dyDescent="0.35">
      <c r="A350" s="7">
        <v>48989</v>
      </c>
      <c r="B350" s="8" t="s">
        <v>10</v>
      </c>
      <c r="C350" s="9">
        <v>14.1</v>
      </c>
      <c r="D350" s="10">
        <v>20.9</v>
      </c>
      <c r="E350">
        <f t="shared" si="5"/>
        <v>2034</v>
      </c>
      <c r="F350" s="18">
        <v>1</v>
      </c>
    </row>
    <row r="351" spans="1:6" x14ac:dyDescent="0.35">
      <c r="A351" s="11">
        <v>48990</v>
      </c>
      <c r="B351" s="12" t="s">
        <v>24</v>
      </c>
      <c r="C351" s="13">
        <v>20.8</v>
      </c>
      <c r="D351" s="14">
        <v>0.7</v>
      </c>
      <c r="E351">
        <f t="shared" si="5"/>
        <v>2034</v>
      </c>
      <c r="F351" s="18">
        <v>1</v>
      </c>
    </row>
    <row r="352" spans="1:6" x14ac:dyDescent="0.35">
      <c r="A352" s="7">
        <v>48991</v>
      </c>
      <c r="B352" s="8" t="s">
        <v>18</v>
      </c>
      <c r="C352" s="9">
        <v>17.600000000000001</v>
      </c>
      <c r="D352" s="10">
        <v>10.5</v>
      </c>
      <c r="E352">
        <f t="shared" si="5"/>
        <v>2034</v>
      </c>
      <c r="F352" s="18">
        <v>1</v>
      </c>
    </row>
    <row r="353" spans="1:6" x14ac:dyDescent="0.35">
      <c r="A353" s="11">
        <v>48992</v>
      </c>
      <c r="B353" s="12" t="s">
        <v>10</v>
      </c>
      <c r="C353" s="13">
        <v>16.8</v>
      </c>
      <c r="D353" s="14">
        <v>38.9</v>
      </c>
      <c r="E353">
        <f t="shared" si="5"/>
        <v>2034</v>
      </c>
      <c r="F353" s="18">
        <v>1</v>
      </c>
    </row>
    <row r="354" spans="1:6" x14ac:dyDescent="0.35">
      <c r="A354" s="7">
        <v>48993</v>
      </c>
      <c r="B354" s="8" t="s">
        <v>4</v>
      </c>
      <c r="C354" s="9">
        <v>23.1</v>
      </c>
      <c r="D354" s="10">
        <v>0</v>
      </c>
      <c r="E354">
        <f t="shared" si="5"/>
        <v>2034</v>
      </c>
      <c r="F354" s="18">
        <v>1</v>
      </c>
    </row>
    <row r="355" spans="1:6" x14ac:dyDescent="0.35">
      <c r="A355" s="11">
        <v>48994</v>
      </c>
      <c r="B355" s="12" t="s">
        <v>27</v>
      </c>
      <c r="C355" s="13">
        <v>16.3</v>
      </c>
      <c r="D355" s="14">
        <v>3.4</v>
      </c>
      <c r="E355">
        <f t="shared" si="5"/>
        <v>2034</v>
      </c>
      <c r="F355" s="18">
        <v>1</v>
      </c>
    </row>
    <row r="356" spans="1:6" x14ac:dyDescent="0.35">
      <c r="A356" s="7">
        <v>48995</v>
      </c>
      <c r="B356" s="8" t="s">
        <v>7</v>
      </c>
      <c r="C356" s="9">
        <v>15.7</v>
      </c>
      <c r="D356" s="10">
        <v>10.9</v>
      </c>
      <c r="E356">
        <f t="shared" si="5"/>
        <v>2034</v>
      </c>
      <c r="F356" s="18">
        <v>1</v>
      </c>
    </row>
    <row r="357" spans="1:6" x14ac:dyDescent="0.35">
      <c r="A357" s="11">
        <v>48996</v>
      </c>
      <c r="B357" s="12" t="s">
        <v>18</v>
      </c>
      <c r="C357" s="13">
        <v>29.3</v>
      </c>
      <c r="D357" s="14">
        <v>2.1</v>
      </c>
      <c r="E357">
        <f t="shared" si="5"/>
        <v>2034</v>
      </c>
      <c r="F357" s="18">
        <v>1</v>
      </c>
    </row>
    <row r="358" spans="1:6" x14ac:dyDescent="0.35">
      <c r="A358" s="7">
        <v>48997</v>
      </c>
      <c r="B358" s="8" t="s">
        <v>22</v>
      </c>
      <c r="C358" s="9">
        <v>24</v>
      </c>
      <c r="D358" s="10">
        <v>7.3</v>
      </c>
      <c r="E358">
        <f t="shared" si="5"/>
        <v>2034</v>
      </c>
      <c r="F358" s="18">
        <v>1</v>
      </c>
    </row>
    <row r="359" spans="1:6" x14ac:dyDescent="0.35">
      <c r="A359" s="11">
        <v>48998</v>
      </c>
      <c r="B359" s="12" t="s">
        <v>6</v>
      </c>
      <c r="C359" s="13">
        <v>27</v>
      </c>
      <c r="D359" s="14">
        <v>0.6</v>
      </c>
      <c r="E359">
        <f t="shared" si="5"/>
        <v>2034</v>
      </c>
      <c r="F359" s="18">
        <v>1</v>
      </c>
    </row>
    <row r="360" spans="1:6" x14ac:dyDescent="0.35">
      <c r="A360" s="7">
        <v>48999</v>
      </c>
      <c r="B360" s="8" t="s">
        <v>10</v>
      </c>
      <c r="C360" s="9">
        <v>26.3</v>
      </c>
      <c r="D360" s="10">
        <v>1.2</v>
      </c>
      <c r="E360">
        <f t="shared" si="5"/>
        <v>2034</v>
      </c>
      <c r="F360" s="18">
        <v>1</v>
      </c>
    </row>
    <row r="361" spans="1:6" x14ac:dyDescent="0.35">
      <c r="A361" s="11">
        <v>49000</v>
      </c>
      <c r="B361" s="12" t="s">
        <v>15</v>
      </c>
      <c r="C361" s="13">
        <v>26.3</v>
      </c>
      <c r="D361" s="14">
        <v>8.1999999999999993</v>
      </c>
      <c r="E361">
        <f t="shared" si="5"/>
        <v>2034</v>
      </c>
      <c r="F361" s="18">
        <v>1</v>
      </c>
    </row>
    <row r="362" spans="1:6" x14ac:dyDescent="0.35">
      <c r="A362" s="7">
        <v>49001</v>
      </c>
      <c r="B362" s="8" t="s">
        <v>6</v>
      </c>
      <c r="C362" s="9">
        <v>25.2</v>
      </c>
      <c r="D362" s="10">
        <v>4.7</v>
      </c>
      <c r="E362">
        <f t="shared" si="5"/>
        <v>2034</v>
      </c>
      <c r="F362" s="18">
        <v>1</v>
      </c>
    </row>
    <row r="363" spans="1:6" x14ac:dyDescent="0.35">
      <c r="A363" s="11">
        <v>49002</v>
      </c>
      <c r="B363" s="12" t="s">
        <v>10</v>
      </c>
      <c r="C363" s="13">
        <v>22.1</v>
      </c>
      <c r="D363" s="14">
        <v>0</v>
      </c>
      <c r="E363">
        <f t="shared" si="5"/>
        <v>2034</v>
      </c>
      <c r="F363" s="18">
        <v>1</v>
      </c>
    </row>
    <row r="364" spans="1:6" x14ac:dyDescent="0.35">
      <c r="A364" s="7">
        <v>49003</v>
      </c>
      <c r="B364" s="8" t="s">
        <v>10</v>
      </c>
      <c r="C364" s="9">
        <v>11.9</v>
      </c>
      <c r="D364" s="10">
        <v>41.6</v>
      </c>
      <c r="E364">
        <f t="shared" si="5"/>
        <v>2034</v>
      </c>
      <c r="F364" s="18">
        <v>1</v>
      </c>
    </row>
    <row r="365" spans="1:6" x14ac:dyDescent="0.35">
      <c r="A365" s="11">
        <v>49004</v>
      </c>
      <c r="B365" s="12" t="s">
        <v>13</v>
      </c>
      <c r="C365" s="13">
        <v>19.600000000000001</v>
      </c>
      <c r="D365" s="14">
        <v>0</v>
      </c>
      <c r="E365">
        <f t="shared" si="5"/>
        <v>2034</v>
      </c>
      <c r="F365" s="18">
        <v>1</v>
      </c>
    </row>
    <row r="366" spans="1:6" x14ac:dyDescent="0.35">
      <c r="A366" s="7">
        <v>49005</v>
      </c>
      <c r="B366" s="8" t="s">
        <v>27</v>
      </c>
      <c r="C366" s="9">
        <v>15.9</v>
      </c>
      <c r="D366" s="10">
        <v>0</v>
      </c>
      <c r="E366">
        <f t="shared" si="5"/>
        <v>2034</v>
      </c>
      <c r="F366" s="18">
        <v>1</v>
      </c>
    </row>
    <row r="367" spans="1:6" x14ac:dyDescent="0.35">
      <c r="A367" s="11">
        <v>49006</v>
      </c>
      <c r="B367" s="12" t="s">
        <v>12</v>
      </c>
      <c r="C367" s="13">
        <v>24.3</v>
      </c>
      <c r="D367" s="14">
        <v>1.7</v>
      </c>
      <c r="E367">
        <f t="shared" si="5"/>
        <v>2034</v>
      </c>
      <c r="F367" s="18">
        <v>1</v>
      </c>
    </row>
    <row r="368" spans="1:6" x14ac:dyDescent="0.35">
      <c r="A368" s="7">
        <v>49007</v>
      </c>
      <c r="B368" s="8" t="s">
        <v>14</v>
      </c>
      <c r="C368" s="9">
        <v>20</v>
      </c>
      <c r="D368" s="10">
        <v>0</v>
      </c>
      <c r="E368">
        <f t="shared" si="5"/>
        <v>2034</v>
      </c>
      <c r="F368" s="18">
        <v>1</v>
      </c>
    </row>
    <row r="369" spans="1:6" x14ac:dyDescent="0.35">
      <c r="A369" s="11">
        <v>49008</v>
      </c>
      <c r="B369" s="12" t="s">
        <v>10</v>
      </c>
      <c r="C369" s="13">
        <v>14.2</v>
      </c>
      <c r="D369" s="14">
        <v>32.200000000000003</v>
      </c>
      <c r="E369">
        <f t="shared" si="5"/>
        <v>2034</v>
      </c>
      <c r="F369" s="18">
        <v>1</v>
      </c>
    </row>
    <row r="370" spans="1:6" x14ac:dyDescent="0.35">
      <c r="A370" s="7">
        <v>49009</v>
      </c>
      <c r="B370" s="8" t="s">
        <v>7</v>
      </c>
      <c r="C370" s="9">
        <v>20.5</v>
      </c>
      <c r="D370" s="10">
        <v>18.3</v>
      </c>
      <c r="E370">
        <f t="shared" si="5"/>
        <v>2034</v>
      </c>
      <c r="F370" s="18">
        <v>1</v>
      </c>
    </row>
    <row r="371" spans="1:6" x14ac:dyDescent="0.35">
      <c r="A371" s="11">
        <v>49010</v>
      </c>
      <c r="B371" s="12" t="s">
        <v>10</v>
      </c>
      <c r="C371" s="13">
        <v>22.4</v>
      </c>
      <c r="D371" s="14">
        <v>0</v>
      </c>
      <c r="E371">
        <f t="shared" si="5"/>
        <v>2034</v>
      </c>
      <c r="F371" s="18">
        <v>1</v>
      </c>
    </row>
    <row r="372" spans="1:6" x14ac:dyDescent="0.35">
      <c r="A372" s="7">
        <v>49011</v>
      </c>
      <c r="B372" s="8" t="s">
        <v>22</v>
      </c>
      <c r="C372" s="9">
        <v>19.100000000000001</v>
      </c>
      <c r="D372" s="10">
        <v>0</v>
      </c>
      <c r="E372">
        <f t="shared" si="5"/>
        <v>2034</v>
      </c>
      <c r="F372" s="18">
        <v>1</v>
      </c>
    </row>
    <row r="373" spans="1:6" x14ac:dyDescent="0.35">
      <c r="A373" s="11">
        <v>49012</v>
      </c>
      <c r="B373" s="12" t="s">
        <v>15</v>
      </c>
      <c r="C373" s="13">
        <v>20.399999999999999</v>
      </c>
      <c r="D373" s="14">
        <v>4.3</v>
      </c>
      <c r="E373">
        <f t="shared" si="5"/>
        <v>2034</v>
      </c>
      <c r="F373" s="18">
        <v>1</v>
      </c>
    </row>
    <row r="374" spans="1:6" x14ac:dyDescent="0.35">
      <c r="A374" s="7">
        <v>49013</v>
      </c>
      <c r="B374" s="8" t="s">
        <v>19</v>
      </c>
      <c r="C374" s="9">
        <v>29.8</v>
      </c>
      <c r="D374" s="10">
        <v>0</v>
      </c>
      <c r="E374">
        <f t="shared" si="5"/>
        <v>2034</v>
      </c>
      <c r="F374" s="18">
        <v>1</v>
      </c>
    </row>
    <row r="375" spans="1:6" x14ac:dyDescent="0.35">
      <c r="A375" s="11">
        <v>49014</v>
      </c>
      <c r="B375" s="12" t="s">
        <v>33</v>
      </c>
      <c r="C375" s="13">
        <v>13.7</v>
      </c>
      <c r="D375" s="14">
        <v>0.7</v>
      </c>
      <c r="E375">
        <f t="shared" si="5"/>
        <v>2034</v>
      </c>
      <c r="F375" s="18">
        <v>1</v>
      </c>
    </row>
    <row r="376" spans="1:6" x14ac:dyDescent="0.35">
      <c r="A376" s="7">
        <v>49015</v>
      </c>
      <c r="B376" s="8" t="s">
        <v>8</v>
      </c>
      <c r="C376" s="9">
        <v>20.2</v>
      </c>
      <c r="D376" s="10">
        <v>3.7</v>
      </c>
      <c r="E376">
        <f t="shared" si="5"/>
        <v>2034</v>
      </c>
      <c r="F376" s="18">
        <v>1</v>
      </c>
    </row>
    <row r="377" spans="1:6" x14ac:dyDescent="0.35">
      <c r="A377" s="11">
        <v>49016</v>
      </c>
      <c r="B377" s="12" t="s">
        <v>11</v>
      </c>
      <c r="C377" s="13">
        <v>18.2</v>
      </c>
      <c r="D377" s="14">
        <v>1.6</v>
      </c>
      <c r="E377">
        <f t="shared" si="5"/>
        <v>2034</v>
      </c>
      <c r="F377" s="18">
        <v>1</v>
      </c>
    </row>
    <row r="378" spans="1:6" x14ac:dyDescent="0.35">
      <c r="A378" s="7">
        <v>49017</v>
      </c>
      <c r="B378" s="8" t="s">
        <v>13</v>
      </c>
      <c r="C378" s="9">
        <v>14.2</v>
      </c>
      <c r="D378" s="10">
        <v>2</v>
      </c>
      <c r="E378">
        <f t="shared" si="5"/>
        <v>2034</v>
      </c>
      <c r="F378" s="18">
        <v>1</v>
      </c>
    </row>
    <row r="379" spans="1:6" x14ac:dyDescent="0.35">
      <c r="A379" s="11">
        <v>49018</v>
      </c>
      <c r="B379" s="12" t="s">
        <v>15</v>
      </c>
      <c r="C379" s="13">
        <v>11.2</v>
      </c>
      <c r="D379" s="14">
        <v>14.3</v>
      </c>
      <c r="E379">
        <f t="shared" si="5"/>
        <v>2034</v>
      </c>
      <c r="F379" s="18">
        <v>1</v>
      </c>
    </row>
    <row r="380" spans="1:6" x14ac:dyDescent="0.35">
      <c r="A380" s="7">
        <v>49019</v>
      </c>
      <c r="B380" s="8" t="s">
        <v>32</v>
      </c>
      <c r="C380" s="9">
        <v>13.9</v>
      </c>
      <c r="D380" s="10">
        <v>0.2</v>
      </c>
      <c r="E380">
        <f t="shared" si="5"/>
        <v>2034</v>
      </c>
      <c r="F380" s="18">
        <v>1</v>
      </c>
    </row>
    <row r="381" spans="1:6" x14ac:dyDescent="0.35">
      <c r="A381" s="11">
        <v>49020</v>
      </c>
      <c r="B381" s="12" t="s">
        <v>11</v>
      </c>
      <c r="C381" s="13">
        <v>22.6</v>
      </c>
      <c r="D381" s="14">
        <v>15.1</v>
      </c>
      <c r="E381">
        <f t="shared" si="5"/>
        <v>2034</v>
      </c>
      <c r="F381" s="18">
        <v>1</v>
      </c>
    </row>
    <row r="382" spans="1:6" x14ac:dyDescent="0.35">
      <c r="A382" s="7">
        <v>49021</v>
      </c>
      <c r="B382" s="8" t="s">
        <v>15</v>
      </c>
      <c r="C382" s="9">
        <v>29.8</v>
      </c>
      <c r="D382" s="10">
        <v>0</v>
      </c>
      <c r="E382">
        <f t="shared" si="5"/>
        <v>2034</v>
      </c>
      <c r="F382" s="18">
        <v>1</v>
      </c>
    </row>
    <row r="383" spans="1:6" x14ac:dyDescent="0.35">
      <c r="A383" s="11">
        <v>49022</v>
      </c>
      <c r="B383" s="12" t="s">
        <v>20</v>
      </c>
      <c r="C383" s="13">
        <v>12.7</v>
      </c>
      <c r="D383" s="14">
        <v>2.6</v>
      </c>
      <c r="E383">
        <f t="shared" si="5"/>
        <v>2034</v>
      </c>
      <c r="F383" s="18">
        <v>1</v>
      </c>
    </row>
    <row r="384" spans="1:6" x14ac:dyDescent="0.35">
      <c r="A384" s="7">
        <v>49023</v>
      </c>
      <c r="B384" s="8" t="s">
        <v>27</v>
      </c>
      <c r="C384" s="9">
        <v>14.4</v>
      </c>
      <c r="D384" s="10">
        <v>0</v>
      </c>
      <c r="E384">
        <f t="shared" si="5"/>
        <v>2034</v>
      </c>
      <c r="F384" s="18">
        <v>1</v>
      </c>
    </row>
    <row r="385" spans="1:6" x14ac:dyDescent="0.35">
      <c r="A385" s="11">
        <v>49024</v>
      </c>
      <c r="B385" s="12" t="s">
        <v>33</v>
      </c>
      <c r="C385" s="13">
        <v>18.399999999999999</v>
      </c>
      <c r="D385" s="14">
        <v>0.2</v>
      </c>
      <c r="E385">
        <f t="shared" si="5"/>
        <v>2034</v>
      </c>
      <c r="F385" s="18">
        <v>1</v>
      </c>
    </row>
    <row r="386" spans="1:6" x14ac:dyDescent="0.35">
      <c r="A386" s="7">
        <v>49025</v>
      </c>
      <c r="B386" s="8" t="s">
        <v>9</v>
      </c>
      <c r="C386" s="9">
        <v>27.2</v>
      </c>
      <c r="D386" s="10">
        <v>9.6</v>
      </c>
      <c r="E386">
        <f t="shared" si="5"/>
        <v>2034</v>
      </c>
      <c r="F386" s="18">
        <v>1</v>
      </c>
    </row>
    <row r="387" spans="1:6" x14ac:dyDescent="0.35">
      <c r="A387" s="11">
        <v>49026</v>
      </c>
      <c r="B387" s="12" t="s">
        <v>22</v>
      </c>
      <c r="C387" s="13">
        <v>12.5</v>
      </c>
      <c r="D387" s="14">
        <v>8.8000000000000007</v>
      </c>
      <c r="E387">
        <f t="shared" ref="E387:E450" si="6">YEAR(A387)</f>
        <v>2034</v>
      </c>
      <c r="F387" s="18">
        <v>1</v>
      </c>
    </row>
    <row r="388" spans="1:6" x14ac:dyDescent="0.35">
      <c r="A388" s="7">
        <v>49027</v>
      </c>
      <c r="B388" s="8" t="s">
        <v>26</v>
      </c>
      <c r="C388" s="9">
        <v>22.6</v>
      </c>
      <c r="D388" s="10">
        <v>3.5</v>
      </c>
      <c r="E388">
        <f t="shared" si="6"/>
        <v>2034</v>
      </c>
      <c r="F388" s="18">
        <v>1</v>
      </c>
    </row>
    <row r="389" spans="1:6" x14ac:dyDescent="0.35">
      <c r="A389" s="11">
        <v>49028</v>
      </c>
      <c r="B389" s="12" t="s">
        <v>7</v>
      </c>
      <c r="C389" s="13">
        <v>21.8</v>
      </c>
      <c r="D389" s="14">
        <v>6.5</v>
      </c>
      <c r="E389">
        <f t="shared" si="6"/>
        <v>2034</v>
      </c>
      <c r="F389" s="18">
        <v>1</v>
      </c>
    </row>
    <row r="390" spans="1:6" x14ac:dyDescent="0.35">
      <c r="A390" s="7">
        <v>49029</v>
      </c>
      <c r="B390" s="8" t="s">
        <v>23</v>
      </c>
      <c r="C390" s="9">
        <v>17.2</v>
      </c>
      <c r="D390" s="10">
        <v>0</v>
      </c>
      <c r="E390">
        <f t="shared" si="6"/>
        <v>2034</v>
      </c>
      <c r="F390" s="18">
        <v>1</v>
      </c>
    </row>
    <row r="391" spans="1:6" x14ac:dyDescent="0.35">
      <c r="A391" s="11">
        <v>49030</v>
      </c>
      <c r="B391" s="12" t="s">
        <v>13</v>
      </c>
      <c r="C391" s="13">
        <v>13.4</v>
      </c>
      <c r="D391" s="14">
        <v>14.1</v>
      </c>
      <c r="E391">
        <f t="shared" si="6"/>
        <v>2034</v>
      </c>
      <c r="F391" s="18">
        <v>1</v>
      </c>
    </row>
    <row r="392" spans="1:6" x14ac:dyDescent="0.35">
      <c r="A392" s="7">
        <v>49031</v>
      </c>
      <c r="B392" s="8" t="s">
        <v>9</v>
      </c>
      <c r="C392" s="9">
        <v>13.8</v>
      </c>
      <c r="D392" s="10">
        <v>9.9</v>
      </c>
      <c r="E392">
        <f t="shared" si="6"/>
        <v>2034</v>
      </c>
      <c r="F392" s="18">
        <v>1</v>
      </c>
    </row>
    <row r="393" spans="1:6" x14ac:dyDescent="0.35">
      <c r="A393" s="11">
        <v>49032</v>
      </c>
      <c r="B393" s="12" t="s">
        <v>24</v>
      </c>
      <c r="C393" s="13">
        <v>10.6</v>
      </c>
      <c r="D393" s="14">
        <v>1.2</v>
      </c>
      <c r="E393">
        <f t="shared" si="6"/>
        <v>2034</v>
      </c>
      <c r="F393" s="18">
        <v>1</v>
      </c>
    </row>
    <row r="394" spans="1:6" x14ac:dyDescent="0.35">
      <c r="A394" s="7">
        <v>49033</v>
      </c>
      <c r="B394" s="8" t="s">
        <v>16</v>
      </c>
      <c r="C394" s="9">
        <v>28.8</v>
      </c>
      <c r="D394" s="10">
        <v>0.1</v>
      </c>
      <c r="E394">
        <f t="shared" si="6"/>
        <v>2034</v>
      </c>
      <c r="F394" s="18">
        <v>1</v>
      </c>
    </row>
    <row r="395" spans="1:6" x14ac:dyDescent="0.35">
      <c r="A395" s="11">
        <v>49034</v>
      </c>
      <c r="B395" s="12" t="s">
        <v>28</v>
      </c>
      <c r="C395" s="13">
        <v>16.899999999999999</v>
      </c>
      <c r="D395" s="14">
        <v>0.7</v>
      </c>
      <c r="E395">
        <f t="shared" si="6"/>
        <v>2034</v>
      </c>
      <c r="F395" s="18">
        <v>1</v>
      </c>
    </row>
    <row r="396" spans="1:6" x14ac:dyDescent="0.35">
      <c r="A396" s="7">
        <v>49035</v>
      </c>
      <c r="B396" s="8" t="s">
        <v>18</v>
      </c>
      <c r="C396" s="9">
        <v>11.2</v>
      </c>
      <c r="D396" s="10">
        <v>4.8</v>
      </c>
      <c r="E396">
        <f t="shared" si="6"/>
        <v>2034</v>
      </c>
      <c r="F396" s="18">
        <v>1</v>
      </c>
    </row>
    <row r="397" spans="1:6" x14ac:dyDescent="0.35">
      <c r="A397" s="11">
        <v>49036</v>
      </c>
      <c r="B397" s="12" t="s">
        <v>10</v>
      </c>
      <c r="C397" s="13">
        <v>13.9</v>
      </c>
      <c r="D397" s="14">
        <v>23</v>
      </c>
      <c r="E397">
        <f t="shared" si="6"/>
        <v>2034</v>
      </c>
      <c r="F397" s="18">
        <v>1</v>
      </c>
    </row>
    <row r="398" spans="1:6" x14ac:dyDescent="0.35">
      <c r="A398" s="7">
        <v>49037</v>
      </c>
      <c r="B398" s="8" t="s">
        <v>11</v>
      </c>
      <c r="C398" s="9">
        <v>25.3</v>
      </c>
      <c r="D398" s="10">
        <v>21.9</v>
      </c>
      <c r="E398">
        <f t="shared" si="6"/>
        <v>2034</v>
      </c>
      <c r="F398" s="18">
        <v>1</v>
      </c>
    </row>
    <row r="399" spans="1:6" x14ac:dyDescent="0.35">
      <c r="A399" s="11">
        <v>49038</v>
      </c>
      <c r="B399" s="12" t="s">
        <v>10</v>
      </c>
      <c r="C399" s="13">
        <v>14.7</v>
      </c>
      <c r="D399" s="14">
        <v>0</v>
      </c>
      <c r="E399">
        <f t="shared" si="6"/>
        <v>2034</v>
      </c>
      <c r="F399" s="18">
        <v>1</v>
      </c>
    </row>
    <row r="400" spans="1:6" x14ac:dyDescent="0.35">
      <c r="A400" s="7">
        <v>49039</v>
      </c>
      <c r="B400" s="8" t="s">
        <v>12</v>
      </c>
      <c r="C400" s="9">
        <v>20.3</v>
      </c>
      <c r="D400" s="10">
        <v>5.3</v>
      </c>
      <c r="E400">
        <f t="shared" si="6"/>
        <v>2034</v>
      </c>
      <c r="F400" s="18">
        <v>1</v>
      </c>
    </row>
    <row r="401" spans="1:6" x14ac:dyDescent="0.35">
      <c r="A401" s="11">
        <v>49040</v>
      </c>
      <c r="B401" s="12" t="s">
        <v>15</v>
      </c>
      <c r="C401" s="13">
        <v>25</v>
      </c>
      <c r="D401" s="14">
        <v>3.8</v>
      </c>
      <c r="E401">
        <f t="shared" si="6"/>
        <v>2034</v>
      </c>
      <c r="F401" s="18">
        <v>1</v>
      </c>
    </row>
    <row r="402" spans="1:6" x14ac:dyDescent="0.35">
      <c r="A402" s="7">
        <v>49041</v>
      </c>
      <c r="B402" s="8" t="s">
        <v>18</v>
      </c>
      <c r="C402" s="9">
        <v>19.600000000000001</v>
      </c>
      <c r="D402" s="10">
        <v>0.6</v>
      </c>
      <c r="E402">
        <f t="shared" si="6"/>
        <v>2034</v>
      </c>
      <c r="F402" s="18">
        <v>1</v>
      </c>
    </row>
    <row r="403" spans="1:6" x14ac:dyDescent="0.35">
      <c r="A403" s="11">
        <v>49042</v>
      </c>
      <c r="B403" s="12" t="s">
        <v>12</v>
      </c>
      <c r="C403" s="13">
        <v>10.8</v>
      </c>
      <c r="D403" s="14">
        <v>0</v>
      </c>
      <c r="E403">
        <f t="shared" si="6"/>
        <v>2034</v>
      </c>
      <c r="F403" s="18">
        <v>1</v>
      </c>
    </row>
    <row r="404" spans="1:6" x14ac:dyDescent="0.35">
      <c r="A404" s="7">
        <v>49043</v>
      </c>
      <c r="B404" s="8" t="s">
        <v>21</v>
      </c>
      <c r="C404" s="9">
        <v>17.100000000000001</v>
      </c>
      <c r="D404" s="10">
        <v>0.7</v>
      </c>
      <c r="E404">
        <f t="shared" si="6"/>
        <v>2034</v>
      </c>
      <c r="F404" s="18">
        <v>1</v>
      </c>
    </row>
    <row r="405" spans="1:6" x14ac:dyDescent="0.35">
      <c r="A405" s="11">
        <v>49044</v>
      </c>
      <c r="B405" s="12" t="s">
        <v>14</v>
      </c>
      <c r="C405" s="13">
        <v>15.1</v>
      </c>
      <c r="D405" s="14">
        <v>0</v>
      </c>
      <c r="E405">
        <f t="shared" si="6"/>
        <v>2034</v>
      </c>
      <c r="F405" s="18">
        <v>1</v>
      </c>
    </row>
    <row r="406" spans="1:6" x14ac:dyDescent="0.35">
      <c r="A406" s="7">
        <v>49045</v>
      </c>
      <c r="B406" s="8" t="s">
        <v>18</v>
      </c>
      <c r="C406" s="9">
        <v>26.4</v>
      </c>
      <c r="D406" s="10">
        <v>1.9</v>
      </c>
      <c r="E406">
        <f t="shared" si="6"/>
        <v>2034</v>
      </c>
      <c r="F406" s="18">
        <v>1</v>
      </c>
    </row>
    <row r="407" spans="1:6" x14ac:dyDescent="0.35">
      <c r="A407" s="11">
        <v>49046</v>
      </c>
      <c r="B407" s="12" t="s">
        <v>10</v>
      </c>
      <c r="C407" s="13">
        <v>11.6</v>
      </c>
      <c r="D407" s="14">
        <v>14.4</v>
      </c>
      <c r="E407">
        <f t="shared" si="6"/>
        <v>2034</v>
      </c>
      <c r="F407" s="18">
        <v>1</v>
      </c>
    </row>
    <row r="408" spans="1:6" x14ac:dyDescent="0.35">
      <c r="A408" s="7">
        <v>49047</v>
      </c>
      <c r="B408" s="8" t="s">
        <v>10</v>
      </c>
      <c r="C408" s="9">
        <v>16.600000000000001</v>
      </c>
      <c r="D408" s="10">
        <v>40.6</v>
      </c>
      <c r="E408">
        <f t="shared" si="6"/>
        <v>2034</v>
      </c>
      <c r="F408" s="18">
        <v>1</v>
      </c>
    </row>
    <row r="409" spans="1:6" x14ac:dyDescent="0.35">
      <c r="A409" s="11">
        <v>49048</v>
      </c>
      <c r="B409" s="12" t="s">
        <v>19</v>
      </c>
      <c r="C409" s="13">
        <v>19.5</v>
      </c>
      <c r="D409" s="14">
        <v>24.9</v>
      </c>
      <c r="E409">
        <f t="shared" si="6"/>
        <v>2034</v>
      </c>
      <c r="F409" s="18">
        <v>1</v>
      </c>
    </row>
    <row r="410" spans="1:6" x14ac:dyDescent="0.35">
      <c r="A410" s="7">
        <v>49049</v>
      </c>
      <c r="B410" s="8" t="s">
        <v>17</v>
      </c>
      <c r="C410" s="9">
        <v>24.9</v>
      </c>
      <c r="D410" s="10">
        <v>6.5</v>
      </c>
      <c r="E410">
        <f t="shared" si="6"/>
        <v>2034</v>
      </c>
      <c r="F410" s="18">
        <v>1</v>
      </c>
    </row>
    <row r="411" spans="1:6" x14ac:dyDescent="0.35">
      <c r="A411" s="11">
        <v>49050</v>
      </c>
      <c r="B411" s="12" t="s">
        <v>23</v>
      </c>
      <c r="C411" s="13">
        <v>19.3</v>
      </c>
      <c r="D411" s="14">
        <v>0.8</v>
      </c>
      <c r="E411">
        <f t="shared" si="6"/>
        <v>2034</v>
      </c>
      <c r="F411" s="18">
        <v>1</v>
      </c>
    </row>
    <row r="412" spans="1:6" x14ac:dyDescent="0.35">
      <c r="A412" s="7">
        <v>49051</v>
      </c>
      <c r="B412" s="8" t="s">
        <v>17</v>
      </c>
      <c r="C412" s="9">
        <v>26.2</v>
      </c>
      <c r="D412" s="10">
        <v>2.8</v>
      </c>
      <c r="E412">
        <f t="shared" si="6"/>
        <v>2034</v>
      </c>
      <c r="F412" s="18">
        <v>1</v>
      </c>
    </row>
    <row r="413" spans="1:6" x14ac:dyDescent="0.35">
      <c r="A413" s="11">
        <v>49052</v>
      </c>
      <c r="B413" s="12" t="s">
        <v>7</v>
      </c>
      <c r="C413" s="13">
        <v>28.1</v>
      </c>
      <c r="D413" s="14">
        <v>0.6</v>
      </c>
      <c r="E413">
        <f t="shared" si="6"/>
        <v>2034</v>
      </c>
      <c r="F413" s="18">
        <v>1</v>
      </c>
    </row>
    <row r="414" spans="1:6" x14ac:dyDescent="0.35">
      <c r="A414" s="7">
        <v>49053</v>
      </c>
      <c r="B414" s="8" t="s">
        <v>14</v>
      </c>
      <c r="C414" s="9">
        <v>17</v>
      </c>
      <c r="D414" s="10">
        <v>4.8</v>
      </c>
      <c r="E414">
        <f t="shared" si="6"/>
        <v>2034</v>
      </c>
      <c r="F414" s="18">
        <v>1</v>
      </c>
    </row>
    <row r="415" spans="1:6" x14ac:dyDescent="0.35">
      <c r="A415" s="11">
        <v>49054</v>
      </c>
      <c r="B415" s="12" t="s">
        <v>17</v>
      </c>
      <c r="C415" s="13">
        <v>28.5</v>
      </c>
      <c r="D415" s="14">
        <v>7.1</v>
      </c>
      <c r="E415">
        <f t="shared" si="6"/>
        <v>2034</v>
      </c>
      <c r="F415" s="18">
        <v>1</v>
      </c>
    </row>
    <row r="416" spans="1:6" x14ac:dyDescent="0.35">
      <c r="A416" s="7">
        <v>49055</v>
      </c>
      <c r="B416" s="8" t="s">
        <v>5</v>
      </c>
      <c r="C416" s="9">
        <v>14.2</v>
      </c>
      <c r="D416" s="10">
        <v>2.1</v>
      </c>
      <c r="E416">
        <f t="shared" si="6"/>
        <v>2034</v>
      </c>
      <c r="F416" s="18">
        <v>1</v>
      </c>
    </row>
    <row r="417" spans="1:6" x14ac:dyDescent="0.35">
      <c r="A417" s="11">
        <v>49056</v>
      </c>
      <c r="B417" s="12" t="s">
        <v>7</v>
      </c>
      <c r="C417" s="13">
        <v>24.9</v>
      </c>
      <c r="D417" s="14">
        <v>8.3000000000000007</v>
      </c>
      <c r="E417">
        <f t="shared" si="6"/>
        <v>2034</v>
      </c>
      <c r="F417" s="18">
        <v>1</v>
      </c>
    </row>
    <row r="418" spans="1:6" x14ac:dyDescent="0.35">
      <c r="A418" s="7">
        <v>49057</v>
      </c>
      <c r="B418" s="8" t="s">
        <v>17</v>
      </c>
      <c r="C418" s="9">
        <v>19.100000000000001</v>
      </c>
      <c r="D418" s="10">
        <v>3.4</v>
      </c>
      <c r="E418">
        <f t="shared" si="6"/>
        <v>2034</v>
      </c>
      <c r="F418" s="18">
        <v>1</v>
      </c>
    </row>
    <row r="419" spans="1:6" x14ac:dyDescent="0.35">
      <c r="A419" s="11">
        <v>49058</v>
      </c>
      <c r="B419" s="12" t="s">
        <v>10</v>
      </c>
      <c r="C419" s="13">
        <v>14.9</v>
      </c>
      <c r="D419" s="14">
        <v>23.1</v>
      </c>
      <c r="E419">
        <f t="shared" si="6"/>
        <v>2034</v>
      </c>
      <c r="F419" s="18">
        <v>1</v>
      </c>
    </row>
    <row r="420" spans="1:6" x14ac:dyDescent="0.35">
      <c r="A420" s="7">
        <v>49059</v>
      </c>
      <c r="B420" s="8" t="s">
        <v>27</v>
      </c>
      <c r="C420" s="9">
        <v>16.899999999999999</v>
      </c>
      <c r="D420" s="10">
        <v>6.8</v>
      </c>
      <c r="E420">
        <f t="shared" si="6"/>
        <v>2034</v>
      </c>
      <c r="F420" s="18">
        <v>1</v>
      </c>
    </row>
    <row r="421" spans="1:6" x14ac:dyDescent="0.35">
      <c r="A421" s="11">
        <v>49060</v>
      </c>
      <c r="B421" s="12" t="s">
        <v>12</v>
      </c>
      <c r="C421" s="13">
        <v>15.9</v>
      </c>
      <c r="D421" s="14">
        <v>6.8</v>
      </c>
      <c r="E421">
        <f t="shared" si="6"/>
        <v>2034</v>
      </c>
      <c r="F421" s="18">
        <v>1</v>
      </c>
    </row>
    <row r="422" spans="1:6" x14ac:dyDescent="0.35">
      <c r="A422" s="7">
        <v>49061</v>
      </c>
      <c r="B422" s="8" t="s">
        <v>29</v>
      </c>
      <c r="C422" s="9">
        <v>26.3</v>
      </c>
      <c r="D422" s="10">
        <v>0.7</v>
      </c>
      <c r="E422">
        <f t="shared" si="6"/>
        <v>2034</v>
      </c>
      <c r="F422" s="18">
        <v>1</v>
      </c>
    </row>
    <row r="423" spans="1:6" x14ac:dyDescent="0.35">
      <c r="A423" s="11">
        <v>49062</v>
      </c>
      <c r="B423" s="12" t="s">
        <v>10</v>
      </c>
      <c r="C423" s="13">
        <v>12.2</v>
      </c>
      <c r="D423" s="14">
        <v>0</v>
      </c>
      <c r="E423">
        <f t="shared" si="6"/>
        <v>2034</v>
      </c>
      <c r="F423" s="18">
        <v>1</v>
      </c>
    </row>
    <row r="424" spans="1:6" x14ac:dyDescent="0.35">
      <c r="A424" s="7">
        <v>49063</v>
      </c>
      <c r="B424" s="8" t="s">
        <v>7</v>
      </c>
      <c r="C424" s="9">
        <v>27.5</v>
      </c>
      <c r="D424" s="10">
        <v>0</v>
      </c>
      <c r="E424">
        <f t="shared" si="6"/>
        <v>2034</v>
      </c>
      <c r="F424" s="18">
        <v>1</v>
      </c>
    </row>
    <row r="425" spans="1:6" x14ac:dyDescent="0.35">
      <c r="A425" s="11">
        <v>49064</v>
      </c>
      <c r="B425" s="12" t="s">
        <v>21</v>
      </c>
      <c r="C425" s="13">
        <v>23</v>
      </c>
      <c r="D425" s="14">
        <v>0</v>
      </c>
      <c r="E425">
        <f t="shared" si="6"/>
        <v>2034</v>
      </c>
      <c r="F425" s="18">
        <v>1</v>
      </c>
    </row>
    <row r="426" spans="1:6" x14ac:dyDescent="0.35">
      <c r="A426" s="7">
        <v>49065</v>
      </c>
      <c r="B426" s="8" t="s">
        <v>19</v>
      </c>
      <c r="C426" s="9">
        <v>17.899999999999999</v>
      </c>
      <c r="D426" s="10">
        <v>36.799999999999997</v>
      </c>
      <c r="E426">
        <f t="shared" si="6"/>
        <v>2034</v>
      </c>
      <c r="F426" s="18">
        <v>1</v>
      </c>
    </row>
    <row r="427" spans="1:6" x14ac:dyDescent="0.35">
      <c r="A427" s="11">
        <v>49066</v>
      </c>
      <c r="B427" s="12" t="s">
        <v>19</v>
      </c>
      <c r="C427" s="13">
        <v>27.3</v>
      </c>
      <c r="D427" s="14">
        <v>0</v>
      </c>
      <c r="E427">
        <f t="shared" si="6"/>
        <v>2034</v>
      </c>
      <c r="F427" s="18">
        <v>1</v>
      </c>
    </row>
    <row r="428" spans="1:6" x14ac:dyDescent="0.35">
      <c r="A428" s="7">
        <v>49067</v>
      </c>
      <c r="B428" s="8" t="s">
        <v>4</v>
      </c>
      <c r="C428" s="9">
        <v>19.3</v>
      </c>
      <c r="D428" s="10">
        <v>0.4</v>
      </c>
      <c r="E428">
        <f t="shared" si="6"/>
        <v>2034</v>
      </c>
      <c r="F428" s="18">
        <v>1</v>
      </c>
    </row>
    <row r="429" spans="1:6" x14ac:dyDescent="0.35">
      <c r="A429" s="11">
        <v>49068</v>
      </c>
      <c r="B429" s="12" t="s">
        <v>14</v>
      </c>
      <c r="C429" s="13">
        <v>25.5</v>
      </c>
      <c r="D429" s="14">
        <v>0</v>
      </c>
      <c r="E429">
        <f t="shared" si="6"/>
        <v>2034</v>
      </c>
      <c r="F429" s="18">
        <v>1</v>
      </c>
    </row>
    <row r="430" spans="1:6" x14ac:dyDescent="0.35">
      <c r="A430" s="7">
        <v>49069</v>
      </c>
      <c r="B430" s="8" t="s">
        <v>6</v>
      </c>
      <c r="C430" s="9">
        <v>13.7</v>
      </c>
      <c r="D430" s="10">
        <v>11.7</v>
      </c>
      <c r="E430">
        <f t="shared" si="6"/>
        <v>2034</v>
      </c>
      <c r="F430" s="18">
        <v>1</v>
      </c>
    </row>
    <row r="431" spans="1:6" x14ac:dyDescent="0.35">
      <c r="A431" s="11">
        <v>49070</v>
      </c>
      <c r="B431" s="12" t="s">
        <v>19</v>
      </c>
      <c r="C431" s="13">
        <v>18.399999999999999</v>
      </c>
      <c r="D431" s="14">
        <v>0</v>
      </c>
      <c r="E431">
        <f t="shared" si="6"/>
        <v>2034</v>
      </c>
      <c r="F431" s="18">
        <v>1</v>
      </c>
    </row>
    <row r="432" spans="1:6" x14ac:dyDescent="0.35">
      <c r="A432" s="7">
        <v>49071</v>
      </c>
      <c r="B432" s="8" t="s">
        <v>18</v>
      </c>
      <c r="C432" s="9">
        <v>11.1</v>
      </c>
      <c r="D432" s="10">
        <v>0</v>
      </c>
      <c r="E432">
        <f t="shared" si="6"/>
        <v>2034</v>
      </c>
      <c r="F432" s="18">
        <v>1</v>
      </c>
    </row>
    <row r="433" spans="1:6" x14ac:dyDescent="0.35">
      <c r="A433" s="11">
        <v>49072</v>
      </c>
      <c r="B433" s="12" t="s">
        <v>12</v>
      </c>
      <c r="C433" s="13">
        <v>28</v>
      </c>
      <c r="D433" s="14">
        <v>0</v>
      </c>
      <c r="E433">
        <f t="shared" si="6"/>
        <v>2034</v>
      </c>
      <c r="F433" s="18">
        <v>1</v>
      </c>
    </row>
    <row r="434" spans="1:6" x14ac:dyDescent="0.35">
      <c r="A434" s="7">
        <v>49073</v>
      </c>
      <c r="B434" s="8" t="s">
        <v>6</v>
      </c>
      <c r="C434" s="9">
        <v>16.2</v>
      </c>
      <c r="D434" s="10">
        <v>13.7</v>
      </c>
      <c r="E434">
        <f t="shared" si="6"/>
        <v>2034</v>
      </c>
      <c r="F434" s="18">
        <v>1</v>
      </c>
    </row>
    <row r="435" spans="1:6" x14ac:dyDescent="0.35">
      <c r="A435" s="11">
        <v>49074</v>
      </c>
      <c r="B435" s="12" t="s">
        <v>19</v>
      </c>
      <c r="C435" s="13">
        <v>12.1</v>
      </c>
      <c r="D435" s="14">
        <v>37.200000000000003</v>
      </c>
      <c r="E435">
        <f t="shared" si="6"/>
        <v>2034</v>
      </c>
      <c r="F435" s="18">
        <v>1</v>
      </c>
    </row>
    <row r="436" spans="1:6" x14ac:dyDescent="0.35">
      <c r="A436" s="7">
        <v>49075</v>
      </c>
      <c r="B436" s="8" t="s">
        <v>20</v>
      </c>
      <c r="C436" s="9">
        <v>21.4</v>
      </c>
      <c r="D436" s="10">
        <v>3.1</v>
      </c>
      <c r="E436">
        <f t="shared" si="6"/>
        <v>2034</v>
      </c>
      <c r="F436" s="18">
        <v>1</v>
      </c>
    </row>
    <row r="437" spans="1:6" x14ac:dyDescent="0.35">
      <c r="A437" s="11">
        <v>49076</v>
      </c>
      <c r="B437" s="12" t="s">
        <v>10</v>
      </c>
      <c r="C437" s="13">
        <v>11.2</v>
      </c>
      <c r="D437" s="14">
        <v>0</v>
      </c>
      <c r="E437">
        <f t="shared" si="6"/>
        <v>2034</v>
      </c>
      <c r="F437" s="18">
        <v>1</v>
      </c>
    </row>
    <row r="438" spans="1:6" x14ac:dyDescent="0.35">
      <c r="A438" s="7">
        <v>49077</v>
      </c>
      <c r="B438" s="8" t="s">
        <v>28</v>
      </c>
      <c r="C438" s="9">
        <v>18.399999999999999</v>
      </c>
      <c r="D438" s="10">
        <v>0.2</v>
      </c>
      <c r="E438">
        <f t="shared" si="6"/>
        <v>2034</v>
      </c>
      <c r="F438" s="18">
        <v>1</v>
      </c>
    </row>
    <row r="439" spans="1:6" x14ac:dyDescent="0.35">
      <c r="A439" s="11">
        <v>49078</v>
      </c>
      <c r="B439" s="12" t="s">
        <v>12</v>
      </c>
      <c r="C439" s="13">
        <v>13.7</v>
      </c>
      <c r="D439" s="14">
        <v>0</v>
      </c>
      <c r="E439">
        <f t="shared" si="6"/>
        <v>2034</v>
      </c>
      <c r="F439" s="18">
        <v>1</v>
      </c>
    </row>
    <row r="440" spans="1:6" x14ac:dyDescent="0.35">
      <c r="A440" s="7">
        <v>49079</v>
      </c>
      <c r="B440" s="8" t="s">
        <v>19</v>
      </c>
      <c r="C440" s="9">
        <v>10.4</v>
      </c>
      <c r="D440" s="10">
        <v>15.6</v>
      </c>
      <c r="E440">
        <f t="shared" si="6"/>
        <v>2034</v>
      </c>
      <c r="F440" s="18">
        <v>1</v>
      </c>
    </row>
    <row r="441" spans="1:6" x14ac:dyDescent="0.35">
      <c r="A441" s="11">
        <v>49080</v>
      </c>
      <c r="B441" s="12" t="s">
        <v>31</v>
      </c>
      <c r="C441" s="13">
        <v>21.8</v>
      </c>
      <c r="D441" s="14">
        <v>0</v>
      </c>
      <c r="E441">
        <f t="shared" si="6"/>
        <v>2034</v>
      </c>
      <c r="F441" s="18">
        <v>1</v>
      </c>
    </row>
    <row r="442" spans="1:6" x14ac:dyDescent="0.35">
      <c r="A442" s="7">
        <v>49081</v>
      </c>
      <c r="B442" s="8" t="s">
        <v>7</v>
      </c>
      <c r="C442" s="9">
        <v>11</v>
      </c>
      <c r="D442" s="10">
        <v>0.4</v>
      </c>
      <c r="E442">
        <f t="shared" si="6"/>
        <v>2034</v>
      </c>
      <c r="F442" s="18">
        <v>1</v>
      </c>
    </row>
    <row r="443" spans="1:6" x14ac:dyDescent="0.35">
      <c r="A443" s="11">
        <v>49082</v>
      </c>
      <c r="B443" s="12" t="s">
        <v>10</v>
      </c>
      <c r="C443" s="13">
        <v>19</v>
      </c>
      <c r="D443" s="14">
        <v>21.9</v>
      </c>
      <c r="E443">
        <f t="shared" si="6"/>
        <v>2034</v>
      </c>
      <c r="F443" s="18">
        <v>1</v>
      </c>
    </row>
    <row r="444" spans="1:6" x14ac:dyDescent="0.35">
      <c r="A444" s="7">
        <v>49083</v>
      </c>
      <c r="B444" s="8" t="s">
        <v>10</v>
      </c>
      <c r="C444" s="9">
        <v>12.5</v>
      </c>
      <c r="D444" s="10">
        <v>0</v>
      </c>
      <c r="E444">
        <f t="shared" si="6"/>
        <v>2034</v>
      </c>
      <c r="F444" s="18">
        <v>1</v>
      </c>
    </row>
    <row r="445" spans="1:6" x14ac:dyDescent="0.35">
      <c r="A445" s="11">
        <v>49084</v>
      </c>
      <c r="B445" s="12" t="s">
        <v>15</v>
      </c>
      <c r="C445" s="13">
        <v>13.6</v>
      </c>
      <c r="D445" s="14">
        <v>12.6</v>
      </c>
      <c r="E445">
        <f t="shared" si="6"/>
        <v>2034</v>
      </c>
      <c r="F445" s="18">
        <v>1</v>
      </c>
    </row>
    <row r="446" spans="1:6" x14ac:dyDescent="0.35">
      <c r="A446" s="7">
        <v>49085</v>
      </c>
      <c r="B446" s="8" t="s">
        <v>10</v>
      </c>
      <c r="C446" s="9">
        <v>20.2</v>
      </c>
      <c r="D446" s="10">
        <v>17.899999999999999</v>
      </c>
      <c r="E446">
        <f t="shared" si="6"/>
        <v>2034</v>
      </c>
      <c r="F446" s="18">
        <v>1</v>
      </c>
    </row>
    <row r="447" spans="1:6" x14ac:dyDescent="0.35">
      <c r="A447" s="11">
        <v>49086</v>
      </c>
      <c r="B447" s="12" t="s">
        <v>10</v>
      </c>
      <c r="C447" s="13">
        <v>28.7</v>
      </c>
      <c r="D447" s="14">
        <v>0</v>
      </c>
      <c r="E447">
        <f t="shared" si="6"/>
        <v>2034</v>
      </c>
      <c r="F447" s="18">
        <v>1</v>
      </c>
    </row>
    <row r="448" spans="1:6" x14ac:dyDescent="0.35">
      <c r="A448" s="7">
        <v>49087</v>
      </c>
      <c r="B448" s="8" t="s">
        <v>20</v>
      </c>
      <c r="C448" s="9">
        <v>13.4</v>
      </c>
      <c r="D448" s="10">
        <v>4.8</v>
      </c>
      <c r="E448">
        <f t="shared" si="6"/>
        <v>2034</v>
      </c>
      <c r="F448" s="18">
        <v>1</v>
      </c>
    </row>
    <row r="449" spans="1:6" x14ac:dyDescent="0.35">
      <c r="A449" s="11">
        <v>49088</v>
      </c>
      <c r="B449" s="12" t="s">
        <v>15</v>
      </c>
      <c r="C449" s="13">
        <v>12</v>
      </c>
      <c r="D449" s="14">
        <v>8.9</v>
      </c>
      <c r="E449">
        <f t="shared" si="6"/>
        <v>2034</v>
      </c>
      <c r="F449" s="18">
        <v>1</v>
      </c>
    </row>
    <row r="450" spans="1:6" x14ac:dyDescent="0.35">
      <c r="A450" s="7">
        <v>49089</v>
      </c>
      <c r="B450" s="8" t="s">
        <v>11</v>
      </c>
      <c r="C450" s="9">
        <v>28.9</v>
      </c>
      <c r="D450" s="10">
        <v>13.9</v>
      </c>
      <c r="E450">
        <f t="shared" si="6"/>
        <v>2034</v>
      </c>
      <c r="F450" s="18">
        <v>1</v>
      </c>
    </row>
    <row r="451" spans="1:6" x14ac:dyDescent="0.35">
      <c r="A451" s="11">
        <v>49090</v>
      </c>
      <c r="B451" s="12" t="s">
        <v>22</v>
      </c>
      <c r="C451" s="13">
        <v>25.2</v>
      </c>
      <c r="D451" s="14">
        <v>0</v>
      </c>
      <c r="E451">
        <f t="shared" ref="E451:E514" si="7">YEAR(A451)</f>
        <v>2034</v>
      </c>
      <c r="F451" s="18">
        <v>1</v>
      </c>
    </row>
    <row r="452" spans="1:6" x14ac:dyDescent="0.35">
      <c r="A452" s="7">
        <v>49091</v>
      </c>
      <c r="B452" s="8" t="s">
        <v>11</v>
      </c>
      <c r="C452" s="9">
        <v>18.600000000000001</v>
      </c>
      <c r="D452" s="10">
        <v>1.8</v>
      </c>
      <c r="E452">
        <f t="shared" si="7"/>
        <v>2034</v>
      </c>
      <c r="F452" s="18">
        <v>1</v>
      </c>
    </row>
    <row r="453" spans="1:6" x14ac:dyDescent="0.35">
      <c r="A453" s="11">
        <v>49092</v>
      </c>
      <c r="B453" s="12" t="s">
        <v>26</v>
      </c>
      <c r="C453" s="13">
        <v>20</v>
      </c>
      <c r="D453" s="14">
        <v>2.4</v>
      </c>
      <c r="E453">
        <f t="shared" si="7"/>
        <v>2034</v>
      </c>
      <c r="F453" s="18">
        <v>1</v>
      </c>
    </row>
    <row r="454" spans="1:6" x14ac:dyDescent="0.35">
      <c r="A454" s="7">
        <v>49093</v>
      </c>
      <c r="B454" s="8" t="s">
        <v>9</v>
      </c>
      <c r="C454" s="9">
        <v>14.3</v>
      </c>
      <c r="D454" s="10">
        <v>3.9</v>
      </c>
      <c r="E454">
        <f t="shared" si="7"/>
        <v>2034</v>
      </c>
      <c r="F454" s="18">
        <v>1</v>
      </c>
    </row>
    <row r="455" spans="1:6" x14ac:dyDescent="0.35">
      <c r="A455" s="11">
        <v>49094</v>
      </c>
      <c r="B455" s="12" t="s">
        <v>10</v>
      </c>
      <c r="C455" s="13">
        <v>28.8</v>
      </c>
      <c r="D455" s="14">
        <v>25.1</v>
      </c>
      <c r="E455">
        <f t="shared" si="7"/>
        <v>2034</v>
      </c>
      <c r="F455" s="18">
        <v>1</v>
      </c>
    </row>
    <row r="456" spans="1:6" x14ac:dyDescent="0.35">
      <c r="A456" s="7">
        <v>49095</v>
      </c>
      <c r="B456" s="8" t="s">
        <v>19</v>
      </c>
      <c r="C456" s="9">
        <v>26.8</v>
      </c>
      <c r="D456" s="10">
        <v>10.8</v>
      </c>
      <c r="E456">
        <f t="shared" si="7"/>
        <v>2034</v>
      </c>
      <c r="F456" s="18">
        <v>1</v>
      </c>
    </row>
    <row r="457" spans="1:6" x14ac:dyDescent="0.35">
      <c r="A457" s="11">
        <v>49096</v>
      </c>
      <c r="B457" s="12" t="s">
        <v>19</v>
      </c>
      <c r="C457" s="13">
        <v>20.399999999999999</v>
      </c>
      <c r="D457" s="14">
        <v>0</v>
      </c>
      <c r="E457">
        <f t="shared" si="7"/>
        <v>2034</v>
      </c>
      <c r="F457" s="18">
        <v>1</v>
      </c>
    </row>
    <row r="458" spans="1:6" x14ac:dyDescent="0.35">
      <c r="A458" s="7">
        <v>49097</v>
      </c>
      <c r="B458" s="8" t="s">
        <v>22</v>
      </c>
      <c r="C458" s="9">
        <v>14.1</v>
      </c>
      <c r="D458" s="10">
        <v>4.5</v>
      </c>
      <c r="E458">
        <f t="shared" si="7"/>
        <v>2034</v>
      </c>
      <c r="F458" s="18">
        <v>1</v>
      </c>
    </row>
    <row r="459" spans="1:6" x14ac:dyDescent="0.35">
      <c r="A459" s="11">
        <v>49098</v>
      </c>
      <c r="B459" s="12" t="s">
        <v>14</v>
      </c>
      <c r="C459" s="13">
        <v>28.1</v>
      </c>
      <c r="D459" s="14">
        <v>6.3</v>
      </c>
      <c r="E459">
        <f t="shared" si="7"/>
        <v>2034</v>
      </c>
      <c r="F459" s="18">
        <v>1</v>
      </c>
    </row>
    <row r="460" spans="1:6" x14ac:dyDescent="0.35">
      <c r="A460" s="7">
        <v>49099</v>
      </c>
      <c r="B460" s="8" t="s">
        <v>13</v>
      </c>
      <c r="C460" s="9">
        <v>15.7</v>
      </c>
      <c r="D460" s="10">
        <v>11.5</v>
      </c>
      <c r="E460">
        <f t="shared" si="7"/>
        <v>2034</v>
      </c>
      <c r="F460" s="18">
        <v>1</v>
      </c>
    </row>
    <row r="461" spans="1:6" x14ac:dyDescent="0.35">
      <c r="A461" s="11">
        <v>49100</v>
      </c>
      <c r="B461" s="12" t="s">
        <v>29</v>
      </c>
      <c r="C461" s="13">
        <v>27.7</v>
      </c>
      <c r="D461" s="14">
        <v>0.6</v>
      </c>
      <c r="E461">
        <f t="shared" si="7"/>
        <v>2034</v>
      </c>
      <c r="F461" s="18">
        <v>1</v>
      </c>
    </row>
    <row r="462" spans="1:6" x14ac:dyDescent="0.35">
      <c r="A462" s="7">
        <v>49101</v>
      </c>
      <c r="B462" s="8" t="s">
        <v>7</v>
      </c>
      <c r="C462" s="9">
        <v>22.9</v>
      </c>
      <c r="D462" s="10">
        <v>22.6</v>
      </c>
      <c r="E462">
        <f t="shared" si="7"/>
        <v>2034</v>
      </c>
      <c r="F462" s="18">
        <v>1</v>
      </c>
    </row>
    <row r="463" spans="1:6" x14ac:dyDescent="0.35">
      <c r="A463" s="11">
        <v>49102</v>
      </c>
      <c r="B463" s="12" t="s">
        <v>13</v>
      </c>
      <c r="C463" s="13">
        <v>10.3</v>
      </c>
      <c r="D463" s="14">
        <v>0</v>
      </c>
      <c r="E463">
        <f t="shared" si="7"/>
        <v>2034</v>
      </c>
      <c r="F463" s="18">
        <v>1</v>
      </c>
    </row>
    <row r="464" spans="1:6" x14ac:dyDescent="0.35">
      <c r="A464" s="7">
        <v>49103</v>
      </c>
      <c r="B464" s="8" t="s">
        <v>23</v>
      </c>
      <c r="C464" s="9">
        <v>28.4</v>
      </c>
      <c r="D464" s="10">
        <v>4</v>
      </c>
      <c r="E464">
        <f t="shared" si="7"/>
        <v>2034</v>
      </c>
      <c r="F464" s="18">
        <v>1</v>
      </c>
    </row>
    <row r="465" spans="1:6" x14ac:dyDescent="0.35">
      <c r="A465" s="11">
        <v>49104</v>
      </c>
      <c r="B465" s="12" t="s">
        <v>18</v>
      </c>
      <c r="C465" s="13">
        <v>18.7</v>
      </c>
      <c r="D465" s="14">
        <v>15</v>
      </c>
      <c r="E465">
        <f t="shared" si="7"/>
        <v>2034</v>
      </c>
      <c r="F465" s="18">
        <v>1</v>
      </c>
    </row>
    <row r="466" spans="1:6" x14ac:dyDescent="0.35">
      <c r="A466" s="7">
        <v>49105</v>
      </c>
      <c r="B466" s="8" t="s">
        <v>19</v>
      </c>
      <c r="C466" s="9">
        <v>13.7</v>
      </c>
      <c r="D466" s="10">
        <v>9.4</v>
      </c>
      <c r="E466">
        <f t="shared" si="7"/>
        <v>2034</v>
      </c>
      <c r="F466" s="18">
        <v>1</v>
      </c>
    </row>
    <row r="467" spans="1:6" x14ac:dyDescent="0.35">
      <c r="A467" s="11">
        <v>49106</v>
      </c>
      <c r="B467" s="12" t="s">
        <v>14</v>
      </c>
      <c r="C467" s="13">
        <v>16.3</v>
      </c>
      <c r="D467" s="14">
        <v>3.6</v>
      </c>
      <c r="E467">
        <f t="shared" si="7"/>
        <v>2034</v>
      </c>
      <c r="F467" s="18">
        <v>1</v>
      </c>
    </row>
    <row r="468" spans="1:6" x14ac:dyDescent="0.35">
      <c r="A468" s="7">
        <v>49107</v>
      </c>
      <c r="B468" s="8" t="s">
        <v>27</v>
      </c>
      <c r="C468" s="9">
        <v>14</v>
      </c>
      <c r="D468" s="10">
        <v>0</v>
      </c>
      <c r="E468">
        <f t="shared" si="7"/>
        <v>2034</v>
      </c>
      <c r="F468" s="18">
        <v>1</v>
      </c>
    </row>
    <row r="469" spans="1:6" x14ac:dyDescent="0.35">
      <c r="A469" s="11">
        <v>49108</v>
      </c>
      <c r="B469" s="12" t="s">
        <v>15</v>
      </c>
      <c r="C469" s="13">
        <v>26</v>
      </c>
      <c r="D469" s="14">
        <v>5.5</v>
      </c>
      <c r="E469">
        <f t="shared" si="7"/>
        <v>2034</v>
      </c>
      <c r="F469" s="18">
        <v>1</v>
      </c>
    </row>
    <row r="470" spans="1:6" x14ac:dyDescent="0.35">
      <c r="A470" s="7">
        <v>49109</v>
      </c>
      <c r="B470" s="8" t="s">
        <v>19</v>
      </c>
      <c r="C470" s="9">
        <v>27</v>
      </c>
      <c r="D470" s="10">
        <v>38.6</v>
      </c>
      <c r="E470">
        <f t="shared" si="7"/>
        <v>2034</v>
      </c>
      <c r="F470" s="18">
        <v>1</v>
      </c>
    </row>
    <row r="471" spans="1:6" x14ac:dyDescent="0.35">
      <c r="A471" s="11">
        <v>49110</v>
      </c>
      <c r="B471" s="12" t="s">
        <v>10</v>
      </c>
      <c r="C471" s="13">
        <v>26.6</v>
      </c>
      <c r="D471" s="14">
        <v>49.7</v>
      </c>
      <c r="E471">
        <f t="shared" si="7"/>
        <v>2034</v>
      </c>
      <c r="F471" s="18">
        <v>1</v>
      </c>
    </row>
    <row r="472" spans="1:6" x14ac:dyDescent="0.35">
      <c r="A472" s="7">
        <v>49111</v>
      </c>
      <c r="B472" s="8" t="s">
        <v>19</v>
      </c>
      <c r="C472" s="9">
        <v>20.9</v>
      </c>
      <c r="D472" s="10">
        <v>30</v>
      </c>
      <c r="E472">
        <f t="shared" si="7"/>
        <v>2034</v>
      </c>
      <c r="F472" s="18">
        <v>1</v>
      </c>
    </row>
    <row r="473" spans="1:6" x14ac:dyDescent="0.35">
      <c r="A473" s="11">
        <v>49112</v>
      </c>
      <c r="B473" s="12" t="s">
        <v>22</v>
      </c>
      <c r="C473" s="13">
        <v>28.5</v>
      </c>
      <c r="D473" s="14">
        <v>5.3</v>
      </c>
      <c r="E473">
        <f t="shared" si="7"/>
        <v>2034</v>
      </c>
      <c r="F473" s="18">
        <v>1</v>
      </c>
    </row>
    <row r="474" spans="1:6" x14ac:dyDescent="0.35">
      <c r="A474" s="7">
        <v>49113</v>
      </c>
      <c r="B474" s="8" t="s">
        <v>5</v>
      </c>
      <c r="C474" s="9">
        <v>10.4</v>
      </c>
      <c r="D474" s="10">
        <v>0</v>
      </c>
      <c r="E474">
        <f t="shared" si="7"/>
        <v>2034</v>
      </c>
      <c r="F474" s="18">
        <v>1</v>
      </c>
    </row>
    <row r="475" spans="1:6" x14ac:dyDescent="0.35">
      <c r="A475" s="11">
        <v>49114</v>
      </c>
      <c r="B475" s="12" t="s">
        <v>18</v>
      </c>
      <c r="C475" s="13">
        <v>25.9</v>
      </c>
      <c r="D475" s="14">
        <v>9.1999999999999993</v>
      </c>
      <c r="E475">
        <f t="shared" si="7"/>
        <v>2034</v>
      </c>
      <c r="F475" s="18">
        <v>1</v>
      </c>
    </row>
    <row r="476" spans="1:6" x14ac:dyDescent="0.35">
      <c r="A476" s="7">
        <v>49115</v>
      </c>
      <c r="B476" s="8" t="s">
        <v>11</v>
      </c>
      <c r="C476" s="9">
        <v>24.6</v>
      </c>
      <c r="D476" s="10">
        <v>11</v>
      </c>
      <c r="E476">
        <f t="shared" si="7"/>
        <v>2034</v>
      </c>
      <c r="F476" s="18">
        <v>1</v>
      </c>
    </row>
    <row r="477" spans="1:6" x14ac:dyDescent="0.35">
      <c r="A477" s="11">
        <v>49116</v>
      </c>
      <c r="B477" s="12" t="s">
        <v>16</v>
      </c>
      <c r="C477" s="13">
        <v>22</v>
      </c>
      <c r="D477" s="14">
        <v>0</v>
      </c>
      <c r="E477">
        <f t="shared" si="7"/>
        <v>2034</v>
      </c>
      <c r="F477" s="18">
        <v>1</v>
      </c>
    </row>
    <row r="478" spans="1:6" x14ac:dyDescent="0.35">
      <c r="A478" s="7">
        <v>49117</v>
      </c>
      <c r="B478" s="8" t="s">
        <v>8</v>
      </c>
      <c r="C478" s="9">
        <v>16.8</v>
      </c>
      <c r="D478" s="10">
        <v>2.4</v>
      </c>
      <c r="E478">
        <f t="shared" si="7"/>
        <v>2034</v>
      </c>
      <c r="F478" s="18">
        <v>1</v>
      </c>
    </row>
    <row r="479" spans="1:6" x14ac:dyDescent="0.35">
      <c r="A479" s="11">
        <v>49118</v>
      </c>
      <c r="B479" s="12" t="s">
        <v>10</v>
      </c>
      <c r="C479" s="13">
        <v>21.7</v>
      </c>
      <c r="D479" s="14">
        <v>44.1</v>
      </c>
      <c r="E479">
        <f t="shared" si="7"/>
        <v>2034</v>
      </c>
      <c r="F479" s="18">
        <v>1</v>
      </c>
    </row>
    <row r="480" spans="1:6" x14ac:dyDescent="0.35">
      <c r="A480" s="7">
        <v>49119</v>
      </c>
      <c r="B480" s="8" t="s">
        <v>12</v>
      </c>
      <c r="C480" s="9">
        <v>28.9</v>
      </c>
      <c r="D480" s="10">
        <v>0</v>
      </c>
      <c r="E480">
        <f t="shared" si="7"/>
        <v>2034</v>
      </c>
      <c r="F480" s="18">
        <v>1</v>
      </c>
    </row>
    <row r="481" spans="1:6" x14ac:dyDescent="0.35">
      <c r="A481" s="11">
        <v>49120</v>
      </c>
      <c r="B481" s="12" t="s">
        <v>13</v>
      </c>
      <c r="C481" s="13">
        <v>26.6</v>
      </c>
      <c r="D481" s="14">
        <v>0.4</v>
      </c>
      <c r="E481">
        <f t="shared" si="7"/>
        <v>2034</v>
      </c>
      <c r="F481" s="18">
        <v>1</v>
      </c>
    </row>
    <row r="482" spans="1:6" x14ac:dyDescent="0.35">
      <c r="A482" s="7">
        <v>49121</v>
      </c>
      <c r="B482" s="8" t="s">
        <v>15</v>
      </c>
      <c r="C482" s="9">
        <v>28</v>
      </c>
      <c r="D482" s="10">
        <v>16.7</v>
      </c>
      <c r="E482">
        <f t="shared" si="7"/>
        <v>2034</v>
      </c>
      <c r="F482" s="18">
        <v>1</v>
      </c>
    </row>
    <row r="483" spans="1:6" x14ac:dyDescent="0.35">
      <c r="A483" s="11">
        <v>49122</v>
      </c>
      <c r="B483" s="12" t="s">
        <v>17</v>
      </c>
      <c r="C483" s="13">
        <v>27.5</v>
      </c>
      <c r="D483" s="14">
        <v>0</v>
      </c>
      <c r="E483">
        <f t="shared" si="7"/>
        <v>2034</v>
      </c>
      <c r="F483" s="18">
        <v>1</v>
      </c>
    </row>
    <row r="484" spans="1:6" x14ac:dyDescent="0.35">
      <c r="A484" s="7">
        <v>49123</v>
      </c>
      <c r="B484" s="8" t="s">
        <v>22</v>
      </c>
      <c r="C484" s="9">
        <v>18.2</v>
      </c>
      <c r="D484" s="10">
        <v>0</v>
      </c>
      <c r="E484">
        <f t="shared" si="7"/>
        <v>2034</v>
      </c>
      <c r="F484" s="18">
        <v>1</v>
      </c>
    </row>
    <row r="485" spans="1:6" x14ac:dyDescent="0.35">
      <c r="A485" s="11">
        <v>49124</v>
      </c>
      <c r="B485" s="12" t="s">
        <v>18</v>
      </c>
      <c r="C485" s="13">
        <v>25.1</v>
      </c>
      <c r="D485" s="14">
        <v>0</v>
      </c>
      <c r="E485">
        <f t="shared" si="7"/>
        <v>2034</v>
      </c>
      <c r="F485" s="18">
        <v>1</v>
      </c>
    </row>
    <row r="486" spans="1:6" x14ac:dyDescent="0.35">
      <c r="A486" s="7">
        <v>49125</v>
      </c>
      <c r="B486" s="8" t="s">
        <v>4</v>
      </c>
      <c r="C486" s="9">
        <v>10.1</v>
      </c>
      <c r="D486" s="10">
        <v>0.2</v>
      </c>
      <c r="E486">
        <f t="shared" si="7"/>
        <v>2034</v>
      </c>
      <c r="F486" s="18">
        <v>1</v>
      </c>
    </row>
    <row r="487" spans="1:6" x14ac:dyDescent="0.35">
      <c r="A487" s="11">
        <v>49126</v>
      </c>
      <c r="B487" s="12" t="s">
        <v>15</v>
      </c>
      <c r="C487" s="13">
        <v>13.1</v>
      </c>
      <c r="D487" s="14">
        <v>7.9</v>
      </c>
      <c r="E487">
        <f t="shared" si="7"/>
        <v>2034</v>
      </c>
      <c r="F487" s="18">
        <v>1</v>
      </c>
    </row>
    <row r="488" spans="1:6" x14ac:dyDescent="0.35">
      <c r="A488" s="7">
        <v>49127</v>
      </c>
      <c r="B488" s="8" t="s">
        <v>9</v>
      </c>
      <c r="C488" s="9">
        <v>22.9</v>
      </c>
      <c r="D488" s="10">
        <v>0</v>
      </c>
      <c r="E488">
        <f t="shared" si="7"/>
        <v>2034</v>
      </c>
      <c r="F488" s="18">
        <v>1</v>
      </c>
    </row>
    <row r="489" spans="1:6" x14ac:dyDescent="0.35">
      <c r="A489" s="11">
        <v>49128</v>
      </c>
      <c r="B489" s="12" t="s">
        <v>9</v>
      </c>
      <c r="C489" s="13">
        <v>26.3</v>
      </c>
      <c r="D489" s="14">
        <v>4</v>
      </c>
      <c r="E489">
        <f t="shared" si="7"/>
        <v>2034</v>
      </c>
      <c r="F489" s="18">
        <v>1</v>
      </c>
    </row>
    <row r="490" spans="1:6" x14ac:dyDescent="0.35">
      <c r="A490" s="7">
        <v>49129</v>
      </c>
      <c r="B490" s="8" t="s">
        <v>19</v>
      </c>
      <c r="C490" s="9">
        <v>11.3</v>
      </c>
      <c r="D490" s="10">
        <v>19.8</v>
      </c>
      <c r="E490">
        <f t="shared" si="7"/>
        <v>2034</v>
      </c>
      <c r="F490" s="18">
        <v>1</v>
      </c>
    </row>
    <row r="491" spans="1:6" x14ac:dyDescent="0.35">
      <c r="A491" s="11">
        <v>49130</v>
      </c>
      <c r="B491" s="12" t="s">
        <v>10</v>
      </c>
      <c r="C491" s="13">
        <v>30</v>
      </c>
      <c r="D491" s="14">
        <v>0</v>
      </c>
      <c r="E491">
        <f t="shared" si="7"/>
        <v>2034</v>
      </c>
      <c r="F491" s="18">
        <v>1</v>
      </c>
    </row>
    <row r="492" spans="1:6" x14ac:dyDescent="0.35">
      <c r="A492" s="7">
        <v>49131</v>
      </c>
      <c r="B492" s="8" t="s">
        <v>22</v>
      </c>
      <c r="C492" s="9">
        <v>20.399999999999999</v>
      </c>
      <c r="D492" s="10">
        <v>0</v>
      </c>
      <c r="E492">
        <f t="shared" si="7"/>
        <v>2034</v>
      </c>
      <c r="F492" s="18">
        <v>1</v>
      </c>
    </row>
    <row r="493" spans="1:6" x14ac:dyDescent="0.35">
      <c r="A493" s="11">
        <v>49132</v>
      </c>
      <c r="B493" s="12" t="s">
        <v>7</v>
      </c>
      <c r="C493" s="13">
        <v>24.5</v>
      </c>
      <c r="D493" s="14">
        <v>8.6999999999999993</v>
      </c>
      <c r="E493">
        <f t="shared" si="7"/>
        <v>2034</v>
      </c>
      <c r="F493" s="18">
        <v>1</v>
      </c>
    </row>
    <row r="494" spans="1:6" x14ac:dyDescent="0.35">
      <c r="A494" s="7">
        <v>49133</v>
      </c>
      <c r="B494" s="8" t="s">
        <v>11</v>
      </c>
      <c r="C494" s="9">
        <v>17</v>
      </c>
      <c r="D494" s="10">
        <v>2.7</v>
      </c>
      <c r="E494">
        <f t="shared" si="7"/>
        <v>2034</v>
      </c>
      <c r="F494" s="18">
        <v>1</v>
      </c>
    </row>
    <row r="495" spans="1:6" x14ac:dyDescent="0.35">
      <c r="A495" s="11">
        <v>49134</v>
      </c>
      <c r="B495" s="12" t="s">
        <v>19</v>
      </c>
      <c r="C495" s="13">
        <v>21</v>
      </c>
      <c r="D495" s="14">
        <v>5.6</v>
      </c>
      <c r="E495">
        <f t="shared" si="7"/>
        <v>2034</v>
      </c>
      <c r="F495" s="18">
        <v>1</v>
      </c>
    </row>
    <row r="496" spans="1:6" x14ac:dyDescent="0.35">
      <c r="A496" s="7">
        <v>49135</v>
      </c>
      <c r="B496" s="8" t="s">
        <v>19</v>
      </c>
      <c r="C496" s="9">
        <v>20.7</v>
      </c>
      <c r="D496" s="10">
        <v>0</v>
      </c>
      <c r="E496">
        <f t="shared" si="7"/>
        <v>2034</v>
      </c>
      <c r="F496" s="18">
        <v>1</v>
      </c>
    </row>
    <row r="497" spans="1:6" x14ac:dyDescent="0.35">
      <c r="A497" s="11">
        <v>49136</v>
      </c>
      <c r="B497" s="12" t="s">
        <v>12</v>
      </c>
      <c r="C497" s="13">
        <v>26.7</v>
      </c>
      <c r="D497" s="14">
        <v>9.8000000000000007</v>
      </c>
      <c r="E497">
        <f t="shared" si="7"/>
        <v>2034</v>
      </c>
      <c r="F497" s="18">
        <v>1</v>
      </c>
    </row>
    <row r="498" spans="1:6" x14ac:dyDescent="0.35">
      <c r="A498" s="7">
        <v>49137</v>
      </c>
      <c r="B498" s="8" t="s">
        <v>30</v>
      </c>
      <c r="C498" s="9">
        <v>10.199999999999999</v>
      </c>
      <c r="D498" s="10">
        <v>0.1</v>
      </c>
      <c r="E498">
        <f t="shared" si="7"/>
        <v>2034</v>
      </c>
      <c r="F498" s="18">
        <v>1</v>
      </c>
    </row>
    <row r="499" spans="1:6" x14ac:dyDescent="0.35">
      <c r="A499" s="11">
        <v>49138</v>
      </c>
      <c r="B499" s="12" t="s">
        <v>10</v>
      </c>
      <c r="C499" s="13">
        <v>15.7</v>
      </c>
      <c r="D499" s="14">
        <v>5.8</v>
      </c>
      <c r="E499">
        <f t="shared" si="7"/>
        <v>2034</v>
      </c>
      <c r="F499" s="18">
        <v>1</v>
      </c>
    </row>
    <row r="500" spans="1:6" x14ac:dyDescent="0.35">
      <c r="A500" s="7">
        <v>49139</v>
      </c>
      <c r="B500" s="8" t="s">
        <v>33</v>
      </c>
      <c r="C500" s="9">
        <v>15.9</v>
      </c>
      <c r="D500" s="10">
        <v>2.2000000000000002</v>
      </c>
      <c r="E500">
        <f t="shared" si="7"/>
        <v>2034</v>
      </c>
      <c r="F500" s="18">
        <v>1</v>
      </c>
    </row>
    <row r="501" spans="1:6" x14ac:dyDescent="0.35">
      <c r="A501" s="11">
        <v>49140</v>
      </c>
      <c r="B501" s="12" t="s">
        <v>19</v>
      </c>
      <c r="C501" s="13">
        <v>21</v>
      </c>
      <c r="D501" s="14">
        <v>13.1</v>
      </c>
      <c r="E501">
        <f t="shared" si="7"/>
        <v>2034</v>
      </c>
      <c r="F501" s="18">
        <v>1</v>
      </c>
    </row>
    <row r="502" spans="1:6" x14ac:dyDescent="0.35">
      <c r="A502" s="7">
        <v>49141</v>
      </c>
      <c r="B502" s="8" t="s">
        <v>9</v>
      </c>
      <c r="C502" s="9">
        <v>10.9</v>
      </c>
      <c r="D502" s="10">
        <v>8.1</v>
      </c>
      <c r="E502">
        <f t="shared" si="7"/>
        <v>2034</v>
      </c>
      <c r="F502" s="18">
        <v>1</v>
      </c>
    </row>
    <row r="503" spans="1:6" x14ac:dyDescent="0.35">
      <c r="A503" s="11">
        <v>49142</v>
      </c>
      <c r="B503" s="12" t="s">
        <v>22</v>
      </c>
      <c r="C503" s="13">
        <v>20.9</v>
      </c>
      <c r="D503" s="14">
        <v>5.9</v>
      </c>
      <c r="E503">
        <f t="shared" si="7"/>
        <v>2034</v>
      </c>
      <c r="F503" s="18">
        <v>1</v>
      </c>
    </row>
    <row r="504" spans="1:6" x14ac:dyDescent="0.35">
      <c r="A504" s="7">
        <v>49143</v>
      </c>
      <c r="B504" s="8" t="s">
        <v>19</v>
      </c>
      <c r="C504" s="9">
        <v>21.8</v>
      </c>
      <c r="D504" s="10">
        <v>15.9</v>
      </c>
      <c r="E504">
        <f t="shared" si="7"/>
        <v>2034</v>
      </c>
      <c r="F504" s="18">
        <v>1</v>
      </c>
    </row>
    <row r="505" spans="1:6" x14ac:dyDescent="0.35">
      <c r="A505" s="11">
        <v>49144</v>
      </c>
      <c r="B505" s="12" t="s">
        <v>15</v>
      </c>
      <c r="C505" s="13">
        <v>11.9</v>
      </c>
      <c r="D505" s="14">
        <v>18.100000000000001</v>
      </c>
      <c r="E505">
        <f t="shared" si="7"/>
        <v>2034</v>
      </c>
      <c r="F505" s="18">
        <v>1</v>
      </c>
    </row>
    <row r="506" spans="1:6" x14ac:dyDescent="0.35">
      <c r="A506" s="7">
        <v>49145</v>
      </c>
      <c r="B506" s="8" t="s">
        <v>13</v>
      </c>
      <c r="C506" s="9">
        <v>12.9</v>
      </c>
      <c r="D506" s="10">
        <v>0</v>
      </c>
      <c r="E506">
        <f t="shared" si="7"/>
        <v>2034</v>
      </c>
      <c r="F506" s="18">
        <v>1</v>
      </c>
    </row>
    <row r="507" spans="1:6" x14ac:dyDescent="0.35">
      <c r="A507" s="11">
        <v>49146</v>
      </c>
      <c r="B507" s="12" t="s">
        <v>19</v>
      </c>
      <c r="C507" s="13">
        <v>14.9</v>
      </c>
      <c r="D507" s="14">
        <v>4.8</v>
      </c>
      <c r="E507">
        <f t="shared" si="7"/>
        <v>2034</v>
      </c>
      <c r="F507" s="18">
        <v>1</v>
      </c>
    </row>
    <row r="508" spans="1:6" x14ac:dyDescent="0.35">
      <c r="A508" s="7">
        <v>49147</v>
      </c>
      <c r="B508" s="8" t="s">
        <v>10</v>
      </c>
      <c r="C508" s="9">
        <v>29.5</v>
      </c>
      <c r="D508" s="10">
        <v>0</v>
      </c>
      <c r="E508">
        <f t="shared" si="7"/>
        <v>2034</v>
      </c>
      <c r="F508" s="18">
        <v>1</v>
      </c>
    </row>
    <row r="509" spans="1:6" x14ac:dyDescent="0.35">
      <c r="A509" s="11">
        <v>49148</v>
      </c>
      <c r="B509" s="12" t="s">
        <v>19</v>
      </c>
      <c r="C509" s="13">
        <v>18.100000000000001</v>
      </c>
      <c r="D509" s="14">
        <v>0</v>
      </c>
      <c r="E509">
        <f t="shared" si="7"/>
        <v>2034</v>
      </c>
      <c r="F509" s="18">
        <v>1</v>
      </c>
    </row>
    <row r="510" spans="1:6" x14ac:dyDescent="0.35">
      <c r="A510" s="7">
        <v>49149</v>
      </c>
      <c r="B510" s="8" t="s">
        <v>6</v>
      </c>
      <c r="C510" s="9">
        <v>10.8</v>
      </c>
      <c r="D510" s="10">
        <v>11.8</v>
      </c>
      <c r="E510">
        <f t="shared" si="7"/>
        <v>2034</v>
      </c>
      <c r="F510" s="18">
        <v>1</v>
      </c>
    </row>
    <row r="511" spans="1:6" x14ac:dyDescent="0.35">
      <c r="A511" s="11">
        <v>49150</v>
      </c>
      <c r="B511" s="12" t="s">
        <v>9</v>
      </c>
      <c r="C511" s="13">
        <v>13.5</v>
      </c>
      <c r="D511" s="14">
        <v>5.4</v>
      </c>
      <c r="E511">
        <f t="shared" si="7"/>
        <v>2034</v>
      </c>
      <c r="F511" s="18">
        <v>1</v>
      </c>
    </row>
    <row r="512" spans="1:6" x14ac:dyDescent="0.35">
      <c r="A512" s="7">
        <v>49151</v>
      </c>
      <c r="B512" s="8" t="s">
        <v>22</v>
      </c>
      <c r="C512" s="9">
        <v>15.9</v>
      </c>
      <c r="D512" s="10">
        <v>0</v>
      </c>
      <c r="E512">
        <f t="shared" si="7"/>
        <v>2034</v>
      </c>
      <c r="F512" s="18">
        <v>1</v>
      </c>
    </row>
    <row r="513" spans="1:6" x14ac:dyDescent="0.35">
      <c r="A513" s="11">
        <v>49152</v>
      </c>
      <c r="B513" s="12" t="s">
        <v>26</v>
      </c>
      <c r="C513" s="13">
        <v>23.1</v>
      </c>
      <c r="D513" s="14">
        <v>0</v>
      </c>
      <c r="E513">
        <f t="shared" si="7"/>
        <v>2034</v>
      </c>
      <c r="F513" s="18">
        <v>1</v>
      </c>
    </row>
    <row r="514" spans="1:6" x14ac:dyDescent="0.35">
      <c r="A514" s="7">
        <v>49153</v>
      </c>
      <c r="B514" s="8" t="s">
        <v>16</v>
      </c>
      <c r="C514" s="9">
        <v>26.7</v>
      </c>
      <c r="D514" s="10">
        <v>0</v>
      </c>
      <c r="E514">
        <f t="shared" si="7"/>
        <v>2034</v>
      </c>
      <c r="F514" s="18">
        <v>1</v>
      </c>
    </row>
    <row r="515" spans="1:6" x14ac:dyDescent="0.35">
      <c r="A515" s="11">
        <v>49154</v>
      </c>
      <c r="B515" s="12" t="s">
        <v>10</v>
      </c>
      <c r="C515" s="13">
        <v>26</v>
      </c>
      <c r="D515" s="14">
        <v>29.1</v>
      </c>
      <c r="E515">
        <f t="shared" ref="E515:E578" si="8">YEAR(A515)</f>
        <v>2034</v>
      </c>
      <c r="F515" s="18">
        <v>1</v>
      </c>
    </row>
    <row r="516" spans="1:6" x14ac:dyDescent="0.35">
      <c r="A516" s="7">
        <v>49155</v>
      </c>
      <c r="B516" s="8" t="s">
        <v>18</v>
      </c>
      <c r="C516" s="9">
        <v>23.6</v>
      </c>
      <c r="D516" s="10">
        <v>9.1</v>
      </c>
      <c r="E516">
        <f t="shared" si="8"/>
        <v>2034</v>
      </c>
      <c r="F516" s="18">
        <v>1</v>
      </c>
    </row>
    <row r="517" spans="1:6" x14ac:dyDescent="0.35">
      <c r="A517" s="11">
        <v>49156</v>
      </c>
      <c r="B517" s="12" t="s">
        <v>26</v>
      </c>
      <c r="C517" s="13">
        <v>29.8</v>
      </c>
      <c r="D517" s="14">
        <v>5.7</v>
      </c>
      <c r="E517">
        <f t="shared" si="8"/>
        <v>2034</v>
      </c>
      <c r="F517" s="18">
        <v>1</v>
      </c>
    </row>
    <row r="518" spans="1:6" x14ac:dyDescent="0.35">
      <c r="A518" s="7">
        <v>49157</v>
      </c>
      <c r="B518" s="8" t="s">
        <v>19</v>
      </c>
      <c r="C518" s="9">
        <v>18.600000000000001</v>
      </c>
      <c r="D518" s="10">
        <v>0</v>
      </c>
      <c r="E518">
        <f t="shared" si="8"/>
        <v>2034</v>
      </c>
      <c r="F518" s="18">
        <v>1</v>
      </c>
    </row>
    <row r="519" spans="1:6" x14ac:dyDescent="0.35">
      <c r="A519" s="11">
        <v>49158</v>
      </c>
      <c r="B519" s="12" t="s">
        <v>15</v>
      </c>
      <c r="C519" s="13">
        <v>17.600000000000001</v>
      </c>
      <c r="D519" s="14">
        <v>2.4</v>
      </c>
      <c r="E519">
        <f t="shared" si="8"/>
        <v>2034</v>
      </c>
      <c r="F519" s="18">
        <v>1</v>
      </c>
    </row>
    <row r="520" spans="1:6" x14ac:dyDescent="0.35">
      <c r="A520" s="7">
        <v>49159</v>
      </c>
      <c r="B520" s="8" t="s">
        <v>15</v>
      </c>
      <c r="C520" s="9">
        <v>12.6</v>
      </c>
      <c r="D520" s="10">
        <v>9.1999999999999993</v>
      </c>
      <c r="E520">
        <f t="shared" si="8"/>
        <v>2034</v>
      </c>
      <c r="F520" s="18">
        <v>1</v>
      </c>
    </row>
    <row r="521" spans="1:6" x14ac:dyDescent="0.35">
      <c r="A521" s="11">
        <v>49160</v>
      </c>
      <c r="B521" s="12" t="s">
        <v>17</v>
      </c>
      <c r="C521" s="13">
        <v>25.4</v>
      </c>
      <c r="D521" s="14">
        <v>5.4</v>
      </c>
      <c r="E521">
        <f t="shared" si="8"/>
        <v>2034</v>
      </c>
      <c r="F521" s="18">
        <v>1</v>
      </c>
    </row>
    <row r="522" spans="1:6" x14ac:dyDescent="0.35">
      <c r="A522" s="7">
        <v>49161</v>
      </c>
      <c r="B522" s="8" t="s">
        <v>20</v>
      </c>
      <c r="C522" s="9">
        <v>12.8</v>
      </c>
      <c r="D522" s="10">
        <v>3.6</v>
      </c>
      <c r="E522">
        <f t="shared" si="8"/>
        <v>2034</v>
      </c>
      <c r="F522" s="18">
        <v>1</v>
      </c>
    </row>
    <row r="523" spans="1:6" x14ac:dyDescent="0.35">
      <c r="A523" s="11">
        <v>49162</v>
      </c>
      <c r="B523" s="12" t="s">
        <v>11</v>
      </c>
      <c r="C523" s="13">
        <v>18.7</v>
      </c>
      <c r="D523" s="14">
        <v>0</v>
      </c>
      <c r="E523">
        <f t="shared" si="8"/>
        <v>2034</v>
      </c>
      <c r="F523" s="18">
        <v>1</v>
      </c>
    </row>
    <row r="524" spans="1:6" x14ac:dyDescent="0.35">
      <c r="A524" s="7">
        <v>49163</v>
      </c>
      <c r="B524" s="8" t="s">
        <v>33</v>
      </c>
      <c r="C524" s="9">
        <v>22.3</v>
      </c>
      <c r="D524" s="10">
        <v>0</v>
      </c>
      <c r="E524">
        <f t="shared" si="8"/>
        <v>2034</v>
      </c>
      <c r="F524" s="18">
        <v>1</v>
      </c>
    </row>
    <row r="525" spans="1:6" x14ac:dyDescent="0.35">
      <c r="A525" s="11">
        <v>49164</v>
      </c>
      <c r="B525" s="12" t="s">
        <v>18</v>
      </c>
      <c r="C525" s="13">
        <v>26.4</v>
      </c>
      <c r="D525" s="14">
        <v>0.5</v>
      </c>
      <c r="E525">
        <f t="shared" si="8"/>
        <v>2034</v>
      </c>
      <c r="F525" s="18">
        <v>1</v>
      </c>
    </row>
    <row r="526" spans="1:6" x14ac:dyDescent="0.35">
      <c r="A526" s="7">
        <v>49165</v>
      </c>
      <c r="B526" s="8" t="s">
        <v>7</v>
      </c>
      <c r="C526" s="9">
        <v>28.5</v>
      </c>
      <c r="D526" s="10">
        <v>3.2</v>
      </c>
      <c r="E526">
        <f t="shared" si="8"/>
        <v>2034</v>
      </c>
      <c r="F526" s="18">
        <v>1</v>
      </c>
    </row>
    <row r="527" spans="1:6" x14ac:dyDescent="0.35">
      <c r="A527" s="11">
        <v>49166</v>
      </c>
      <c r="B527" s="12" t="s">
        <v>17</v>
      </c>
      <c r="C527" s="13">
        <v>16.8</v>
      </c>
      <c r="D527" s="14">
        <v>5.5</v>
      </c>
      <c r="E527">
        <f t="shared" si="8"/>
        <v>2034</v>
      </c>
      <c r="F527" s="18">
        <v>1</v>
      </c>
    </row>
    <row r="528" spans="1:6" x14ac:dyDescent="0.35">
      <c r="A528" s="7">
        <v>49167</v>
      </c>
      <c r="B528" s="8" t="s">
        <v>27</v>
      </c>
      <c r="C528" s="9">
        <v>24.7</v>
      </c>
      <c r="D528" s="10">
        <v>0.8</v>
      </c>
      <c r="E528">
        <f t="shared" si="8"/>
        <v>2034</v>
      </c>
      <c r="F528" s="18">
        <v>1</v>
      </c>
    </row>
    <row r="529" spans="1:6" x14ac:dyDescent="0.35">
      <c r="A529" s="11">
        <v>49168</v>
      </c>
      <c r="B529" s="12" t="s">
        <v>9</v>
      </c>
      <c r="C529" s="13">
        <v>29.6</v>
      </c>
      <c r="D529" s="14">
        <v>0</v>
      </c>
      <c r="E529">
        <f t="shared" si="8"/>
        <v>2034</v>
      </c>
      <c r="F529" s="18">
        <v>1</v>
      </c>
    </row>
    <row r="530" spans="1:6" x14ac:dyDescent="0.35">
      <c r="A530" s="7">
        <v>49169</v>
      </c>
      <c r="B530" s="8" t="s">
        <v>10</v>
      </c>
      <c r="C530" s="9">
        <v>23.3</v>
      </c>
      <c r="D530" s="10">
        <v>29.4</v>
      </c>
      <c r="E530">
        <f t="shared" si="8"/>
        <v>2034</v>
      </c>
      <c r="F530" s="18">
        <v>1</v>
      </c>
    </row>
    <row r="531" spans="1:6" x14ac:dyDescent="0.35">
      <c r="A531" s="11">
        <v>49170</v>
      </c>
      <c r="B531" s="12" t="s">
        <v>9</v>
      </c>
      <c r="C531" s="13">
        <v>28.8</v>
      </c>
      <c r="D531" s="14">
        <v>11.5</v>
      </c>
      <c r="E531">
        <f t="shared" si="8"/>
        <v>2034</v>
      </c>
      <c r="F531" s="18">
        <v>1</v>
      </c>
    </row>
    <row r="532" spans="1:6" x14ac:dyDescent="0.35">
      <c r="A532" s="7">
        <v>49171</v>
      </c>
      <c r="B532" s="8" t="s">
        <v>9</v>
      </c>
      <c r="C532" s="9">
        <v>26.5</v>
      </c>
      <c r="D532" s="10">
        <v>0</v>
      </c>
      <c r="E532">
        <f t="shared" si="8"/>
        <v>2034</v>
      </c>
      <c r="F532" s="18">
        <v>1</v>
      </c>
    </row>
    <row r="533" spans="1:6" x14ac:dyDescent="0.35">
      <c r="A533" s="11">
        <v>49172</v>
      </c>
      <c r="B533" s="12" t="s">
        <v>23</v>
      </c>
      <c r="C533" s="13">
        <v>17.100000000000001</v>
      </c>
      <c r="D533" s="14">
        <v>3.6</v>
      </c>
      <c r="E533">
        <f t="shared" si="8"/>
        <v>2034</v>
      </c>
      <c r="F533" s="18">
        <v>1</v>
      </c>
    </row>
    <row r="534" spans="1:6" x14ac:dyDescent="0.35">
      <c r="A534" s="7">
        <v>49173</v>
      </c>
      <c r="B534" s="8" t="s">
        <v>9</v>
      </c>
      <c r="C534" s="9">
        <v>17.8</v>
      </c>
      <c r="D534" s="10">
        <v>7</v>
      </c>
      <c r="E534">
        <f t="shared" si="8"/>
        <v>2034</v>
      </c>
      <c r="F534" s="18">
        <v>1</v>
      </c>
    </row>
    <row r="535" spans="1:6" x14ac:dyDescent="0.35">
      <c r="A535" s="11">
        <v>49174</v>
      </c>
      <c r="B535" s="12" t="s">
        <v>27</v>
      </c>
      <c r="C535" s="13">
        <v>24.7</v>
      </c>
      <c r="D535" s="14">
        <v>1.5</v>
      </c>
      <c r="E535">
        <f t="shared" si="8"/>
        <v>2034</v>
      </c>
      <c r="F535" s="18">
        <v>1</v>
      </c>
    </row>
    <row r="536" spans="1:6" x14ac:dyDescent="0.35">
      <c r="A536" s="7">
        <v>49175</v>
      </c>
      <c r="B536" s="8" t="s">
        <v>19</v>
      </c>
      <c r="C536" s="9">
        <v>25.1</v>
      </c>
      <c r="D536" s="10">
        <v>0</v>
      </c>
      <c r="E536">
        <f t="shared" si="8"/>
        <v>2034</v>
      </c>
      <c r="F536" s="18">
        <v>1</v>
      </c>
    </row>
    <row r="537" spans="1:6" x14ac:dyDescent="0.35">
      <c r="A537" s="11">
        <v>49176</v>
      </c>
      <c r="B537" s="12" t="s">
        <v>32</v>
      </c>
      <c r="C537" s="13">
        <v>27</v>
      </c>
      <c r="D537" s="14">
        <v>0</v>
      </c>
      <c r="E537">
        <f t="shared" si="8"/>
        <v>2034</v>
      </c>
      <c r="F537" s="18">
        <v>1</v>
      </c>
    </row>
    <row r="538" spans="1:6" x14ac:dyDescent="0.35">
      <c r="A538" s="7">
        <v>49177</v>
      </c>
      <c r="B538" s="8" t="s">
        <v>18</v>
      </c>
      <c r="C538" s="9">
        <v>18.2</v>
      </c>
      <c r="D538" s="10">
        <v>13.9</v>
      </c>
      <c r="E538">
        <f t="shared" si="8"/>
        <v>2034</v>
      </c>
      <c r="F538" s="18">
        <v>1</v>
      </c>
    </row>
    <row r="539" spans="1:6" x14ac:dyDescent="0.35">
      <c r="A539" s="11">
        <v>49178</v>
      </c>
      <c r="B539" s="12" t="s">
        <v>15</v>
      </c>
      <c r="C539" s="13">
        <v>10.8</v>
      </c>
      <c r="D539" s="14">
        <v>7.9</v>
      </c>
      <c r="E539">
        <f t="shared" si="8"/>
        <v>2034</v>
      </c>
      <c r="F539" s="18">
        <v>1</v>
      </c>
    </row>
    <row r="540" spans="1:6" x14ac:dyDescent="0.35">
      <c r="A540" s="7">
        <v>49179</v>
      </c>
      <c r="B540" s="8" t="s">
        <v>7</v>
      </c>
      <c r="C540" s="9">
        <v>27.9</v>
      </c>
      <c r="D540" s="10">
        <v>9.9</v>
      </c>
      <c r="E540">
        <f t="shared" si="8"/>
        <v>2034</v>
      </c>
      <c r="F540" s="18">
        <v>1</v>
      </c>
    </row>
    <row r="541" spans="1:6" x14ac:dyDescent="0.35">
      <c r="A541" s="11">
        <v>49180</v>
      </c>
      <c r="B541" s="12" t="s">
        <v>24</v>
      </c>
      <c r="C541" s="13">
        <v>14.1</v>
      </c>
      <c r="D541" s="14">
        <v>0.7</v>
      </c>
      <c r="E541">
        <f t="shared" si="8"/>
        <v>2034</v>
      </c>
      <c r="F541" s="18">
        <v>1</v>
      </c>
    </row>
    <row r="542" spans="1:6" x14ac:dyDescent="0.35">
      <c r="A542" s="7">
        <v>49181</v>
      </c>
      <c r="B542" s="8" t="s">
        <v>18</v>
      </c>
      <c r="C542" s="9">
        <v>17.5</v>
      </c>
      <c r="D542" s="10">
        <v>3.2</v>
      </c>
      <c r="E542">
        <f t="shared" si="8"/>
        <v>2034</v>
      </c>
      <c r="F542" s="18">
        <v>1</v>
      </c>
    </row>
    <row r="543" spans="1:6" x14ac:dyDescent="0.35">
      <c r="A543" s="11">
        <v>49182</v>
      </c>
      <c r="B543" s="12" t="s">
        <v>10</v>
      </c>
      <c r="C543" s="13">
        <v>14.3</v>
      </c>
      <c r="D543" s="14">
        <v>0</v>
      </c>
      <c r="E543">
        <f t="shared" si="8"/>
        <v>2034</v>
      </c>
      <c r="F543" s="18">
        <v>1</v>
      </c>
    </row>
    <row r="544" spans="1:6" x14ac:dyDescent="0.35">
      <c r="A544" s="7">
        <v>49183</v>
      </c>
      <c r="B544" s="8" t="s">
        <v>20</v>
      </c>
      <c r="C544" s="9">
        <v>15.4</v>
      </c>
      <c r="D544" s="10">
        <v>0</v>
      </c>
      <c r="E544">
        <f t="shared" si="8"/>
        <v>2034</v>
      </c>
      <c r="F544" s="18">
        <v>1</v>
      </c>
    </row>
    <row r="545" spans="1:6" x14ac:dyDescent="0.35">
      <c r="A545" s="11">
        <v>49184</v>
      </c>
      <c r="B545" s="12" t="s">
        <v>19</v>
      </c>
      <c r="C545" s="13">
        <v>17.5</v>
      </c>
      <c r="D545" s="14">
        <v>0</v>
      </c>
      <c r="E545">
        <f t="shared" si="8"/>
        <v>2034</v>
      </c>
      <c r="F545" s="18">
        <v>1</v>
      </c>
    </row>
    <row r="546" spans="1:6" x14ac:dyDescent="0.35">
      <c r="A546" s="7">
        <v>49185</v>
      </c>
      <c r="B546" s="8" t="s">
        <v>13</v>
      </c>
      <c r="C546" s="9">
        <v>11.6</v>
      </c>
      <c r="D546" s="10">
        <v>4.0999999999999996</v>
      </c>
      <c r="E546">
        <f t="shared" si="8"/>
        <v>2034</v>
      </c>
      <c r="F546" s="18">
        <v>1</v>
      </c>
    </row>
    <row r="547" spans="1:6" x14ac:dyDescent="0.35">
      <c r="A547" s="11">
        <v>49186</v>
      </c>
      <c r="B547" s="12" t="s">
        <v>9</v>
      </c>
      <c r="C547" s="13">
        <v>27.9</v>
      </c>
      <c r="D547" s="14">
        <v>10.3</v>
      </c>
      <c r="E547">
        <f t="shared" si="8"/>
        <v>2034</v>
      </c>
      <c r="F547" s="18">
        <v>1</v>
      </c>
    </row>
    <row r="548" spans="1:6" x14ac:dyDescent="0.35">
      <c r="A548" s="7">
        <v>49187</v>
      </c>
      <c r="B548" s="8" t="s">
        <v>19</v>
      </c>
      <c r="C548" s="9">
        <v>11.8</v>
      </c>
      <c r="D548" s="10">
        <v>20.2</v>
      </c>
      <c r="E548">
        <f t="shared" si="8"/>
        <v>2034</v>
      </c>
      <c r="F548" s="18">
        <v>1</v>
      </c>
    </row>
    <row r="549" spans="1:6" x14ac:dyDescent="0.35">
      <c r="A549" s="11">
        <v>49188</v>
      </c>
      <c r="B549" s="12" t="s">
        <v>7</v>
      </c>
      <c r="C549" s="13">
        <v>12</v>
      </c>
      <c r="D549" s="14">
        <v>8.5</v>
      </c>
      <c r="E549">
        <f t="shared" si="8"/>
        <v>2034</v>
      </c>
      <c r="F549" s="18">
        <v>1</v>
      </c>
    </row>
    <row r="550" spans="1:6" x14ac:dyDescent="0.35">
      <c r="A550" s="7">
        <v>49189</v>
      </c>
      <c r="B550" s="8" t="s">
        <v>10</v>
      </c>
      <c r="C550" s="9">
        <v>11.8</v>
      </c>
      <c r="D550" s="10">
        <v>7.8</v>
      </c>
      <c r="E550">
        <f t="shared" si="8"/>
        <v>2034</v>
      </c>
      <c r="F550" s="18">
        <v>1</v>
      </c>
    </row>
    <row r="551" spans="1:6" x14ac:dyDescent="0.35">
      <c r="A551" s="11">
        <v>49190</v>
      </c>
      <c r="B551" s="12" t="s">
        <v>17</v>
      </c>
      <c r="C551" s="13">
        <v>22.2</v>
      </c>
      <c r="D551" s="14">
        <v>0</v>
      </c>
      <c r="E551">
        <f t="shared" si="8"/>
        <v>2034</v>
      </c>
      <c r="F551" s="18">
        <v>1</v>
      </c>
    </row>
    <row r="552" spans="1:6" x14ac:dyDescent="0.35">
      <c r="A552" s="7">
        <v>49191</v>
      </c>
      <c r="B552" s="8" t="s">
        <v>7</v>
      </c>
      <c r="C552" s="9">
        <v>13.3</v>
      </c>
      <c r="D552" s="10">
        <v>3.8</v>
      </c>
      <c r="E552">
        <f t="shared" si="8"/>
        <v>2034</v>
      </c>
      <c r="F552" s="18">
        <v>1</v>
      </c>
    </row>
    <row r="553" spans="1:6" x14ac:dyDescent="0.35">
      <c r="A553" s="11">
        <v>49192</v>
      </c>
      <c r="B553" s="12" t="s">
        <v>13</v>
      </c>
      <c r="C553" s="13">
        <v>24.6</v>
      </c>
      <c r="D553" s="14">
        <v>2.1</v>
      </c>
      <c r="E553">
        <f t="shared" si="8"/>
        <v>2034</v>
      </c>
      <c r="F553" s="18">
        <v>1</v>
      </c>
    </row>
    <row r="554" spans="1:6" x14ac:dyDescent="0.35">
      <c r="A554" s="7">
        <v>49193</v>
      </c>
      <c r="B554" s="8" t="s">
        <v>19</v>
      </c>
      <c r="C554" s="9">
        <v>15.7</v>
      </c>
      <c r="D554" s="10">
        <v>0</v>
      </c>
      <c r="E554">
        <f t="shared" si="8"/>
        <v>2034</v>
      </c>
      <c r="F554" s="18">
        <v>1</v>
      </c>
    </row>
    <row r="555" spans="1:6" x14ac:dyDescent="0.35">
      <c r="A555" s="11">
        <v>49194</v>
      </c>
      <c r="B555" s="12" t="s">
        <v>18</v>
      </c>
      <c r="C555" s="13">
        <v>26.7</v>
      </c>
      <c r="D555" s="14">
        <v>16.2</v>
      </c>
      <c r="E555">
        <f t="shared" si="8"/>
        <v>2034</v>
      </c>
      <c r="F555" s="18">
        <v>1</v>
      </c>
    </row>
    <row r="556" spans="1:6" x14ac:dyDescent="0.35">
      <c r="A556" s="7">
        <v>49195</v>
      </c>
      <c r="B556" s="8" t="s">
        <v>15</v>
      </c>
      <c r="C556" s="9">
        <v>28.1</v>
      </c>
      <c r="D556" s="10">
        <v>1.1000000000000001</v>
      </c>
      <c r="E556">
        <f t="shared" si="8"/>
        <v>2034</v>
      </c>
      <c r="F556" s="18">
        <v>1</v>
      </c>
    </row>
    <row r="557" spans="1:6" x14ac:dyDescent="0.35">
      <c r="A557" s="11">
        <v>49196</v>
      </c>
      <c r="B557" s="12" t="s">
        <v>10</v>
      </c>
      <c r="C557" s="13">
        <v>29.1</v>
      </c>
      <c r="D557" s="14">
        <v>3</v>
      </c>
      <c r="E557">
        <f t="shared" si="8"/>
        <v>2034</v>
      </c>
      <c r="F557" s="18">
        <v>1</v>
      </c>
    </row>
    <row r="558" spans="1:6" x14ac:dyDescent="0.35">
      <c r="A558" s="7">
        <v>49197</v>
      </c>
      <c r="B558" s="8" t="s">
        <v>7</v>
      </c>
      <c r="C558" s="9">
        <v>26.2</v>
      </c>
      <c r="D558" s="10">
        <v>0</v>
      </c>
      <c r="E558">
        <f t="shared" si="8"/>
        <v>2034</v>
      </c>
      <c r="F558" s="18">
        <v>1</v>
      </c>
    </row>
    <row r="559" spans="1:6" x14ac:dyDescent="0.35">
      <c r="A559" s="11">
        <v>49198</v>
      </c>
      <c r="B559" s="12" t="s">
        <v>31</v>
      </c>
      <c r="C559" s="13">
        <v>23.3</v>
      </c>
      <c r="D559" s="14">
        <v>0</v>
      </c>
      <c r="E559">
        <f t="shared" si="8"/>
        <v>2034</v>
      </c>
      <c r="F559" s="18">
        <v>1</v>
      </c>
    </row>
    <row r="560" spans="1:6" x14ac:dyDescent="0.35">
      <c r="A560" s="7">
        <v>49199</v>
      </c>
      <c r="B560" s="8" t="s">
        <v>19</v>
      </c>
      <c r="C560" s="9">
        <v>21.7</v>
      </c>
      <c r="D560" s="10">
        <v>10.4</v>
      </c>
      <c r="E560">
        <f t="shared" si="8"/>
        <v>2034</v>
      </c>
      <c r="F560" s="18">
        <v>1</v>
      </c>
    </row>
    <row r="561" spans="1:6" x14ac:dyDescent="0.35">
      <c r="A561" s="11">
        <v>49200</v>
      </c>
      <c r="B561" s="12" t="s">
        <v>18</v>
      </c>
      <c r="C561" s="13">
        <v>18.8</v>
      </c>
      <c r="D561" s="14">
        <v>15.6</v>
      </c>
      <c r="E561">
        <f t="shared" si="8"/>
        <v>2034</v>
      </c>
      <c r="F561" s="18">
        <v>1</v>
      </c>
    </row>
    <row r="562" spans="1:6" x14ac:dyDescent="0.35">
      <c r="A562" s="7">
        <v>49201</v>
      </c>
      <c r="B562" s="8" t="s">
        <v>15</v>
      </c>
      <c r="C562" s="9">
        <v>25.4</v>
      </c>
      <c r="D562" s="10">
        <v>7.4</v>
      </c>
      <c r="E562">
        <f t="shared" si="8"/>
        <v>2034</v>
      </c>
      <c r="F562" s="18">
        <v>1</v>
      </c>
    </row>
    <row r="563" spans="1:6" x14ac:dyDescent="0.35">
      <c r="A563" s="11">
        <v>49202</v>
      </c>
      <c r="B563" s="12" t="s">
        <v>11</v>
      </c>
      <c r="C563" s="13">
        <v>21.1</v>
      </c>
      <c r="D563" s="14">
        <v>1</v>
      </c>
      <c r="E563">
        <f t="shared" si="8"/>
        <v>2034</v>
      </c>
      <c r="F563" s="18">
        <v>1</v>
      </c>
    </row>
    <row r="564" spans="1:6" x14ac:dyDescent="0.35">
      <c r="A564" s="7">
        <v>49203</v>
      </c>
      <c r="B564" s="8" t="s">
        <v>11</v>
      </c>
      <c r="C564" s="9">
        <v>25.1</v>
      </c>
      <c r="D564" s="10">
        <v>20</v>
      </c>
      <c r="E564">
        <f t="shared" si="8"/>
        <v>2034</v>
      </c>
      <c r="F564" s="18">
        <v>1</v>
      </c>
    </row>
    <row r="565" spans="1:6" x14ac:dyDescent="0.35">
      <c r="A565" s="11">
        <v>49204</v>
      </c>
      <c r="B565" s="12" t="s">
        <v>7</v>
      </c>
      <c r="C565" s="13">
        <v>17.600000000000001</v>
      </c>
      <c r="D565" s="14">
        <v>0</v>
      </c>
      <c r="E565">
        <f t="shared" si="8"/>
        <v>2034</v>
      </c>
      <c r="F565" s="18">
        <v>1</v>
      </c>
    </row>
    <row r="566" spans="1:6" x14ac:dyDescent="0.35">
      <c r="A566" s="7">
        <v>49205</v>
      </c>
      <c r="B566" s="8" t="s">
        <v>15</v>
      </c>
      <c r="C566" s="9">
        <v>21.2</v>
      </c>
      <c r="D566" s="10">
        <v>3.4</v>
      </c>
      <c r="E566">
        <f t="shared" si="8"/>
        <v>2034</v>
      </c>
      <c r="F566" s="18">
        <v>1</v>
      </c>
    </row>
    <row r="567" spans="1:6" x14ac:dyDescent="0.35">
      <c r="A567" s="11">
        <v>49206</v>
      </c>
      <c r="B567" s="12" t="s">
        <v>7</v>
      </c>
      <c r="C567" s="13">
        <v>26.4</v>
      </c>
      <c r="D567" s="14">
        <v>14.7</v>
      </c>
      <c r="E567">
        <f t="shared" si="8"/>
        <v>2034</v>
      </c>
      <c r="F567" s="18">
        <v>1</v>
      </c>
    </row>
    <row r="568" spans="1:6" x14ac:dyDescent="0.35">
      <c r="A568" s="7">
        <v>49207</v>
      </c>
      <c r="B568" s="8" t="s">
        <v>5</v>
      </c>
      <c r="C568" s="9">
        <v>13.5</v>
      </c>
      <c r="D568" s="10">
        <v>0</v>
      </c>
      <c r="E568">
        <f t="shared" si="8"/>
        <v>2034</v>
      </c>
      <c r="F568" s="18">
        <v>1</v>
      </c>
    </row>
    <row r="569" spans="1:6" x14ac:dyDescent="0.35">
      <c r="A569" s="11">
        <v>49208</v>
      </c>
      <c r="B569" s="12" t="s">
        <v>22</v>
      </c>
      <c r="C569" s="13">
        <v>25.1</v>
      </c>
      <c r="D569" s="14">
        <v>0</v>
      </c>
      <c r="E569">
        <f t="shared" si="8"/>
        <v>2034</v>
      </c>
      <c r="F569" s="18">
        <v>1</v>
      </c>
    </row>
    <row r="570" spans="1:6" x14ac:dyDescent="0.35">
      <c r="A570" s="7">
        <v>49209</v>
      </c>
      <c r="B570" s="8" t="s">
        <v>11</v>
      </c>
      <c r="C570" s="9">
        <v>10.4</v>
      </c>
      <c r="D570" s="10">
        <v>11</v>
      </c>
      <c r="E570">
        <f t="shared" si="8"/>
        <v>2034</v>
      </c>
      <c r="F570" s="18">
        <v>1</v>
      </c>
    </row>
    <row r="571" spans="1:6" x14ac:dyDescent="0.35">
      <c r="A571" s="11">
        <v>49210</v>
      </c>
      <c r="B571" s="12" t="s">
        <v>15</v>
      </c>
      <c r="C571" s="13">
        <v>24.3</v>
      </c>
      <c r="D571" s="14">
        <v>4.9000000000000004</v>
      </c>
      <c r="E571">
        <f t="shared" si="8"/>
        <v>2034</v>
      </c>
      <c r="F571" s="18">
        <v>1</v>
      </c>
    </row>
    <row r="572" spans="1:6" x14ac:dyDescent="0.35">
      <c r="A572" s="7">
        <v>49211</v>
      </c>
      <c r="B572" s="8" t="s">
        <v>12</v>
      </c>
      <c r="C572" s="9">
        <v>18.7</v>
      </c>
      <c r="D572" s="10">
        <v>6.2</v>
      </c>
      <c r="E572">
        <f t="shared" si="8"/>
        <v>2034</v>
      </c>
      <c r="F572" s="18">
        <v>1</v>
      </c>
    </row>
    <row r="573" spans="1:6" x14ac:dyDescent="0.35">
      <c r="A573" s="11">
        <v>49212</v>
      </c>
      <c r="B573" s="12" t="s">
        <v>33</v>
      </c>
      <c r="C573" s="13">
        <v>14.1</v>
      </c>
      <c r="D573" s="14">
        <v>0</v>
      </c>
      <c r="E573">
        <f t="shared" si="8"/>
        <v>2034</v>
      </c>
      <c r="F573" s="18">
        <v>1</v>
      </c>
    </row>
    <row r="574" spans="1:6" x14ac:dyDescent="0.35">
      <c r="A574" s="7">
        <v>49213</v>
      </c>
      <c r="B574" s="8" t="s">
        <v>23</v>
      </c>
      <c r="C574" s="9">
        <v>24.2</v>
      </c>
      <c r="D574" s="10">
        <v>0</v>
      </c>
      <c r="E574">
        <f t="shared" si="8"/>
        <v>2034</v>
      </c>
      <c r="F574" s="18">
        <v>1</v>
      </c>
    </row>
    <row r="575" spans="1:6" x14ac:dyDescent="0.35">
      <c r="A575" s="11">
        <v>49214</v>
      </c>
      <c r="B575" s="12" t="s">
        <v>22</v>
      </c>
      <c r="C575" s="13">
        <v>26.4</v>
      </c>
      <c r="D575" s="14">
        <v>0</v>
      </c>
      <c r="E575">
        <f t="shared" si="8"/>
        <v>2034</v>
      </c>
      <c r="F575" s="18">
        <v>1</v>
      </c>
    </row>
    <row r="576" spans="1:6" x14ac:dyDescent="0.35">
      <c r="A576" s="7">
        <v>49215</v>
      </c>
      <c r="B576" s="8" t="s">
        <v>10</v>
      </c>
      <c r="C576" s="9">
        <v>24.5</v>
      </c>
      <c r="D576" s="10">
        <v>4</v>
      </c>
      <c r="E576">
        <f t="shared" si="8"/>
        <v>2034</v>
      </c>
      <c r="F576" s="18">
        <v>1</v>
      </c>
    </row>
    <row r="577" spans="1:6" x14ac:dyDescent="0.35">
      <c r="A577" s="11">
        <v>49216</v>
      </c>
      <c r="B577" s="12" t="s">
        <v>14</v>
      </c>
      <c r="C577" s="13">
        <v>25.5</v>
      </c>
      <c r="D577" s="14">
        <v>2.9</v>
      </c>
      <c r="E577">
        <f t="shared" si="8"/>
        <v>2034</v>
      </c>
      <c r="F577" s="18">
        <v>1</v>
      </c>
    </row>
    <row r="578" spans="1:6" x14ac:dyDescent="0.35">
      <c r="A578" s="7">
        <v>49217</v>
      </c>
      <c r="B578" s="8" t="s">
        <v>11</v>
      </c>
      <c r="C578" s="9">
        <v>11.8</v>
      </c>
      <c r="D578" s="10">
        <v>13.5</v>
      </c>
      <c r="E578">
        <f t="shared" si="8"/>
        <v>2034</v>
      </c>
      <c r="F578" s="18">
        <v>1</v>
      </c>
    </row>
    <row r="579" spans="1:6" x14ac:dyDescent="0.35">
      <c r="A579" s="11">
        <v>49218</v>
      </c>
      <c r="B579" s="12" t="s">
        <v>22</v>
      </c>
      <c r="C579" s="13">
        <v>14.3</v>
      </c>
      <c r="D579" s="14">
        <v>5.4</v>
      </c>
      <c r="E579">
        <f t="shared" ref="E579:E642" si="9">YEAR(A579)</f>
        <v>2034</v>
      </c>
      <c r="F579" s="18">
        <v>1</v>
      </c>
    </row>
    <row r="580" spans="1:6" x14ac:dyDescent="0.35">
      <c r="A580" s="7">
        <v>49219</v>
      </c>
      <c r="B580" s="8" t="s">
        <v>9</v>
      </c>
      <c r="C580" s="9">
        <v>12.4</v>
      </c>
      <c r="D580" s="10">
        <v>1.2</v>
      </c>
      <c r="E580">
        <f t="shared" si="9"/>
        <v>2034</v>
      </c>
      <c r="F580" s="18">
        <v>1</v>
      </c>
    </row>
    <row r="581" spans="1:6" x14ac:dyDescent="0.35">
      <c r="A581" s="11">
        <v>49220</v>
      </c>
      <c r="B581" s="12" t="s">
        <v>19</v>
      </c>
      <c r="C581" s="13">
        <v>29.3</v>
      </c>
      <c r="D581" s="14">
        <v>19.8</v>
      </c>
      <c r="E581">
        <f t="shared" si="9"/>
        <v>2034</v>
      </c>
      <c r="F581" s="18">
        <v>1</v>
      </c>
    </row>
    <row r="582" spans="1:6" x14ac:dyDescent="0.35">
      <c r="A582" s="7">
        <v>49221</v>
      </c>
      <c r="B582" s="8" t="s">
        <v>7</v>
      </c>
      <c r="C582" s="9">
        <v>29.4</v>
      </c>
      <c r="D582" s="10">
        <v>0</v>
      </c>
      <c r="E582">
        <f t="shared" si="9"/>
        <v>2034</v>
      </c>
      <c r="F582" s="18">
        <v>1</v>
      </c>
    </row>
    <row r="583" spans="1:6" x14ac:dyDescent="0.35">
      <c r="A583" s="11">
        <v>49222</v>
      </c>
      <c r="B583" s="12" t="s">
        <v>13</v>
      </c>
      <c r="C583" s="13">
        <v>29.8</v>
      </c>
      <c r="D583" s="14">
        <v>16</v>
      </c>
      <c r="E583">
        <f t="shared" si="9"/>
        <v>2034</v>
      </c>
      <c r="F583" s="18">
        <v>1</v>
      </c>
    </row>
    <row r="584" spans="1:6" x14ac:dyDescent="0.35">
      <c r="A584" s="7">
        <v>49223</v>
      </c>
      <c r="B584" s="8" t="s">
        <v>19</v>
      </c>
      <c r="C584" s="9">
        <v>29.9</v>
      </c>
      <c r="D584" s="10">
        <v>13.3</v>
      </c>
      <c r="E584">
        <f t="shared" si="9"/>
        <v>2034</v>
      </c>
      <c r="F584" s="18">
        <v>1</v>
      </c>
    </row>
    <row r="585" spans="1:6" x14ac:dyDescent="0.35">
      <c r="A585" s="11">
        <v>49224</v>
      </c>
      <c r="B585" s="12" t="s">
        <v>9</v>
      </c>
      <c r="C585" s="13">
        <v>11.6</v>
      </c>
      <c r="D585" s="14">
        <v>9.6999999999999993</v>
      </c>
      <c r="E585">
        <f t="shared" si="9"/>
        <v>2034</v>
      </c>
      <c r="F585" s="18">
        <v>1</v>
      </c>
    </row>
    <row r="586" spans="1:6" x14ac:dyDescent="0.35">
      <c r="A586" s="7">
        <v>49225</v>
      </c>
      <c r="B586" s="8" t="s">
        <v>11</v>
      </c>
      <c r="C586" s="9">
        <v>10.199999999999999</v>
      </c>
      <c r="D586" s="10">
        <v>0</v>
      </c>
      <c r="E586">
        <f t="shared" si="9"/>
        <v>2034</v>
      </c>
      <c r="F586" s="18">
        <v>1</v>
      </c>
    </row>
    <row r="587" spans="1:6" x14ac:dyDescent="0.35">
      <c r="A587" s="11">
        <v>49226</v>
      </c>
      <c r="B587" s="12" t="s">
        <v>9</v>
      </c>
      <c r="C587" s="13">
        <v>10.7</v>
      </c>
      <c r="D587" s="14">
        <v>11.9</v>
      </c>
      <c r="E587">
        <f t="shared" si="9"/>
        <v>2034</v>
      </c>
      <c r="F587" s="18">
        <v>1</v>
      </c>
    </row>
    <row r="588" spans="1:6" x14ac:dyDescent="0.35">
      <c r="A588" s="7">
        <v>49227</v>
      </c>
      <c r="B588" s="8" t="s">
        <v>30</v>
      </c>
      <c r="C588" s="9">
        <v>11.7</v>
      </c>
      <c r="D588" s="10">
        <v>0.1</v>
      </c>
      <c r="E588">
        <f t="shared" si="9"/>
        <v>2034</v>
      </c>
      <c r="F588" s="18">
        <v>1</v>
      </c>
    </row>
    <row r="589" spans="1:6" x14ac:dyDescent="0.35">
      <c r="A589" s="11">
        <v>49228</v>
      </c>
      <c r="B589" s="12" t="s">
        <v>18</v>
      </c>
      <c r="C589" s="13">
        <v>29.4</v>
      </c>
      <c r="D589" s="14">
        <v>9.6</v>
      </c>
      <c r="E589">
        <f t="shared" si="9"/>
        <v>2034</v>
      </c>
      <c r="F589" s="18">
        <v>1</v>
      </c>
    </row>
    <row r="590" spans="1:6" x14ac:dyDescent="0.35">
      <c r="A590" s="7">
        <v>49229</v>
      </c>
      <c r="B590" s="8" t="s">
        <v>20</v>
      </c>
      <c r="C590" s="9">
        <v>29.1</v>
      </c>
      <c r="D590" s="10">
        <v>2.6</v>
      </c>
      <c r="E590">
        <f t="shared" si="9"/>
        <v>2034</v>
      </c>
      <c r="F590" s="18">
        <v>1</v>
      </c>
    </row>
    <row r="591" spans="1:6" x14ac:dyDescent="0.35">
      <c r="A591" s="11">
        <v>49230</v>
      </c>
      <c r="B591" s="12" t="s">
        <v>10</v>
      </c>
      <c r="C591" s="13">
        <v>20.5</v>
      </c>
      <c r="D591" s="14">
        <v>30.1</v>
      </c>
      <c r="E591">
        <f t="shared" si="9"/>
        <v>2034</v>
      </c>
      <c r="F591" s="18">
        <v>1</v>
      </c>
    </row>
    <row r="592" spans="1:6" x14ac:dyDescent="0.35">
      <c r="A592" s="7">
        <v>49231</v>
      </c>
      <c r="B592" s="8" t="s">
        <v>7</v>
      </c>
      <c r="C592" s="9">
        <v>26.2</v>
      </c>
      <c r="D592" s="10">
        <v>19</v>
      </c>
      <c r="E592">
        <f t="shared" si="9"/>
        <v>2034</v>
      </c>
      <c r="F592" s="18">
        <v>1</v>
      </c>
    </row>
    <row r="593" spans="1:6" x14ac:dyDescent="0.35">
      <c r="A593" s="11">
        <v>49232</v>
      </c>
      <c r="B593" s="12" t="s">
        <v>15</v>
      </c>
      <c r="C593" s="13">
        <v>22.6</v>
      </c>
      <c r="D593" s="14">
        <v>0</v>
      </c>
      <c r="E593">
        <f t="shared" si="9"/>
        <v>2034</v>
      </c>
      <c r="F593" s="18">
        <v>1</v>
      </c>
    </row>
    <row r="594" spans="1:6" x14ac:dyDescent="0.35">
      <c r="A594" s="7">
        <v>49233</v>
      </c>
      <c r="B594" s="8" t="s">
        <v>14</v>
      </c>
      <c r="C594" s="9">
        <v>17.7</v>
      </c>
      <c r="D594" s="10">
        <v>0</v>
      </c>
      <c r="E594">
        <f t="shared" si="9"/>
        <v>2034</v>
      </c>
      <c r="F594" s="18">
        <v>1</v>
      </c>
    </row>
    <row r="595" spans="1:6" x14ac:dyDescent="0.35">
      <c r="A595" s="11">
        <v>49234</v>
      </c>
      <c r="B595" s="12" t="s">
        <v>19</v>
      </c>
      <c r="C595" s="13">
        <v>21.2</v>
      </c>
      <c r="D595" s="14">
        <v>0</v>
      </c>
      <c r="E595">
        <f t="shared" si="9"/>
        <v>2034</v>
      </c>
      <c r="F595" s="18">
        <v>1</v>
      </c>
    </row>
    <row r="596" spans="1:6" x14ac:dyDescent="0.35">
      <c r="A596" s="7">
        <v>49235</v>
      </c>
      <c r="B596" s="8" t="s">
        <v>33</v>
      </c>
      <c r="C596" s="9">
        <v>10.3</v>
      </c>
      <c r="D596" s="10">
        <v>0.2</v>
      </c>
      <c r="E596">
        <f t="shared" si="9"/>
        <v>2034</v>
      </c>
      <c r="F596" s="18">
        <v>1</v>
      </c>
    </row>
    <row r="597" spans="1:6" x14ac:dyDescent="0.35">
      <c r="A597" s="11">
        <v>49236</v>
      </c>
      <c r="B597" s="12" t="s">
        <v>25</v>
      </c>
      <c r="C597" s="13">
        <v>10.1</v>
      </c>
      <c r="D597" s="14">
        <v>2.1</v>
      </c>
      <c r="E597">
        <f t="shared" si="9"/>
        <v>2034</v>
      </c>
      <c r="F597" s="18">
        <v>1</v>
      </c>
    </row>
    <row r="598" spans="1:6" x14ac:dyDescent="0.35">
      <c r="A598" s="7">
        <v>49237</v>
      </c>
      <c r="B598" s="8" t="s">
        <v>8</v>
      </c>
      <c r="C598" s="9">
        <v>23.4</v>
      </c>
      <c r="D598" s="10">
        <v>3.9</v>
      </c>
      <c r="E598">
        <f t="shared" si="9"/>
        <v>2034</v>
      </c>
      <c r="F598" s="18">
        <v>1</v>
      </c>
    </row>
    <row r="599" spans="1:6" x14ac:dyDescent="0.35">
      <c r="A599" s="11">
        <v>49238</v>
      </c>
      <c r="B599" s="12" t="s">
        <v>31</v>
      </c>
      <c r="C599" s="13">
        <v>11.7</v>
      </c>
      <c r="D599" s="14">
        <v>0</v>
      </c>
      <c r="E599">
        <f t="shared" si="9"/>
        <v>2034</v>
      </c>
      <c r="F599" s="18">
        <v>1</v>
      </c>
    </row>
    <row r="600" spans="1:6" x14ac:dyDescent="0.35">
      <c r="A600" s="7">
        <v>49239</v>
      </c>
      <c r="B600" s="8" t="s">
        <v>5</v>
      </c>
      <c r="C600" s="9">
        <v>26</v>
      </c>
      <c r="D600" s="10">
        <v>2.1</v>
      </c>
      <c r="E600">
        <f t="shared" si="9"/>
        <v>2034</v>
      </c>
      <c r="F600" s="18">
        <v>1</v>
      </c>
    </row>
    <row r="601" spans="1:6" x14ac:dyDescent="0.35">
      <c r="A601" s="11">
        <v>49240</v>
      </c>
      <c r="B601" s="12" t="s">
        <v>30</v>
      </c>
      <c r="C601" s="13">
        <v>29.5</v>
      </c>
      <c r="D601" s="14">
        <v>0.4</v>
      </c>
      <c r="E601">
        <f t="shared" si="9"/>
        <v>2034</v>
      </c>
      <c r="F601" s="18">
        <v>1</v>
      </c>
    </row>
    <row r="602" spans="1:6" x14ac:dyDescent="0.35">
      <c r="A602" s="7">
        <v>49241</v>
      </c>
      <c r="B602" s="8" t="s">
        <v>14</v>
      </c>
      <c r="C602" s="9">
        <v>13</v>
      </c>
      <c r="D602" s="10">
        <v>4.4000000000000004</v>
      </c>
      <c r="E602">
        <f t="shared" si="9"/>
        <v>2034</v>
      </c>
      <c r="F602" s="18">
        <v>1</v>
      </c>
    </row>
    <row r="603" spans="1:6" x14ac:dyDescent="0.35">
      <c r="A603" s="11">
        <v>49242</v>
      </c>
      <c r="B603" s="12" t="s">
        <v>9</v>
      </c>
      <c r="C603" s="13">
        <v>17.100000000000001</v>
      </c>
      <c r="D603" s="14">
        <v>3.8</v>
      </c>
      <c r="E603">
        <f t="shared" si="9"/>
        <v>2034</v>
      </c>
      <c r="F603" s="18">
        <v>1</v>
      </c>
    </row>
    <row r="604" spans="1:6" x14ac:dyDescent="0.35">
      <c r="A604" s="7">
        <v>49243</v>
      </c>
      <c r="B604" s="8" t="s">
        <v>27</v>
      </c>
      <c r="C604" s="9">
        <v>12.6</v>
      </c>
      <c r="D604" s="10">
        <v>0.2</v>
      </c>
      <c r="E604">
        <f t="shared" si="9"/>
        <v>2034</v>
      </c>
      <c r="F604" s="18">
        <v>1</v>
      </c>
    </row>
    <row r="605" spans="1:6" x14ac:dyDescent="0.35">
      <c r="A605" s="11">
        <v>49244</v>
      </c>
      <c r="B605" s="12" t="s">
        <v>10</v>
      </c>
      <c r="C605" s="13">
        <v>23.6</v>
      </c>
      <c r="D605" s="14">
        <v>24.1</v>
      </c>
      <c r="E605">
        <f t="shared" si="9"/>
        <v>2034</v>
      </c>
      <c r="F605" s="18">
        <v>1</v>
      </c>
    </row>
    <row r="606" spans="1:6" x14ac:dyDescent="0.35">
      <c r="A606" s="7">
        <v>49245</v>
      </c>
      <c r="B606" s="8" t="s">
        <v>11</v>
      </c>
      <c r="C606" s="9">
        <v>14.9</v>
      </c>
      <c r="D606" s="10">
        <v>14.2</v>
      </c>
      <c r="E606">
        <f t="shared" si="9"/>
        <v>2034</v>
      </c>
      <c r="F606" s="18">
        <v>1</v>
      </c>
    </row>
    <row r="607" spans="1:6" x14ac:dyDescent="0.35">
      <c r="A607" s="11">
        <v>49246</v>
      </c>
      <c r="B607" s="12" t="s">
        <v>12</v>
      </c>
      <c r="C607" s="13">
        <v>17</v>
      </c>
      <c r="D607" s="14">
        <v>0</v>
      </c>
      <c r="E607">
        <f t="shared" si="9"/>
        <v>2034</v>
      </c>
      <c r="F607" s="18">
        <v>1</v>
      </c>
    </row>
    <row r="608" spans="1:6" x14ac:dyDescent="0.35">
      <c r="A608" s="7">
        <v>49247</v>
      </c>
      <c r="B608" s="8" t="s">
        <v>11</v>
      </c>
      <c r="C608" s="9">
        <v>12.8</v>
      </c>
      <c r="D608" s="10">
        <v>0</v>
      </c>
      <c r="E608">
        <f t="shared" si="9"/>
        <v>2034</v>
      </c>
      <c r="F608" s="18">
        <v>1</v>
      </c>
    </row>
    <row r="609" spans="1:6" x14ac:dyDescent="0.35">
      <c r="A609" s="11">
        <v>49248</v>
      </c>
      <c r="B609" s="12" t="s">
        <v>13</v>
      </c>
      <c r="C609" s="13">
        <v>17.5</v>
      </c>
      <c r="D609" s="14">
        <v>0</v>
      </c>
      <c r="E609">
        <f t="shared" si="9"/>
        <v>2034</v>
      </c>
      <c r="F609" s="18">
        <v>1</v>
      </c>
    </row>
    <row r="610" spans="1:6" x14ac:dyDescent="0.35">
      <c r="A610" s="7">
        <v>49249</v>
      </c>
      <c r="B610" s="8" t="s">
        <v>10</v>
      </c>
      <c r="C610" s="9">
        <v>13.9</v>
      </c>
      <c r="D610" s="10">
        <v>15.3</v>
      </c>
      <c r="E610">
        <f t="shared" si="9"/>
        <v>2034</v>
      </c>
      <c r="F610" s="18">
        <v>1</v>
      </c>
    </row>
    <row r="611" spans="1:6" x14ac:dyDescent="0.35">
      <c r="A611" s="11">
        <v>49250</v>
      </c>
      <c r="B611" s="12" t="s">
        <v>19</v>
      </c>
      <c r="C611" s="13">
        <v>25.9</v>
      </c>
      <c r="D611" s="14">
        <v>14.5</v>
      </c>
      <c r="E611">
        <f t="shared" si="9"/>
        <v>2034</v>
      </c>
      <c r="F611" s="18">
        <v>1</v>
      </c>
    </row>
    <row r="612" spans="1:6" x14ac:dyDescent="0.35">
      <c r="A612" s="7">
        <v>49251</v>
      </c>
      <c r="B612" s="8" t="s">
        <v>17</v>
      </c>
      <c r="C612" s="9">
        <v>12.1</v>
      </c>
      <c r="D612" s="10">
        <v>0</v>
      </c>
      <c r="E612">
        <f t="shared" si="9"/>
        <v>2034</v>
      </c>
      <c r="F612" s="18">
        <v>1</v>
      </c>
    </row>
    <row r="613" spans="1:6" x14ac:dyDescent="0.35">
      <c r="A613" s="11">
        <v>49252</v>
      </c>
      <c r="B613" s="12" t="s">
        <v>7</v>
      </c>
      <c r="C613" s="13">
        <v>25.8</v>
      </c>
      <c r="D613" s="14">
        <v>12.3</v>
      </c>
      <c r="E613">
        <f t="shared" si="9"/>
        <v>2034</v>
      </c>
      <c r="F613" s="18">
        <v>1</v>
      </c>
    </row>
    <row r="614" spans="1:6" x14ac:dyDescent="0.35">
      <c r="A614" s="7">
        <v>49253</v>
      </c>
      <c r="B614" s="8" t="s">
        <v>9</v>
      </c>
      <c r="C614" s="9">
        <v>29.1</v>
      </c>
      <c r="D614" s="10">
        <v>0</v>
      </c>
      <c r="E614">
        <f t="shared" si="9"/>
        <v>2034</v>
      </c>
      <c r="F614" s="18">
        <v>1</v>
      </c>
    </row>
    <row r="615" spans="1:6" x14ac:dyDescent="0.35">
      <c r="A615" s="11">
        <v>49254</v>
      </c>
      <c r="B615" s="12" t="s">
        <v>10</v>
      </c>
      <c r="C615" s="13">
        <v>13.2</v>
      </c>
      <c r="D615" s="14">
        <v>0</v>
      </c>
      <c r="E615">
        <f t="shared" si="9"/>
        <v>2034</v>
      </c>
      <c r="F615" s="18">
        <v>1</v>
      </c>
    </row>
    <row r="616" spans="1:6" x14ac:dyDescent="0.35">
      <c r="A616" s="7">
        <v>49255</v>
      </c>
      <c r="B616" s="8" t="s">
        <v>7</v>
      </c>
      <c r="C616" s="9">
        <v>29.4</v>
      </c>
      <c r="D616" s="10">
        <v>12.8</v>
      </c>
      <c r="E616">
        <f t="shared" si="9"/>
        <v>2034</v>
      </c>
      <c r="F616" s="18">
        <v>1</v>
      </c>
    </row>
    <row r="617" spans="1:6" x14ac:dyDescent="0.35">
      <c r="A617" s="11">
        <v>49256</v>
      </c>
      <c r="B617" s="12" t="s">
        <v>15</v>
      </c>
      <c r="C617" s="13">
        <v>21</v>
      </c>
      <c r="D617" s="14">
        <v>0</v>
      </c>
      <c r="E617">
        <f t="shared" si="9"/>
        <v>2034</v>
      </c>
      <c r="F617" s="18">
        <v>1</v>
      </c>
    </row>
    <row r="618" spans="1:6" x14ac:dyDescent="0.35">
      <c r="A618" s="7">
        <v>49257</v>
      </c>
      <c r="B618" s="8" t="s">
        <v>6</v>
      </c>
      <c r="C618" s="9">
        <v>22.7</v>
      </c>
      <c r="D618" s="10">
        <v>12.4</v>
      </c>
      <c r="E618">
        <f t="shared" si="9"/>
        <v>2034</v>
      </c>
      <c r="F618" s="18">
        <v>1</v>
      </c>
    </row>
    <row r="619" spans="1:6" x14ac:dyDescent="0.35">
      <c r="A619" s="11">
        <v>49258</v>
      </c>
      <c r="B619" s="12" t="s">
        <v>10</v>
      </c>
      <c r="C619" s="13">
        <v>25.1</v>
      </c>
      <c r="D619" s="14">
        <v>43.4</v>
      </c>
      <c r="E619">
        <f t="shared" si="9"/>
        <v>2034</v>
      </c>
      <c r="F619" s="18">
        <v>1</v>
      </c>
    </row>
    <row r="620" spans="1:6" x14ac:dyDescent="0.35">
      <c r="A620" s="7">
        <v>49259</v>
      </c>
      <c r="B620" s="8" t="s">
        <v>10</v>
      </c>
      <c r="C620" s="9">
        <v>26.8</v>
      </c>
      <c r="D620" s="10">
        <v>26.9</v>
      </c>
      <c r="E620">
        <f t="shared" si="9"/>
        <v>2034</v>
      </c>
      <c r="F620" s="18">
        <v>1</v>
      </c>
    </row>
    <row r="621" spans="1:6" x14ac:dyDescent="0.35">
      <c r="A621" s="11">
        <v>49260</v>
      </c>
      <c r="B621" s="12" t="s">
        <v>29</v>
      </c>
      <c r="C621" s="13">
        <v>15.9</v>
      </c>
      <c r="D621" s="14">
        <v>0.5</v>
      </c>
      <c r="E621">
        <f t="shared" si="9"/>
        <v>2034</v>
      </c>
      <c r="F621" s="18">
        <v>1</v>
      </c>
    </row>
    <row r="622" spans="1:6" x14ac:dyDescent="0.35">
      <c r="A622" s="7">
        <v>49261</v>
      </c>
      <c r="B622" s="8" t="s">
        <v>18</v>
      </c>
      <c r="C622" s="9">
        <v>27.6</v>
      </c>
      <c r="D622" s="10">
        <v>0</v>
      </c>
      <c r="E622">
        <f t="shared" si="9"/>
        <v>2034</v>
      </c>
      <c r="F622" s="18">
        <v>1</v>
      </c>
    </row>
    <row r="623" spans="1:6" x14ac:dyDescent="0.35">
      <c r="A623" s="11">
        <v>49262</v>
      </c>
      <c r="B623" s="12" t="s">
        <v>25</v>
      </c>
      <c r="C623" s="13">
        <v>20.8</v>
      </c>
      <c r="D623" s="14">
        <v>0</v>
      </c>
      <c r="E623">
        <f t="shared" si="9"/>
        <v>2034</v>
      </c>
      <c r="F623" s="18">
        <v>1</v>
      </c>
    </row>
    <row r="624" spans="1:6" x14ac:dyDescent="0.35">
      <c r="A624" s="7">
        <v>49263</v>
      </c>
      <c r="B624" s="8" t="s">
        <v>6</v>
      </c>
      <c r="C624" s="9">
        <v>23.9</v>
      </c>
      <c r="D624" s="10">
        <v>9.9</v>
      </c>
      <c r="E624">
        <f t="shared" si="9"/>
        <v>2034</v>
      </c>
      <c r="F624" s="18">
        <v>1</v>
      </c>
    </row>
    <row r="625" spans="1:6" x14ac:dyDescent="0.35">
      <c r="A625" s="11">
        <v>49264</v>
      </c>
      <c r="B625" s="12" t="s">
        <v>27</v>
      </c>
      <c r="C625" s="13">
        <v>24.8</v>
      </c>
      <c r="D625" s="14">
        <v>4.7</v>
      </c>
      <c r="E625">
        <f t="shared" si="9"/>
        <v>2034</v>
      </c>
      <c r="F625" s="18">
        <v>1</v>
      </c>
    </row>
    <row r="626" spans="1:6" x14ac:dyDescent="0.35">
      <c r="A626" s="7">
        <v>49265</v>
      </c>
      <c r="B626" s="8" t="s">
        <v>19</v>
      </c>
      <c r="C626" s="9">
        <v>16.3</v>
      </c>
      <c r="D626" s="10">
        <v>0</v>
      </c>
      <c r="E626">
        <f t="shared" si="9"/>
        <v>2034</v>
      </c>
      <c r="F626" s="18">
        <v>1</v>
      </c>
    </row>
    <row r="627" spans="1:6" x14ac:dyDescent="0.35">
      <c r="A627" s="11">
        <v>49266</v>
      </c>
      <c r="B627" s="12" t="s">
        <v>18</v>
      </c>
      <c r="C627" s="13">
        <v>20.100000000000001</v>
      </c>
      <c r="D627" s="14">
        <v>0</v>
      </c>
      <c r="E627">
        <f t="shared" si="9"/>
        <v>2034</v>
      </c>
      <c r="F627" s="18">
        <v>1</v>
      </c>
    </row>
    <row r="628" spans="1:6" x14ac:dyDescent="0.35">
      <c r="A628" s="7">
        <v>49267</v>
      </c>
      <c r="B628" s="8" t="s">
        <v>22</v>
      </c>
      <c r="C628" s="9">
        <v>25.9</v>
      </c>
      <c r="D628" s="10">
        <v>8.9</v>
      </c>
      <c r="E628">
        <f t="shared" si="9"/>
        <v>2034</v>
      </c>
      <c r="F628" s="18">
        <v>1</v>
      </c>
    </row>
    <row r="629" spans="1:6" x14ac:dyDescent="0.35">
      <c r="A629" s="11">
        <v>49268</v>
      </c>
      <c r="B629" s="12" t="s">
        <v>19</v>
      </c>
      <c r="C629" s="13">
        <v>27.3</v>
      </c>
      <c r="D629" s="14">
        <v>15.8</v>
      </c>
      <c r="E629">
        <f t="shared" si="9"/>
        <v>2034</v>
      </c>
      <c r="F629" s="18">
        <v>1</v>
      </c>
    </row>
    <row r="630" spans="1:6" x14ac:dyDescent="0.35">
      <c r="A630" s="7">
        <v>49269</v>
      </c>
      <c r="B630" s="8" t="s">
        <v>6</v>
      </c>
      <c r="C630" s="9">
        <v>19.100000000000001</v>
      </c>
      <c r="D630" s="10">
        <v>6.3</v>
      </c>
      <c r="E630">
        <f t="shared" si="9"/>
        <v>2034</v>
      </c>
      <c r="F630" s="18">
        <v>1</v>
      </c>
    </row>
    <row r="631" spans="1:6" x14ac:dyDescent="0.35">
      <c r="A631" s="11">
        <v>49270</v>
      </c>
      <c r="B631" s="12" t="s">
        <v>10</v>
      </c>
      <c r="C631" s="13">
        <v>16.899999999999999</v>
      </c>
      <c r="D631" s="14">
        <v>0</v>
      </c>
      <c r="E631">
        <f t="shared" si="9"/>
        <v>2034</v>
      </c>
      <c r="F631" s="18">
        <v>1</v>
      </c>
    </row>
    <row r="632" spans="1:6" x14ac:dyDescent="0.35">
      <c r="A632" s="7">
        <v>49271</v>
      </c>
      <c r="B632" s="8" t="s">
        <v>7</v>
      </c>
      <c r="C632" s="9">
        <v>13.4</v>
      </c>
      <c r="D632" s="10">
        <v>20.100000000000001</v>
      </c>
      <c r="E632">
        <f t="shared" si="9"/>
        <v>2034</v>
      </c>
      <c r="F632" s="18">
        <v>1</v>
      </c>
    </row>
    <row r="633" spans="1:6" x14ac:dyDescent="0.35">
      <c r="A633" s="11">
        <v>49272</v>
      </c>
      <c r="B633" s="12" t="s">
        <v>24</v>
      </c>
      <c r="C633" s="13">
        <v>24.8</v>
      </c>
      <c r="D633" s="14">
        <v>0.4</v>
      </c>
      <c r="E633">
        <f t="shared" si="9"/>
        <v>2034</v>
      </c>
      <c r="F633" s="18">
        <v>1</v>
      </c>
    </row>
    <row r="634" spans="1:6" x14ac:dyDescent="0.35">
      <c r="A634" s="7">
        <v>49273</v>
      </c>
      <c r="B634" s="8" t="s">
        <v>17</v>
      </c>
      <c r="C634" s="9">
        <v>28.4</v>
      </c>
      <c r="D634" s="10">
        <v>1.6</v>
      </c>
      <c r="E634">
        <f t="shared" si="9"/>
        <v>2034</v>
      </c>
      <c r="F634" s="18">
        <v>1</v>
      </c>
    </row>
    <row r="635" spans="1:6" x14ac:dyDescent="0.35">
      <c r="A635" s="11">
        <v>49274</v>
      </c>
      <c r="B635" s="12" t="s">
        <v>23</v>
      </c>
      <c r="C635" s="13">
        <v>25.3</v>
      </c>
      <c r="D635" s="14">
        <v>1.8</v>
      </c>
      <c r="E635">
        <f t="shared" si="9"/>
        <v>2034</v>
      </c>
      <c r="F635" s="18">
        <v>1</v>
      </c>
    </row>
    <row r="636" spans="1:6" x14ac:dyDescent="0.35">
      <c r="A636" s="7">
        <v>49275</v>
      </c>
      <c r="B636" s="8" t="s">
        <v>18</v>
      </c>
      <c r="C636" s="9">
        <v>25.9</v>
      </c>
      <c r="D636" s="10">
        <v>1.6</v>
      </c>
      <c r="E636">
        <f t="shared" si="9"/>
        <v>2034</v>
      </c>
      <c r="F636" s="18">
        <v>1</v>
      </c>
    </row>
    <row r="637" spans="1:6" x14ac:dyDescent="0.35">
      <c r="A637" s="11">
        <v>49276</v>
      </c>
      <c r="B637" s="12" t="s">
        <v>6</v>
      </c>
      <c r="C637" s="13">
        <v>12.2</v>
      </c>
      <c r="D637" s="14">
        <v>0.8</v>
      </c>
      <c r="E637">
        <f t="shared" si="9"/>
        <v>2034</v>
      </c>
      <c r="F637" s="18">
        <v>1</v>
      </c>
    </row>
    <row r="638" spans="1:6" x14ac:dyDescent="0.35">
      <c r="A638" s="7">
        <v>49277</v>
      </c>
      <c r="B638" s="8" t="s">
        <v>33</v>
      </c>
      <c r="C638" s="9">
        <v>22.8</v>
      </c>
      <c r="D638" s="10">
        <v>2.2999999999999998</v>
      </c>
      <c r="E638">
        <f t="shared" si="9"/>
        <v>2034</v>
      </c>
      <c r="F638" s="18">
        <v>1</v>
      </c>
    </row>
    <row r="639" spans="1:6" x14ac:dyDescent="0.35">
      <c r="A639" s="11">
        <v>49278</v>
      </c>
      <c r="B639" s="12" t="s">
        <v>19</v>
      </c>
      <c r="C639" s="13">
        <v>12.7</v>
      </c>
      <c r="D639" s="14">
        <v>0</v>
      </c>
      <c r="E639">
        <f t="shared" si="9"/>
        <v>2034</v>
      </c>
      <c r="F639" s="18">
        <v>1</v>
      </c>
    </row>
    <row r="640" spans="1:6" x14ac:dyDescent="0.35">
      <c r="A640" s="7">
        <v>49279</v>
      </c>
      <c r="B640" s="8" t="s">
        <v>26</v>
      </c>
      <c r="C640" s="9">
        <v>13</v>
      </c>
      <c r="D640" s="10">
        <v>5.0999999999999996</v>
      </c>
      <c r="E640">
        <f t="shared" si="9"/>
        <v>2034</v>
      </c>
      <c r="F640" s="18">
        <v>1</v>
      </c>
    </row>
    <row r="641" spans="1:6" x14ac:dyDescent="0.35">
      <c r="A641" s="11">
        <v>49280</v>
      </c>
      <c r="B641" s="12" t="s">
        <v>10</v>
      </c>
      <c r="C641" s="13">
        <v>13.5</v>
      </c>
      <c r="D641" s="14">
        <v>4.9000000000000004</v>
      </c>
      <c r="E641">
        <f t="shared" si="9"/>
        <v>2034</v>
      </c>
      <c r="F641" s="18">
        <v>1</v>
      </c>
    </row>
    <row r="642" spans="1:6" x14ac:dyDescent="0.35">
      <c r="A642" s="7">
        <v>49281</v>
      </c>
      <c r="B642" s="8" t="s">
        <v>13</v>
      </c>
      <c r="C642" s="9">
        <v>17.8</v>
      </c>
      <c r="D642" s="10">
        <v>5</v>
      </c>
      <c r="E642">
        <f t="shared" si="9"/>
        <v>2034</v>
      </c>
      <c r="F642" s="18">
        <v>1</v>
      </c>
    </row>
    <row r="643" spans="1:6" x14ac:dyDescent="0.35">
      <c r="A643" s="11">
        <v>49282</v>
      </c>
      <c r="B643" s="12" t="s">
        <v>10</v>
      </c>
      <c r="C643" s="13">
        <v>21.5</v>
      </c>
      <c r="D643" s="14">
        <v>47.1</v>
      </c>
      <c r="E643">
        <f t="shared" ref="E643:E706" si="10">YEAR(A643)</f>
        <v>2034</v>
      </c>
      <c r="F643" s="18">
        <v>1</v>
      </c>
    </row>
    <row r="644" spans="1:6" x14ac:dyDescent="0.35">
      <c r="A644" s="7">
        <v>49283</v>
      </c>
      <c r="B644" s="8" t="s">
        <v>8</v>
      </c>
      <c r="C644" s="9">
        <v>20.5</v>
      </c>
      <c r="D644" s="10">
        <v>0.1</v>
      </c>
      <c r="E644">
        <f t="shared" si="10"/>
        <v>2034</v>
      </c>
      <c r="F644" s="18">
        <v>1</v>
      </c>
    </row>
    <row r="645" spans="1:6" x14ac:dyDescent="0.35">
      <c r="A645" s="11">
        <v>49284</v>
      </c>
      <c r="B645" s="12" t="s">
        <v>13</v>
      </c>
      <c r="C645" s="13">
        <v>14.4</v>
      </c>
      <c r="D645" s="14">
        <v>0</v>
      </c>
      <c r="E645">
        <f t="shared" si="10"/>
        <v>2034</v>
      </c>
      <c r="F645" s="18">
        <v>1</v>
      </c>
    </row>
    <row r="646" spans="1:6" x14ac:dyDescent="0.35">
      <c r="A646" s="7">
        <v>49285</v>
      </c>
      <c r="B646" s="8" t="s">
        <v>15</v>
      </c>
      <c r="C646" s="9">
        <v>12.3</v>
      </c>
      <c r="D646" s="10">
        <v>0</v>
      </c>
      <c r="E646">
        <f t="shared" si="10"/>
        <v>2034</v>
      </c>
      <c r="F646" s="18">
        <v>1</v>
      </c>
    </row>
    <row r="647" spans="1:6" x14ac:dyDescent="0.35">
      <c r="A647" s="11">
        <v>49286</v>
      </c>
      <c r="B647" s="12" t="s">
        <v>13</v>
      </c>
      <c r="C647" s="13">
        <v>26.5</v>
      </c>
      <c r="D647" s="14">
        <v>14</v>
      </c>
      <c r="E647">
        <f t="shared" si="10"/>
        <v>2034</v>
      </c>
      <c r="F647" s="18">
        <v>1</v>
      </c>
    </row>
    <row r="648" spans="1:6" x14ac:dyDescent="0.35">
      <c r="A648" s="7">
        <v>49287</v>
      </c>
      <c r="B648" s="8" t="s">
        <v>13</v>
      </c>
      <c r="C648" s="9">
        <v>17.7</v>
      </c>
      <c r="D648" s="10">
        <v>0</v>
      </c>
      <c r="E648">
        <f t="shared" si="10"/>
        <v>2034</v>
      </c>
      <c r="F648" s="18">
        <v>1</v>
      </c>
    </row>
    <row r="649" spans="1:6" x14ac:dyDescent="0.35">
      <c r="A649" s="11">
        <v>49288</v>
      </c>
      <c r="B649" s="12" t="s">
        <v>26</v>
      </c>
      <c r="C649" s="13">
        <v>15.7</v>
      </c>
      <c r="D649" s="14">
        <v>1</v>
      </c>
      <c r="E649">
        <f t="shared" si="10"/>
        <v>2034</v>
      </c>
      <c r="F649" s="18">
        <v>1</v>
      </c>
    </row>
    <row r="650" spans="1:6" x14ac:dyDescent="0.35">
      <c r="A650" s="7">
        <v>49289</v>
      </c>
      <c r="B650" s="8" t="s">
        <v>20</v>
      </c>
      <c r="C650" s="9">
        <v>16.2</v>
      </c>
      <c r="D650" s="10">
        <v>0</v>
      </c>
      <c r="E650">
        <f t="shared" si="10"/>
        <v>2034</v>
      </c>
      <c r="F650" s="18">
        <v>1</v>
      </c>
    </row>
    <row r="651" spans="1:6" x14ac:dyDescent="0.35">
      <c r="A651" s="11">
        <v>49290</v>
      </c>
      <c r="B651" s="12" t="s">
        <v>21</v>
      </c>
      <c r="C651" s="13">
        <v>18.600000000000001</v>
      </c>
      <c r="D651" s="14">
        <v>1.4</v>
      </c>
      <c r="E651">
        <f t="shared" si="10"/>
        <v>2034</v>
      </c>
      <c r="F651" s="18">
        <v>1</v>
      </c>
    </row>
    <row r="652" spans="1:6" x14ac:dyDescent="0.35">
      <c r="A652" s="7">
        <v>49291</v>
      </c>
      <c r="B652" s="8" t="s">
        <v>18</v>
      </c>
      <c r="C652" s="9">
        <v>23.9</v>
      </c>
      <c r="D652" s="10">
        <v>4</v>
      </c>
      <c r="E652">
        <f t="shared" si="10"/>
        <v>2034</v>
      </c>
      <c r="F652" s="18">
        <v>1</v>
      </c>
    </row>
    <row r="653" spans="1:6" x14ac:dyDescent="0.35">
      <c r="A653" s="11">
        <v>49292</v>
      </c>
      <c r="B653" s="12" t="s">
        <v>10</v>
      </c>
      <c r="C653" s="13">
        <v>15.8</v>
      </c>
      <c r="D653" s="14">
        <v>50.3</v>
      </c>
      <c r="E653">
        <f t="shared" si="10"/>
        <v>2034</v>
      </c>
      <c r="F653" s="18">
        <v>1</v>
      </c>
    </row>
    <row r="654" spans="1:6" x14ac:dyDescent="0.35">
      <c r="A654" s="7">
        <v>49293</v>
      </c>
      <c r="B654" s="8" t="s">
        <v>12</v>
      </c>
      <c r="C654" s="9">
        <v>26.2</v>
      </c>
      <c r="D654" s="10">
        <v>8.5</v>
      </c>
      <c r="E654">
        <f t="shared" si="10"/>
        <v>2034</v>
      </c>
      <c r="F654" s="18">
        <v>1</v>
      </c>
    </row>
    <row r="655" spans="1:6" x14ac:dyDescent="0.35">
      <c r="A655" s="11">
        <v>49294</v>
      </c>
      <c r="B655" s="12" t="s">
        <v>10</v>
      </c>
      <c r="C655" s="13">
        <v>23.1</v>
      </c>
      <c r="D655" s="14">
        <v>0</v>
      </c>
      <c r="E655">
        <f t="shared" si="10"/>
        <v>2034</v>
      </c>
      <c r="F655" s="18">
        <v>1</v>
      </c>
    </row>
    <row r="656" spans="1:6" x14ac:dyDescent="0.35">
      <c r="A656" s="7">
        <v>49295</v>
      </c>
      <c r="B656" s="8" t="s">
        <v>21</v>
      </c>
      <c r="C656" s="9">
        <v>10.8</v>
      </c>
      <c r="D656" s="10">
        <v>0</v>
      </c>
      <c r="E656">
        <f t="shared" si="10"/>
        <v>2034</v>
      </c>
      <c r="F656" s="18">
        <v>1</v>
      </c>
    </row>
    <row r="657" spans="1:6" x14ac:dyDescent="0.35">
      <c r="A657" s="11">
        <v>49296</v>
      </c>
      <c r="B657" s="12" t="s">
        <v>18</v>
      </c>
      <c r="C657" s="13">
        <v>21.2</v>
      </c>
      <c r="D657" s="14">
        <v>16.100000000000001</v>
      </c>
      <c r="E657">
        <f t="shared" si="10"/>
        <v>2034</v>
      </c>
      <c r="F657" s="18">
        <v>1</v>
      </c>
    </row>
    <row r="658" spans="1:6" x14ac:dyDescent="0.35">
      <c r="A658" s="7">
        <v>49297</v>
      </c>
      <c r="B658" s="8" t="s">
        <v>7</v>
      </c>
      <c r="C658" s="9">
        <v>26.3</v>
      </c>
      <c r="D658" s="10">
        <v>21.1</v>
      </c>
      <c r="E658">
        <f t="shared" si="10"/>
        <v>2034</v>
      </c>
      <c r="F658" s="18">
        <v>1</v>
      </c>
    </row>
    <row r="659" spans="1:6" x14ac:dyDescent="0.35">
      <c r="A659" s="11">
        <v>49298</v>
      </c>
      <c r="B659" s="12" t="s">
        <v>7</v>
      </c>
      <c r="C659" s="13">
        <v>22.8</v>
      </c>
      <c r="D659" s="14">
        <v>22.7</v>
      </c>
      <c r="E659">
        <f t="shared" si="10"/>
        <v>2034</v>
      </c>
      <c r="F659" s="18">
        <v>1</v>
      </c>
    </row>
    <row r="660" spans="1:6" x14ac:dyDescent="0.35">
      <c r="A660" s="7">
        <v>49299</v>
      </c>
      <c r="B660" s="8" t="s">
        <v>18</v>
      </c>
      <c r="C660" s="9">
        <v>24</v>
      </c>
      <c r="D660" s="10">
        <v>11.5</v>
      </c>
      <c r="E660">
        <f t="shared" si="10"/>
        <v>2034</v>
      </c>
      <c r="F660" s="18">
        <v>1</v>
      </c>
    </row>
    <row r="661" spans="1:6" x14ac:dyDescent="0.35">
      <c r="A661" s="11">
        <v>49300</v>
      </c>
      <c r="B661" s="12" t="s">
        <v>14</v>
      </c>
      <c r="C661" s="13">
        <v>16.8</v>
      </c>
      <c r="D661" s="14">
        <v>2</v>
      </c>
      <c r="E661">
        <f t="shared" si="10"/>
        <v>2034</v>
      </c>
      <c r="F661" s="18">
        <v>1</v>
      </c>
    </row>
    <row r="662" spans="1:6" x14ac:dyDescent="0.35">
      <c r="A662" s="7">
        <v>49301</v>
      </c>
      <c r="B662" s="8" t="s">
        <v>13</v>
      </c>
      <c r="C662" s="9">
        <v>12.5</v>
      </c>
      <c r="D662" s="10">
        <v>4.7</v>
      </c>
      <c r="E662">
        <f t="shared" si="10"/>
        <v>2034</v>
      </c>
      <c r="F662" s="18">
        <v>1</v>
      </c>
    </row>
    <row r="663" spans="1:6" x14ac:dyDescent="0.35">
      <c r="A663" s="11">
        <v>49302</v>
      </c>
      <c r="B663" s="12" t="s">
        <v>10</v>
      </c>
      <c r="C663" s="13">
        <v>15</v>
      </c>
      <c r="D663" s="14">
        <v>1.7</v>
      </c>
      <c r="E663">
        <f t="shared" si="10"/>
        <v>2034</v>
      </c>
      <c r="F663" s="18">
        <v>1</v>
      </c>
    </row>
    <row r="664" spans="1:6" x14ac:dyDescent="0.35">
      <c r="A664" s="7">
        <v>49303</v>
      </c>
      <c r="B664" s="8" t="s">
        <v>18</v>
      </c>
      <c r="C664" s="9">
        <v>16.2</v>
      </c>
      <c r="D664" s="10">
        <v>0</v>
      </c>
      <c r="E664">
        <f t="shared" si="10"/>
        <v>2034</v>
      </c>
      <c r="F664" s="18">
        <v>1</v>
      </c>
    </row>
    <row r="665" spans="1:6" x14ac:dyDescent="0.35">
      <c r="A665" s="11">
        <v>49304</v>
      </c>
      <c r="B665" s="12" t="s">
        <v>7</v>
      </c>
      <c r="C665" s="13">
        <v>29.3</v>
      </c>
      <c r="D665" s="14">
        <v>0</v>
      </c>
      <c r="E665">
        <f t="shared" si="10"/>
        <v>2034</v>
      </c>
      <c r="F665" s="18">
        <v>1</v>
      </c>
    </row>
    <row r="666" spans="1:6" x14ac:dyDescent="0.35">
      <c r="A666" s="7">
        <v>49305</v>
      </c>
      <c r="B666" s="8" t="s">
        <v>32</v>
      </c>
      <c r="C666" s="9">
        <v>26.4</v>
      </c>
      <c r="D666" s="10">
        <v>0.2</v>
      </c>
      <c r="E666">
        <f t="shared" si="10"/>
        <v>2034</v>
      </c>
      <c r="F666" s="18">
        <v>1</v>
      </c>
    </row>
    <row r="667" spans="1:6" x14ac:dyDescent="0.35">
      <c r="A667" s="11">
        <v>49306</v>
      </c>
      <c r="B667" s="12" t="s">
        <v>18</v>
      </c>
      <c r="C667" s="13">
        <v>23</v>
      </c>
      <c r="D667" s="14">
        <v>0</v>
      </c>
      <c r="E667">
        <f t="shared" si="10"/>
        <v>2034</v>
      </c>
      <c r="F667" s="18">
        <v>1</v>
      </c>
    </row>
    <row r="668" spans="1:6" x14ac:dyDescent="0.35">
      <c r="A668" s="7">
        <v>49307</v>
      </c>
      <c r="B668" s="8" t="s">
        <v>11</v>
      </c>
      <c r="C668" s="9">
        <v>25.4</v>
      </c>
      <c r="D668" s="10">
        <v>1.2</v>
      </c>
      <c r="E668">
        <f t="shared" si="10"/>
        <v>2034</v>
      </c>
      <c r="F668" s="18">
        <v>1</v>
      </c>
    </row>
    <row r="669" spans="1:6" x14ac:dyDescent="0.35">
      <c r="A669" s="11">
        <v>49308</v>
      </c>
      <c r="B669" s="12" t="s">
        <v>10</v>
      </c>
      <c r="C669" s="13">
        <v>24.5</v>
      </c>
      <c r="D669" s="14">
        <v>22.5</v>
      </c>
      <c r="E669">
        <f t="shared" si="10"/>
        <v>2034</v>
      </c>
      <c r="F669" s="18">
        <v>1</v>
      </c>
    </row>
    <row r="670" spans="1:6" x14ac:dyDescent="0.35">
      <c r="A670" s="7">
        <v>49309</v>
      </c>
      <c r="B670" s="8" t="s">
        <v>19</v>
      </c>
      <c r="C670" s="9">
        <v>19</v>
      </c>
      <c r="D670" s="10">
        <v>18.899999999999999</v>
      </c>
      <c r="E670">
        <f t="shared" si="10"/>
        <v>2034</v>
      </c>
      <c r="F670" s="18">
        <v>1</v>
      </c>
    </row>
    <row r="671" spans="1:6" x14ac:dyDescent="0.35">
      <c r="A671" s="11">
        <v>49310</v>
      </c>
      <c r="B671" s="12" t="s">
        <v>19</v>
      </c>
      <c r="C671" s="13">
        <v>10</v>
      </c>
      <c r="D671" s="14">
        <v>7.6</v>
      </c>
      <c r="E671">
        <f t="shared" si="10"/>
        <v>2035</v>
      </c>
      <c r="F671" s="18">
        <v>1</v>
      </c>
    </row>
    <row r="672" spans="1:6" x14ac:dyDescent="0.35">
      <c r="A672" s="7">
        <v>49311</v>
      </c>
      <c r="B672" s="8" t="s">
        <v>10</v>
      </c>
      <c r="C672" s="9">
        <v>10.4</v>
      </c>
      <c r="D672" s="10">
        <v>20.6</v>
      </c>
      <c r="E672">
        <f t="shared" si="10"/>
        <v>2035</v>
      </c>
      <c r="F672" s="18">
        <v>1</v>
      </c>
    </row>
    <row r="673" spans="1:6" x14ac:dyDescent="0.35">
      <c r="A673" s="11">
        <v>49312</v>
      </c>
      <c r="B673" s="12" t="s">
        <v>21</v>
      </c>
      <c r="C673" s="13">
        <v>10.5</v>
      </c>
      <c r="D673" s="14">
        <v>0</v>
      </c>
      <c r="E673">
        <f t="shared" si="10"/>
        <v>2035</v>
      </c>
      <c r="F673" s="18">
        <v>1</v>
      </c>
    </row>
    <row r="674" spans="1:6" x14ac:dyDescent="0.35">
      <c r="A674" s="7">
        <v>49313</v>
      </c>
      <c r="B674" s="8" t="s">
        <v>6</v>
      </c>
      <c r="C674" s="9">
        <v>12.1</v>
      </c>
      <c r="D674" s="10">
        <v>8.8000000000000007</v>
      </c>
      <c r="E674">
        <f t="shared" si="10"/>
        <v>2035</v>
      </c>
      <c r="F674" s="18">
        <v>1</v>
      </c>
    </row>
    <row r="675" spans="1:6" x14ac:dyDescent="0.35">
      <c r="A675" s="11">
        <v>49314</v>
      </c>
      <c r="B675" s="12" t="s">
        <v>10</v>
      </c>
      <c r="C675" s="13">
        <v>20.5</v>
      </c>
      <c r="D675" s="14">
        <v>0</v>
      </c>
      <c r="E675">
        <f t="shared" si="10"/>
        <v>2035</v>
      </c>
      <c r="F675" s="18">
        <v>1</v>
      </c>
    </row>
    <row r="676" spans="1:6" x14ac:dyDescent="0.35">
      <c r="A676" s="7">
        <v>49315</v>
      </c>
      <c r="B676" s="8" t="s">
        <v>13</v>
      </c>
      <c r="C676" s="9">
        <v>13.1</v>
      </c>
      <c r="D676" s="10">
        <v>0</v>
      </c>
      <c r="E676">
        <f t="shared" si="10"/>
        <v>2035</v>
      </c>
      <c r="F676" s="18">
        <v>1</v>
      </c>
    </row>
    <row r="677" spans="1:6" x14ac:dyDescent="0.35">
      <c r="A677" s="11">
        <v>49316</v>
      </c>
      <c r="B677" s="12" t="s">
        <v>26</v>
      </c>
      <c r="C677" s="13">
        <v>29.8</v>
      </c>
      <c r="D677" s="14">
        <v>1.1000000000000001</v>
      </c>
      <c r="E677">
        <f t="shared" si="10"/>
        <v>2035</v>
      </c>
      <c r="F677" s="18">
        <v>1</v>
      </c>
    </row>
    <row r="678" spans="1:6" x14ac:dyDescent="0.35">
      <c r="A678" s="7">
        <v>49317</v>
      </c>
      <c r="B678" s="8" t="s">
        <v>15</v>
      </c>
      <c r="C678" s="9">
        <v>17.100000000000001</v>
      </c>
      <c r="D678" s="10">
        <v>5.5</v>
      </c>
      <c r="E678">
        <f t="shared" si="10"/>
        <v>2035</v>
      </c>
      <c r="F678" s="18">
        <v>1</v>
      </c>
    </row>
    <row r="679" spans="1:6" x14ac:dyDescent="0.35">
      <c r="A679" s="11">
        <v>49318</v>
      </c>
      <c r="B679" s="12" t="s">
        <v>14</v>
      </c>
      <c r="C679" s="13">
        <v>29.1</v>
      </c>
      <c r="D679" s="14">
        <v>0.4</v>
      </c>
      <c r="E679">
        <f t="shared" si="10"/>
        <v>2035</v>
      </c>
      <c r="F679" s="18">
        <v>1</v>
      </c>
    </row>
    <row r="680" spans="1:6" x14ac:dyDescent="0.35">
      <c r="A680" s="7">
        <v>49319</v>
      </c>
      <c r="B680" s="8" t="s">
        <v>18</v>
      </c>
      <c r="C680" s="9">
        <v>10.9</v>
      </c>
      <c r="D680" s="10">
        <v>0</v>
      </c>
      <c r="E680">
        <f t="shared" si="10"/>
        <v>2035</v>
      </c>
      <c r="F680" s="18">
        <v>1</v>
      </c>
    </row>
    <row r="681" spans="1:6" x14ac:dyDescent="0.35">
      <c r="A681" s="11">
        <v>49320</v>
      </c>
      <c r="B681" s="12" t="s">
        <v>32</v>
      </c>
      <c r="C681" s="13">
        <v>27.4</v>
      </c>
      <c r="D681" s="14">
        <v>0.3</v>
      </c>
      <c r="E681">
        <f t="shared" si="10"/>
        <v>2035</v>
      </c>
      <c r="F681" s="18">
        <v>1</v>
      </c>
    </row>
    <row r="682" spans="1:6" x14ac:dyDescent="0.35">
      <c r="A682" s="7">
        <v>49321</v>
      </c>
      <c r="B682" s="8" t="s">
        <v>19</v>
      </c>
      <c r="C682" s="9">
        <v>16.3</v>
      </c>
      <c r="D682" s="10">
        <v>9.8000000000000007</v>
      </c>
      <c r="E682">
        <f t="shared" si="10"/>
        <v>2035</v>
      </c>
      <c r="F682" s="18">
        <v>1</v>
      </c>
    </row>
    <row r="683" spans="1:6" x14ac:dyDescent="0.35">
      <c r="A683" s="11">
        <v>49322</v>
      </c>
      <c r="B683" s="12" t="s">
        <v>7</v>
      </c>
      <c r="C683" s="13">
        <v>14.7</v>
      </c>
      <c r="D683" s="14">
        <v>0</v>
      </c>
      <c r="E683">
        <f t="shared" si="10"/>
        <v>2035</v>
      </c>
      <c r="F683" s="18">
        <v>1</v>
      </c>
    </row>
    <row r="684" spans="1:6" x14ac:dyDescent="0.35">
      <c r="A684" s="7">
        <v>49323</v>
      </c>
      <c r="B684" s="8" t="s">
        <v>12</v>
      </c>
      <c r="C684" s="9">
        <v>17.2</v>
      </c>
      <c r="D684" s="10">
        <v>2</v>
      </c>
      <c r="E684">
        <f t="shared" si="10"/>
        <v>2035</v>
      </c>
      <c r="F684" s="18">
        <v>1</v>
      </c>
    </row>
    <row r="685" spans="1:6" x14ac:dyDescent="0.35">
      <c r="A685" s="11">
        <v>49324</v>
      </c>
      <c r="B685" s="12" t="s">
        <v>15</v>
      </c>
      <c r="C685" s="13">
        <v>24.2</v>
      </c>
      <c r="D685" s="14">
        <v>9.9</v>
      </c>
      <c r="E685">
        <f t="shared" si="10"/>
        <v>2035</v>
      </c>
      <c r="F685" s="18">
        <v>1</v>
      </c>
    </row>
    <row r="686" spans="1:6" x14ac:dyDescent="0.35">
      <c r="A686" s="7">
        <v>49325</v>
      </c>
      <c r="B686" s="8" t="s">
        <v>13</v>
      </c>
      <c r="C686" s="9">
        <v>22.3</v>
      </c>
      <c r="D686" s="10">
        <v>0</v>
      </c>
      <c r="E686">
        <f t="shared" si="10"/>
        <v>2035</v>
      </c>
      <c r="F686" s="18">
        <v>1</v>
      </c>
    </row>
    <row r="687" spans="1:6" x14ac:dyDescent="0.35">
      <c r="A687" s="11">
        <v>49326</v>
      </c>
      <c r="B687" s="12" t="s">
        <v>29</v>
      </c>
      <c r="C687" s="13">
        <v>26.7</v>
      </c>
      <c r="D687" s="14">
        <v>0.6</v>
      </c>
      <c r="E687">
        <f t="shared" si="10"/>
        <v>2035</v>
      </c>
      <c r="F687" s="18">
        <v>1</v>
      </c>
    </row>
    <row r="688" spans="1:6" x14ac:dyDescent="0.35">
      <c r="A688" s="7">
        <v>49327</v>
      </c>
      <c r="B688" s="8" t="s">
        <v>12</v>
      </c>
      <c r="C688" s="9">
        <v>10.9</v>
      </c>
      <c r="D688" s="10">
        <v>3.8</v>
      </c>
      <c r="E688">
        <f t="shared" si="10"/>
        <v>2035</v>
      </c>
      <c r="F688" s="18">
        <v>1</v>
      </c>
    </row>
    <row r="689" spans="1:6" x14ac:dyDescent="0.35">
      <c r="A689" s="11">
        <v>49328</v>
      </c>
      <c r="B689" s="12" t="s">
        <v>21</v>
      </c>
      <c r="C689" s="13">
        <v>23.7</v>
      </c>
      <c r="D689" s="14">
        <v>0</v>
      </c>
      <c r="E689">
        <f t="shared" si="10"/>
        <v>2035</v>
      </c>
      <c r="F689" s="18">
        <v>1</v>
      </c>
    </row>
    <row r="690" spans="1:6" x14ac:dyDescent="0.35">
      <c r="A690" s="7">
        <v>49329</v>
      </c>
      <c r="B690" s="8" t="s">
        <v>10</v>
      </c>
      <c r="C690" s="9">
        <v>16</v>
      </c>
      <c r="D690" s="10">
        <v>22.3</v>
      </c>
      <c r="E690">
        <f t="shared" si="10"/>
        <v>2035</v>
      </c>
      <c r="F690" s="18">
        <v>1</v>
      </c>
    </row>
    <row r="691" spans="1:6" x14ac:dyDescent="0.35">
      <c r="A691" s="11">
        <v>49330</v>
      </c>
      <c r="B691" s="12" t="s">
        <v>10</v>
      </c>
      <c r="C691" s="13">
        <v>19.399999999999999</v>
      </c>
      <c r="D691" s="14">
        <v>41.6</v>
      </c>
      <c r="E691">
        <f t="shared" si="10"/>
        <v>2035</v>
      </c>
      <c r="F691" s="18">
        <v>1</v>
      </c>
    </row>
    <row r="692" spans="1:6" x14ac:dyDescent="0.35">
      <c r="A692" s="7">
        <v>49331</v>
      </c>
      <c r="B692" s="8" t="s">
        <v>11</v>
      </c>
      <c r="C692" s="9">
        <v>26.7</v>
      </c>
      <c r="D692" s="10">
        <v>10</v>
      </c>
      <c r="E692">
        <f t="shared" si="10"/>
        <v>2035</v>
      </c>
      <c r="F692" s="18">
        <v>1</v>
      </c>
    </row>
    <row r="693" spans="1:6" x14ac:dyDescent="0.35">
      <c r="A693" s="11">
        <v>49332</v>
      </c>
      <c r="B693" s="12" t="s">
        <v>19</v>
      </c>
      <c r="C693" s="13">
        <v>20.8</v>
      </c>
      <c r="D693" s="14">
        <v>0</v>
      </c>
      <c r="E693">
        <f t="shared" si="10"/>
        <v>2035</v>
      </c>
      <c r="F693" s="18">
        <v>1</v>
      </c>
    </row>
    <row r="694" spans="1:6" x14ac:dyDescent="0.35">
      <c r="A694" s="7">
        <v>49333</v>
      </c>
      <c r="B694" s="8" t="s">
        <v>10</v>
      </c>
      <c r="C694" s="9">
        <v>25.6</v>
      </c>
      <c r="D694" s="10">
        <v>0</v>
      </c>
      <c r="E694">
        <f t="shared" si="10"/>
        <v>2035</v>
      </c>
      <c r="F694" s="18">
        <v>1</v>
      </c>
    </row>
    <row r="695" spans="1:6" x14ac:dyDescent="0.35">
      <c r="A695" s="11">
        <v>49334</v>
      </c>
      <c r="B695" s="12" t="s">
        <v>18</v>
      </c>
      <c r="C695" s="13">
        <v>18.3</v>
      </c>
      <c r="D695" s="14">
        <v>0.5</v>
      </c>
      <c r="E695">
        <f t="shared" si="10"/>
        <v>2035</v>
      </c>
      <c r="F695" s="18">
        <v>1</v>
      </c>
    </row>
    <row r="696" spans="1:6" x14ac:dyDescent="0.35">
      <c r="A696" s="7">
        <v>49335</v>
      </c>
      <c r="B696" s="8" t="s">
        <v>9</v>
      </c>
      <c r="C696" s="9">
        <v>27.4</v>
      </c>
      <c r="D696" s="10">
        <v>4.2</v>
      </c>
      <c r="E696">
        <f t="shared" si="10"/>
        <v>2035</v>
      </c>
      <c r="F696" s="18">
        <v>1</v>
      </c>
    </row>
    <row r="697" spans="1:6" x14ac:dyDescent="0.35">
      <c r="A697" s="11">
        <v>49336</v>
      </c>
      <c r="B697" s="12" t="s">
        <v>23</v>
      </c>
      <c r="C697" s="13">
        <v>16.100000000000001</v>
      </c>
      <c r="D697" s="14">
        <v>3.4</v>
      </c>
      <c r="E697">
        <f t="shared" si="10"/>
        <v>2035</v>
      </c>
      <c r="F697" s="18">
        <v>1</v>
      </c>
    </row>
    <row r="698" spans="1:6" x14ac:dyDescent="0.35">
      <c r="A698" s="7">
        <v>49337</v>
      </c>
      <c r="B698" s="8" t="s">
        <v>14</v>
      </c>
      <c r="C698" s="9">
        <v>27.5</v>
      </c>
      <c r="D698" s="10">
        <v>8</v>
      </c>
      <c r="E698">
        <f t="shared" si="10"/>
        <v>2035</v>
      </c>
      <c r="F698" s="18">
        <v>1</v>
      </c>
    </row>
    <row r="699" spans="1:6" x14ac:dyDescent="0.35">
      <c r="A699" s="11">
        <v>49338</v>
      </c>
      <c r="B699" s="12" t="s">
        <v>9</v>
      </c>
      <c r="C699" s="13">
        <v>28.4</v>
      </c>
      <c r="D699" s="14">
        <v>10.199999999999999</v>
      </c>
      <c r="E699">
        <f t="shared" si="10"/>
        <v>2035</v>
      </c>
      <c r="F699" s="18">
        <v>1</v>
      </c>
    </row>
    <row r="700" spans="1:6" x14ac:dyDescent="0.35">
      <c r="A700" s="7">
        <v>49339</v>
      </c>
      <c r="B700" s="8" t="s">
        <v>13</v>
      </c>
      <c r="C700" s="9">
        <v>16.100000000000001</v>
      </c>
      <c r="D700" s="10">
        <v>4</v>
      </c>
      <c r="E700">
        <f t="shared" si="10"/>
        <v>2035</v>
      </c>
      <c r="F700" s="18">
        <v>1</v>
      </c>
    </row>
    <row r="701" spans="1:6" x14ac:dyDescent="0.35">
      <c r="A701" s="11">
        <v>49340</v>
      </c>
      <c r="B701" s="12" t="s">
        <v>23</v>
      </c>
      <c r="C701" s="13">
        <v>28.4</v>
      </c>
      <c r="D701" s="14">
        <v>2.6</v>
      </c>
      <c r="E701">
        <f t="shared" si="10"/>
        <v>2035</v>
      </c>
      <c r="F701" s="18">
        <v>1</v>
      </c>
    </row>
    <row r="702" spans="1:6" x14ac:dyDescent="0.35">
      <c r="A702" s="7">
        <v>49341</v>
      </c>
      <c r="B702" s="8" t="s">
        <v>14</v>
      </c>
      <c r="C702" s="9">
        <v>29.3</v>
      </c>
      <c r="D702" s="10">
        <v>0</v>
      </c>
      <c r="E702">
        <f t="shared" si="10"/>
        <v>2035</v>
      </c>
      <c r="F702" s="18">
        <v>1</v>
      </c>
    </row>
    <row r="703" spans="1:6" x14ac:dyDescent="0.35">
      <c r="A703" s="11">
        <v>49342</v>
      </c>
      <c r="B703" s="12" t="s">
        <v>13</v>
      </c>
      <c r="C703" s="13">
        <v>19.7</v>
      </c>
      <c r="D703" s="14">
        <v>16.2</v>
      </c>
      <c r="E703">
        <f t="shared" si="10"/>
        <v>2035</v>
      </c>
      <c r="F703" s="18">
        <v>1</v>
      </c>
    </row>
    <row r="704" spans="1:6" x14ac:dyDescent="0.35">
      <c r="A704" s="7">
        <v>49343</v>
      </c>
      <c r="B704" s="8" t="s">
        <v>31</v>
      </c>
      <c r="C704" s="9">
        <v>11.5</v>
      </c>
      <c r="D704" s="10">
        <v>0.3</v>
      </c>
      <c r="E704">
        <f t="shared" si="10"/>
        <v>2035</v>
      </c>
      <c r="F704" s="18">
        <v>1</v>
      </c>
    </row>
    <row r="705" spans="1:6" x14ac:dyDescent="0.35">
      <c r="A705" s="11">
        <v>49344</v>
      </c>
      <c r="B705" s="12" t="s">
        <v>19</v>
      </c>
      <c r="C705" s="13">
        <v>19.5</v>
      </c>
      <c r="D705" s="14">
        <v>0</v>
      </c>
      <c r="E705">
        <f t="shared" si="10"/>
        <v>2035</v>
      </c>
      <c r="F705" s="18">
        <v>1</v>
      </c>
    </row>
    <row r="706" spans="1:6" x14ac:dyDescent="0.35">
      <c r="A706" s="7">
        <v>49345</v>
      </c>
      <c r="B706" s="8" t="s">
        <v>20</v>
      </c>
      <c r="C706" s="9">
        <v>22.7</v>
      </c>
      <c r="D706" s="10">
        <v>0.7</v>
      </c>
      <c r="E706">
        <f t="shared" si="10"/>
        <v>2035</v>
      </c>
      <c r="F706" s="18">
        <v>1</v>
      </c>
    </row>
    <row r="707" spans="1:6" x14ac:dyDescent="0.35">
      <c r="A707" s="11">
        <v>49346</v>
      </c>
      <c r="B707" s="12" t="s">
        <v>7</v>
      </c>
      <c r="C707" s="13">
        <v>19.7</v>
      </c>
      <c r="D707" s="14">
        <v>7.3</v>
      </c>
      <c r="E707">
        <f t="shared" ref="E707:E770" si="11">YEAR(A707)</f>
        <v>2035</v>
      </c>
      <c r="F707" s="18">
        <v>1</v>
      </c>
    </row>
    <row r="708" spans="1:6" x14ac:dyDescent="0.35">
      <c r="A708" s="7">
        <v>49347</v>
      </c>
      <c r="B708" s="8" t="s">
        <v>26</v>
      </c>
      <c r="C708" s="9">
        <v>19.399999999999999</v>
      </c>
      <c r="D708" s="10">
        <v>0.4</v>
      </c>
      <c r="E708">
        <f t="shared" si="11"/>
        <v>2035</v>
      </c>
      <c r="F708" s="18">
        <v>1</v>
      </c>
    </row>
    <row r="709" spans="1:6" x14ac:dyDescent="0.35">
      <c r="A709" s="11">
        <v>49348</v>
      </c>
      <c r="B709" s="12" t="s">
        <v>23</v>
      </c>
      <c r="C709" s="13">
        <v>13.8</v>
      </c>
      <c r="D709" s="14">
        <v>1.1000000000000001</v>
      </c>
      <c r="E709">
        <f t="shared" si="11"/>
        <v>2035</v>
      </c>
      <c r="F709" s="18">
        <v>1</v>
      </c>
    </row>
    <row r="710" spans="1:6" x14ac:dyDescent="0.35">
      <c r="A710" s="7">
        <v>49349</v>
      </c>
      <c r="B710" s="8" t="s">
        <v>13</v>
      </c>
      <c r="C710" s="9">
        <v>19.600000000000001</v>
      </c>
      <c r="D710" s="10">
        <v>2.2999999999999998</v>
      </c>
      <c r="E710">
        <f t="shared" si="11"/>
        <v>2035</v>
      </c>
      <c r="F710" s="18">
        <v>1</v>
      </c>
    </row>
    <row r="711" spans="1:6" x14ac:dyDescent="0.35">
      <c r="A711" s="11">
        <v>49350</v>
      </c>
      <c r="B711" s="12" t="s">
        <v>19</v>
      </c>
      <c r="C711" s="13">
        <v>22.6</v>
      </c>
      <c r="D711" s="14">
        <v>13.3</v>
      </c>
      <c r="E711">
        <f t="shared" si="11"/>
        <v>2035</v>
      </c>
      <c r="F711" s="18">
        <v>1</v>
      </c>
    </row>
    <row r="712" spans="1:6" x14ac:dyDescent="0.35">
      <c r="A712" s="7">
        <v>49351</v>
      </c>
      <c r="B712" s="8" t="s">
        <v>6</v>
      </c>
      <c r="C712" s="9">
        <v>18.2</v>
      </c>
      <c r="D712" s="10">
        <v>7.6</v>
      </c>
      <c r="E712">
        <f t="shared" si="11"/>
        <v>2035</v>
      </c>
      <c r="F712" s="18">
        <v>1</v>
      </c>
    </row>
    <row r="713" spans="1:6" x14ac:dyDescent="0.35">
      <c r="A713" s="11">
        <v>49352</v>
      </c>
      <c r="B713" s="12" t="s">
        <v>19</v>
      </c>
      <c r="C713" s="13">
        <v>27.3</v>
      </c>
      <c r="D713" s="14">
        <v>38.4</v>
      </c>
      <c r="E713">
        <f t="shared" si="11"/>
        <v>2035</v>
      </c>
      <c r="F713" s="18">
        <v>1</v>
      </c>
    </row>
    <row r="714" spans="1:6" x14ac:dyDescent="0.35">
      <c r="A714" s="7">
        <v>49353</v>
      </c>
      <c r="B714" s="8" t="s">
        <v>19</v>
      </c>
      <c r="C714" s="9">
        <v>14.7</v>
      </c>
      <c r="D714" s="10">
        <v>31.8</v>
      </c>
      <c r="E714">
        <f t="shared" si="11"/>
        <v>2035</v>
      </c>
      <c r="F714" s="18">
        <v>1</v>
      </c>
    </row>
    <row r="715" spans="1:6" x14ac:dyDescent="0.35">
      <c r="A715" s="11">
        <v>49354</v>
      </c>
      <c r="B715" s="12" t="s">
        <v>22</v>
      </c>
      <c r="C715" s="13">
        <v>20.6</v>
      </c>
      <c r="D715" s="14">
        <v>5.9</v>
      </c>
      <c r="E715">
        <f t="shared" si="11"/>
        <v>2035</v>
      </c>
      <c r="F715" s="18">
        <v>1</v>
      </c>
    </row>
    <row r="716" spans="1:6" x14ac:dyDescent="0.35">
      <c r="A716" s="7">
        <v>49355</v>
      </c>
      <c r="B716" s="8" t="s">
        <v>10</v>
      </c>
      <c r="C716" s="9">
        <v>12.6</v>
      </c>
      <c r="D716" s="10">
        <v>14.4</v>
      </c>
      <c r="E716">
        <f t="shared" si="11"/>
        <v>2035</v>
      </c>
      <c r="F716" s="18">
        <v>1</v>
      </c>
    </row>
    <row r="717" spans="1:6" x14ac:dyDescent="0.35">
      <c r="A717" s="11">
        <v>49356</v>
      </c>
      <c r="B717" s="12" t="s">
        <v>11</v>
      </c>
      <c r="C717" s="13">
        <v>14.5</v>
      </c>
      <c r="D717" s="14">
        <v>0</v>
      </c>
      <c r="E717">
        <f t="shared" si="11"/>
        <v>2035</v>
      </c>
      <c r="F717" s="18">
        <v>1</v>
      </c>
    </row>
    <row r="718" spans="1:6" x14ac:dyDescent="0.35">
      <c r="A718" s="7">
        <v>49357</v>
      </c>
      <c r="B718" s="8" t="s">
        <v>10</v>
      </c>
      <c r="C718" s="9">
        <v>24.7</v>
      </c>
      <c r="D718" s="10">
        <v>36</v>
      </c>
      <c r="E718">
        <f t="shared" si="11"/>
        <v>2035</v>
      </c>
      <c r="F718" s="18">
        <v>1</v>
      </c>
    </row>
    <row r="719" spans="1:6" x14ac:dyDescent="0.35">
      <c r="A719" s="11">
        <v>49358</v>
      </c>
      <c r="B719" s="12" t="s">
        <v>19</v>
      </c>
      <c r="C719" s="13">
        <v>17.899999999999999</v>
      </c>
      <c r="D719" s="14">
        <v>24.9</v>
      </c>
      <c r="E719">
        <f t="shared" si="11"/>
        <v>2035</v>
      </c>
      <c r="F719" s="18">
        <v>1</v>
      </c>
    </row>
    <row r="720" spans="1:6" x14ac:dyDescent="0.35">
      <c r="A720" s="7">
        <v>49359</v>
      </c>
      <c r="B720" s="8" t="s">
        <v>14</v>
      </c>
      <c r="C720" s="9">
        <v>20.2</v>
      </c>
      <c r="D720" s="10">
        <v>2.9</v>
      </c>
      <c r="E720">
        <f t="shared" si="11"/>
        <v>2035</v>
      </c>
      <c r="F720" s="18">
        <v>1</v>
      </c>
    </row>
    <row r="721" spans="1:6" x14ac:dyDescent="0.35">
      <c r="A721" s="11">
        <v>49360</v>
      </c>
      <c r="B721" s="12" t="s">
        <v>8</v>
      </c>
      <c r="C721" s="13">
        <v>13.4</v>
      </c>
      <c r="D721" s="14">
        <v>1.7</v>
      </c>
      <c r="E721">
        <f t="shared" si="11"/>
        <v>2035</v>
      </c>
      <c r="F721" s="18">
        <v>1</v>
      </c>
    </row>
    <row r="722" spans="1:6" x14ac:dyDescent="0.35">
      <c r="A722" s="7">
        <v>49361</v>
      </c>
      <c r="B722" s="8" t="s">
        <v>17</v>
      </c>
      <c r="C722" s="9">
        <v>12.2</v>
      </c>
      <c r="D722" s="10">
        <v>6</v>
      </c>
      <c r="E722">
        <f t="shared" si="11"/>
        <v>2035</v>
      </c>
      <c r="F722" s="18">
        <v>1</v>
      </c>
    </row>
    <row r="723" spans="1:6" x14ac:dyDescent="0.35">
      <c r="A723" s="11">
        <v>49362</v>
      </c>
      <c r="B723" s="12" t="s">
        <v>30</v>
      </c>
      <c r="C723" s="13">
        <v>29.8</v>
      </c>
      <c r="D723" s="14">
        <v>0.4</v>
      </c>
      <c r="E723">
        <f t="shared" si="11"/>
        <v>2035</v>
      </c>
      <c r="F723" s="18">
        <v>1</v>
      </c>
    </row>
    <row r="724" spans="1:6" x14ac:dyDescent="0.35">
      <c r="A724" s="7">
        <v>49363</v>
      </c>
      <c r="B724" s="8" t="s">
        <v>19</v>
      </c>
      <c r="C724" s="9">
        <v>16.100000000000001</v>
      </c>
      <c r="D724" s="10">
        <v>28.7</v>
      </c>
      <c r="E724">
        <f t="shared" si="11"/>
        <v>2035</v>
      </c>
      <c r="F724" s="18">
        <v>1</v>
      </c>
    </row>
    <row r="725" spans="1:6" x14ac:dyDescent="0.35">
      <c r="A725" s="11">
        <v>49364</v>
      </c>
      <c r="B725" s="12" t="s">
        <v>10</v>
      </c>
      <c r="C725" s="13">
        <v>18.8</v>
      </c>
      <c r="D725" s="14">
        <v>0</v>
      </c>
      <c r="E725">
        <f t="shared" si="11"/>
        <v>2035</v>
      </c>
      <c r="F725" s="18">
        <v>1</v>
      </c>
    </row>
    <row r="726" spans="1:6" x14ac:dyDescent="0.35">
      <c r="A726" s="7">
        <v>49365</v>
      </c>
      <c r="B726" s="8" t="s">
        <v>15</v>
      </c>
      <c r="C726" s="9">
        <v>17.100000000000001</v>
      </c>
      <c r="D726" s="10">
        <v>0</v>
      </c>
      <c r="E726">
        <f t="shared" si="11"/>
        <v>2035</v>
      </c>
      <c r="F726" s="18">
        <v>1</v>
      </c>
    </row>
    <row r="727" spans="1:6" x14ac:dyDescent="0.35">
      <c r="A727" s="11">
        <v>49366</v>
      </c>
      <c r="B727" s="12" t="s">
        <v>9</v>
      </c>
      <c r="C727" s="13">
        <v>11.7</v>
      </c>
      <c r="D727" s="14">
        <v>7.7</v>
      </c>
      <c r="E727">
        <f t="shared" si="11"/>
        <v>2035</v>
      </c>
      <c r="F727" s="18">
        <v>1</v>
      </c>
    </row>
    <row r="728" spans="1:6" x14ac:dyDescent="0.35">
      <c r="A728" s="7">
        <v>49367</v>
      </c>
      <c r="B728" s="8" t="s">
        <v>18</v>
      </c>
      <c r="C728" s="9">
        <v>25.4</v>
      </c>
      <c r="D728" s="10">
        <v>14.2</v>
      </c>
      <c r="E728">
        <f t="shared" si="11"/>
        <v>2035</v>
      </c>
      <c r="F728" s="18">
        <v>1</v>
      </c>
    </row>
    <row r="729" spans="1:6" x14ac:dyDescent="0.35">
      <c r="A729" s="11">
        <v>49368</v>
      </c>
      <c r="B729" s="12" t="s">
        <v>22</v>
      </c>
      <c r="C729" s="13">
        <v>12.6</v>
      </c>
      <c r="D729" s="14">
        <v>9</v>
      </c>
      <c r="E729">
        <f t="shared" si="11"/>
        <v>2035</v>
      </c>
      <c r="F729" s="18">
        <v>1</v>
      </c>
    </row>
    <row r="730" spans="1:6" x14ac:dyDescent="0.35">
      <c r="A730" s="7">
        <v>49369</v>
      </c>
      <c r="B730" s="8" t="s">
        <v>10</v>
      </c>
      <c r="C730" s="9">
        <v>15.8</v>
      </c>
      <c r="D730" s="10">
        <v>0</v>
      </c>
      <c r="E730">
        <f t="shared" si="11"/>
        <v>2035</v>
      </c>
      <c r="F730" s="18">
        <v>1</v>
      </c>
    </row>
    <row r="731" spans="1:6" x14ac:dyDescent="0.35">
      <c r="A731" s="11">
        <v>49370</v>
      </c>
      <c r="B731" s="12" t="s">
        <v>18</v>
      </c>
      <c r="C731" s="13">
        <v>24.7</v>
      </c>
      <c r="D731" s="14">
        <v>13.9</v>
      </c>
      <c r="E731">
        <f t="shared" si="11"/>
        <v>2035</v>
      </c>
      <c r="F731" s="18">
        <v>1</v>
      </c>
    </row>
    <row r="732" spans="1:6" x14ac:dyDescent="0.35">
      <c r="A732" s="7">
        <v>49371</v>
      </c>
      <c r="B732" s="8" t="s">
        <v>27</v>
      </c>
      <c r="C732" s="9">
        <v>26.7</v>
      </c>
      <c r="D732" s="10">
        <v>0</v>
      </c>
      <c r="E732">
        <f t="shared" si="11"/>
        <v>2035</v>
      </c>
      <c r="F732" s="18">
        <v>1</v>
      </c>
    </row>
    <row r="733" spans="1:6" x14ac:dyDescent="0.35">
      <c r="A733" s="11">
        <v>49372</v>
      </c>
      <c r="B733" s="12" t="s">
        <v>19</v>
      </c>
      <c r="C733" s="13">
        <v>21.2</v>
      </c>
      <c r="D733" s="14">
        <v>5.3</v>
      </c>
      <c r="E733">
        <f t="shared" si="11"/>
        <v>2035</v>
      </c>
      <c r="F733" s="18">
        <v>1</v>
      </c>
    </row>
    <row r="734" spans="1:6" x14ac:dyDescent="0.35">
      <c r="A734" s="7">
        <v>49373</v>
      </c>
      <c r="B734" s="8" t="s">
        <v>6</v>
      </c>
      <c r="C734" s="9">
        <v>10.4</v>
      </c>
      <c r="D734" s="10">
        <v>8.6</v>
      </c>
      <c r="E734">
        <f t="shared" si="11"/>
        <v>2035</v>
      </c>
      <c r="F734" s="18">
        <v>1</v>
      </c>
    </row>
    <row r="735" spans="1:6" x14ac:dyDescent="0.35">
      <c r="A735" s="11">
        <v>49374</v>
      </c>
      <c r="B735" s="12" t="s">
        <v>26</v>
      </c>
      <c r="C735" s="13">
        <v>25.1</v>
      </c>
      <c r="D735" s="14">
        <v>3.3</v>
      </c>
      <c r="E735">
        <f t="shared" si="11"/>
        <v>2035</v>
      </c>
      <c r="F735" s="18">
        <v>1</v>
      </c>
    </row>
    <row r="736" spans="1:6" x14ac:dyDescent="0.35">
      <c r="A736" s="7">
        <v>49375</v>
      </c>
      <c r="B736" s="8" t="s">
        <v>19</v>
      </c>
      <c r="C736" s="9">
        <v>27.8</v>
      </c>
      <c r="D736" s="10">
        <v>20.9</v>
      </c>
      <c r="E736">
        <f t="shared" si="11"/>
        <v>2035</v>
      </c>
      <c r="F736" s="18">
        <v>1</v>
      </c>
    </row>
    <row r="737" spans="1:6" x14ac:dyDescent="0.35">
      <c r="A737" s="11">
        <v>49376</v>
      </c>
      <c r="B737" s="12" t="s">
        <v>11</v>
      </c>
      <c r="C737" s="13">
        <v>26.1</v>
      </c>
      <c r="D737" s="14">
        <v>0</v>
      </c>
      <c r="E737">
        <f t="shared" si="11"/>
        <v>2035</v>
      </c>
      <c r="F737" s="18">
        <v>1</v>
      </c>
    </row>
    <row r="738" spans="1:6" x14ac:dyDescent="0.35">
      <c r="A738" s="7">
        <v>49377</v>
      </c>
      <c r="B738" s="8" t="s">
        <v>13</v>
      </c>
      <c r="C738" s="9">
        <v>18.3</v>
      </c>
      <c r="D738" s="10">
        <v>7.8</v>
      </c>
      <c r="E738">
        <f t="shared" si="11"/>
        <v>2035</v>
      </c>
      <c r="F738" s="18">
        <v>1</v>
      </c>
    </row>
    <row r="739" spans="1:6" x14ac:dyDescent="0.35">
      <c r="A739" s="11">
        <v>49378</v>
      </c>
      <c r="B739" s="12" t="s">
        <v>11</v>
      </c>
      <c r="C739" s="13">
        <v>16.3</v>
      </c>
      <c r="D739" s="14">
        <v>0</v>
      </c>
      <c r="E739">
        <f t="shared" si="11"/>
        <v>2035</v>
      </c>
      <c r="F739" s="18">
        <v>1</v>
      </c>
    </row>
    <row r="740" spans="1:6" x14ac:dyDescent="0.35">
      <c r="A740" s="7">
        <v>49379</v>
      </c>
      <c r="B740" s="8" t="s">
        <v>11</v>
      </c>
      <c r="C740" s="9">
        <v>17.2</v>
      </c>
      <c r="D740" s="10">
        <v>12.5</v>
      </c>
      <c r="E740">
        <f t="shared" si="11"/>
        <v>2035</v>
      </c>
      <c r="F740" s="18">
        <v>1</v>
      </c>
    </row>
    <row r="741" spans="1:6" x14ac:dyDescent="0.35">
      <c r="A741" s="11">
        <v>49380</v>
      </c>
      <c r="B741" s="12" t="s">
        <v>24</v>
      </c>
      <c r="C741" s="13">
        <v>22.1</v>
      </c>
      <c r="D741" s="14">
        <v>3.7</v>
      </c>
      <c r="E741">
        <f t="shared" si="11"/>
        <v>2035</v>
      </c>
      <c r="F741" s="18">
        <v>1</v>
      </c>
    </row>
    <row r="742" spans="1:6" x14ac:dyDescent="0.35">
      <c r="A742" s="7">
        <v>49381</v>
      </c>
      <c r="B742" s="8" t="s">
        <v>23</v>
      </c>
      <c r="C742" s="9">
        <v>18.8</v>
      </c>
      <c r="D742" s="10">
        <v>0</v>
      </c>
      <c r="E742">
        <f t="shared" si="11"/>
        <v>2035</v>
      </c>
      <c r="F742" s="18">
        <v>1</v>
      </c>
    </row>
    <row r="743" spans="1:6" x14ac:dyDescent="0.35">
      <c r="A743" s="11">
        <v>49382</v>
      </c>
      <c r="B743" s="12" t="s">
        <v>18</v>
      </c>
      <c r="C743" s="13">
        <v>12.3</v>
      </c>
      <c r="D743" s="14">
        <v>7.1</v>
      </c>
      <c r="E743">
        <f t="shared" si="11"/>
        <v>2035</v>
      </c>
      <c r="F743" s="18">
        <v>1</v>
      </c>
    </row>
    <row r="744" spans="1:6" x14ac:dyDescent="0.35">
      <c r="A744" s="7">
        <v>49383</v>
      </c>
      <c r="B744" s="8" t="s">
        <v>10</v>
      </c>
      <c r="C744" s="9">
        <v>27.5</v>
      </c>
      <c r="D744" s="10">
        <v>34.299999999999997</v>
      </c>
      <c r="E744">
        <f t="shared" si="11"/>
        <v>2035</v>
      </c>
      <c r="F744" s="18">
        <v>1</v>
      </c>
    </row>
    <row r="745" spans="1:6" x14ac:dyDescent="0.35">
      <c r="A745" s="11">
        <v>49384</v>
      </c>
      <c r="B745" s="12" t="s">
        <v>18</v>
      </c>
      <c r="C745" s="13">
        <v>23.1</v>
      </c>
      <c r="D745" s="14">
        <v>0</v>
      </c>
      <c r="E745">
        <f t="shared" si="11"/>
        <v>2035</v>
      </c>
      <c r="F745" s="18">
        <v>1</v>
      </c>
    </row>
    <row r="746" spans="1:6" x14ac:dyDescent="0.35">
      <c r="A746" s="7">
        <v>49385</v>
      </c>
      <c r="B746" s="8" t="s">
        <v>11</v>
      </c>
      <c r="C746" s="9">
        <v>21.3</v>
      </c>
      <c r="D746" s="10">
        <v>0</v>
      </c>
      <c r="E746">
        <f t="shared" si="11"/>
        <v>2035</v>
      </c>
      <c r="F746" s="18">
        <v>1</v>
      </c>
    </row>
    <row r="747" spans="1:6" x14ac:dyDescent="0.35">
      <c r="A747" s="11">
        <v>49386</v>
      </c>
      <c r="B747" s="12" t="s">
        <v>26</v>
      </c>
      <c r="C747" s="13">
        <v>13.8</v>
      </c>
      <c r="D747" s="14">
        <v>5.9</v>
      </c>
      <c r="E747">
        <f t="shared" si="11"/>
        <v>2035</v>
      </c>
      <c r="F747" s="18">
        <v>1</v>
      </c>
    </row>
    <row r="748" spans="1:6" x14ac:dyDescent="0.35">
      <c r="A748" s="7">
        <v>49387</v>
      </c>
      <c r="B748" s="8" t="s">
        <v>13</v>
      </c>
      <c r="C748" s="9">
        <v>20</v>
      </c>
      <c r="D748" s="10">
        <v>16</v>
      </c>
      <c r="E748">
        <f t="shared" si="11"/>
        <v>2035</v>
      </c>
      <c r="F748" s="18">
        <v>1</v>
      </c>
    </row>
    <row r="749" spans="1:6" x14ac:dyDescent="0.35">
      <c r="A749" s="11">
        <v>49388</v>
      </c>
      <c r="B749" s="12" t="s">
        <v>12</v>
      </c>
      <c r="C749" s="13">
        <v>23.9</v>
      </c>
      <c r="D749" s="14">
        <v>0</v>
      </c>
      <c r="E749">
        <f t="shared" si="11"/>
        <v>2035</v>
      </c>
      <c r="F749" s="18">
        <v>1</v>
      </c>
    </row>
    <row r="750" spans="1:6" x14ac:dyDescent="0.35">
      <c r="A750" s="7">
        <v>49389</v>
      </c>
      <c r="B750" s="8" t="s">
        <v>29</v>
      </c>
      <c r="C750" s="9">
        <v>15.3</v>
      </c>
      <c r="D750" s="10">
        <v>0.1</v>
      </c>
      <c r="E750">
        <f t="shared" si="11"/>
        <v>2035</v>
      </c>
      <c r="F750" s="18">
        <v>1</v>
      </c>
    </row>
    <row r="751" spans="1:6" x14ac:dyDescent="0.35">
      <c r="A751" s="11">
        <v>49390</v>
      </c>
      <c r="B751" s="12" t="s">
        <v>14</v>
      </c>
      <c r="C751" s="13">
        <v>16.600000000000001</v>
      </c>
      <c r="D751" s="14">
        <v>0</v>
      </c>
      <c r="E751">
        <f t="shared" si="11"/>
        <v>2035</v>
      </c>
      <c r="F751" s="18">
        <v>1</v>
      </c>
    </row>
    <row r="752" spans="1:6" x14ac:dyDescent="0.35">
      <c r="A752" s="7">
        <v>49391</v>
      </c>
      <c r="B752" s="8" t="s">
        <v>27</v>
      </c>
      <c r="C752" s="9">
        <v>20.8</v>
      </c>
      <c r="D752" s="10">
        <v>2</v>
      </c>
      <c r="E752">
        <f t="shared" si="11"/>
        <v>2035</v>
      </c>
      <c r="F752" s="18">
        <v>1</v>
      </c>
    </row>
    <row r="753" spans="1:6" x14ac:dyDescent="0.35">
      <c r="A753" s="11">
        <v>49392</v>
      </c>
      <c r="B753" s="12" t="s">
        <v>11</v>
      </c>
      <c r="C753" s="13">
        <v>10.8</v>
      </c>
      <c r="D753" s="14">
        <v>12.3</v>
      </c>
      <c r="E753">
        <f t="shared" si="11"/>
        <v>2035</v>
      </c>
      <c r="F753" s="18">
        <v>1</v>
      </c>
    </row>
    <row r="754" spans="1:6" x14ac:dyDescent="0.35">
      <c r="A754" s="7">
        <v>49393</v>
      </c>
      <c r="B754" s="8" t="s">
        <v>11</v>
      </c>
      <c r="C754" s="9">
        <v>12.5</v>
      </c>
      <c r="D754" s="10">
        <v>18.399999999999999</v>
      </c>
      <c r="E754">
        <f t="shared" si="11"/>
        <v>2035</v>
      </c>
      <c r="F754" s="18">
        <v>1</v>
      </c>
    </row>
    <row r="755" spans="1:6" x14ac:dyDescent="0.35">
      <c r="A755" s="11">
        <v>49394</v>
      </c>
      <c r="B755" s="12" t="s">
        <v>9</v>
      </c>
      <c r="C755" s="13">
        <v>24</v>
      </c>
      <c r="D755" s="14">
        <v>4.9000000000000004</v>
      </c>
      <c r="E755">
        <f t="shared" si="11"/>
        <v>2035</v>
      </c>
      <c r="F755" s="18">
        <v>1</v>
      </c>
    </row>
    <row r="756" spans="1:6" x14ac:dyDescent="0.35">
      <c r="A756" s="7">
        <v>49395</v>
      </c>
      <c r="B756" s="8" t="s">
        <v>10</v>
      </c>
      <c r="C756" s="9">
        <v>21.4</v>
      </c>
      <c r="D756" s="10">
        <v>11.1</v>
      </c>
      <c r="E756">
        <f t="shared" si="11"/>
        <v>2035</v>
      </c>
      <c r="F756" s="18">
        <v>1</v>
      </c>
    </row>
    <row r="757" spans="1:6" x14ac:dyDescent="0.35">
      <c r="A757" s="11">
        <v>49396</v>
      </c>
      <c r="B757" s="12" t="s">
        <v>22</v>
      </c>
      <c r="C757" s="13">
        <v>18.3</v>
      </c>
      <c r="D757" s="14">
        <v>0</v>
      </c>
      <c r="E757">
        <f t="shared" si="11"/>
        <v>2035</v>
      </c>
      <c r="F757" s="18">
        <v>1</v>
      </c>
    </row>
    <row r="758" spans="1:6" x14ac:dyDescent="0.35">
      <c r="A758" s="7">
        <v>49397</v>
      </c>
      <c r="B758" s="8" t="s">
        <v>15</v>
      </c>
      <c r="C758" s="9">
        <v>10.5</v>
      </c>
      <c r="D758" s="10">
        <v>3.9</v>
      </c>
      <c r="E758">
        <f t="shared" si="11"/>
        <v>2035</v>
      </c>
      <c r="F758" s="18">
        <v>1</v>
      </c>
    </row>
    <row r="759" spans="1:6" x14ac:dyDescent="0.35">
      <c r="A759" s="11">
        <v>49398</v>
      </c>
      <c r="B759" s="12" t="s">
        <v>10</v>
      </c>
      <c r="C759" s="13">
        <v>11.7</v>
      </c>
      <c r="D759" s="14">
        <v>0</v>
      </c>
      <c r="E759">
        <f t="shared" si="11"/>
        <v>2035</v>
      </c>
      <c r="F759" s="18">
        <v>1</v>
      </c>
    </row>
    <row r="760" spans="1:6" x14ac:dyDescent="0.35">
      <c r="A760" s="7">
        <v>49399</v>
      </c>
      <c r="B760" s="8" t="s">
        <v>7</v>
      </c>
      <c r="C760" s="9">
        <v>26.8</v>
      </c>
      <c r="D760" s="10">
        <v>0</v>
      </c>
      <c r="E760">
        <f t="shared" si="11"/>
        <v>2035</v>
      </c>
      <c r="F760" s="18">
        <v>1</v>
      </c>
    </row>
    <row r="761" spans="1:6" x14ac:dyDescent="0.35">
      <c r="A761" s="11">
        <v>49400</v>
      </c>
      <c r="B761" s="12" t="s">
        <v>10</v>
      </c>
      <c r="C761" s="13">
        <v>22.1</v>
      </c>
      <c r="D761" s="14">
        <v>33.799999999999997</v>
      </c>
      <c r="E761">
        <f t="shared" si="11"/>
        <v>2035</v>
      </c>
      <c r="F761" s="18">
        <v>1</v>
      </c>
    </row>
    <row r="762" spans="1:6" x14ac:dyDescent="0.35">
      <c r="A762" s="7">
        <v>49401</v>
      </c>
      <c r="B762" s="8" t="s">
        <v>32</v>
      </c>
      <c r="C762" s="9">
        <v>17.100000000000001</v>
      </c>
      <c r="D762" s="10">
        <v>0</v>
      </c>
      <c r="E762">
        <f t="shared" si="11"/>
        <v>2035</v>
      </c>
      <c r="F762" s="18">
        <v>1</v>
      </c>
    </row>
    <row r="763" spans="1:6" x14ac:dyDescent="0.35">
      <c r="A763" s="11">
        <v>49402</v>
      </c>
      <c r="B763" s="12" t="s">
        <v>13</v>
      </c>
      <c r="C763" s="13">
        <v>12.1</v>
      </c>
      <c r="D763" s="14">
        <v>14.4</v>
      </c>
      <c r="E763">
        <f t="shared" si="11"/>
        <v>2035</v>
      </c>
      <c r="F763" s="18">
        <v>1</v>
      </c>
    </row>
    <row r="764" spans="1:6" x14ac:dyDescent="0.35">
      <c r="A764" s="7">
        <v>49403</v>
      </c>
      <c r="B764" s="8" t="s">
        <v>19</v>
      </c>
      <c r="C764" s="9">
        <v>28.6</v>
      </c>
      <c r="D764" s="10">
        <v>23.2</v>
      </c>
      <c r="E764">
        <f t="shared" si="11"/>
        <v>2035</v>
      </c>
      <c r="F764" s="18">
        <v>1</v>
      </c>
    </row>
    <row r="765" spans="1:6" x14ac:dyDescent="0.35">
      <c r="A765" s="11">
        <v>49404</v>
      </c>
      <c r="B765" s="12" t="s">
        <v>6</v>
      </c>
      <c r="C765" s="13">
        <v>21.2</v>
      </c>
      <c r="D765" s="14">
        <v>1.5</v>
      </c>
      <c r="E765">
        <f t="shared" si="11"/>
        <v>2035</v>
      </c>
      <c r="F765" s="18">
        <v>1</v>
      </c>
    </row>
    <row r="766" spans="1:6" x14ac:dyDescent="0.35">
      <c r="A766" s="7">
        <v>49405</v>
      </c>
      <c r="B766" s="8" t="s">
        <v>9</v>
      </c>
      <c r="C766" s="9">
        <v>17.2</v>
      </c>
      <c r="D766" s="10">
        <v>2.4</v>
      </c>
      <c r="E766">
        <f t="shared" si="11"/>
        <v>2035</v>
      </c>
      <c r="F766" s="18">
        <v>1</v>
      </c>
    </row>
    <row r="767" spans="1:6" x14ac:dyDescent="0.35">
      <c r="A767" s="11">
        <v>49406</v>
      </c>
      <c r="B767" s="12" t="s">
        <v>10</v>
      </c>
      <c r="C767" s="13">
        <v>22.3</v>
      </c>
      <c r="D767" s="14">
        <v>0</v>
      </c>
      <c r="E767">
        <f t="shared" si="11"/>
        <v>2035</v>
      </c>
      <c r="F767" s="18">
        <v>1</v>
      </c>
    </row>
    <row r="768" spans="1:6" x14ac:dyDescent="0.35">
      <c r="A768" s="7">
        <v>49407</v>
      </c>
      <c r="B768" s="8" t="s">
        <v>15</v>
      </c>
      <c r="C768" s="9">
        <v>13.2</v>
      </c>
      <c r="D768" s="10">
        <v>3.6</v>
      </c>
      <c r="E768">
        <f t="shared" si="11"/>
        <v>2035</v>
      </c>
      <c r="F768" s="18">
        <v>1</v>
      </c>
    </row>
    <row r="769" spans="1:6" x14ac:dyDescent="0.35">
      <c r="A769" s="11">
        <v>49408</v>
      </c>
      <c r="B769" s="12" t="s">
        <v>18</v>
      </c>
      <c r="C769" s="13">
        <v>13.6</v>
      </c>
      <c r="D769" s="14">
        <v>13.4</v>
      </c>
      <c r="E769">
        <f t="shared" si="11"/>
        <v>2035</v>
      </c>
      <c r="F769" s="18">
        <v>1</v>
      </c>
    </row>
    <row r="770" spans="1:6" x14ac:dyDescent="0.35">
      <c r="A770" s="7">
        <v>49409</v>
      </c>
      <c r="B770" s="8" t="s">
        <v>12</v>
      </c>
      <c r="C770" s="9">
        <v>15.7</v>
      </c>
      <c r="D770" s="10">
        <v>0</v>
      </c>
      <c r="E770">
        <f t="shared" si="11"/>
        <v>2035</v>
      </c>
      <c r="F770" s="18">
        <v>1</v>
      </c>
    </row>
    <row r="771" spans="1:6" x14ac:dyDescent="0.35">
      <c r="A771" s="11">
        <v>49410</v>
      </c>
      <c r="B771" s="12" t="s">
        <v>9</v>
      </c>
      <c r="C771" s="13">
        <v>24.8</v>
      </c>
      <c r="D771" s="14">
        <v>0</v>
      </c>
      <c r="E771">
        <f t="shared" ref="E771:E834" si="12">YEAR(A771)</f>
        <v>2035</v>
      </c>
      <c r="F771" s="18">
        <v>1</v>
      </c>
    </row>
    <row r="772" spans="1:6" x14ac:dyDescent="0.35">
      <c r="A772" s="7">
        <v>49411</v>
      </c>
      <c r="B772" s="8" t="s">
        <v>10</v>
      </c>
      <c r="C772" s="9">
        <v>25.1</v>
      </c>
      <c r="D772" s="10">
        <v>5.0999999999999996</v>
      </c>
      <c r="E772">
        <f t="shared" si="12"/>
        <v>2035</v>
      </c>
      <c r="F772" s="18">
        <v>1</v>
      </c>
    </row>
    <row r="773" spans="1:6" x14ac:dyDescent="0.35">
      <c r="A773" s="11">
        <v>49412</v>
      </c>
      <c r="B773" s="12" t="s">
        <v>19</v>
      </c>
      <c r="C773" s="13">
        <v>14.2</v>
      </c>
      <c r="D773" s="14">
        <v>23.5</v>
      </c>
      <c r="E773">
        <f t="shared" si="12"/>
        <v>2035</v>
      </c>
      <c r="F773" s="18">
        <v>1</v>
      </c>
    </row>
    <row r="774" spans="1:6" x14ac:dyDescent="0.35">
      <c r="A774" s="7">
        <v>49413</v>
      </c>
      <c r="B774" s="8" t="s">
        <v>14</v>
      </c>
      <c r="C774" s="9">
        <v>21.1</v>
      </c>
      <c r="D774" s="10">
        <v>1.4</v>
      </c>
      <c r="E774">
        <f t="shared" si="12"/>
        <v>2035</v>
      </c>
      <c r="F774" s="18">
        <v>1</v>
      </c>
    </row>
    <row r="775" spans="1:6" x14ac:dyDescent="0.35">
      <c r="A775" s="11">
        <v>49414</v>
      </c>
      <c r="B775" s="12" t="s">
        <v>10</v>
      </c>
      <c r="C775" s="13">
        <v>25.4</v>
      </c>
      <c r="D775" s="14">
        <v>28</v>
      </c>
      <c r="E775">
        <f t="shared" si="12"/>
        <v>2035</v>
      </c>
      <c r="F775" s="18">
        <v>1</v>
      </c>
    </row>
    <row r="776" spans="1:6" x14ac:dyDescent="0.35">
      <c r="A776" s="7">
        <v>49415</v>
      </c>
      <c r="B776" s="8" t="s">
        <v>10</v>
      </c>
      <c r="C776" s="9">
        <v>24.7</v>
      </c>
      <c r="D776" s="10">
        <v>5.7</v>
      </c>
      <c r="E776">
        <f t="shared" si="12"/>
        <v>2035</v>
      </c>
      <c r="F776" s="18">
        <v>1</v>
      </c>
    </row>
    <row r="777" spans="1:6" x14ac:dyDescent="0.35">
      <c r="A777" s="11">
        <v>49416</v>
      </c>
      <c r="B777" s="12" t="s">
        <v>13</v>
      </c>
      <c r="C777" s="13">
        <v>19.8</v>
      </c>
      <c r="D777" s="14">
        <v>0</v>
      </c>
      <c r="E777">
        <f t="shared" si="12"/>
        <v>2035</v>
      </c>
      <c r="F777" s="18">
        <v>1</v>
      </c>
    </row>
    <row r="778" spans="1:6" x14ac:dyDescent="0.35">
      <c r="A778" s="7">
        <v>49417</v>
      </c>
      <c r="B778" s="8" t="s">
        <v>27</v>
      </c>
      <c r="C778" s="9">
        <v>28.4</v>
      </c>
      <c r="D778" s="10">
        <v>2.9</v>
      </c>
      <c r="E778">
        <f t="shared" si="12"/>
        <v>2035</v>
      </c>
      <c r="F778" s="18">
        <v>1</v>
      </c>
    </row>
    <row r="779" spans="1:6" x14ac:dyDescent="0.35">
      <c r="A779" s="11">
        <v>49418</v>
      </c>
      <c r="B779" s="12" t="s">
        <v>11</v>
      </c>
      <c r="C779" s="13">
        <v>26.5</v>
      </c>
      <c r="D779" s="14">
        <v>0</v>
      </c>
      <c r="E779">
        <f t="shared" si="12"/>
        <v>2035</v>
      </c>
      <c r="F779" s="18">
        <v>1</v>
      </c>
    </row>
    <row r="780" spans="1:6" x14ac:dyDescent="0.35">
      <c r="A780" s="7">
        <v>49419</v>
      </c>
      <c r="B780" s="8" t="s">
        <v>10</v>
      </c>
      <c r="C780" s="9">
        <v>14.1</v>
      </c>
      <c r="D780" s="10">
        <v>13.1</v>
      </c>
      <c r="E780">
        <f t="shared" si="12"/>
        <v>2035</v>
      </c>
      <c r="F780" s="18">
        <v>1</v>
      </c>
    </row>
    <row r="781" spans="1:6" x14ac:dyDescent="0.35">
      <c r="A781" s="11">
        <v>49420</v>
      </c>
      <c r="B781" s="12" t="s">
        <v>28</v>
      </c>
      <c r="C781" s="13">
        <v>15.9</v>
      </c>
      <c r="D781" s="14">
        <v>0.5</v>
      </c>
      <c r="E781">
        <f t="shared" si="12"/>
        <v>2035</v>
      </c>
      <c r="F781" s="18">
        <v>1</v>
      </c>
    </row>
    <row r="782" spans="1:6" x14ac:dyDescent="0.35">
      <c r="A782" s="7">
        <v>49421</v>
      </c>
      <c r="B782" s="8" t="s">
        <v>19</v>
      </c>
      <c r="C782" s="9">
        <v>28.2</v>
      </c>
      <c r="D782" s="10">
        <v>26.9</v>
      </c>
      <c r="E782">
        <f t="shared" si="12"/>
        <v>2035</v>
      </c>
      <c r="F782" s="18">
        <v>1</v>
      </c>
    </row>
    <row r="783" spans="1:6" x14ac:dyDescent="0.35">
      <c r="A783" s="11">
        <v>49422</v>
      </c>
      <c r="B783" s="12" t="s">
        <v>28</v>
      </c>
      <c r="C783" s="13">
        <v>17.100000000000001</v>
      </c>
      <c r="D783" s="14">
        <v>0.5</v>
      </c>
      <c r="E783">
        <f t="shared" si="12"/>
        <v>2035</v>
      </c>
      <c r="F783" s="18">
        <v>1</v>
      </c>
    </row>
    <row r="784" spans="1:6" x14ac:dyDescent="0.35">
      <c r="A784" s="7">
        <v>49423</v>
      </c>
      <c r="B784" s="8" t="s">
        <v>19</v>
      </c>
      <c r="C784" s="9">
        <v>27</v>
      </c>
      <c r="D784" s="10">
        <v>0</v>
      </c>
      <c r="E784">
        <f t="shared" si="12"/>
        <v>2035</v>
      </c>
      <c r="F784" s="18">
        <v>1</v>
      </c>
    </row>
    <row r="785" spans="1:6" x14ac:dyDescent="0.35">
      <c r="A785" s="11">
        <v>49424</v>
      </c>
      <c r="B785" s="12" t="s">
        <v>18</v>
      </c>
      <c r="C785" s="13">
        <v>24.1</v>
      </c>
      <c r="D785" s="14">
        <v>0</v>
      </c>
      <c r="E785">
        <f t="shared" si="12"/>
        <v>2035</v>
      </c>
      <c r="F785" s="18">
        <v>1</v>
      </c>
    </row>
    <row r="786" spans="1:6" x14ac:dyDescent="0.35">
      <c r="A786" s="7">
        <v>49425</v>
      </c>
      <c r="B786" s="8" t="s">
        <v>12</v>
      </c>
      <c r="C786" s="9">
        <v>10.4</v>
      </c>
      <c r="D786" s="10">
        <v>7.2</v>
      </c>
      <c r="E786">
        <f t="shared" si="12"/>
        <v>2035</v>
      </c>
      <c r="F786" s="18">
        <v>1</v>
      </c>
    </row>
    <row r="787" spans="1:6" x14ac:dyDescent="0.35">
      <c r="A787" s="11">
        <v>49426</v>
      </c>
      <c r="B787" s="12" t="s">
        <v>13</v>
      </c>
      <c r="C787" s="13">
        <v>27.2</v>
      </c>
      <c r="D787" s="14">
        <v>15.1</v>
      </c>
      <c r="E787">
        <f t="shared" si="12"/>
        <v>2035</v>
      </c>
      <c r="F787" s="18">
        <v>1</v>
      </c>
    </row>
    <row r="788" spans="1:6" x14ac:dyDescent="0.35">
      <c r="A788" s="7">
        <v>49427</v>
      </c>
      <c r="B788" s="8" t="s">
        <v>22</v>
      </c>
      <c r="C788" s="9">
        <v>22.1</v>
      </c>
      <c r="D788" s="10">
        <v>0</v>
      </c>
      <c r="E788">
        <f t="shared" si="12"/>
        <v>2035</v>
      </c>
      <c r="F788" s="18">
        <v>1</v>
      </c>
    </row>
    <row r="789" spans="1:6" x14ac:dyDescent="0.35">
      <c r="A789" s="11">
        <v>49428</v>
      </c>
      <c r="B789" s="12" t="s">
        <v>14</v>
      </c>
      <c r="C789" s="13">
        <v>13.3</v>
      </c>
      <c r="D789" s="14">
        <v>8.5</v>
      </c>
      <c r="E789">
        <f t="shared" si="12"/>
        <v>2035</v>
      </c>
      <c r="F789" s="18">
        <v>1</v>
      </c>
    </row>
    <row r="790" spans="1:6" x14ac:dyDescent="0.35">
      <c r="A790" s="7">
        <v>49429</v>
      </c>
      <c r="B790" s="8" t="s">
        <v>12</v>
      </c>
      <c r="C790" s="9">
        <v>26.4</v>
      </c>
      <c r="D790" s="10">
        <v>0</v>
      </c>
      <c r="E790">
        <f t="shared" si="12"/>
        <v>2035</v>
      </c>
      <c r="F790" s="18">
        <v>1</v>
      </c>
    </row>
    <row r="791" spans="1:6" x14ac:dyDescent="0.35">
      <c r="A791" s="11">
        <v>49430</v>
      </c>
      <c r="B791" s="12" t="s">
        <v>25</v>
      </c>
      <c r="C791" s="13">
        <v>25.8</v>
      </c>
      <c r="D791" s="14">
        <v>2.9</v>
      </c>
      <c r="E791">
        <f t="shared" si="12"/>
        <v>2035</v>
      </c>
      <c r="F791" s="18">
        <v>1</v>
      </c>
    </row>
    <row r="792" spans="1:6" x14ac:dyDescent="0.35">
      <c r="A792" s="7">
        <v>49431</v>
      </c>
      <c r="B792" s="8" t="s">
        <v>15</v>
      </c>
      <c r="C792" s="9">
        <v>23</v>
      </c>
      <c r="D792" s="10">
        <v>3.8</v>
      </c>
      <c r="E792">
        <f t="shared" si="12"/>
        <v>2035</v>
      </c>
      <c r="F792" s="18">
        <v>1</v>
      </c>
    </row>
    <row r="793" spans="1:6" x14ac:dyDescent="0.35">
      <c r="A793" s="11">
        <v>49432</v>
      </c>
      <c r="B793" s="12" t="s">
        <v>13</v>
      </c>
      <c r="C793" s="13">
        <v>22.7</v>
      </c>
      <c r="D793" s="14">
        <v>0</v>
      </c>
      <c r="E793">
        <f t="shared" si="12"/>
        <v>2035</v>
      </c>
      <c r="F793" s="18">
        <v>1</v>
      </c>
    </row>
    <row r="794" spans="1:6" x14ac:dyDescent="0.35">
      <c r="A794" s="7">
        <v>49433</v>
      </c>
      <c r="B794" s="8" t="s">
        <v>26</v>
      </c>
      <c r="C794" s="9">
        <v>26.2</v>
      </c>
      <c r="D794" s="10">
        <v>5.0999999999999996</v>
      </c>
      <c r="E794">
        <f t="shared" si="12"/>
        <v>2035</v>
      </c>
      <c r="F794" s="18">
        <v>1</v>
      </c>
    </row>
    <row r="795" spans="1:6" x14ac:dyDescent="0.35">
      <c r="A795" s="11">
        <v>49434</v>
      </c>
      <c r="B795" s="12" t="s">
        <v>14</v>
      </c>
      <c r="C795" s="13">
        <v>16.600000000000001</v>
      </c>
      <c r="D795" s="14">
        <v>0</v>
      </c>
      <c r="E795">
        <f t="shared" si="12"/>
        <v>2035</v>
      </c>
      <c r="F795" s="18">
        <v>1</v>
      </c>
    </row>
    <row r="796" spans="1:6" x14ac:dyDescent="0.35">
      <c r="A796" s="7">
        <v>49435</v>
      </c>
      <c r="B796" s="8" t="s">
        <v>23</v>
      </c>
      <c r="C796" s="9">
        <v>23.9</v>
      </c>
      <c r="D796" s="10">
        <v>0</v>
      </c>
      <c r="E796">
        <f t="shared" si="12"/>
        <v>2035</v>
      </c>
      <c r="F796" s="18">
        <v>1</v>
      </c>
    </row>
    <row r="797" spans="1:6" x14ac:dyDescent="0.35">
      <c r="A797" s="11">
        <v>49436</v>
      </c>
      <c r="B797" s="12" t="s">
        <v>7</v>
      </c>
      <c r="C797" s="13">
        <v>10.6</v>
      </c>
      <c r="D797" s="14">
        <v>21.3</v>
      </c>
      <c r="E797">
        <f t="shared" si="12"/>
        <v>2035</v>
      </c>
      <c r="F797" s="18">
        <v>1</v>
      </c>
    </row>
    <row r="798" spans="1:6" x14ac:dyDescent="0.35">
      <c r="A798" s="7">
        <v>49437</v>
      </c>
      <c r="B798" s="8" t="s">
        <v>10</v>
      </c>
      <c r="C798" s="9">
        <v>22.8</v>
      </c>
      <c r="D798" s="10">
        <v>24.6</v>
      </c>
      <c r="E798">
        <f t="shared" si="12"/>
        <v>2035</v>
      </c>
      <c r="F798" s="18">
        <v>1</v>
      </c>
    </row>
    <row r="799" spans="1:6" x14ac:dyDescent="0.35">
      <c r="A799" s="11">
        <v>49438</v>
      </c>
      <c r="B799" s="12" t="s">
        <v>5</v>
      </c>
      <c r="C799" s="13">
        <v>26.8</v>
      </c>
      <c r="D799" s="14">
        <v>7.5</v>
      </c>
      <c r="E799">
        <f t="shared" si="12"/>
        <v>2035</v>
      </c>
      <c r="F799" s="18">
        <v>1</v>
      </c>
    </row>
    <row r="800" spans="1:6" x14ac:dyDescent="0.35">
      <c r="A800" s="7">
        <v>49439</v>
      </c>
      <c r="B800" s="8" t="s">
        <v>19</v>
      </c>
      <c r="C800" s="9">
        <v>21.3</v>
      </c>
      <c r="D800" s="10">
        <v>37.700000000000003</v>
      </c>
      <c r="E800">
        <f t="shared" si="12"/>
        <v>2035</v>
      </c>
      <c r="F800" s="18">
        <v>1</v>
      </c>
    </row>
    <row r="801" spans="1:6" x14ac:dyDescent="0.35">
      <c r="A801" s="11">
        <v>49440</v>
      </c>
      <c r="B801" s="12" t="s">
        <v>12</v>
      </c>
      <c r="C801" s="13">
        <v>20.3</v>
      </c>
      <c r="D801" s="14">
        <v>11</v>
      </c>
      <c r="E801">
        <f t="shared" si="12"/>
        <v>2035</v>
      </c>
      <c r="F801" s="18">
        <v>1</v>
      </c>
    </row>
    <row r="802" spans="1:6" x14ac:dyDescent="0.35">
      <c r="A802" s="7">
        <v>49441</v>
      </c>
      <c r="B802" s="8" t="s">
        <v>19</v>
      </c>
      <c r="C802" s="9">
        <v>25.6</v>
      </c>
      <c r="D802" s="10">
        <v>20.100000000000001</v>
      </c>
      <c r="E802">
        <f t="shared" si="12"/>
        <v>2035</v>
      </c>
      <c r="F802" s="18">
        <v>1</v>
      </c>
    </row>
    <row r="803" spans="1:6" x14ac:dyDescent="0.35">
      <c r="A803" s="11">
        <v>49442</v>
      </c>
      <c r="B803" s="12" t="s">
        <v>13</v>
      </c>
      <c r="C803" s="13">
        <v>25.1</v>
      </c>
      <c r="D803" s="14">
        <v>14.7</v>
      </c>
      <c r="E803">
        <f t="shared" si="12"/>
        <v>2035</v>
      </c>
      <c r="F803" s="18">
        <v>1</v>
      </c>
    </row>
    <row r="804" spans="1:6" x14ac:dyDescent="0.35">
      <c r="A804" s="7">
        <v>49443</v>
      </c>
      <c r="B804" s="8" t="s">
        <v>7</v>
      </c>
      <c r="C804" s="9">
        <v>24.3</v>
      </c>
      <c r="D804" s="10">
        <v>24.3</v>
      </c>
      <c r="E804">
        <f t="shared" si="12"/>
        <v>2035</v>
      </c>
      <c r="F804" s="18">
        <v>1</v>
      </c>
    </row>
    <row r="805" spans="1:6" x14ac:dyDescent="0.35">
      <c r="A805" s="11">
        <v>49444</v>
      </c>
      <c r="B805" s="12" t="s">
        <v>14</v>
      </c>
      <c r="C805" s="13">
        <v>12.9</v>
      </c>
      <c r="D805" s="14">
        <v>2.7</v>
      </c>
      <c r="E805">
        <f t="shared" si="12"/>
        <v>2035</v>
      </c>
      <c r="F805" s="18">
        <v>1</v>
      </c>
    </row>
    <row r="806" spans="1:6" x14ac:dyDescent="0.35">
      <c r="A806" s="7">
        <v>49445</v>
      </c>
      <c r="B806" s="8" t="s">
        <v>19</v>
      </c>
      <c r="C806" s="9">
        <v>16.7</v>
      </c>
      <c r="D806" s="10">
        <v>27.7</v>
      </c>
      <c r="E806">
        <f t="shared" si="12"/>
        <v>2035</v>
      </c>
      <c r="F806" s="18">
        <v>1</v>
      </c>
    </row>
    <row r="807" spans="1:6" x14ac:dyDescent="0.35">
      <c r="A807" s="11">
        <v>49446</v>
      </c>
      <c r="B807" s="12" t="s">
        <v>10</v>
      </c>
      <c r="C807" s="13">
        <v>16.2</v>
      </c>
      <c r="D807" s="14">
        <v>20.5</v>
      </c>
      <c r="E807">
        <f t="shared" si="12"/>
        <v>2035</v>
      </c>
      <c r="F807" s="18">
        <v>1</v>
      </c>
    </row>
    <row r="808" spans="1:6" x14ac:dyDescent="0.35">
      <c r="A808" s="7">
        <v>49447</v>
      </c>
      <c r="B808" s="8" t="s">
        <v>12</v>
      </c>
      <c r="C808" s="9">
        <v>19.5</v>
      </c>
      <c r="D808" s="10">
        <v>5.0999999999999996</v>
      </c>
      <c r="E808">
        <f t="shared" si="12"/>
        <v>2035</v>
      </c>
      <c r="F808" s="18">
        <v>1</v>
      </c>
    </row>
    <row r="809" spans="1:6" x14ac:dyDescent="0.35">
      <c r="A809" s="11">
        <v>49448</v>
      </c>
      <c r="B809" s="12" t="s">
        <v>10</v>
      </c>
      <c r="C809" s="13">
        <v>22.9</v>
      </c>
      <c r="D809" s="14">
        <v>6.6</v>
      </c>
      <c r="E809">
        <f t="shared" si="12"/>
        <v>2035</v>
      </c>
      <c r="F809" s="18">
        <v>1</v>
      </c>
    </row>
    <row r="810" spans="1:6" x14ac:dyDescent="0.35">
      <c r="A810" s="7">
        <v>49449</v>
      </c>
      <c r="B810" s="8" t="s">
        <v>19</v>
      </c>
      <c r="C810" s="9">
        <v>25.9</v>
      </c>
      <c r="D810" s="10">
        <v>4.4000000000000004</v>
      </c>
      <c r="E810">
        <f t="shared" si="12"/>
        <v>2035</v>
      </c>
      <c r="F810" s="18">
        <v>1</v>
      </c>
    </row>
    <row r="811" spans="1:6" x14ac:dyDescent="0.35">
      <c r="A811" s="11">
        <v>49450</v>
      </c>
      <c r="B811" s="12" t="s">
        <v>18</v>
      </c>
      <c r="C811" s="13">
        <v>20.3</v>
      </c>
      <c r="D811" s="14">
        <v>4.5999999999999996</v>
      </c>
      <c r="E811">
        <f t="shared" si="12"/>
        <v>2035</v>
      </c>
      <c r="F811" s="18">
        <v>1</v>
      </c>
    </row>
    <row r="812" spans="1:6" x14ac:dyDescent="0.35">
      <c r="A812" s="7">
        <v>49451</v>
      </c>
      <c r="B812" s="8" t="s">
        <v>28</v>
      </c>
      <c r="C812" s="9">
        <v>11.3</v>
      </c>
      <c r="D812" s="10">
        <v>0.3</v>
      </c>
      <c r="E812">
        <f t="shared" si="12"/>
        <v>2035</v>
      </c>
      <c r="F812" s="18">
        <v>1</v>
      </c>
    </row>
    <row r="813" spans="1:6" x14ac:dyDescent="0.35">
      <c r="A813" s="11">
        <v>49452</v>
      </c>
      <c r="B813" s="12" t="s">
        <v>10</v>
      </c>
      <c r="C813" s="13">
        <v>27.4</v>
      </c>
      <c r="D813" s="14">
        <v>29.9</v>
      </c>
      <c r="E813">
        <f t="shared" si="12"/>
        <v>2035</v>
      </c>
      <c r="F813" s="18">
        <v>1</v>
      </c>
    </row>
    <row r="814" spans="1:6" x14ac:dyDescent="0.35">
      <c r="A814" s="7">
        <v>49453</v>
      </c>
      <c r="B814" s="8" t="s">
        <v>19</v>
      </c>
      <c r="C814" s="9">
        <v>29.2</v>
      </c>
      <c r="D814" s="10">
        <v>0</v>
      </c>
      <c r="E814">
        <f t="shared" si="12"/>
        <v>2035</v>
      </c>
      <c r="F814" s="18">
        <v>1</v>
      </c>
    </row>
    <row r="815" spans="1:6" x14ac:dyDescent="0.35">
      <c r="A815" s="11">
        <v>49454</v>
      </c>
      <c r="B815" s="12" t="s">
        <v>4</v>
      </c>
      <c r="C815" s="13">
        <v>27.4</v>
      </c>
      <c r="D815" s="14">
        <v>0</v>
      </c>
      <c r="E815">
        <f t="shared" si="12"/>
        <v>2035</v>
      </c>
      <c r="F815" s="18">
        <v>1</v>
      </c>
    </row>
    <row r="816" spans="1:6" x14ac:dyDescent="0.35">
      <c r="A816" s="7">
        <v>49455</v>
      </c>
      <c r="B816" s="8" t="s">
        <v>19</v>
      </c>
      <c r="C816" s="9">
        <v>10.1</v>
      </c>
      <c r="D816" s="10">
        <v>8.1</v>
      </c>
      <c r="E816">
        <f t="shared" si="12"/>
        <v>2035</v>
      </c>
      <c r="F816" s="18">
        <v>1</v>
      </c>
    </row>
    <row r="817" spans="1:6" x14ac:dyDescent="0.35">
      <c r="A817" s="11">
        <v>49456</v>
      </c>
      <c r="B817" s="12" t="s">
        <v>5</v>
      </c>
      <c r="C817" s="13">
        <v>12.9</v>
      </c>
      <c r="D817" s="14">
        <v>5.9</v>
      </c>
      <c r="E817">
        <f t="shared" si="12"/>
        <v>2035</v>
      </c>
      <c r="F817" s="18">
        <v>1</v>
      </c>
    </row>
    <row r="818" spans="1:6" x14ac:dyDescent="0.35">
      <c r="A818" s="7">
        <v>49457</v>
      </c>
      <c r="B818" s="8" t="s">
        <v>14</v>
      </c>
      <c r="C818" s="9">
        <v>18.7</v>
      </c>
      <c r="D818" s="10">
        <v>0</v>
      </c>
      <c r="E818">
        <f t="shared" si="12"/>
        <v>2035</v>
      </c>
      <c r="F818" s="18">
        <v>1</v>
      </c>
    </row>
    <row r="819" spans="1:6" x14ac:dyDescent="0.35">
      <c r="A819" s="11">
        <v>49458</v>
      </c>
      <c r="B819" s="12" t="s">
        <v>32</v>
      </c>
      <c r="C819" s="13">
        <v>17.8</v>
      </c>
      <c r="D819" s="14">
        <v>0.3</v>
      </c>
      <c r="E819">
        <f t="shared" si="12"/>
        <v>2035</v>
      </c>
      <c r="F819" s="18">
        <v>1</v>
      </c>
    </row>
    <row r="820" spans="1:6" x14ac:dyDescent="0.35">
      <c r="A820" s="7">
        <v>49459</v>
      </c>
      <c r="B820" s="8" t="s">
        <v>10</v>
      </c>
      <c r="C820" s="9">
        <v>24.7</v>
      </c>
      <c r="D820" s="10">
        <v>42.9</v>
      </c>
      <c r="E820">
        <f t="shared" si="12"/>
        <v>2035</v>
      </c>
      <c r="F820" s="18">
        <v>1</v>
      </c>
    </row>
    <row r="821" spans="1:6" x14ac:dyDescent="0.35">
      <c r="A821" s="11">
        <v>49460</v>
      </c>
      <c r="B821" s="12" t="s">
        <v>10</v>
      </c>
      <c r="C821" s="13">
        <v>28.7</v>
      </c>
      <c r="D821" s="14">
        <v>33.799999999999997</v>
      </c>
      <c r="E821">
        <f t="shared" si="12"/>
        <v>2035</v>
      </c>
      <c r="F821" s="18">
        <v>1</v>
      </c>
    </row>
    <row r="822" spans="1:6" x14ac:dyDescent="0.35">
      <c r="A822" s="7">
        <v>49461</v>
      </c>
      <c r="B822" s="8" t="s">
        <v>18</v>
      </c>
      <c r="C822" s="9">
        <v>12.3</v>
      </c>
      <c r="D822" s="10">
        <v>1.7</v>
      </c>
      <c r="E822">
        <f t="shared" si="12"/>
        <v>2035</v>
      </c>
      <c r="F822" s="18">
        <v>1</v>
      </c>
    </row>
    <row r="823" spans="1:6" x14ac:dyDescent="0.35">
      <c r="A823" s="11">
        <v>49462</v>
      </c>
      <c r="B823" s="12" t="s">
        <v>19</v>
      </c>
      <c r="C823" s="13">
        <v>22.9</v>
      </c>
      <c r="D823" s="14">
        <v>0</v>
      </c>
      <c r="E823">
        <f t="shared" si="12"/>
        <v>2035</v>
      </c>
      <c r="F823" s="18">
        <v>1</v>
      </c>
    </row>
    <row r="824" spans="1:6" x14ac:dyDescent="0.35">
      <c r="A824" s="7">
        <v>49463</v>
      </c>
      <c r="B824" s="8" t="s">
        <v>17</v>
      </c>
      <c r="C824" s="9">
        <v>20</v>
      </c>
      <c r="D824" s="10">
        <v>3</v>
      </c>
      <c r="E824">
        <f t="shared" si="12"/>
        <v>2035</v>
      </c>
      <c r="F824" s="18">
        <v>1</v>
      </c>
    </row>
    <row r="825" spans="1:6" x14ac:dyDescent="0.35">
      <c r="A825" s="11">
        <v>49464</v>
      </c>
      <c r="B825" s="12" t="s">
        <v>10</v>
      </c>
      <c r="C825" s="13">
        <v>27.3</v>
      </c>
      <c r="D825" s="14">
        <v>0</v>
      </c>
      <c r="E825">
        <f t="shared" si="12"/>
        <v>2035</v>
      </c>
      <c r="F825" s="18">
        <v>1</v>
      </c>
    </row>
    <row r="826" spans="1:6" x14ac:dyDescent="0.35">
      <c r="A826" s="7">
        <v>49465</v>
      </c>
      <c r="B826" s="8" t="s">
        <v>13</v>
      </c>
      <c r="C826" s="9">
        <v>29.9</v>
      </c>
      <c r="D826" s="10">
        <v>7.7</v>
      </c>
      <c r="E826">
        <f t="shared" si="12"/>
        <v>2035</v>
      </c>
      <c r="F826" s="18">
        <v>1</v>
      </c>
    </row>
    <row r="827" spans="1:6" x14ac:dyDescent="0.35">
      <c r="A827" s="11">
        <v>49466</v>
      </c>
      <c r="B827" s="12" t="s">
        <v>12</v>
      </c>
      <c r="C827" s="13">
        <v>27.5</v>
      </c>
      <c r="D827" s="14">
        <v>2.7</v>
      </c>
      <c r="E827">
        <f t="shared" si="12"/>
        <v>2035</v>
      </c>
      <c r="F827" s="18">
        <v>1</v>
      </c>
    </row>
    <row r="828" spans="1:6" x14ac:dyDescent="0.35">
      <c r="A828" s="7">
        <v>49467</v>
      </c>
      <c r="B828" s="8" t="s">
        <v>18</v>
      </c>
      <c r="C828" s="9">
        <v>16.5</v>
      </c>
      <c r="D828" s="10">
        <v>13.3</v>
      </c>
      <c r="E828">
        <f t="shared" si="12"/>
        <v>2035</v>
      </c>
      <c r="F828" s="18">
        <v>1</v>
      </c>
    </row>
    <row r="829" spans="1:6" x14ac:dyDescent="0.35">
      <c r="A829" s="11">
        <v>49468</v>
      </c>
      <c r="B829" s="12" t="s">
        <v>5</v>
      </c>
      <c r="C829" s="13">
        <v>23.5</v>
      </c>
      <c r="D829" s="14">
        <v>5.9</v>
      </c>
      <c r="E829">
        <f t="shared" si="12"/>
        <v>2035</v>
      </c>
      <c r="F829" s="18">
        <v>1</v>
      </c>
    </row>
    <row r="830" spans="1:6" x14ac:dyDescent="0.35">
      <c r="A830" s="7">
        <v>49469</v>
      </c>
      <c r="B830" s="8" t="s">
        <v>5</v>
      </c>
      <c r="C830" s="9">
        <v>21.5</v>
      </c>
      <c r="D830" s="10">
        <v>4.0999999999999996</v>
      </c>
      <c r="E830">
        <f t="shared" si="12"/>
        <v>2035</v>
      </c>
      <c r="F830" s="18">
        <v>1</v>
      </c>
    </row>
    <row r="831" spans="1:6" x14ac:dyDescent="0.35">
      <c r="A831" s="11">
        <v>49470</v>
      </c>
      <c r="B831" s="12" t="s">
        <v>15</v>
      </c>
      <c r="C831" s="13">
        <v>10.3</v>
      </c>
      <c r="D831" s="14">
        <v>15.6</v>
      </c>
      <c r="E831">
        <f t="shared" si="12"/>
        <v>2035</v>
      </c>
      <c r="F831" s="18">
        <v>1</v>
      </c>
    </row>
    <row r="832" spans="1:6" x14ac:dyDescent="0.35">
      <c r="A832" s="7">
        <v>49471</v>
      </c>
      <c r="B832" s="8" t="s">
        <v>10</v>
      </c>
      <c r="C832" s="9">
        <v>15</v>
      </c>
      <c r="D832" s="10">
        <v>0</v>
      </c>
      <c r="E832">
        <f t="shared" si="12"/>
        <v>2035</v>
      </c>
      <c r="F832" s="18">
        <v>1</v>
      </c>
    </row>
    <row r="833" spans="1:6" x14ac:dyDescent="0.35">
      <c r="A833" s="11">
        <v>49472</v>
      </c>
      <c r="B833" s="12" t="s">
        <v>6</v>
      </c>
      <c r="C833" s="13">
        <v>23.3</v>
      </c>
      <c r="D833" s="14">
        <v>5.3</v>
      </c>
      <c r="E833">
        <f t="shared" si="12"/>
        <v>2035</v>
      </c>
      <c r="F833" s="18">
        <v>1</v>
      </c>
    </row>
    <row r="834" spans="1:6" x14ac:dyDescent="0.35">
      <c r="A834" s="7">
        <v>49473</v>
      </c>
      <c r="B834" s="8" t="s">
        <v>15</v>
      </c>
      <c r="C834" s="9">
        <v>10.5</v>
      </c>
      <c r="D834" s="10">
        <v>14.4</v>
      </c>
      <c r="E834">
        <f t="shared" si="12"/>
        <v>2035</v>
      </c>
      <c r="F834" s="18">
        <v>1</v>
      </c>
    </row>
    <row r="835" spans="1:6" x14ac:dyDescent="0.35">
      <c r="A835" s="11">
        <v>49474</v>
      </c>
      <c r="B835" s="12" t="s">
        <v>10</v>
      </c>
      <c r="C835" s="13">
        <v>18.5</v>
      </c>
      <c r="D835" s="14">
        <v>0</v>
      </c>
      <c r="E835">
        <f t="shared" ref="E835:E898" si="13">YEAR(A835)</f>
        <v>2035</v>
      </c>
      <c r="F835" s="18">
        <v>1</v>
      </c>
    </row>
    <row r="836" spans="1:6" x14ac:dyDescent="0.35">
      <c r="A836" s="7">
        <v>49475</v>
      </c>
      <c r="B836" s="8" t="s">
        <v>14</v>
      </c>
      <c r="C836" s="9">
        <v>20.2</v>
      </c>
      <c r="D836" s="10">
        <v>5.4</v>
      </c>
      <c r="E836">
        <f t="shared" si="13"/>
        <v>2035</v>
      </c>
      <c r="F836" s="18">
        <v>1</v>
      </c>
    </row>
    <row r="837" spans="1:6" x14ac:dyDescent="0.35">
      <c r="A837" s="11">
        <v>49476</v>
      </c>
      <c r="B837" s="12" t="s">
        <v>23</v>
      </c>
      <c r="C837" s="13">
        <v>29</v>
      </c>
      <c r="D837" s="14">
        <v>4.2</v>
      </c>
      <c r="E837">
        <f t="shared" si="13"/>
        <v>2035</v>
      </c>
      <c r="F837" s="18">
        <v>1</v>
      </c>
    </row>
    <row r="838" spans="1:6" x14ac:dyDescent="0.35">
      <c r="A838" s="7">
        <v>49477</v>
      </c>
      <c r="B838" s="8" t="s">
        <v>15</v>
      </c>
      <c r="C838" s="9">
        <v>12.1</v>
      </c>
      <c r="D838" s="10">
        <v>18.100000000000001</v>
      </c>
      <c r="E838">
        <f t="shared" si="13"/>
        <v>2035</v>
      </c>
      <c r="F838" s="18">
        <v>1</v>
      </c>
    </row>
    <row r="839" spans="1:6" x14ac:dyDescent="0.35">
      <c r="A839" s="11">
        <v>49478</v>
      </c>
      <c r="B839" s="12" t="s">
        <v>13</v>
      </c>
      <c r="C839" s="13">
        <v>14.1</v>
      </c>
      <c r="D839" s="14">
        <v>5.6</v>
      </c>
      <c r="E839">
        <f t="shared" si="13"/>
        <v>2035</v>
      </c>
      <c r="F839" s="18">
        <v>1</v>
      </c>
    </row>
    <row r="840" spans="1:6" x14ac:dyDescent="0.35">
      <c r="A840" s="7">
        <v>49479</v>
      </c>
      <c r="B840" s="8" t="s">
        <v>10</v>
      </c>
      <c r="C840" s="9">
        <v>19.5</v>
      </c>
      <c r="D840" s="10">
        <v>2.7</v>
      </c>
      <c r="E840">
        <f t="shared" si="13"/>
        <v>2035</v>
      </c>
      <c r="F840" s="18">
        <v>1</v>
      </c>
    </row>
    <row r="841" spans="1:6" x14ac:dyDescent="0.35">
      <c r="A841" s="11">
        <v>49480</v>
      </c>
      <c r="B841" s="12" t="s">
        <v>27</v>
      </c>
      <c r="C841" s="13">
        <v>28.7</v>
      </c>
      <c r="D841" s="14">
        <v>0.3</v>
      </c>
      <c r="E841">
        <f t="shared" si="13"/>
        <v>2035</v>
      </c>
      <c r="F841" s="18">
        <v>1</v>
      </c>
    </row>
    <row r="842" spans="1:6" x14ac:dyDescent="0.35">
      <c r="A842" s="7">
        <v>49481</v>
      </c>
      <c r="B842" s="8" t="s">
        <v>19</v>
      </c>
      <c r="C842" s="9">
        <v>20.3</v>
      </c>
      <c r="D842" s="10">
        <v>15</v>
      </c>
      <c r="E842">
        <f t="shared" si="13"/>
        <v>2035</v>
      </c>
      <c r="F842" s="18">
        <v>1</v>
      </c>
    </row>
    <row r="843" spans="1:6" x14ac:dyDescent="0.35">
      <c r="A843" s="11">
        <v>49482</v>
      </c>
      <c r="B843" s="12" t="s">
        <v>7</v>
      </c>
      <c r="C843" s="13">
        <v>25.9</v>
      </c>
      <c r="D843" s="14">
        <v>4.7</v>
      </c>
      <c r="E843">
        <f t="shared" si="13"/>
        <v>2035</v>
      </c>
      <c r="F843" s="18">
        <v>1</v>
      </c>
    </row>
    <row r="844" spans="1:6" x14ac:dyDescent="0.35">
      <c r="A844" s="7">
        <v>49483</v>
      </c>
      <c r="B844" s="8" t="s">
        <v>7</v>
      </c>
      <c r="C844" s="9">
        <v>25.3</v>
      </c>
      <c r="D844" s="10">
        <v>0</v>
      </c>
      <c r="E844">
        <f t="shared" si="13"/>
        <v>2035</v>
      </c>
      <c r="F844" s="18">
        <v>1</v>
      </c>
    </row>
    <row r="845" spans="1:6" x14ac:dyDescent="0.35">
      <c r="A845" s="11">
        <v>49484</v>
      </c>
      <c r="B845" s="12" t="s">
        <v>20</v>
      </c>
      <c r="C845" s="13">
        <v>22.8</v>
      </c>
      <c r="D845" s="14">
        <v>0.6</v>
      </c>
      <c r="E845">
        <f t="shared" si="13"/>
        <v>2035</v>
      </c>
      <c r="F845" s="18">
        <v>1</v>
      </c>
    </row>
    <row r="846" spans="1:6" x14ac:dyDescent="0.35">
      <c r="A846" s="7">
        <v>49485</v>
      </c>
      <c r="B846" s="8" t="s">
        <v>22</v>
      </c>
      <c r="C846" s="9">
        <v>28.4</v>
      </c>
      <c r="D846" s="10">
        <v>2.2999999999999998</v>
      </c>
      <c r="E846">
        <f t="shared" si="13"/>
        <v>2035</v>
      </c>
      <c r="F846" s="18">
        <v>1</v>
      </c>
    </row>
    <row r="847" spans="1:6" x14ac:dyDescent="0.35">
      <c r="A847" s="11">
        <v>49486</v>
      </c>
      <c r="B847" s="12" t="s">
        <v>22</v>
      </c>
      <c r="C847" s="13">
        <v>29.7</v>
      </c>
      <c r="D847" s="14">
        <v>0</v>
      </c>
      <c r="E847">
        <f t="shared" si="13"/>
        <v>2035</v>
      </c>
      <c r="F847" s="18">
        <v>1</v>
      </c>
    </row>
    <row r="848" spans="1:6" x14ac:dyDescent="0.35">
      <c r="A848" s="7">
        <v>49487</v>
      </c>
      <c r="B848" s="8" t="s">
        <v>15</v>
      </c>
      <c r="C848" s="9">
        <v>11.7</v>
      </c>
      <c r="D848" s="10">
        <v>6.4</v>
      </c>
      <c r="E848">
        <f t="shared" si="13"/>
        <v>2035</v>
      </c>
      <c r="F848" s="18">
        <v>1</v>
      </c>
    </row>
    <row r="849" spans="1:6" x14ac:dyDescent="0.35">
      <c r="A849" s="11">
        <v>49488</v>
      </c>
      <c r="B849" s="12" t="s">
        <v>22</v>
      </c>
      <c r="C849" s="13">
        <v>12.8</v>
      </c>
      <c r="D849" s="14">
        <v>6.9</v>
      </c>
      <c r="E849">
        <f t="shared" si="13"/>
        <v>2035</v>
      </c>
      <c r="F849" s="18">
        <v>1</v>
      </c>
    </row>
    <row r="850" spans="1:6" x14ac:dyDescent="0.35">
      <c r="A850" s="7">
        <v>49489</v>
      </c>
      <c r="B850" s="8" t="s">
        <v>10</v>
      </c>
      <c r="C850" s="9">
        <v>11</v>
      </c>
      <c r="D850" s="10">
        <v>0</v>
      </c>
      <c r="E850">
        <f t="shared" si="13"/>
        <v>2035</v>
      </c>
      <c r="F850" s="18">
        <v>1</v>
      </c>
    </row>
    <row r="851" spans="1:6" x14ac:dyDescent="0.35">
      <c r="A851" s="11">
        <v>49490</v>
      </c>
      <c r="B851" s="12" t="s">
        <v>33</v>
      </c>
      <c r="C851" s="13">
        <v>14.7</v>
      </c>
      <c r="D851" s="14">
        <v>0.5</v>
      </c>
      <c r="E851">
        <f t="shared" si="13"/>
        <v>2035</v>
      </c>
      <c r="F851" s="18">
        <v>1</v>
      </c>
    </row>
    <row r="852" spans="1:6" x14ac:dyDescent="0.35">
      <c r="A852" s="7">
        <v>49491</v>
      </c>
      <c r="B852" s="8" t="s">
        <v>26</v>
      </c>
      <c r="C852" s="9">
        <v>13.2</v>
      </c>
      <c r="D852" s="10">
        <v>2.5</v>
      </c>
      <c r="E852">
        <f t="shared" si="13"/>
        <v>2035</v>
      </c>
      <c r="F852" s="18">
        <v>1</v>
      </c>
    </row>
    <row r="853" spans="1:6" x14ac:dyDescent="0.35">
      <c r="A853" s="11">
        <v>49492</v>
      </c>
      <c r="B853" s="12" t="s">
        <v>26</v>
      </c>
      <c r="C853" s="13">
        <v>28</v>
      </c>
      <c r="D853" s="14">
        <v>3.8</v>
      </c>
      <c r="E853">
        <f t="shared" si="13"/>
        <v>2035</v>
      </c>
      <c r="F853" s="18">
        <v>1</v>
      </c>
    </row>
    <row r="854" spans="1:6" x14ac:dyDescent="0.35">
      <c r="A854" s="7">
        <v>49493</v>
      </c>
      <c r="B854" s="8" t="s">
        <v>11</v>
      </c>
      <c r="C854" s="9">
        <v>27.5</v>
      </c>
      <c r="D854" s="10">
        <v>10.3</v>
      </c>
      <c r="E854">
        <f t="shared" si="13"/>
        <v>2035</v>
      </c>
      <c r="F854" s="18">
        <v>1</v>
      </c>
    </row>
    <row r="855" spans="1:6" x14ac:dyDescent="0.35">
      <c r="A855" s="11">
        <v>49494</v>
      </c>
      <c r="B855" s="12" t="s">
        <v>26</v>
      </c>
      <c r="C855" s="13">
        <v>12.1</v>
      </c>
      <c r="D855" s="14">
        <v>4.7</v>
      </c>
      <c r="E855">
        <f t="shared" si="13"/>
        <v>2035</v>
      </c>
      <c r="F855" s="18">
        <v>1</v>
      </c>
    </row>
    <row r="856" spans="1:6" x14ac:dyDescent="0.35">
      <c r="A856" s="7">
        <v>49495</v>
      </c>
      <c r="B856" s="8" t="s">
        <v>15</v>
      </c>
      <c r="C856" s="9">
        <v>24.7</v>
      </c>
      <c r="D856" s="10">
        <v>7.2</v>
      </c>
      <c r="E856">
        <f t="shared" si="13"/>
        <v>2035</v>
      </c>
      <c r="F856" s="18">
        <v>1</v>
      </c>
    </row>
    <row r="857" spans="1:6" x14ac:dyDescent="0.35">
      <c r="A857" s="11">
        <v>49496</v>
      </c>
      <c r="B857" s="12" t="s">
        <v>25</v>
      </c>
      <c r="C857" s="13">
        <v>27.1</v>
      </c>
      <c r="D857" s="14">
        <v>2.6</v>
      </c>
      <c r="E857">
        <f t="shared" si="13"/>
        <v>2035</v>
      </c>
      <c r="F857" s="18">
        <v>1</v>
      </c>
    </row>
    <row r="858" spans="1:6" x14ac:dyDescent="0.35">
      <c r="A858" s="7">
        <v>49497</v>
      </c>
      <c r="B858" s="8" t="s">
        <v>7</v>
      </c>
      <c r="C858" s="9">
        <v>28.7</v>
      </c>
      <c r="D858" s="10">
        <v>3</v>
      </c>
      <c r="E858">
        <f t="shared" si="13"/>
        <v>2035</v>
      </c>
      <c r="F858" s="18">
        <v>1</v>
      </c>
    </row>
    <row r="859" spans="1:6" x14ac:dyDescent="0.35">
      <c r="A859" s="11">
        <v>49498</v>
      </c>
      <c r="B859" s="12" t="s">
        <v>10</v>
      </c>
      <c r="C859" s="13">
        <v>15</v>
      </c>
      <c r="D859" s="14">
        <v>21.4</v>
      </c>
      <c r="E859">
        <f t="shared" si="13"/>
        <v>2035</v>
      </c>
      <c r="F859" s="18">
        <v>1</v>
      </c>
    </row>
    <row r="860" spans="1:6" x14ac:dyDescent="0.35">
      <c r="A860" s="7">
        <v>49499</v>
      </c>
      <c r="B860" s="8" t="s">
        <v>11</v>
      </c>
      <c r="C860" s="9">
        <v>11.6</v>
      </c>
      <c r="D860" s="10">
        <v>3.7</v>
      </c>
      <c r="E860">
        <f t="shared" si="13"/>
        <v>2035</v>
      </c>
      <c r="F860" s="18">
        <v>1</v>
      </c>
    </row>
    <row r="861" spans="1:6" x14ac:dyDescent="0.35">
      <c r="A861" s="11">
        <v>49500</v>
      </c>
      <c r="B861" s="12" t="s">
        <v>10</v>
      </c>
      <c r="C861" s="13">
        <v>13.1</v>
      </c>
      <c r="D861" s="14">
        <v>0</v>
      </c>
      <c r="E861">
        <f t="shared" si="13"/>
        <v>2035</v>
      </c>
      <c r="F861" s="18">
        <v>1</v>
      </c>
    </row>
    <row r="862" spans="1:6" x14ac:dyDescent="0.35">
      <c r="A862" s="7">
        <v>49501</v>
      </c>
      <c r="B862" s="8" t="s">
        <v>26</v>
      </c>
      <c r="C862" s="9">
        <v>25.5</v>
      </c>
      <c r="D862" s="10">
        <v>0</v>
      </c>
      <c r="E862">
        <f t="shared" si="13"/>
        <v>2035</v>
      </c>
      <c r="F862" s="18">
        <v>1</v>
      </c>
    </row>
    <row r="863" spans="1:6" x14ac:dyDescent="0.35">
      <c r="A863" s="11">
        <v>49502</v>
      </c>
      <c r="B863" s="12" t="s">
        <v>28</v>
      </c>
      <c r="C863" s="13">
        <v>19.399999999999999</v>
      </c>
      <c r="D863" s="14">
        <v>0.7</v>
      </c>
      <c r="E863">
        <f t="shared" si="13"/>
        <v>2035</v>
      </c>
      <c r="F863" s="18">
        <v>1</v>
      </c>
    </row>
    <row r="864" spans="1:6" x14ac:dyDescent="0.35">
      <c r="A864" s="7">
        <v>49503</v>
      </c>
      <c r="B864" s="8" t="s">
        <v>7</v>
      </c>
      <c r="C864" s="9">
        <v>27.3</v>
      </c>
      <c r="D864" s="10">
        <v>2.6</v>
      </c>
      <c r="E864">
        <f t="shared" si="13"/>
        <v>2035</v>
      </c>
      <c r="F864" s="18">
        <v>1</v>
      </c>
    </row>
    <row r="865" spans="1:6" x14ac:dyDescent="0.35">
      <c r="A865" s="11">
        <v>49504</v>
      </c>
      <c r="B865" s="12" t="s">
        <v>10</v>
      </c>
      <c r="C865" s="13">
        <v>21</v>
      </c>
      <c r="D865" s="14">
        <v>27.8</v>
      </c>
      <c r="E865">
        <f t="shared" si="13"/>
        <v>2035</v>
      </c>
      <c r="F865" s="18">
        <v>1</v>
      </c>
    </row>
    <row r="866" spans="1:6" x14ac:dyDescent="0.35">
      <c r="A866" s="7">
        <v>49505</v>
      </c>
      <c r="B866" s="8" t="s">
        <v>14</v>
      </c>
      <c r="C866" s="9">
        <v>11.5</v>
      </c>
      <c r="D866" s="10">
        <v>0</v>
      </c>
      <c r="E866">
        <f t="shared" si="13"/>
        <v>2035</v>
      </c>
      <c r="F866" s="18">
        <v>1</v>
      </c>
    </row>
    <row r="867" spans="1:6" x14ac:dyDescent="0.35">
      <c r="A867" s="11">
        <v>49506</v>
      </c>
      <c r="B867" s="12" t="s">
        <v>21</v>
      </c>
      <c r="C867" s="13">
        <v>13.6</v>
      </c>
      <c r="D867" s="14">
        <v>2.7</v>
      </c>
      <c r="E867">
        <f t="shared" si="13"/>
        <v>2035</v>
      </c>
      <c r="F867" s="18">
        <v>1</v>
      </c>
    </row>
    <row r="868" spans="1:6" x14ac:dyDescent="0.35">
      <c r="A868" s="7">
        <v>49507</v>
      </c>
      <c r="B868" s="8" t="s">
        <v>8</v>
      </c>
      <c r="C868" s="9">
        <v>17.8</v>
      </c>
      <c r="D868" s="10">
        <v>0.3</v>
      </c>
      <c r="E868">
        <f t="shared" si="13"/>
        <v>2035</v>
      </c>
      <c r="F868" s="18">
        <v>1</v>
      </c>
    </row>
    <row r="869" spans="1:6" x14ac:dyDescent="0.35">
      <c r="A869" s="11">
        <v>49508</v>
      </c>
      <c r="B869" s="12" t="s">
        <v>8</v>
      </c>
      <c r="C869" s="13">
        <v>10.8</v>
      </c>
      <c r="D869" s="14">
        <v>0</v>
      </c>
      <c r="E869">
        <f t="shared" si="13"/>
        <v>2035</v>
      </c>
      <c r="F869" s="18">
        <v>1</v>
      </c>
    </row>
    <row r="870" spans="1:6" x14ac:dyDescent="0.35">
      <c r="A870" s="7">
        <v>49509</v>
      </c>
      <c r="B870" s="8" t="s">
        <v>10</v>
      </c>
      <c r="C870" s="9">
        <v>23</v>
      </c>
      <c r="D870" s="10">
        <v>3.3</v>
      </c>
      <c r="E870">
        <f t="shared" si="13"/>
        <v>2035</v>
      </c>
      <c r="F870" s="18">
        <v>1</v>
      </c>
    </row>
    <row r="871" spans="1:6" x14ac:dyDescent="0.35">
      <c r="A871" s="11">
        <v>49510</v>
      </c>
      <c r="B871" s="12" t="s">
        <v>11</v>
      </c>
      <c r="C871" s="13">
        <v>14</v>
      </c>
      <c r="D871" s="14">
        <v>18.100000000000001</v>
      </c>
      <c r="E871">
        <f t="shared" si="13"/>
        <v>2035</v>
      </c>
      <c r="F871" s="18">
        <v>1</v>
      </c>
    </row>
    <row r="872" spans="1:6" x14ac:dyDescent="0.35">
      <c r="A872" s="7">
        <v>49511</v>
      </c>
      <c r="B872" s="8" t="s">
        <v>26</v>
      </c>
      <c r="C872" s="9">
        <v>10.7</v>
      </c>
      <c r="D872" s="10">
        <v>0.4</v>
      </c>
      <c r="E872">
        <f t="shared" si="13"/>
        <v>2035</v>
      </c>
      <c r="F872" s="18">
        <v>1</v>
      </c>
    </row>
    <row r="873" spans="1:6" x14ac:dyDescent="0.35">
      <c r="A873" s="11">
        <v>49512</v>
      </c>
      <c r="B873" s="12" t="s">
        <v>13</v>
      </c>
      <c r="C873" s="13">
        <v>24.7</v>
      </c>
      <c r="D873" s="14">
        <v>9.1</v>
      </c>
      <c r="E873">
        <f t="shared" si="13"/>
        <v>2035</v>
      </c>
      <c r="F873" s="18">
        <v>1</v>
      </c>
    </row>
    <row r="874" spans="1:6" x14ac:dyDescent="0.35">
      <c r="A874" s="7">
        <v>49513</v>
      </c>
      <c r="B874" s="8" t="s">
        <v>19</v>
      </c>
      <c r="C874" s="9">
        <v>12.2</v>
      </c>
      <c r="D874" s="10">
        <v>18.600000000000001</v>
      </c>
      <c r="E874">
        <f t="shared" si="13"/>
        <v>2035</v>
      </c>
      <c r="F874" s="18">
        <v>1</v>
      </c>
    </row>
    <row r="875" spans="1:6" x14ac:dyDescent="0.35">
      <c r="A875" s="11">
        <v>49514</v>
      </c>
      <c r="B875" s="12" t="s">
        <v>6</v>
      </c>
      <c r="C875" s="13">
        <v>23.8</v>
      </c>
      <c r="D875" s="14">
        <v>7.7</v>
      </c>
      <c r="E875">
        <f t="shared" si="13"/>
        <v>2035</v>
      </c>
      <c r="F875" s="18">
        <v>1</v>
      </c>
    </row>
    <row r="876" spans="1:6" x14ac:dyDescent="0.35">
      <c r="A876" s="7">
        <v>49515</v>
      </c>
      <c r="B876" s="8" t="s">
        <v>12</v>
      </c>
      <c r="C876" s="9">
        <v>18.5</v>
      </c>
      <c r="D876" s="10">
        <v>0</v>
      </c>
      <c r="E876">
        <f t="shared" si="13"/>
        <v>2035</v>
      </c>
      <c r="F876" s="18">
        <v>1</v>
      </c>
    </row>
    <row r="877" spans="1:6" x14ac:dyDescent="0.35">
      <c r="A877" s="11">
        <v>49516</v>
      </c>
      <c r="B877" s="12" t="s">
        <v>17</v>
      </c>
      <c r="C877" s="13">
        <v>24.6</v>
      </c>
      <c r="D877" s="14">
        <v>0.4</v>
      </c>
      <c r="E877">
        <f t="shared" si="13"/>
        <v>2035</v>
      </c>
      <c r="F877" s="18">
        <v>1</v>
      </c>
    </row>
    <row r="878" spans="1:6" x14ac:dyDescent="0.35">
      <c r="A878" s="7">
        <v>49517</v>
      </c>
      <c r="B878" s="8" t="s">
        <v>19</v>
      </c>
      <c r="C878" s="9">
        <v>24.6</v>
      </c>
      <c r="D878" s="10">
        <v>10.4</v>
      </c>
      <c r="E878">
        <f t="shared" si="13"/>
        <v>2035</v>
      </c>
      <c r="F878" s="18">
        <v>1</v>
      </c>
    </row>
    <row r="879" spans="1:6" x14ac:dyDescent="0.35">
      <c r="A879" s="11">
        <v>49518</v>
      </c>
      <c r="B879" s="12" t="s">
        <v>12</v>
      </c>
      <c r="C879" s="13">
        <v>25.4</v>
      </c>
      <c r="D879" s="14">
        <v>11.2</v>
      </c>
      <c r="E879">
        <f t="shared" si="13"/>
        <v>2035</v>
      </c>
      <c r="F879" s="18">
        <v>1</v>
      </c>
    </row>
    <row r="880" spans="1:6" x14ac:dyDescent="0.35">
      <c r="A880" s="7">
        <v>49519</v>
      </c>
      <c r="B880" s="8" t="s">
        <v>11</v>
      </c>
      <c r="C880" s="9">
        <v>13.1</v>
      </c>
      <c r="D880" s="10">
        <v>22.2</v>
      </c>
      <c r="E880">
        <f t="shared" si="13"/>
        <v>2035</v>
      </c>
      <c r="F880" s="18">
        <v>1</v>
      </c>
    </row>
    <row r="881" spans="1:6" x14ac:dyDescent="0.35">
      <c r="A881" s="11">
        <v>49520</v>
      </c>
      <c r="B881" s="12" t="s">
        <v>10</v>
      </c>
      <c r="C881" s="13">
        <v>10.1</v>
      </c>
      <c r="D881" s="14">
        <v>11.6</v>
      </c>
      <c r="E881">
        <f t="shared" si="13"/>
        <v>2035</v>
      </c>
      <c r="F881" s="18">
        <v>1</v>
      </c>
    </row>
    <row r="882" spans="1:6" x14ac:dyDescent="0.35">
      <c r="A882" s="7">
        <v>49521</v>
      </c>
      <c r="B882" s="8" t="s">
        <v>15</v>
      </c>
      <c r="C882" s="9">
        <v>25</v>
      </c>
      <c r="D882" s="10">
        <v>0</v>
      </c>
      <c r="E882">
        <f t="shared" si="13"/>
        <v>2035</v>
      </c>
      <c r="F882" s="18">
        <v>1</v>
      </c>
    </row>
    <row r="883" spans="1:6" x14ac:dyDescent="0.35">
      <c r="A883" s="11">
        <v>49522</v>
      </c>
      <c r="B883" s="12" t="s">
        <v>18</v>
      </c>
      <c r="C883" s="13">
        <v>20.9</v>
      </c>
      <c r="D883" s="14">
        <v>11.4</v>
      </c>
      <c r="E883">
        <f t="shared" si="13"/>
        <v>2035</v>
      </c>
      <c r="F883" s="18">
        <v>1</v>
      </c>
    </row>
    <row r="884" spans="1:6" x14ac:dyDescent="0.35">
      <c r="A884" s="7">
        <v>49523</v>
      </c>
      <c r="B884" s="8" t="s">
        <v>14</v>
      </c>
      <c r="C884" s="9">
        <v>27.6</v>
      </c>
      <c r="D884" s="10">
        <v>2.5</v>
      </c>
      <c r="E884">
        <f t="shared" si="13"/>
        <v>2035</v>
      </c>
      <c r="F884" s="18">
        <v>1</v>
      </c>
    </row>
    <row r="885" spans="1:6" x14ac:dyDescent="0.35">
      <c r="A885" s="11">
        <v>49524</v>
      </c>
      <c r="B885" s="12" t="s">
        <v>10</v>
      </c>
      <c r="C885" s="13">
        <v>22.8</v>
      </c>
      <c r="D885" s="14">
        <v>0</v>
      </c>
      <c r="E885">
        <f t="shared" si="13"/>
        <v>2035</v>
      </c>
      <c r="F885" s="18">
        <v>1</v>
      </c>
    </row>
    <row r="886" spans="1:6" x14ac:dyDescent="0.35">
      <c r="A886" s="7">
        <v>49525</v>
      </c>
      <c r="B886" s="8" t="s">
        <v>9</v>
      </c>
      <c r="C886" s="9">
        <v>12</v>
      </c>
      <c r="D886" s="10">
        <v>0</v>
      </c>
      <c r="E886">
        <f t="shared" si="13"/>
        <v>2035</v>
      </c>
      <c r="F886" s="18">
        <v>1</v>
      </c>
    </row>
    <row r="887" spans="1:6" x14ac:dyDescent="0.35">
      <c r="A887" s="11">
        <v>49526</v>
      </c>
      <c r="B887" s="12" t="s">
        <v>23</v>
      </c>
      <c r="C887" s="13">
        <v>16.8</v>
      </c>
      <c r="D887" s="14">
        <v>4.9000000000000004</v>
      </c>
      <c r="E887">
        <f t="shared" si="13"/>
        <v>2035</v>
      </c>
      <c r="F887" s="18">
        <v>1</v>
      </c>
    </row>
    <row r="888" spans="1:6" x14ac:dyDescent="0.35">
      <c r="A888" s="7">
        <v>49527</v>
      </c>
      <c r="B888" s="8" t="s">
        <v>20</v>
      </c>
      <c r="C888" s="9">
        <v>12.9</v>
      </c>
      <c r="D888" s="10">
        <v>3</v>
      </c>
      <c r="E888">
        <f t="shared" si="13"/>
        <v>2035</v>
      </c>
      <c r="F888" s="18">
        <v>1</v>
      </c>
    </row>
    <row r="889" spans="1:6" x14ac:dyDescent="0.35">
      <c r="A889" s="11">
        <v>49528</v>
      </c>
      <c r="B889" s="12" t="s">
        <v>10</v>
      </c>
      <c r="C889" s="13">
        <v>18</v>
      </c>
      <c r="D889" s="14">
        <v>13.6</v>
      </c>
      <c r="E889">
        <f t="shared" si="13"/>
        <v>2035</v>
      </c>
      <c r="F889" s="18">
        <v>1</v>
      </c>
    </row>
    <row r="890" spans="1:6" x14ac:dyDescent="0.35">
      <c r="A890" s="7">
        <v>49529</v>
      </c>
      <c r="B890" s="8" t="s">
        <v>19</v>
      </c>
      <c r="C890" s="9">
        <v>26</v>
      </c>
      <c r="D890" s="10">
        <v>30.4</v>
      </c>
      <c r="E890">
        <f t="shared" si="13"/>
        <v>2035</v>
      </c>
      <c r="F890" s="18">
        <v>1</v>
      </c>
    </row>
    <row r="891" spans="1:6" x14ac:dyDescent="0.35">
      <c r="A891" s="11">
        <v>49530</v>
      </c>
      <c r="B891" s="12" t="s">
        <v>15</v>
      </c>
      <c r="C891" s="13">
        <v>21.3</v>
      </c>
      <c r="D891" s="14">
        <v>0</v>
      </c>
      <c r="E891">
        <f t="shared" si="13"/>
        <v>2035</v>
      </c>
      <c r="F891" s="18">
        <v>1</v>
      </c>
    </row>
    <row r="892" spans="1:6" x14ac:dyDescent="0.35">
      <c r="A892" s="7">
        <v>49531</v>
      </c>
      <c r="B892" s="8" t="s">
        <v>11</v>
      </c>
      <c r="C892" s="9">
        <v>15.7</v>
      </c>
      <c r="D892" s="10">
        <v>5.9</v>
      </c>
      <c r="E892">
        <f t="shared" si="13"/>
        <v>2035</v>
      </c>
      <c r="F892" s="18">
        <v>1</v>
      </c>
    </row>
    <row r="893" spans="1:6" x14ac:dyDescent="0.35">
      <c r="A893" s="11">
        <v>49532</v>
      </c>
      <c r="B893" s="12" t="s">
        <v>10</v>
      </c>
      <c r="C893" s="13">
        <v>19.100000000000001</v>
      </c>
      <c r="D893" s="14">
        <v>0</v>
      </c>
      <c r="E893">
        <f t="shared" si="13"/>
        <v>2035</v>
      </c>
      <c r="F893" s="18">
        <v>1</v>
      </c>
    </row>
    <row r="894" spans="1:6" x14ac:dyDescent="0.35">
      <c r="A894" s="7">
        <v>49533</v>
      </c>
      <c r="B894" s="8" t="s">
        <v>19</v>
      </c>
      <c r="C894" s="9">
        <v>24.6</v>
      </c>
      <c r="D894" s="10">
        <v>12.3</v>
      </c>
      <c r="E894">
        <f t="shared" si="13"/>
        <v>2035</v>
      </c>
      <c r="F894" s="18">
        <v>1</v>
      </c>
    </row>
    <row r="895" spans="1:6" x14ac:dyDescent="0.35">
      <c r="A895" s="11">
        <v>49534</v>
      </c>
      <c r="B895" s="12" t="s">
        <v>10</v>
      </c>
      <c r="C895" s="13">
        <v>18.7</v>
      </c>
      <c r="D895" s="14">
        <v>17.8</v>
      </c>
      <c r="E895">
        <f t="shared" si="13"/>
        <v>2035</v>
      </c>
      <c r="F895" s="18">
        <v>1</v>
      </c>
    </row>
    <row r="896" spans="1:6" x14ac:dyDescent="0.35">
      <c r="A896" s="7">
        <v>49535</v>
      </c>
      <c r="B896" s="8" t="s">
        <v>9</v>
      </c>
      <c r="C896" s="9">
        <v>13.2</v>
      </c>
      <c r="D896" s="10">
        <v>3.2</v>
      </c>
      <c r="E896">
        <f t="shared" si="13"/>
        <v>2035</v>
      </c>
      <c r="F896" s="18">
        <v>1</v>
      </c>
    </row>
    <row r="897" spans="1:6" x14ac:dyDescent="0.35">
      <c r="A897" s="11">
        <v>49536</v>
      </c>
      <c r="B897" s="12" t="s">
        <v>12</v>
      </c>
      <c r="C897" s="13">
        <v>24.8</v>
      </c>
      <c r="D897" s="14">
        <v>2.2999999999999998</v>
      </c>
      <c r="E897">
        <f t="shared" si="13"/>
        <v>2035</v>
      </c>
      <c r="F897" s="18">
        <v>1</v>
      </c>
    </row>
    <row r="898" spans="1:6" x14ac:dyDescent="0.35">
      <c r="A898" s="7">
        <v>49537</v>
      </c>
      <c r="B898" s="8" t="s">
        <v>15</v>
      </c>
      <c r="C898" s="9">
        <v>19.3</v>
      </c>
      <c r="D898" s="10">
        <v>1.8</v>
      </c>
      <c r="E898">
        <f t="shared" si="13"/>
        <v>2035</v>
      </c>
      <c r="F898" s="18">
        <v>1</v>
      </c>
    </row>
    <row r="899" spans="1:6" x14ac:dyDescent="0.35">
      <c r="A899" s="11">
        <v>49538</v>
      </c>
      <c r="B899" s="12" t="s">
        <v>18</v>
      </c>
      <c r="C899" s="13">
        <v>22.7</v>
      </c>
      <c r="D899" s="14">
        <v>0</v>
      </c>
      <c r="E899">
        <f t="shared" ref="E899:E962" si="14">YEAR(A899)</f>
        <v>2035</v>
      </c>
      <c r="F899" s="18">
        <v>1</v>
      </c>
    </row>
    <row r="900" spans="1:6" x14ac:dyDescent="0.35">
      <c r="A900" s="7">
        <v>49539</v>
      </c>
      <c r="B900" s="8" t="s">
        <v>11</v>
      </c>
      <c r="C900" s="9">
        <v>15.2</v>
      </c>
      <c r="D900" s="10">
        <v>0</v>
      </c>
      <c r="E900">
        <f t="shared" si="14"/>
        <v>2035</v>
      </c>
      <c r="F900" s="18">
        <v>1</v>
      </c>
    </row>
    <row r="901" spans="1:6" x14ac:dyDescent="0.35">
      <c r="A901" s="11">
        <v>49540</v>
      </c>
      <c r="B901" s="12" t="s">
        <v>23</v>
      </c>
      <c r="C901" s="13">
        <v>28.6</v>
      </c>
      <c r="D901" s="14">
        <v>0.2</v>
      </c>
      <c r="E901">
        <f t="shared" si="14"/>
        <v>2035</v>
      </c>
      <c r="F901" s="18">
        <v>1</v>
      </c>
    </row>
    <row r="902" spans="1:6" x14ac:dyDescent="0.35">
      <c r="A902" s="7">
        <v>49541</v>
      </c>
      <c r="B902" s="8" t="s">
        <v>7</v>
      </c>
      <c r="C902" s="9">
        <v>17.899999999999999</v>
      </c>
      <c r="D902" s="10">
        <v>18.600000000000001</v>
      </c>
      <c r="E902">
        <f t="shared" si="14"/>
        <v>2035</v>
      </c>
      <c r="F902" s="18">
        <v>1</v>
      </c>
    </row>
    <row r="903" spans="1:6" x14ac:dyDescent="0.35">
      <c r="A903" s="11">
        <v>49542</v>
      </c>
      <c r="B903" s="12" t="s">
        <v>31</v>
      </c>
      <c r="C903" s="13">
        <v>11.6</v>
      </c>
      <c r="D903" s="14">
        <v>0</v>
      </c>
      <c r="E903">
        <f t="shared" si="14"/>
        <v>2035</v>
      </c>
      <c r="F903" s="18">
        <v>1</v>
      </c>
    </row>
    <row r="904" spans="1:6" x14ac:dyDescent="0.35">
      <c r="A904" s="7">
        <v>49543</v>
      </c>
      <c r="B904" s="8" t="s">
        <v>21</v>
      </c>
      <c r="C904" s="9">
        <v>19</v>
      </c>
      <c r="D904" s="10">
        <v>2.2000000000000002</v>
      </c>
      <c r="E904">
        <f t="shared" si="14"/>
        <v>2035</v>
      </c>
      <c r="F904" s="18">
        <v>1</v>
      </c>
    </row>
    <row r="905" spans="1:6" x14ac:dyDescent="0.35">
      <c r="A905" s="11">
        <v>49544</v>
      </c>
      <c r="B905" s="12" t="s">
        <v>12</v>
      </c>
      <c r="C905" s="13">
        <v>17.600000000000001</v>
      </c>
      <c r="D905" s="14">
        <v>7.2</v>
      </c>
      <c r="E905">
        <f t="shared" si="14"/>
        <v>2035</v>
      </c>
      <c r="F905" s="18">
        <v>1</v>
      </c>
    </row>
    <row r="906" spans="1:6" x14ac:dyDescent="0.35">
      <c r="A906" s="7">
        <v>49545</v>
      </c>
      <c r="B906" s="8" t="s">
        <v>7</v>
      </c>
      <c r="C906" s="9">
        <v>12.1</v>
      </c>
      <c r="D906" s="10">
        <v>7.2</v>
      </c>
      <c r="E906">
        <f t="shared" si="14"/>
        <v>2035</v>
      </c>
      <c r="F906" s="18">
        <v>1</v>
      </c>
    </row>
    <row r="907" spans="1:6" x14ac:dyDescent="0.35">
      <c r="A907" s="11">
        <v>49546</v>
      </c>
      <c r="B907" s="12" t="s">
        <v>13</v>
      </c>
      <c r="C907" s="13">
        <v>28.3</v>
      </c>
      <c r="D907" s="14">
        <v>1.8</v>
      </c>
      <c r="E907">
        <f t="shared" si="14"/>
        <v>2035</v>
      </c>
      <c r="F907" s="18">
        <v>1</v>
      </c>
    </row>
    <row r="908" spans="1:6" x14ac:dyDescent="0.35">
      <c r="A908" s="7">
        <v>49547</v>
      </c>
      <c r="B908" s="8" t="s">
        <v>18</v>
      </c>
      <c r="C908" s="9">
        <v>13.3</v>
      </c>
      <c r="D908" s="10">
        <v>0</v>
      </c>
      <c r="E908">
        <f t="shared" si="14"/>
        <v>2035</v>
      </c>
      <c r="F908" s="18">
        <v>1</v>
      </c>
    </row>
    <row r="909" spans="1:6" x14ac:dyDescent="0.35">
      <c r="A909" s="11">
        <v>49548</v>
      </c>
      <c r="B909" s="12" t="s">
        <v>11</v>
      </c>
      <c r="C909" s="13">
        <v>21</v>
      </c>
      <c r="D909" s="14">
        <v>4.2</v>
      </c>
      <c r="E909">
        <f t="shared" si="14"/>
        <v>2035</v>
      </c>
      <c r="F909" s="18">
        <v>1</v>
      </c>
    </row>
    <row r="910" spans="1:6" x14ac:dyDescent="0.35">
      <c r="A910" s="7">
        <v>49549</v>
      </c>
      <c r="B910" s="8" t="s">
        <v>10</v>
      </c>
      <c r="C910" s="9">
        <v>12</v>
      </c>
      <c r="D910" s="10">
        <v>2.2000000000000002</v>
      </c>
      <c r="E910">
        <f t="shared" si="14"/>
        <v>2035</v>
      </c>
      <c r="F910" s="18">
        <v>1</v>
      </c>
    </row>
    <row r="911" spans="1:6" x14ac:dyDescent="0.35">
      <c r="A911" s="11">
        <v>49550</v>
      </c>
      <c r="B911" s="12" t="s">
        <v>19</v>
      </c>
      <c r="C911" s="13">
        <v>12.1</v>
      </c>
      <c r="D911" s="14">
        <v>0</v>
      </c>
      <c r="E911">
        <f t="shared" si="14"/>
        <v>2035</v>
      </c>
      <c r="F911" s="18">
        <v>1</v>
      </c>
    </row>
    <row r="912" spans="1:6" x14ac:dyDescent="0.35">
      <c r="A912" s="7">
        <v>49551</v>
      </c>
      <c r="B912" s="8" t="s">
        <v>11</v>
      </c>
      <c r="C912" s="9">
        <v>15.8</v>
      </c>
      <c r="D912" s="10">
        <v>17.2</v>
      </c>
      <c r="E912">
        <f t="shared" si="14"/>
        <v>2035</v>
      </c>
      <c r="F912" s="18">
        <v>1</v>
      </c>
    </row>
    <row r="913" spans="1:6" x14ac:dyDescent="0.35">
      <c r="A913" s="11">
        <v>49552</v>
      </c>
      <c r="B913" s="12" t="s">
        <v>12</v>
      </c>
      <c r="C913" s="13">
        <v>25.7</v>
      </c>
      <c r="D913" s="14">
        <v>5.9</v>
      </c>
      <c r="E913">
        <f t="shared" si="14"/>
        <v>2035</v>
      </c>
      <c r="F913" s="18">
        <v>1</v>
      </c>
    </row>
    <row r="914" spans="1:6" x14ac:dyDescent="0.35">
      <c r="A914" s="7">
        <v>49553</v>
      </c>
      <c r="B914" s="8" t="s">
        <v>10</v>
      </c>
      <c r="C914" s="9">
        <v>20.5</v>
      </c>
      <c r="D914" s="10">
        <v>26</v>
      </c>
      <c r="E914">
        <f t="shared" si="14"/>
        <v>2035</v>
      </c>
      <c r="F914" s="18">
        <v>1</v>
      </c>
    </row>
    <row r="915" spans="1:6" x14ac:dyDescent="0.35">
      <c r="A915" s="11">
        <v>49554</v>
      </c>
      <c r="B915" s="12" t="s">
        <v>13</v>
      </c>
      <c r="C915" s="13">
        <v>23.5</v>
      </c>
      <c r="D915" s="14">
        <v>15.3</v>
      </c>
      <c r="E915">
        <f t="shared" si="14"/>
        <v>2035</v>
      </c>
      <c r="F915" s="18">
        <v>1</v>
      </c>
    </row>
    <row r="916" spans="1:6" x14ac:dyDescent="0.35">
      <c r="A916" s="7">
        <v>49555</v>
      </c>
      <c r="B916" s="8" t="s">
        <v>12</v>
      </c>
      <c r="C916" s="9">
        <v>21.7</v>
      </c>
      <c r="D916" s="10">
        <v>1.2</v>
      </c>
      <c r="E916">
        <f t="shared" si="14"/>
        <v>2035</v>
      </c>
      <c r="F916" s="18">
        <v>1</v>
      </c>
    </row>
    <row r="917" spans="1:6" x14ac:dyDescent="0.35">
      <c r="A917" s="11">
        <v>49556</v>
      </c>
      <c r="B917" s="12" t="s">
        <v>10</v>
      </c>
      <c r="C917" s="13">
        <v>29.8</v>
      </c>
      <c r="D917" s="14">
        <v>0</v>
      </c>
      <c r="E917">
        <f t="shared" si="14"/>
        <v>2035</v>
      </c>
      <c r="F917" s="18">
        <v>1</v>
      </c>
    </row>
    <row r="918" spans="1:6" x14ac:dyDescent="0.35">
      <c r="A918" s="7">
        <v>49557</v>
      </c>
      <c r="B918" s="8" t="s">
        <v>7</v>
      </c>
      <c r="C918" s="9">
        <v>27.1</v>
      </c>
      <c r="D918" s="10">
        <v>0</v>
      </c>
      <c r="E918">
        <f t="shared" si="14"/>
        <v>2035</v>
      </c>
      <c r="F918" s="18">
        <v>1</v>
      </c>
    </row>
    <row r="919" spans="1:6" x14ac:dyDescent="0.35">
      <c r="A919" s="11">
        <v>49558</v>
      </c>
      <c r="B919" s="12" t="s">
        <v>12</v>
      </c>
      <c r="C919" s="13">
        <v>27.3</v>
      </c>
      <c r="D919" s="14">
        <v>0</v>
      </c>
      <c r="E919">
        <f t="shared" si="14"/>
        <v>2035</v>
      </c>
      <c r="F919" s="18">
        <v>1</v>
      </c>
    </row>
    <row r="920" spans="1:6" x14ac:dyDescent="0.35">
      <c r="A920" s="7">
        <v>49559</v>
      </c>
      <c r="B920" s="8" t="s">
        <v>19</v>
      </c>
      <c r="C920" s="9">
        <v>15.5</v>
      </c>
      <c r="D920" s="10">
        <v>27.6</v>
      </c>
      <c r="E920">
        <f t="shared" si="14"/>
        <v>2035</v>
      </c>
      <c r="F920" s="18">
        <v>1</v>
      </c>
    </row>
    <row r="921" spans="1:6" x14ac:dyDescent="0.35">
      <c r="A921" s="11">
        <v>49560</v>
      </c>
      <c r="B921" s="12" t="s">
        <v>13</v>
      </c>
      <c r="C921" s="13">
        <v>27.9</v>
      </c>
      <c r="D921" s="14">
        <v>5.0999999999999996</v>
      </c>
      <c r="E921">
        <f t="shared" si="14"/>
        <v>2035</v>
      </c>
      <c r="F921" s="18">
        <v>1</v>
      </c>
    </row>
    <row r="922" spans="1:6" x14ac:dyDescent="0.35">
      <c r="A922" s="7">
        <v>49561</v>
      </c>
      <c r="B922" s="8" t="s">
        <v>10</v>
      </c>
      <c r="C922" s="9">
        <v>19.7</v>
      </c>
      <c r="D922" s="10">
        <v>21.4</v>
      </c>
      <c r="E922">
        <f t="shared" si="14"/>
        <v>2035</v>
      </c>
      <c r="F922" s="18">
        <v>1</v>
      </c>
    </row>
    <row r="923" spans="1:6" x14ac:dyDescent="0.35">
      <c r="A923" s="11">
        <v>49562</v>
      </c>
      <c r="B923" s="12" t="s">
        <v>10</v>
      </c>
      <c r="C923" s="13">
        <v>27.8</v>
      </c>
      <c r="D923" s="14">
        <v>27.6</v>
      </c>
      <c r="E923">
        <f t="shared" si="14"/>
        <v>2035</v>
      </c>
      <c r="F923" s="18">
        <v>1</v>
      </c>
    </row>
    <row r="924" spans="1:6" x14ac:dyDescent="0.35">
      <c r="A924" s="7">
        <v>49563</v>
      </c>
      <c r="B924" s="8" t="s">
        <v>22</v>
      </c>
      <c r="C924" s="9">
        <v>12.3</v>
      </c>
      <c r="D924" s="10">
        <v>2.9</v>
      </c>
      <c r="E924">
        <f t="shared" si="14"/>
        <v>2035</v>
      </c>
      <c r="F924" s="18">
        <v>1</v>
      </c>
    </row>
    <row r="925" spans="1:6" x14ac:dyDescent="0.35">
      <c r="A925" s="11">
        <v>49564</v>
      </c>
      <c r="B925" s="12" t="s">
        <v>18</v>
      </c>
      <c r="C925" s="13">
        <v>12.8</v>
      </c>
      <c r="D925" s="14">
        <v>8.8000000000000007</v>
      </c>
      <c r="E925">
        <f t="shared" si="14"/>
        <v>2035</v>
      </c>
      <c r="F925" s="18">
        <v>1</v>
      </c>
    </row>
    <row r="926" spans="1:6" x14ac:dyDescent="0.35">
      <c r="A926" s="7">
        <v>49565</v>
      </c>
      <c r="B926" s="8" t="s">
        <v>10</v>
      </c>
      <c r="C926" s="9">
        <v>15</v>
      </c>
      <c r="D926" s="10">
        <v>0</v>
      </c>
      <c r="E926">
        <f t="shared" si="14"/>
        <v>2035</v>
      </c>
      <c r="F926" s="18">
        <v>1</v>
      </c>
    </row>
    <row r="927" spans="1:6" x14ac:dyDescent="0.35">
      <c r="A927" s="11">
        <v>49566</v>
      </c>
      <c r="B927" s="12" t="s">
        <v>23</v>
      </c>
      <c r="C927" s="13">
        <v>27.6</v>
      </c>
      <c r="D927" s="14">
        <v>4.7</v>
      </c>
      <c r="E927">
        <f t="shared" si="14"/>
        <v>2035</v>
      </c>
      <c r="F927" s="18">
        <v>1</v>
      </c>
    </row>
    <row r="928" spans="1:6" x14ac:dyDescent="0.35">
      <c r="A928" s="7">
        <v>49567</v>
      </c>
      <c r="B928" s="8" t="s">
        <v>10</v>
      </c>
      <c r="C928" s="9">
        <v>19.600000000000001</v>
      </c>
      <c r="D928" s="10">
        <v>0</v>
      </c>
      <c r="E928">
        <f t="shared" si="14"/>
        <v>2035</v>
      </c>
      <c r="F928" s="18">
        <v>1</v>
      </c>
    </row>
    <row r="929" spans="1:6" x14ac:dyDescent="0.35">
      <c r="A929" s="11">
        <v>49568</v>
      </c>
      <c r="B929" s="12" t="s">
        <v>30</v>
      </c>
      <c r="C929" s="13">
        <v>16</v>
      </c>
      <c r="D929" s="14">
        <v>0.4</v>
      </c>
      <c r="E929">
        <f t="shared" si="14"/>
        <v>2035</v>
      </c>
      <c r="F929" s="18">
        <v>1</v>
      </c>
    </row>
    <row r="930" spans="1:6" x14ac:dyDescent="0.35">
      <c r="A930" s="7">
        <v>49569</v>
      </c>
      <c r="B930" s="8" t="s">
        <v>10</v>
      </c>
      <c r="C930" s="9">
        <v>10.3</v>
      </c>
      <c r="D930" s="10">
        <v>0</v>
      </c>
      <c r="E930">
        <f t="shared" si="14"/>
        <v>2035</v>
      </c>
      <c r="F930" s="18">
        <v>1</v>
      </c>
    </row>
    <row r="931" spans="1:6" x14ac:dyDescent="0.35">
      <c r="A931" s="11">
        <v>49570</v>
      </c>
      <c r="B931" s="12" t="s">
        <v>18</v>
      </c>
      <c r="C931" s="13">
        <v>20.2</v>
      </c>
      <c r="D931" s="14">
        <v>13.9</v>
      </c>
      <c r="E931">
        <f t="shared" si="14"/>
        <v>2035</v>
      </c>
      <c r="F931" s="18">
        <v>1</v>
      </c>
    </row>
    <row r="932" spans="1:6" x14ac:dyDescent="0.35">
      <c r="A932" s="7">
        <v>49571</v>
      </c>
      <c r="B932" s="8" t="s">
        <v>26</v>
      </c>
      <c r="C932" s="9">
        <v>26.4</v>
      </c>
      <c r="D932" s="10">
        <v>6.8</v>
      </c>
      <c r="E932">
        <f t="shared" si="14"/>
        <v>2035</v>
      </c>
      <c r="F932" s="18">
        <v>1</v>
      </c>
    </row>
    <row r="933" spans="1:6" x14ac:dyDescent="0.35">
      <c r="A933" s="11">
        <v>49572</v>
      </c>
      <c r="B933" s="12" t="s">
        <v>17</v>
      </c>
      <c r="C933" s="13">
        <v>20.6</v>
      </c>
      <c r="D933" s="14">
        <v>0</v>
      </c>
      <c r="E933">
        <f t="shared" si="14"/>
        <v>2035</v>
      </c>
      <c r="F933" s="18">
        <v>1</v>
      </c>
    </row>
    <row r="934" spans="1:6" x14ac:dyDescent="0.35">
      <c r="A934" s="7">
        <v>49573</v>
      </c>
      <c r="B934" s="8" t="s">
        <v>19</v>
      </c>
      <c r="C934" s="9">
        <v>12.3</v>
      </c>
      <c r="D934" s="10">
        <v>0.2</v>
      </c>
      <c r="E934">
        <f t="shared" si="14"/>
        <v>2035</v>
      </c>
      <c r="F934" s="18">
        <v>1</v>
      </c>
    </row>
    <row r="935" spans="1:6" x14ac:dyDescent="0.35">
      <c r="A935" s="11">
        <v>49574</v>
      </c>
      <c r="B935" s="12" t="s">
        <v>19</v>
      </c>
      <c r="C935" s="13">
        <v>11.2</v>
      </c>
      <c r="D935" s="14">
        <v>36.200000000000003</v>
      </c>
      <c r="E935">
        <f t="shared" si="14"/>
        <v>2035</v>
      </c>
      <c r="F935" s="18">
        <v>1</v>
      </c>
    </row>
    <row r="936" spans="1:6" x14ac:dyDescent="0.35">
      <c r="A936" s="7">
        <v>49575</v>
      </c>
      <c r="B936" s="8" t="s">
        <v>8</v>
      </c>
      <c r="C936" s="9">
        <v>22.6</v>
      </c>
      <c r="D936" s="10">
        <v>2.4</v>
      </c>
      <c r="E936">
        <f t="shared" si="14"/>
        <v>2035</v>
      </c>
      <c r="F936" s="18">
        <v>1</v>
      </c>
    </row>
    <row r="937" spans="1:6" x14ac:dyDescent="0.35">
      <c r="A937" s="11">
        <v>49576</v>
      </c>
      <c r="B937" s="12" t="s">
        <v>25</v>
      </c>
      <c r="C937" s="13">
        <v>16.399999999999999</v>
      </c>
      <c r="D937" s="14">
        <v>0.1</v>
      </c>
      <c r="E937">
        <f t="shared" si="14"/>
        <v>2035</v>
      </c>
      <c r="F937" s="18">
        <v>1</v>
      </c>
    </row>
    <row r="938" spans="1:6" x14ac:dyDescent="0.35">
      <c r="A938" s="7">
        <v>49577</v>
      </c>
      <c r="B938" s="8" t="s">
        <v>27</v>
      </c>
      <c r="C938" s="9">
        <v>23.4</v>
      </c>
      <c r="D938" s="10">
        <v>0</v>
      </c>
      <c r="E938">
        <f t="shared" si="14"/>
        <v>2035</v>
      </c>
      <c r="F938" s="18">
        <v>1</v>
      </c>
    </row>
    <row r="939" spans="1:6" x14ac:dyDescent="0.35">
      <c r="A939" s="11">
        <v>49578</v>
      </c>
      <c r="B939" s="12" t="s">
        <v>23</v>
      </c>
      <c r="C939" s="13">
        <v>20.2</v>
      </c>
      <c r="D939" s="14">
        <v>0.3</v>
      </c>
      <c r="E939">
        <f t="shared" si="14"/>
        <v>2035</v>
      </c>
      <c r="F939" s="18">
        <v>1</v>
      </c>
    </row>
    <row r="940" spans="1:6" x14ac:dyDescent="0.35">
      <c r="A940" s="7">
        <v>49579</v>
      </c>
      <c r="B940" s="8" t="s">
        <v>11</v>
      </c>
      <c r="C940" s="9">
        <v>17.600000000000001</v>
      </c>
      <c r="D940" s="10">
        <v>15</v>
      </c>
      <c r="E940">
        <f t="shared" si="14"/>
        <v>2035</v>
      </c>
      <c r="F940" s="18">
        <v>1</v>
      </c>
    </row>
    <row r="941" spans="1:6" x14ac:dyDescent="0.35">
      <c r="A941" s="11">
        <v>49580</v>
      </c>
      <c r="B941" s="12" t="s">
        <v>10</v>
      </c>
      <c r="C941" s="13">
        <v>21.7</v>
      </c>
      <c r="D941" s="14">
        <v>33.299999999999997</v>
      </c>
      <c r="E941">
        <f t="shared" si="14"/>
        <v>2035</v>
      </c>
      <c r="F941" s="18">
        <v>1</v>
      </c>
    </row>
    <row r="942" spans="1:6" x14ac:dyDescent="0.35">
      <c r="A942" s="7">
        <v>49581</v>
      </c>
      <c r="B942" s="8" t="s">
        <v>10</v>
      </c>
      <c r="C942" s="9">
        <v>18.399999999999999</v>
      </c>
      <c r="D942" s="10">
        <v>19.3</v>
      </c>
      <c r="E942">
        <f t="shared" si="14"/>
        <v>2035</v>
      </c>
      <c r="F942" s="18">
        <v>1</v>
      </c>
    </row>
    <row r="943" spans="1:6" x14ac:dyDescent="0.35">
      <c r="A943" s="11">
        <v>49582</v>
      </c>
      <c r="B943" s="12" t="s">
        <v>7</v>
      </c>
      <c r="C943" s="13">
        <v>20.100000000000001</v>
      </c>
      <c r="D943" s="14">
        <v>15.4</v>
      </c>
      <c r="E943">
        <f t="shared" si="14"/>
        <v>2035</v>
      </c>
      <c r="F943" s="18">
        <v>1</v>
      </c>
    </row>
    <row r="944" spans="1:6" x14ac:dyDescent="0.35">
      <c r="A944" s="7">
        <v>49583</v>
      </c>
      <c r="B944" s="8" t="s">
        <v>18</v>
      </c>
      <c r="C944" s="9">
        <v>16.5</v>
      </c>
      <c r="D944" s="10">
        <v>14.7</v>
      </c>
      <c r="E944">
        <f t="shared" si="14"/>
        <v>2035</v>
      </c>
      <c r="F944" s="18">
        <v>1</v>
      </c>
    </row>
    <row r="945" spans="1:6" x14ac:dyDescent="0.35">
      <c r="A945" s="11">
        <v>49584</v>
      </c>
      <c r="B945" s="12" t="s">
        <v>10</v>
      </c>
      <c r="C945" s="13">
        <v>12.3</v>
      </c>
      <c r="D945" s="14">
        <v>30.2</v>
      </c>
      <c r="E945">
        <f t="shared" si="14"/>
        <v>2035</v>
      </c>
      <c r="F945" s="18">
        <v>1</v>
      </c>
    </row>
    <row r="946" spans="1:6" x14ac:dyDescent="0.35">
      <c r="A946" s="7">
        <v>49585</v>
      </c>
      <c r="B946" s="8" t="s">
        <v>10</v>
      </c>
      <c r="C946" s="9">
        <v>29.6</v>
      </c>
      <c r="D946" s="10">
        <v>42.8</v>
      </c>
      <c r="E946">
        <f t="shared" si="14"/>
        <v>2035</v>
      </c>
      <c r="F946" s="18">
        <v>1</v>
      </c>
    </row>
    <row r="947" spans="1:6" x14ac:dyDescent="0.35">
      <c r="A947" s="11">
        <v>49586</v>
      </c>
      <c r="B947" s="12" t="s">
        <v>12</v>
      </c>
      <c r="C947" s="13">
        <v>26.6</v>
      </c>
      <c r="D947" s="14">
        <v>9.1999999999999993</v>
      </c>
      <c r="E947">
        <f t="shared" si="14"/>
        <v>2035</v>
      </c>
      <c r="F947" s="18">
        <v>1</v>
      </c>
    </row>
    <row r="948" spans="1:6" x14ac:dyDescent="0.35">
      <c r="A948" s="7">
        <v>49587</v>
      </c>
      <c r="B948" s="8" t="s">
        <v>18</v>
      </c>
      <c r="C948" s="9">
        <v>26.7</v>
      </c>
      <c r="D948" s="10">
        <v>4</v>
      </c>
      <c r="E948">
        <f t="shared" si="14"/>
        <v>2035</v>
      </c>
      <c r="F948" s="18">
        <v>1</v>
      </c>
    </row>
    <row r="949" spans="1:6" x14ac:dyDescent="0.35">
      <c r="A949" s="11">
        <v>49588</v>
      </c>
      <c r="B949" s="12" t="s">
        <v>15</v>
      </c>
      <c r="C949" s="13">
        <v>23.6</v>
      </c>
      <c r="D949" s="14">
        <v>0</v>
      </c>
      <c r="E949">
        <f t="shared" si="14"/>
        <v>2035</v>
      </c>
      <c r="F949" s="18">
        <v>1</v>
      </c>
    </row>
    <row r="950" spans="1:6" x14ac:dyDescent="0.35">
      <c r="A950" s="7">
        <v>49589</v>
      </c>
      <c r="B950" s="8" t="s">
        <v>25</v>
      </c>
      <c r="C950" s="9">
        <v>13.6</v>
      </c>
      <c r="D950" s="10">
        <v>2.8</v>
      </c>
      <c r="E950">
        <f t="shared" si="14"/>
        <v>2035</v>
      </c>
      <c r="F950" s="18">
        <v>1</v>
      </c>
    </row>
    <row r="951" spans="1:6" x14ac:dyDescent="0.35">
      <c r="A951" s="11">
        <v>49590</v>
      </c>
      <c r="B951" s="12" t="s">
        <v>5</v>
      </c>
      <c r="C951" s="13">
        <v>13.8</v>
      </c>
      <c r="D951" s="14">
        <v>6.5</v>
      </c>
      <c r="E951">
        <f t="shared" si="14"/>
        <v>2035</v>
      </c>
      <c r="F951" s="18">
        <v>1</v>
      </c>
    </row>
    <row r="952" spans="1:6" x14ac:dyDescent="0.35">
      <c r="A952" s="7">
        <v>49591</v>
      </c>
      <c r="B952" s="8" t="s">
        <v>6</v>
      </c>
      <c r="C952" s="9">
        <v>12.3</v>
      </c>
      <c r="D952" s="10">
        <v>0</v>
      </c>
      <c r="E952">
        <f t="shared" si="14"/>
        <v>2035</v>
      </c>
      <c r="F952" s="18">
        <v>1</v>
      </c>
    </row>
    <row r="953" spans="1:6" x14ac:dyDescent="0.35">
      <c r="A953" s="11">
        <v>49592</v>
      </c>
      <c r="B953" s="12" t="s">
        <v>7</v>
      </c>
      <c r="C953" s="13">
        <v>12.3</v>
      </c>
      <c r="D953" s="14">
        <v>0</v>
      </c>
      <c r="E953">
        <f t="shared" si="14"/>
        <v>2035</v>
      </c>
      <c r="F953" s="18">
        <v>1</v>
      </c>
    </row>
    <row r="954" spans="1:6" x14ac:dyDescent="0.35">
      <c r="A954" s="7">
        <v>49593</v>
      </c>
      <c r="B954" s="8" t="s">
        <v>18</v>
      </c>
      <c r="C954" s="9">
        <v>22.7</v>
      </c>
      <c r="D954" s="10">
        <v>10.3</v>
      </c>
      <c r="E954">
        <f t="shared" si="14"/>
        <v>2035</v>
      </c>
      <c r="F954" s="18">
        <v>1</v>
      </c>
    </row>
    <row r="955" spans="1:6" x14ac:dyDescent="0.35">
      <c r="A955" s="11">
        <v>49594</v>
      </c>
      <c r="B955" s="12" t="s">
        <v>10</v>
      </c>
      <c r="C955" s="13">
        <v>19</v>
      </c>
      <c r="D955" s="14">
        <v>0</v>
      </c>
      <c r="E955">
        <f t="shared" si="14"/>
        <v>2035</v>
      </c>
      <c r="F955" s="18">
        <v>1</v>
      </c>
    </row>
    <row r="956" spans="1:6" x14ac:dyDescent="0.35">
      <c r="A956" s="7">
        <v>49595</v>
      </c>
      <c r="B956" s="8" t="s">
        <v>8</v>
      </c>
      <c r="C956" s="9">
        <v>23.4</v>
      </c>
      <c r="D956" s="10">
        <v>0</v>
      </c>
      <c r="E956">
        <f t="shared" si="14"/>
        <v>2035</v>
      </c>
      <c r="F956" s="18">
        <v>1</v>
      </c>
    </row>
    <row r="957" spans="1:6" x14ac:dyDescent="0.35">
      <c r="A957" s="11">
        <v>49596</v>
      </c>
      <c r="B957" s="12" t="s">
        <v>15</v>
      </c>
      <c r="C957" s="13">
        <v>28.2</v>
      </c>
      <c r="D957" s="14">
        <v>0</v>
      </c>
      <c r="E957">
        <f t="shared" si="14"/>
        <v>2035</v>
      </c>
      <c r="F957" s="18">
        <v>1</v>
      </c>
    </row>
    <row r="958" spans="1:6" x14ac:dyDescent="0.35">
      <c r="A958" s="7">
        <v>49597</v>
      </c>
      <c r="B958" s="8" t="s">
        <v>15</v>
      </c>
      <c r="C958" s="9">
        <v>20.100000000000001</v>
      </c>
      <c r="D958" s="10">
        <v>9.6999999999999993</v>
      </c>
      <c r="E958">
        <f t="shared" si="14"/>
        <v>2035</v>
      </c>
      <c r="F958" s="18">
        <v>1</v>
      </c>
    </row>
    <row r="959" spans="1:6" x14ac:dyDescent="0.35">
      <c r="A959" s="11">
        <v>49598</v>
      </c>
      <c r="B959" s="12" t="s">
        <v>17</v>
      </c>
      <c r="C959" s="13">
        <v>29.6</v>
      </c>
      <c r="D959" s="14">
        <v>0</v>
      </c>
      <c r="E959">
        <f t="shared" si="14"/>
        <v>2035</v>
      </c>
      <c r="F959" s="18">
        <v>1</v>
      </c>
    </row>
    <row r="960" spans="1:6" x14ac:dyDescent="0.35">
      <c r="A960" s="7">
        <v>49599</v>
      </c>
      <c r="B960" s="8" t="s">
        <v>7</v>
      </c>
      <c r="C960" s="9">
        <v>25.8</v>
      </c>
      <c r="D960" s="10">
        <v>0</v>
      </c>
      <c r="E960">
        <f t="shared" si="14"/>
        <v>2035</v>
      </c>
      <c r="F960" s="18">
        <v>1</v>
      </c>
    </row>
    <row r="961" spans="1:6" x14ac:dyDescent="0.35">
      <c r="A961" s="11">
        <v>49600</v>
      </c>
      <c r="B961" s="12" t="s">
        <v>10</v>
      </c>
      <c r="C961" s="13">
        <v>19.600000000000001</v>
      </c>
      <c r="D961" s="14">
        <v>18.5</v>
      </c>
      <c r="E961">
        <f t="shared" si="14"/>
        <v>2035</v>
      </c>
      <c r="F961" s="18">
        <v>1</v>
      </c>
    </row>
    <row r="962" spans="1:6" x14ac:dyDescent="0.35">
      <c r="A962" s="7">
        <v>49601</v>
      </c>
      <c r="B962" s="8" t="s">
        <v>19</v>
      </c>
      <c r="C962" s="9">
        <v>21.5</v>
      </c>
      <c r="D962" s="10">
        <v>3</v>
      </c>
      <c r="E962">
        <f t="shared" si="14"/>
        <v>2035</v>
      </c>
      <c r="F962" s="18">
        <v>1</v>
      </c>
    </row>
    <row r="963" spans="1:6" x14ac:dyDescent="0.35">
      <c r="A963" s="11">
        <v>49602</v>
      </c>
      <c r="B963" s="12" t="s">
        <v>15</v>
      </c>
      <c r="C963" s="13">
        <v>24.2</v>
      </c>
      <c r="D963" s="14">
        <v>17.399999999999999</v>
      </c>
      <c r="E963">
        <f t="shared" ref="E963:E1026" si="15">YEAR(A963)</f>
        <v>2035</v>
      </c>
      <c r="F963" s="18">
        <v>1</v>
      </c>
    </row>
    <row r="964" spans="1:6" x14ac:dyDescent="0.35">
      <c r="A964" s="7">
        <v>49603</v>
      </c>
      <c r="B964" s="8" t="s">
        <v>27</v>
      </c>
      <c r="C964" s="9">
        <v>12</v>
      </c>
      <c r="D964" s="10">
        <v>0</v>
      </c>
      <c r="E964">
        <f t="shared" si="15"/>
        <v>2035</v>
      </c>
      <c r="F964" s="18">
        <v>1</v>
      </c>
    </row>
    <row r="965" spans="1:6" x14ac:dyDescent="0.35">
      <c r="A965" s="11">
        <v>49604</v>
      </c>
      <c r="B965" s="12" t="s">
        <v>33</v>
      </c>
      <c r="C965" s="13">
        <v>23</v>
      </c>
      <c r="D965" s="14">
        <v>0</v>
      </c>
      <c r="E965">
        <f t="shared" si="15"/>
        <v>2035</v>
      </c>
      <c r="F965" s="18">
        <v>1</v>
      </c>
    </row>
    <row r="966" spans="1:6" x14ac:dyDescent="0.35">
      <c r="A966" s="7">
        <v>49605</v>
      </c>
      <c r="B966" s="8" t="s">
        <v>19</v>
      </c>
      <c r="C966" s="9">
        <v>19.8</v>
      </c>
      <c r="D966" s="10">
        <v>29.2</v>
      </c>
      <c r="E966">
        <f t="shared" si="15"/>
        <v>2035</v>
      </c>
      <c r="F966" s="18">
        <v>1</v>
      </c>
    </row>
    <row r="967" spans="1:6" x14ac:dyDescent="0.35">
      <c r="A967" s="11">
        <v>49606</v>
      </c>
      <c r="B967" s="12" t="s">
        <v>5</v>
      </c>
      <c r="C967" s="13">
        <v>14.9</v>
      </c>
      <c r="D967" s="14">
        <v>0.8</v>
      </c>
      <c r="E967">
        <f t="shared" si="15"/>
        <v>2035</v>
      </c>
      <c r="F967" s="18">
        <v>1</v>
      </c>
    </row>
    <row r="968" spans="1:6" x14ac:dyDescent="0.35">
      <c r="A968" s="7">
        <v>49607</v>
      </c>
      <c r="B968" s="8" t="s">
        <v>15</v>
      </c>
      <c r="C968" s="9">
        <v>17.899999999999999</v>
      </c>
      <c r="D968" s="10">
        <v>10.3</v>
      </c>
      <c r="E968">
        <f t="shared" si="15"/>
        <v>2035</v>
      </c>
      <c r="F968" s="18">
        <v>1</v>
      </c>
    </row>
    <row r="969" spans="1:6" x14ac:dyDescent="0.35">
      <c r="A969" s="11">
        <v>49608</v>
      </c>
      <c r="B969" s="12" t="s">
        <v>7</v>
      </c>
      <c r="C969" s="13">
        <v>26</v>
      </c>
      <c r="D969" s="14">
        <v>0</v>
      </c>
      <c r="E969">
        <f t="shared" si="15"/>
        <v>2035</v>
      </c>
      <c r="F969" s="18">
        <v>1</v>
      </c>
    </row>
    <row r="970" spans="1:6" x14ac:dyDescent="0.35">
      <c r="A970" s="7">
        <v>49609</v>
      </c>
      <c r="B970" s="8" t="s">
        <v>12</v>
      </c>
      <c r="C970" s="9">
        <v>21.5</v>
      </c>
      <c r="D970" s="10">
        <v>9.3000000000000007</v>
      </c>
      <c r="E970">
        <f t="shared" si="15"/>
        <v>2035</v>
      </c>
      <c r="F970" s="18">
        <v>1</v>
      </c>
    </row>
    <row r="971" spans="1:6" x14ac:dyDescent="0.35">
      <c r="A971" s="11">
        <v>49610</v>
      </c>
      <c r="B971" s="12" t="s">
        <v>19</v>
      </c>
      <c r="C971" s="13">
        <v>29.9</v>
      </c>
      <c r="D971" s="14">
        <v>2.4</v>
      </c>
      <c r="E971">
        <f t="shared" si="15"/>
        <v>2035</v>
      </c>
      <c r="F971" s="18">
        <v>1</v>
      </c>
    </row>
    <row r="972" spans="1:6" x14ac:dyDescent="0.35">
      <c r="A972" s="7">
        <v>49611</v>
      </c>
      <c r="B972" s="8" t="s">
        <v>10</v>
      </c>
      <c r="C972" s="9">
        <v>12.3</v>
      </c>
      <c r="D972" s="10">
        <v>35.1</v>
      </c>
      <c r="E972">
        <f t="shared" si="15"/>
        <v>2035</v>
      </c>
      <c r="F972" s="18">
        <v>1</v>
      </c>
    </row>
    <row r="973" spans="1:6" x14ac:dyDescent="0.35">
      <c r="A973" s="11">
        <v>49612</v>
      </c>
      <c r="B973" s="12" t="s">
        <v>17</v>
      </c>
      <c r="C973" s="13">
        <v>21.7</v>
      </c>
      <c r="D973" s="14">
        <v>3.9</v>
      </c>
      <c r="E973">
        <f t="shared" si="15"/>
        <v>2035</v>
      </c>
      <c r="F973" s="18">
        <v>1</v>
      </c>
    </row>
    <row r="974" spans="1:6" x14ac:dyDescent="0.35">
      <c r="A974" s="7">
        <v>49613</v>
      </c>
      <c r="B974" s="8" t="s">
        <v>10</v>
      </c>
      <c r="C974" s="9">
        <v>10.7</v>
      </c>
      <c r="D974" s="10">
        <v>0</v>
      </c>
      <c r="E974">
        <f t="shared" si="15"/>
        <v>2035</v>
      </c>
      <c r="F974" s="18">
        <v>1</v>
      </c>
    </row>
    <row r="975" spans="1:6" x14ac:dyDescent="0.35">
      <c r="A975" s="11">
        <v>49614</v>
      </c>
      <c r="B975" s="12" t="s">
        <v>5</v>
      </c>
      <c r="C975" s="13">
        <v>21.5</v>
      </c>
      <c r="D975" s="14">
        <v>0</v>
      </c>
      <c r="E975">
        <f t="shared" si="15"/>
        <v>2035</v>
      </c>
      <c r="F975" s="18">
        <v>1</v>
      </c>
    </row>
    <row r="976" spans="1:6" x14ac:dyDescent="0.35">
      <c r="A976" s="7">
        <v>49615</v>
      </c>
      <c r="B976" s="8" t="s">
        <v>10</v>
      </c>
      <c r="C976" s="9">
        <v>26</v>
      </c>
      <c r="D976" s="10">
        <v>33.799999999999997</v>
      </c>
      <c r="E976">
        <f t="shared" si="15"/>
        <v>2035</v>
      </c>
      <c r="F976" s="18">
        <v>1</v>
      </c>
    </row>
    <row r="977" spans="1:6" x14ac:dyDescent="0.35">
      <c r="A977" s="11">
        <v>49616</v>
      </c>
      <c r="B977" s="12" t="s">
        <v>15</v>
      </c>
      <c r="C977" s="13">
        <v>24.4</v>
      </c>
      <c r="D977" s="14">
        <v>15.4</v>
      </c>
      <c r="E977">
        <f t="shared" si="15"/>
        <v>2035</v>
      </c>
      <c r="F977" s="18">
        <v>1</v>
      </c>
    </row>
    <row r="978" spans="1:6" x14ac:dyDescent="0.35">
      <c r="A978" s="7">
        <v>49617</v>
      </c>
      <c r="B978" s="8" t="s">
        <v>5</v>
      </c>
      <c r="C978" s="9">
        <v>20.8</v>
      </c>
      <c r="D978" s="10">
        <v>0</v>
      </c>
      <c r="E978">
        <f t="shared" si="15"/>
        <v>2035</v>
      </c>
      <c r="F978" s="18">
        <v>1</v>
      </c>
    </row>
    <row r="979" spans="1:6" x14ac:dyDescent="0.35">
      <c r="A979" s="11">
        <v>49618</v>
      </c>
      <c r="B979" s="12" t="s">
        <v>13</v>
      </c>
      <c r="C979" s="13">
        <v>18.2</v>
      </c>
      <c r="D979" s="14">
        <v>15.7</v>
      </c>
      <c r="E979">
        <f t="shared" si="15"/>
        <v>2035</v>
      </c>
      <c r="F979" s="18">
        <v>1</v>
      </c>
    </row>
    <row r="980" spans="1:6" x14ac:dyDescent="0.35">
      <c r="A980" s="7">
        <v>49619</v>
      </c>
      <c r="B980" s="8" t="s">
        <v>17</v>
      </c>
      <c r="C980" s="9">
        <v>25.6</v>
      </c>
      <c r="D980" s="10">
        <v>7</v>
      </c>
      <c r="E980">
        <f t="shared" si="15"/>
        <v>2035</v>
      </c>
      <c r="F980" s="18">
        <v>1</v>
      </c>
    </row>
    <row r="981" spans="1:6" x14ac:dyDescent="0.35">
      <c r="A981" s="11">
        <v>49620</v>
      </c>
      <c r="B981" s="12" t="s">
        <v>11</v>
      </c>
      <c r="C981" s="13">
        <v>25.2</v>
      </c>
      <c r="D981" s="14">
        <v>0</v>
      </c>
      <c r="E981">
        <f t="shared" si="15"/>
        <v>2035</v>
      </c>
      <c r="F981" s="18">
        <v>1</v>
      </c>
    </row>
    <row r="982" spans="1:6" x14ac:dyDescent="0.35">
      <c r="A982" s="7">
        <v>49621</v>
      </c>
      <c r="B982" s="8" t="s">
        <v>12</v>
      </c>
      <c r="C982" s="9">
        <v>19.5</v>
      </c>
      <c r="D982" s="10">
        <v>5.3</v>
      </c>
      <c r="E982">
        <f t="shared" si="15"/>
        <v>2035</v>
      </c>
      <c r="F982" s="18">
        <v>1</v>
      </c>
    </row>
    <row r="983" spans="1:6" x14ac:dyDescent="0.35">
      <c r="A983" s="11">
        <v>49622</v>
      </c>
      <c r="B983" s="12" t="s">
        <v>24</v>
      </c>
      <c r="C983" s="13">
        <v>15.2</v>
      </c>
      <c r="D983" s="14">
        <v>2.1</v>
      </c>
      <c r="E983">
        <f t="shared" si="15"/>
        <v>2035</v>
      </c>
      <c r="F983" s="18">
        <v>1</v>
      </c>
    </row>
    <row r="984" spans="1:6" x14ac:dyDescent="0.35">
      <c r="A984" s="7">
        <v>49623</v>
      </c>
      <c r="B984" s="8" t="s">
        <v>15</v>
      </c>
      <c r="C984" s="9">
        <v>21.3</v>
      </c>
      <c r="D984" s="10">
        <v>11.4</v>
      </c>
      <c r="E984">
        <f t="shared" si="15"/>
        <v>2035</v>
      </c>
      <c r="F984" s="18">
        <v>1</v>
      </c>
    </row>
    <row r="985" spans="1:6" x14ac:dyDescent="0.35">
      <c r="A985" s="11">
        <v>49624</v>
      </c>
      <c r="B985" s="12" t="s">
        <v>15</v>
      </c>
      <c r="C985" s="13">
        <v>21.8</v>
      </c>
      <c r="D985" s="14">
        <v>17.399999999999999</v>
      </c>
      <c r="E985">
        <f t="shared" si="15"/>
        <v>2035</v>
      </c>
      <c r="F985" s="18">
        <v>1</v>
      </c>
    </row>
    <row r="986" spans="1:6" x14ac:dyDescent="0.35">
      <c r="A986" s="7">
        <v>49625</v>
      </c>
      <c r="B986" s="8" t="s">
        <v>16</v>
      </c>
      <c r="C986" s="9">
        <v>27.7</v>
      </c>
      <c r="D986" s="10">
        <v>0.5</v>
      </c>
      <c r="E986">
        <f t="shared" si="15"/>
        <v>2035</v>
      </c>
      <c r="F986" s="18">
        <v>1</v>
      </c>
    </row>
    <row r="987" spans="1:6" x14ac:dyDescent="0.35">
      <c r="A987" s="11">
        <v>49626</v>
      </c>
      <c r="B987" s="12" t="s">
        <v>10</v>
      </c>
      <c r="C987" s="13">
        <v>28.5</v>
      </c>
      <c r="D987" s="14">
        <v>46</v>
      </c>
      <c r="E987">
        <f t="shared" si="15"/>
        <v>2035</v>
      </c>
      <c r="F987" s="18">
        <v>1</v>
      </c>
    </row>
    <row r="988" spans="1:6" x14ac:dyDescent="0.35">
      <c r="A988" s="7">
        <v>49627</v>
      </c>
      <c r="B988" s="8" t="s">
        <v>27</v>
      </c>
      <c r="C988" s="9">
        <v>25.7</v>
      </c>
      <c r="D988" s="10">
        <v>0</v>
      </c>
      <c r="E988">
        <f t="shared" si="15"/>
        <v>2035</v>
      </c>
      <c r="F988" s="18">
        <v>1</v>
      </c>
    </row>
    <row r="989" spans="1:6" x14ac:dyDescent="0.35">
      <c r="A989" s="11">
        <v>49628</v>
      </c>
      <c r="B989" s="12" t="s">
        <v>10</v>
      </c>
      <c r="C989" s="13">
        <v>18</v>
      </c>
      <c r="D989" s="14">
        <v>0.5</v>
      </c>
      <c r="E989">
        <f t="shared" si="15"/>
        <v>2035</v>
      </c>
      <c r="F989" s="18">
        <v>1</v>
      </c>
    </row>
    <row r="990" spans="1:6" x14ac:dyDescent="0.35">
      <c r="A990" s="7">
        <v>49629</v>
      </c>
      <c r="B990" s="8" t="s">
        <v>6</v>
      </c>
      <c r="C990" s="9">
        <v>29.5</v>
      </c>
      <c r="D990" s="10">
        <v>0</v>
      </c>
      <c r="E990">
        <f t="shared" si="15"/>
        <v>2035</v>
      </c>
      <c r="F990" s="18">
        <v>1</v>
      </c>
    </row>
    <row r="991" spans="1:6" x14ac:dyDescent="0.35">
      <c r="A991" s="11">
        <v>49630</v>
      </c>
      <c r="B991" s="12" t="s">
        <v>18</v>
      </c>
      <c r="C991" s="13">
        <v>21</v>
      </c>
      <c r="D991" s="14">
        <v>10.3</v>
      </c>
      <c r="E991">
        <f t="shared" si="15"/>
        <v>2035</v>
      </c>
      <c r="F991" s="18">
        <v>1</v>
      </c>
    </row>
    <row r="992" spans="1:6" x14ac:dyDescent="0.35">
      <c r="A992" s="7">
        <v>49631</v>
      </c>
      <c r="B992" s="8" t="s">
        <v>20</v>
      </c>
      <c r="C992" s="9">
        <v>11.4</v>
      </c>
      <c r="D992" s="10">
        <v>3.2</v>
      </c>
      <c r="E992">
        <f t="shared" si="15"/>
        <v>2035</v>
      </c>
      <c r="F992" s="18">
        <v>1</v>
      </c>
    </row>
    <row r="993" spans="1:6" x14ac:dyDescent="0.35">
      <c r="A993" s="11">
        <v>49632</v>
      </c>
      <c r="B993" s="12" t="s">
        <v>10</v>
      </c>
      <c r="C993" s="13">
        <v>12.7</v>
      </c>
      <c r="D993" s="14">
        <v>0</v>
      </c>
      <c r="E993">
        <f t="shared" si="15"/>
        <v>2035</v>
      </c>
      <c r="F993" s="18">
        <v>1</v>
      </c>
    </row>
    <row r="994" spans="1:6" x14ac:dyDescent="0.35">
      <c r="A994" s="7">
        <v>49633</v>
      </c>
      <c r="B994" s="8" t="s">
        <v>5</v>
      </c>
      <c r="C994" s="9">
        <v>14.1</v>
      </c>
      <c r="D994" s="10">
        <v>6.2</v>
      </c>
      <c r="E994">
        <f t="shared" si="15"/>
        <v>2035</v>
      </c>
      <c r="F994" s="18">
        <v>1</v>
      </c>
    </row>
    <row r="995" spans="1:6" x14ac:dyDescent="0.35">
      <c r="A995" s="11">
        <v>49634</v>
      </c>
      <c r="B995" s="12" t="s">
        <v>10</v>
      </c>
      <c r="C995" s="13">
        <v>29.5</v>
      </c>
      <c r="D995" s="14">
        <v>29.9</v>
      </c>
      <c r="E995">
        <f t="shared" si="15"/>
        <v>2035</v>
      </c>
      <c r="F995" s="18">
        <v>1</v>
      </c>
    </row>
    <row r="996" spans="1:6" x14ac:dyDescent="0.35">
      <c r="A996" s="7">
        <v>49635</v>
      </c>
      <c r="B996" s="8" t="s">
        <v>22</v>
      </c>
      <c r="C996" s="9">
        <v>18.399999999999999</v>
      </c>
      <c r="D996" s="10">
        <v>0</v>
      </c>
      <c r="E996">
        <f t="shared" si="15"/>
        <v>2035</v>
      </c>
      <c r="F996" s="18">
        <v>1</v>
      </c>
    </row>
    <row r="997" spans="1:6" x14ac:dyDescent="0.35">
      <c r="A997" s="11">
        <v>49636</v>
      </c>
      <c r="B997" s="12" t="s">
        <v>10</v>
      </c>
      <c r="C997" s="13">
        <v>29.6</v>
      </c>
      <c r="D997" s="14">
        <v>43.9</v>
      </c>
      <c r="E997">
        <f t="shared" si="15"/>
        <v>2035</v>
      </c>
      <c r="F997" s="18">
        <v>1</v>
      </c>
    </row>
    <row r="998" spans="1:6" x14ac:dyDescent="0.35">
      <c r="A998" s="7">
        <v>49637</v>
      </c>
      <c r="B998" s="8" t="s">
        <v>15</v>
      </c>
      <c r="C998" s="9">
        <v>22.6</v>
      </c>
      <c r="D998" s="10">
        <v>14.6</v>
      </c>
      <c r="E998">
        <f t="shared" si="15"/>
        <v>2035</v>
      </c>
      <c r="F998" s="18">
        <v>1</v>
      </c>
    </row>
    <row r="999" spans="1:6" x14ac:dyDescent="0.35">
      <c r="A999" s="11">
        <v>49638</v>
      </c>
      <c r="B999" s="12" t="s">
        <v>14</v>
      </c>
      <c r="C999" s="13">
        <v>13.2</v>
      </c>
      <c r="D999" s="14">
        <v>6.7</v>
      </c>
      <c r="E999">
        <f t="shared" si="15"/>
        <v>2035</v>
      </c>
      <c r="F999" s="18">
        <v>1</v>
      </c>
    </row>
    <row r="1000" spans="1:6" x14ac:dyDescent="0.35">
      <c r="A1000" s="7">
        <v>49639</v>
      </c>
      <c r="B1000" s="8" t="s">
        <v>6</v>
      </c>
      <c r="C1000" s="9">
        <v>10.4</v>
      </c>
      <c r="D1000" s="10">
        <v>8.5</v>
      </c>
      <c r="E1000">
        <f t="shared" si="15"/>
        <v>2035</v>
      </c>
      <c r="F1000" s="18">
        <v>1</v>
      </c>
    </row>
    <row r="1001" spans="1:6" x14ac:dyDescent="0.35">
      <c r="A1001" s="11">
        <v>49640</v>
      </c>
      <c r="B1001" s="12" t="s">
        <v>13</v>
      </c>
      <c r="C1001" s="13">
        <v>16.899999999999999</v>
      </c>
      <c r="D1001" s="14">
        <v>16.399999999999999</v>
      </c>
      <c r="E1001">
        <f t="shared" si="15"/>
        <v>2035</v>
      </c>
      <c r="F1001" s="18">
        <v>1</v>
      </c>
    </row>
    <row r="1002" spans="1:6" x14ac:dyDescent="0.35">
      <c r="A1002" s="7">
        <v>49641</v>
      </c>
      <c r="B1002" s="8" t="s">
        <v>15</v>
      </c>
      <c r="C1002" s="9">
        <v>19.399999999999999</v>
      </c>
      <c r="D1002" s="10">
        <v>0</v>
      </c>
      <c r="E1002">
        <f t="shared" si="15"/>
        <v>2035</v>
      </c>
      <c r="F1002" s="18">
        <v>1</v>
      </c>
    </row>
    <row r="1003" spans="1:6" x14ac:dyDescent="0.35">
      <c r="A1003" s="11">
        <v>49642</v>
      </c>
      <c r="B1003" s="12" t="s">
        <v>24</v>
      </c>
      <c r="C1003" s="13">
        <v>16.899999999999999</v>
      </c>
      <c r="D1003" s="14">
        <v>1</v>
      </c>
      <c r="E1003">
        <f t="shared" si="15"/>
        <v>2035</v>
      </c>
      <c r="F1003" s="18">
        <v>1</v>
      </c>
    </row>
    <row r="1004" spans="1:6" x14ac:dyDescent="0.35">
      <c r="A1004" s="7">
        <v>49643</v>
      </c>
      <c r="B1004" s="8" t="s">
        <v>10</v>
      </c>
      <c r="C1004" s="9">
        <v>18.399999999999999</v>
      </c>
      <c r="D1004" s="10">
        <v>0</v>
      </c>
      <c r="E1004">
        <f t="shared" si="15"/>
        <v>2035</v>
      </c>
      <c r="F1004" s="18">
        <v>1</v>
      </c>
    </row>
    <row r="1005" spans="1:6" x14ac:dyDescent="0.35">
      <c r="A1005" s="11">
        <v>49644</v>
      </c>
      <c r="B1005" s="12" t="s">
        <v>15</v>
      </c>
      <c r="C1005" s="13">
        <v>13.4</v>
      </c>
      <c r="D1005" s="14">
        <v>12.8</v>
      </c>
      <c r="E1005">
        <f t="shared" si="15"/>
        <v>2035</v>
      </c>
      <c r="F1005" s="18">
        <v>1</v>
      </c>
    </row>
    <row r="1006" spans="1:6" x14ac:dyDescent="0.35">
      <c r="A1006" s="7">
        <v>49645</v>
      </c>
      <c r="B1006" s="8" t="s">
        <v>7</v>
      </c>
      <c r="C1006" s="9">
        <v>28.8</v>
      </c>
      <c r="D1006" s="10">
        <v>0</v>
      </c>
      <c r="E1006">
        <f t="shared" si="15"/>
        <v>2035</v>
      </c>
      <c r="F1006" s="18">
        <v>1</v>
      </c>
    </row>
    <row r="1007" spans="1:6" x14ac:dyDescent="0.35">
      <c r="A1007" s="11">
        <v>49646</v>
      </c>
      <c r="B1007" s="12" t="s">
        <v>13</v>
      </c>
      <c r="C1007" s="13">
        <v>19.5</v>
      </c>
      <c r="D1007" s="14">
        <v>1.3</v>
      </c>
      <c r="E1007">
        <f t="shared" si="15"/>
        <v>2035</v>
      </c>
      <c r="F1007" s="18">
        <v>1</v>
      </c>
    </row>
    <row r="1008" spans="1:6" x14ac:dyDescent="0.35">
      <c r="A1008" s="7">
        <v>49647</v>
      </c>
      <c r="B1008" s="8" t="s">
        <v>11</v>
      </c>
      <c r="C1008" s="9">
        <v>29</v>
      </c>
      <c r="D1008" s="10">
        <v>14</v>
      </c>
      <c r="E1008">
        <f t="shared" si="15"/>
        <v>2035</v>
      </c>
      <c r="F1008" s="18">
        <v>1</v>
      </c>
    </row>
    <row r="1009" spans="1:6" x14ac:dyDescent="0.35">
      <c r="A1009" s="11">
        <v>49648</v>
      </c>
      <c r="B1009" s="12" t="s">
        <v>10</v>
      </c>
      <c r="C1009" s="13">
        <v>29.6</v>
      </c>
      <c r="D1009" s="14">
        <v>28.7</v>
      </c>
      <c r="E1009">
        <f t="shared" si="15"/>
        <v>2035</v>
      </c>
      <c r="F1009" s="18">
        <v>1</v>
      </c>
    </row>
    <row r="1010" spans="1:6" x14ac:dyDescent="0.35">
      <c r="A1010" s="7">
        <v>49649</v>
      </c>
      <c r="B1010" s="8" t="s">
        <v>6</v>
      </c>
      <c r="C1010" s="9">
        <v>26.5</v>
      </c>
      <c r="D1010" s="10">
        <v>0</v>
      </c>
      <c r="E1010">
        <f t="shared" si="15"/>
        <v>2035</v>
      </c>
      <c r="F1010" s="18">
        <v>1</v>
      </c>
    </row>
    <row r="1011" spans="1:6" x14ac:dyDescent="0.35">
      <c r="A1011" s="11">
        <v>49650</v>
      </c>
      <c r="B1011" s="12" t="s">
        <v>18</v>
      </c>
      <c r="C1011" s="13">
        <v>24.8</v>
      </c>
      <c r="D1011" s="14">
        <v>12.1</v>
      </c>
      <c r="E1011">
        <f t="shared" si="15"/>
        <v>2035</v>
      </c>
      <c r="F1011" s="18">
        <v>1</v>
      </c>
    </row>
    <row r="1012" spans="1:6" x14ac:dyDescent="0.35">
      <c r="A1012" s="7">
        <v>49651</v>
      </c>
      <c r="B1012" s="8" t="s">
        <v>10</v>
      </c>
      <c r="C1012" s="9">
        <v>20</v>
      </c>
      <c r="D1012" s="10">
        <v>14.7</v>
      </c>
      <c r="E1012">
        <f t="shared" si="15"/>
        <v>2035</v>
      </c>
      <c r="F1012" s="18">
        <v>1</v>
      </c>
    </row>
    <row r="1013" spans="1:6" x14ac:dyDescent="0.35">
      <c r="A1013" s="11">
        <v>49652</v>
      </c>
      <c r="B1013" s="12" t="s">
        <v>19</v>
      </c>
      <c r="C1013" s="13">
        <v>16.899999999999999</v>
      </c>
      <c r="D1013" s="14">
        <v>38.299999999999997</v>
      </c>
      <c r="E1013">
        <f t="shared" si="15"/>
        <v>2035</v>
      </c>
      <c r="F1013" s="18">
        <v>1</v>
      </c>
    </row>
    <row r="1014" spans="1:6" x14ac:dyDescent="0.35">
      <c r="A1014" s="7">
        <v>49653</v>
      </c>
      <c r="B1014" s="8" t="s">
        <v>10</v>
      </c>
      <c r="C1014" s="9">
        <v>11.5</v>
      </c>
      <c r="D1014" s="10">
        <v>24.7</v>
      </c>
      <c r="E1014">
        <f t="shared" si="15"/>
        <v>2035</v>
      </c>
      <c r="F1014" s="18">
        <v>1</v>
      </c>
    </row>
    <row r="1015" spans="1:6" x14ac:dyDescent="0.35">
      <c r="A1015" s="11">
        <v>49654</v>
      </c>
      <c r="B1015" s="12" t="s">
        <v>13</v>
      </c>
      <c r="C1015" s="13">
        <v>11.4</v>
      </c>
      <c r="D1015" s="14">
        <v>0</v>
      </c>
      <c r="E1015">
        <f t="shared" si="15"/>
        <v>2035</v>
      </c>
      <c r="F1015" s="18">
        <v>1</v>
      </c>
    </row>
    <row r="1016" spans="1:6" x14ac:dyDescent="0.35">
      <c r="A1016" s="7">
        <v>49655</v>
      </c>
      <c r="B1016" s="8" t="s">
        <v>6</v>
      </c>
      <c r="C1016" s="9">
        <v>28.5</v>
      </c>
      <c r="D1016" s="10">
        <v>0</v>
      </c>
      <c r="E1016">
        <f t="shared" si="15"/>
        <v>2035</v>
      </c>
      <c r="F1016" s="18">
        <v>1</v>
      </c>
    </row>
    <row r="1017" spans="1:6" x14ac:dyDescent="0.35">
      <c r="A1017" s="11">
        <v>49656</v>
      </c>
      <c r="B1017" s="12" t="s">
        <v>22</v>
      </c>
      <c r="C1017" s="13">
        <v>27.9</v>
      </c>
      <c r="D1017" s="14">
        <v>0.7</v>
      </c>
      <c r="E1017">
        <f t="shared" si="15"/>
        <v>2035</v>
      </c>
      <c r="F1017" s="18">
        <v>1</v>
      </c>
    </row>
    <row r="1018" spans="1:6" x14ac:dyDescent="0.35">
      <c r="A1018" s="7">
        <v>49657</v>
      </c>
      <c r="B1018" s="8" t="s">
        <v>7</v>
      </c>
      <c r="C1018" s="9">
        <v>26.7</v>
      </c>
      <c r="D1018" s="10">
        <v>15.5</v>
      </c>
      <c r="E1018">
        <f t="shared" si="15"/>
        <v>2035</v>
      </c>
      <c r="F1018" s="18">
        <v>1</v>
      </c>
    </row>
    <row r="1019" spans="1:6" x14ac:dyDescent="0.35">
      <c r="A1019" s="11">
        <v>49658</v>
      </c>
      <c r="B1019" s="12" t="s">
        <v>18</v>
      </c>
      <c r="C1019" s="13">
        <v>28.3</v>
      </c>
      <c r="D1019" s="14">
        <v>6.8</v>
      </c>
      <c r="E1019">
        <f t="shared" si="15"/>
        <v>2035</v>
      </c>
      <c r="F1019" s="18">
        <v>1</v>
      </c>
    </row>
    <row r="1020" spans="1:6" x14ac:dyDescent="0.35">
      <c r="A1020" s="7">
        <v>49659</v>
      </c>
      <c r="B1020" s="8" t="s">
        <v>10</v>
      </c>
      <c r="C1020" s="9">
        <v>28.9</v>
      </c>
      <c r="D1020" s="10">
        <v>0</v>
      </c>
      <c r="E1020">
        <f t="shared" si="15"/>
        <v>2035</v>
      </c>
      <c r="F1020" s="18">
        <v>1</v>
      </c>
    </row>
    <row r="1021" spans="1:6" x14ac:dyDescent="0.35">
      <c r="A1021" s="11">
        <v>49660</v>
      </c>
      <c r="B1021" s="12" t="s">
        <v>20</v>
      </c>
      <c r="C1021" s="13">
        <v>21.6</v>
      </c>
      <c r="D1021" s="14">
        <v>4</v>
      </c>
      <c r="E1021">
        <f t="shared" si="15"/>
        <v>2035</v>
      </c>
      <c r="F1021" s="18">
        <v>1</v>
      </c>
    </row>
    <row r="1022" spans="1:6" x14ac:dyDescent="0.35">
      <c r="A1022" s="7">
        <v>49661</v>
      </c>
      <c r="B1022" s="8" t="s">
        <v>23</v>
      </c>
      <c r="C1022" s="9">
        <v>16.5</v>
      </c>
      <c r="D1022" s="10">
        <v>4.2</v>
      </c>
      <c r="E1022">
        <f t="shared" si="15"/>
        <v>2035</v>
      </c>
      <c r="F1022" s="18">
        <v>1</v>
      </c>
    </row>
    <row r="1023" spans="1:6" x14ac:dyDescent="0.35">
      <c r="A1023" s="11">
        <v>49662</v>
      </c>
      <c r="B1023" s="12" t="s">
        <v>13</v>
      </c>
      <c r="C1023" s="13">
        <v>24.6</v>
      </c>
      <c r="D1023" s="14">
        <v>10.6</v>
      </c>
      <c r="E1023">
        <f t="shared" si="15"/>
        <v>2035</v>
      </c>
      <c r="F1023" s="18">
        <v>1</v>
      </c>
    </row>
    <row r="1024" spans="1:6" x14ac:dyDescent="0.35">
      <c r="A1024" s="7">
        <v>49663</v>
      </c>
      <c r="B1024" s="8" t="s">
        <v>10</v>
      </c>
      <c r="C1024" s="9">
        <v>28.9</v>
      </c>
      <c r="D1024" s="10">
        <v>40.799999999999997</v>
      </c>
      <c r="E1024">
        <f t="shared" si="15"/>
        <v>2035</v>
      </c>
      <c r="F1024" s="18">
        <v>1</v>
      </c>
    </row>
    <row r="1025" spans="1:6" x14ac:dyDescent="0.35">
      <c r="A1025" s="11">
        <v>49664</v>
      </c>
      <c r="B1025" s="12" t="s">
        <v>10</v>
      </c>
      <c r="C1025" s="13">
        <v>22.1</v>
      </c>
      <c r="D1025" s="14">
        <v>10</v>
      </c>
      <c r="E1025">
        <f t="shared" si="15"/>
        <v>2035</v>
      </c>
      <c r="F1025" s="18">
        <v>1</v>
      </c>
    </row>
    <row r="1026" spans="1:6" x14ac:dyDescent="0.35">
      <c r="A1026" s="7">
        <v>49665</v>
      </c>
      <c r="B1026" s="8" t="s">
        <v>21</v>
      </c>
      <c r="C1026" s="9">
        <v>29.3</v>
      </c>
      <c r="D1026" s="10">
        <v>0</v>
      </c>
      <c r="E1026">
        <f t="shared" si="15"/>
        <v>2035</v>
      </c>
      <c r="F1026" s="18">
        <v>1</v>
      </c>
    </row>
    <row r="1027" spans="1:6" x14ac:dyDescent="0.35">
      <c r="A1027" s="11">
        <v>49666</v>
      </c>
      <c r="B1027" s="12" t="s">
        <v>18</v>
      </c>
      <c r="C1027" s="13">
        <v>18.8</v>
      </c>
      <c r="D1027" s="14">
        <v>4.7</v>
      </c>
      <c r="E1027">
        <f t="shared" ref="E1027:E1090" si="16">YEAR(A1027)</f>
        <v>2035</v>
      </c>
      <c r="F1027" s="18">
        <v>1</v>
      </c>
    </row>
    <row r="1028" spans="1:6" x14ac:dyDescent="0.35">
      <c r="A1028" s="7">
        <v>49667</v>
      </c>
      <c r="B1028" s="8" t="s">
        <v>19</v>
      </c>
      <c r="C1028" s="9">
        <v>26.5</v>
      </c>
      <c r="D1028" s="10">
        <v>7.3</v>
      </c>
      <c r="E1028">
        <f t="shared" si="16"/>
        <v>2035</v>
      </c>
      <c r="F1028" s="18">
        <v>1</v>
      </c>
    </row>
    <row r="1029" spans="1:6" x14ac:dyDescent="0.35">
      <c r="A1029" s="11">
        <v>49668</v>
      </c>
      <c r="B1029" s="12" t="s">
        <v>11</v>
      </c>
      <c r="C1029" s="13">
        <v>24</v>
      </c>
      <c r="D1029" s="14">
        <v>0</v>
      </c>
      <c r="E1029">
        <f t="shared" si="16"/>
        <v>2035</v>
      </c>
      <c r="F1029" s="18">
        <v>1</v>
      </c>
    </row>
    <row r="1030" spans="1:6" x14ac:dyDescent="0.35">
      <c r="A1030" s="7">
        <v>49669</v>
      </c>
      <c r="B1030" s="8" t="s">
        <v>19</v>
      </c>
      <c r="C1030" s="9">
        <v>21</v>
      </c>
      <c r="D1030" s="10">
        <v>12.2</v>
      </c>
      <c r="E1030">
        <f t="shared" si="16"/>
        <v>2035</v>
      </c>
      <c r="F1030" s="18">
        <v>1</v>
      </c>
    </row>
    <row r="1031" spans="1:6" x14ac:dyDescent="0.35">
      <c r="A1031" s="11">
        <v>49670</v>
      </c>
      <c r="B1031" s="12" t="s">
        <v>17</v>
      </c>
      <c r="C1031" s="13">
        <v>28.1</v>
      </c>
      <c r="D1031" s="14">
        <v>6.7</v>
      </c>
      <c r="E1031">
        <f t="shared" si="16"/>
        <v>2035</v>
      </c>
      <c r="F1031" s="18">
        <v>1</v>
      </c>
    </row>
    <row r="1032" spans="1:6" x14ac:dyDescent="0.35">
      <c r="A1032" s="7">
        <v>49671</v>
      </c>
      <c r="B1032" s="8" t="s">
        <v>14</v>
      </c>
      <c r="C1032" s="9">
        <v>23.3</v>
      </c>
      <c r="D1032" s="10">
        <v>4.8</v>
      </c>
      <c r="E1032">
        <f t="shared" si="16"/>
        <v>2035</v>
      </c>
      <c r="F1032" s="18">
        <v>1</v>
      </c>
    </row>
    <row r="1033" spans="1:6" x14ac:dyDescent="0.35">
      <c r="A1033" s="11">
        <v>49672</v>
      </c>
      <c r="B1033" s="12" t="s">
        <v>17</v>
      </c>
      <c r="C1033" s="13">
        <v>14.3</v>
      </c>
      <c r="D1033" s="14">
        <v>1.5</v>
      </c>
      <c r="E1033">
        <f t="shared" si="16"/>
        <v>2035</v>
      </c>
      <c r="F1033" s="18">
        <v>1</v>
      </c>
    </row>
    <row r="1034" spans="1:6" x14ac:dyDescent="0.35">
      <c r="A1034" s="7">
        <v>49673</v>
      </c>
      <c r="B1034" s="8" t="s">
        <v>25</v>
      </c>
      <c r="C1034" s="9">
        <v>12.6</v>
      </c>
      <c r="D1034" s="10">
        <v>1.1000000000000001</v>
      </c>
      <c r="E1034">
        <f t="shared" si="16"/>
        <v>2035</v>
      </c>
      <c r="F1034" s="18">
        <v>1</v>
      </c>
    </row>
    <row r="1035" spans="1:6" x14ac:dyDescent="0.35">
      <c r="A1035" s="11">
        <v>49674</v>
      </c>
      <c r="B1035" s="12" t="s">
        <v>19</v>
      </c>
      <c r="C1035" s="13">
        <v>18.100000000000001</v>
      </c>
      <c r="D1035" s="14">
        <v>0</v>
      </c>
      <c r="E1035">
        <f t="shared" si="16"/>
        <v>2035</v>
      </c>
      <c r="F1035" s="18">
        <v>1</v>
      </c>
    </row>
    <row r="1036" spans="1:6" x14ac:dyDescent="0.35">
      <c r="A1036" s="7">
        <v>49675</v>
      </c>
      <c r="B1036" s="8" t="s">
        <v>15</v>
      </c>
      <c r="C1036" s="9">
        <v>19</v>
      </c>
      <c r="D1036" s="10">
        <v>11</v>
      </c>
      <c r="E1036">
        <f t="shared" si="16"/>
        <v>2036</v>
      </c>
      <c r="F1036" s="18">
        <v>1</v>
      </c>
    </row>
    <row r="1037" spans="1:6" x14ac:dyDescent="0.35">
      <c r="A1037" s="11">
        <v>49676</v>
      </c>
      <c r="B1037" s="12" t="s">
        <v>14</v>
      </c>
      <c r="C1037" s="13">
        <v>13.1</v>
      </c>
      <c r="D1037" s="14">
        <v>0</v>
      </c>
      <c r="E1037">
        <f t="shared" si="16"/>
        <v>2036</v>
      </c>
      <c r="F1037" s="18">
        <v>1</v>
      </c>
    </row>
    <row r="1038" spans="1:6" x14ac:dyDescent="0.35">
      <c r="A1038" s="7">
        <v>49677</v>
      </c>
      <c r="B1038" s="8" t="s">
        <v>13</v>
      </c>
      <c r="C1038" s="9">
        <v>17.3</v>
      </c>
      <c r="D1038" s="10">
        <v>1.1000000000000001</v>
      </c>
      <c r="E1038">
        <f t="shared" si="16"/>
        <v>2036</v>
      </c>
      <c r="F1038" s="18">
        <v>1</v>
      </c>
    </row>
    <row r="1039" spans="1:6" x14ac:dyDescent="0.35">
      <c r="A1039" s="11">
        <v>49678</v>
      </c>
      <c r="B1039" s="12" t="s">
        <v>17</v>
      </c>
      <c r="C1039" s="13">
        <v>23.7</v>
      </c>
      <c r="D1039" s="14">
        <v>5.9</v>
      </c>
      <c r="E1039">
        <f t="shared" si="16"/>
        <v>2036</v>
      </c>
      <c r="F1039" s="18">
        <v>1</v>
      </c>
    </row>
    <row r="1040" spans="1:6" x14ac:dyDescent="0.35">
      <c r="A1040" s="7">
        <v>49679</v>
      </c>
      <c r="B1040" s="8" t="s">
        <v>33</v>
      </c>
      <c r="C1040" s="9">
        <v>26.3</v>
      </c>
      <c r="D1040" s="10">
        <v>0</v>
      </c>
      <c r="E1040">
        <f t="shared" si="16"/>
        <v>2036</v>
      </c>
      <c r="F1040" s="18">
        <v>1</v>
      </c>
    </row>
    <row r="1041" spans="1:6" x14ac:dyDescent="0.35">
      <c r="A1041" s="11">
        <v>49680</v>
      </c>
      <c r="B1041" s="12" t="s">
        <v>15</v>
      </c>
      <c r="C1041" s="13">
        <v>16.399999999999999</v>
      </c>
      <c r="D1041" s="14">
        <v>0</v>
      </c>
      <c r="E1041">
        <f t="shared" si="16"/>
        <v>2036</v>
      </c>
      <c r="F1041" s="18">
        <v>1</v>
      </c>
    </row>
    <row r="1042" spans="1:6" x14ac:dyDescent="0.35">
      <c r="A1042" s="7">
        <v>49681</v>
      </c>
      <c r="B1042" s="8" t="s">
        <v>9</v>
      </c>
      <c r="C1042" s="9">
        <v>13</v>
      </c>
      <c r="D1042" s="10">
        <v>0</v>
      </c>
      <c r="E1042">
        <f t="shared" si="16"/>
        <v>2036</v>
      </c>
      <c r="F1042" s="18">
        <v>1</v>
      </c>
    </row>
    <row r="1043" spans="1:6" x14ac:dyDescent="0.35">
      <c r="A1043" s="11">
        <v>49682</v>
      </c>
      <c r="B1043" s="12" t="s">
        <v>11</v>
      </c>
      <c r="C1043" s="13">
        <v>28.6</v>
      </c>
      <c r="D1043" s="14">
        <v>1</v>
      </c>
      <c r="E1043">
        <f t="shared" si="16"/>
        <v>2036</v>
      </c>
      <c r="F1043" s="18">
        <v>1</v>
      </c>
    </row>
    <row r="1044" spans="1:6" x14ac:dyDescent="0.35">
      <c r="A1044" s="7">
        <v>49683</v>
      </c>
      <c r="B1044" s="8" t="s">
        <v>10</v>
      </c>
      <c r="C1044" s="9">
        <v>11.1</v>
      </c>
      <c r="D1044" s="10">
        <v>2.4</v>
      </c>
      <c r="E1044">
        <f t="shared" si="16"/>
        <v>2036</v>
      </c>
      <c r="F1044" s="18">
        <v>1</v>
      </c>
    </row>
    <row r="1045" spans="1:6" x14ac:dyDescent="0.35">
      <c r="A1045" s="11">
        <v>49684</v>
      </c>
      <c r="B1045" s="12" t="s">
        <v>24</v>
      </c>
      <c r="C1045" s="13">
        <v>12.9</v>
      </c>
      <c r="D1045" s="14">
        <v>2.9</v>
      </c>
      <c r="E1045">
        <f t="shared" si="16"/>
        <v>2036</v>
      </c>
      <c r="F1045" s="18">
        <v>1</v>
      </c>
    </row>
    <row r="1046" spans="1:6" x14ac:dyDescent="0.35">
      <c r="A1046" s="7">
        <v>49685</v>
      </c>
      <c r="B1046" s="8" t="s">
        <v>30</v>
      </c>
      <c r="C1046" s="9">
        <v>28.4</v>
      </c>
      <c r="D1046" s="10">
        <v>0.9</v>
      </c>
      <c r="E1046">
        <f t="shared" si="16"/>
        <v>2036</v>
      </c>
      <c r="F1046" s="18">
        <v>1</v>
      </c>
    </row>
    <row r="1047" spans="1:6" x14ac:dyDescent="0.35">
      <c r="A1047" s="11">
        <v>49686</v>
      </c>
      <c r="B1047" s="12" t="s">
        <v>19</v>
      </c>
      <c r="C1047" s="13">
        <v>21.8</v>
      </c>
      <c r="D1047" s="14">
        <v>3.4</v>
      </c>
      <c r="E1047">
        <f t="shared" si="16"/>
        <v>2036</v>
      </c>
      <c r="F1047" s="18">
        <v>1</v>
      </c>
    </row>
    <row r="1048" spans="1:6" x14ac:dyDescent="0.35">
      <c r="A1048" s="7">
        <v>49687</v>
      </c>
      <c r="B1048" s="8" t="s">
        <v>6</v>
      </c>
      <c r="C1048" s="9">
        <v>20.8</v>
      </c>
      <c r="D1048" s="10">
        <v>11.8</v>
      </c>
      <c r="E1048">
        <f t="shared" si="16"/>
        <v>2036</v>
      </c>
      <c r="F1048" s="18">
        <v>1</v>
      </c>
    </row>
    <row r="1049" spans="1:6" x14ac:dyDescent="0.35">
      <c r="A1049" s="11">
        <v>49688</v>
      </c>
      <c r="B1049" s="12" t="s">
        <v>13</v>
      </c>
      <c r="C1049" s="13">
        <v>17.399999999999999</v>
      </c>
      <c r="D1049" s="14">
        <v>0</v>
      </c>
      <c r="E1049">
        <f t="shared" si="16"/>
        <v>2036</v>
      </c>
      <c r="F1049" s="18">
        <v>1</v>
      </c>
    </row>
    <row r="1050" spans="1:6" x14ac:dyDescent="0.35">
      <c r="A1050" s="7">
        <v>49689</v>
      </c>
      <c r="B1050" s="8" t="s">
        <v>6</v>
      </c>
      <c r="C1050" s="9">
        <v>24.8</v>
      </c>
      <c r="D1050" s="10">
        <v>0</v>
      </c>
      <c r="E1050">
        <f t="shared" si="16"/>
        <v>2036</v>
      </c>
      <c r="F1050" s="18">
        <v>1</v>
      </c>
    </row>
    <row r="1051" spans="1:6" x14ac:dyDescent="0.35">
      <c r="A1051" s="11">
        <v>49690</v>
      </c>
      <c r="B1051" s="12" t="s">
        <v>9</v>
      </c>
      <c r="C1051" s="13">
        <v>12.9</v>
      </c>
      <c r="D1051" s="14">
        <v>0</v>
      </c>
      <c r="E1051">
        <f t="shared" si="16"/>
        <v>2036</v>
      </c>
      <c r="F1051" s="18">
        <v>1</v>
      </c>
    </row>
    <row r="1052" spans="1:6" x14ac:dyDescent="0.35">
      <c r="A1052" s="7">
        <v>49691</v>
      </c>
      <c r="B1052" s="8" t="s">
        <v>17</v>
      </c>
      <c r="C1052" s="9">
        <v>25.9</v>
      </c>
      <c r="D1052" s="10">
        <v>0</v>
      </c>
      <c r="E1052">
        <f t="shared" si="16"/>
        <v>2036</v>
      </c>
      <c r="F1052" s="18">
        <v>1</v>
      </c>
    </row>
    <row r="1053" spans="1:6" x14ac:dyDescent="0.35">
      <c r="A1053" s="11">
        <v>49692</v>
      </c>
      <c r="B1053" s="12" t="s">
        <v>10</v>
      </c>
      <c r="C1053" s="13">
        <v>11.5</v>
      </c>
      <c r="D1053" s="14">
        <v>23.2</v>
      </c>
      <c r="E1053">
        <f t="shared" si="16"/>
        <v>2036</v>
      </c>
      <c r="F1053" s="18">
        <v>1</v>
      </c>
    </row>
    <row r="1054" spans="1:6" x14ac:dyDescent="0.35">
      <c r="A1054" s="7">
        <v>49693</v>
      </c>
      <c r="B1054" s="8" t="s">
        <v>20</v>
      </c>
      <c r="C1054" s="9">
        <v>25.5</v>
      </c>
      <c r="D1054" s="10">
        <v>0</v>
      </c>
      <c r="E1054">
        <f t="shared" si="16"/>
        <v>2036</v>
      </c>
      <c r="F1054" s="18">
        <v>1</v>
      </c>
    </row>
    <row r="1055" spans="1:6" x14ac:dyDescent="0.35">
      <c r="A1055" s="11">
        <v>49694</v>
      </c>
      <c r="B1055" s="12" t="s">
        <v>33</v>
      </c>
      <c r="C1055" s="13">
        <v>22.6</v>
      </c>
      <c r="D1055" s="14">
        <v>2.2000000000000002</v>
      </c>
      <c r="E1055">
        <f t="shared" si="16"/>
        <v>2036</v>
      </c>
      <c r="F1055" s="18">
        <v>1</v>
      </c>
    </row>
    <row r="1056" spans="1:6" x14ac:dyDescent="0.35">
      <c r="A1056" s="7">
        <v>49695</v>
      </c>
      <c r="B1056" s="8" t="s">
        <v>10</v>
      </c>
      <c r="C1056" s="9">
        <v>14.2</v>
      </c>
      <c r="D1056" s="10">
        <v>0</v>
      </c>
      <c r="E1056">
        <f t="shared" si="16"/>
        <v>2036</v>
      </c>
      <c r="F1056" s="18">
        <v>1</v>
      </c>
    </row>
    <row r="1057" spans="1:6" x14ac:dyDescent="0.35">
      <c r="A1057" s="11">
        <v>49696</v>
      </c>
      <c r="B1057" s="12" t="s">
        <v>13</v>
      </c>
      <c r="C1057" s="13">
        <v>26.9</v>
      </c>
      <c r="D1057" s="14">
        <v>9.1999999999999993</v>
      </c>
      <c r="E1057">
        <f t="shared" si="16"/>
        <v>2036</v>
      </c>
      <c r="F1057" s="18">
        <v>1</v>
      </c>
    </row>
    <row r="1058" spans="1:6" x14ac:dyDescent="0.35">
      <c r="A1058" s="7">
        <v>49697</v>
      </c>
      <c r="B1058" s="8" t="s">
        <v>19</v>
      </c>
      <c r="C1058" s="9">
        <v>30</v>
      </c>
      <c r="D1058" s="10">
        <v>32.299999999999997</v>
      </c>
      <c r="E1058">
        <f t="shared" si="16"/>
        <v>2036</v>
      </c>
      <c r="F1058" s="18">
        <v>1</v>
      </c>
    </row>
    <row r="1059" spans="1:6" x14ac:dyDescent="0.35">
      <c r="A1059" s="11">
        <v>49698</v>
      </c>
      <c r="B1059" s="12" t="s">
        <v>27</v>
      </c>
      <c r="C1059" s="13">
        <v>16.2</v>
      </c>
      <c r="D1059" s="14">
        <v>5.2</v>
      </c>
      <c r="E1059">
        <f t="shared" si="16"/>
        <v>2036</v>
      </c>
      <c r="F1059" s="18">
        <v>1</v>
      </c>
    </row>
    <row r="1060" spans="1:6" x14ac:dyDescent="0.35">
      <c r="A1060" s="7">
        <v>49699</v>
      </c>
      <c r="B1060" s="8" t="s">
        <v>11</v>
      </c>
      <c r="C1060" s="9">
        <v>12.2</v>
      </c>
      <c r="D1060" s="10">
        <v>0</v>
      </c>
      <c r="E1060">
        <f t="shared" si="16"/>
        <v>2036</v>
      </c>
      <c r="F1060" s="18">
        <v>1</v>
      </c>
    </row>
    <row r="1061" spans="1:6" x14ac:dyDescent="0.35">
      <c r="A1061" s="11">
        <v>49700</v>
      </c>
      <c r="B1061" s="12" t="s">
        <v>15</v>
      </c>
      <c r="C1061" s="13">
        <v>28.7</v>
      </c>
      <c r="D1061" s="14">
        <v>0.5</v>
      </c>
      <c r="E1061">
        <f t="shared" si="16"/>
        <v>2036</v>
      </c>
      <c r="F1061" s="18">
        <v>1</v>
      </c>
    </row>
    <row r="1062" spans="1:6" x14ac:dyDescent="0.35">
      <c r="A1062" s="7">
        <v>49701</v>
      </c>
      <c r="B1062" s="8" t="s">
        <v>6</v>
      </c>
      <c r="C1062" s="9">
        <v>23.3</v>
      </c>
      <c r="D1062" s="10">
        <v>11.1</v>
      </c>
      <c r="E1062">
        <f t="shared" si="16"/>
        <v>2036</v>
      </c>
      <c r="F1062" s="18">
        <v>1</v>
      </c>
    </row>
    <row r="1063" spans="1:6" x14ac:dyDescent="0.35">
      <c r="A1063" s="11">
        <v>49702</v>
      </c>
      <c r="B1063" s="12" t="s">
        <v>15</v>
      </c>
      <c r="C1063" s="13">
        <v>30</v>
      </c>
      <c r="D1063" s="14">
        <v>16.100000000000001</v>
      </c>
      <c r="E1063">
        <f t="shared" si="16"/>
        <v>2036</v>
      </c>
      <c r="F1063" s="18">
        <v>1</v>
      </c>
    </row>
    <row r="1064" spans="1:6" x14ac:dyDescent="0.35">
      <c r="A1064" s="7">
        <v>49703</v>
      </c>
      <c r="B1064" s="8" t="s">
        <v>18</v>
      </c>
      <c r="C1064" s="9">
        <v>16</v>
      </c>
      <c r="D1064" s="10">
        <v>9.8000000000000007</v>
      </c>
      <c r="E1064">
        <f t="shared" si="16"/>
        <v>2036</v>
      </c>
      <c r="F1064" s="18">
        <v>1</v>
      </c>
    </row>
    <row r="1065" spans="1:6" x14ac:dyDescent="0.35">
      <c r="A1065" s="11">
        <v>49704</v>
      </c>
      <c r="B1065" s="12" t="s">
        <v>20</v>
      </c>
      <c r="C1065" s="13">
        <v>21.6</v>
      </c>
      <c r="D1065" s="14">
        <v>3.4</v>
      </c>
      <c r="E1065">
        <f t="shared" si="16"/>
        <v>2036</v>
      </c>
      <c r="F1065" s="18">
        <v>1</v>
      </c>
    </row>
    <row r="1066" spans="1:6" x14ac:dyDescent="0.35">
      <c r="A1066" s="7">
        <v>49705</v>
      </c>
      <c r="B1066" s="8" t="s">
        <v>19</v>
      </c>
      <c r="C1066" s="9">
        <v>27.9</v>
      </c>
      <c r="D1066" s="10">
        <v>4.8</v>
      </c>
      <c r="E1066">
        <f t="shared" si="16"/>
        <v>2036</v>
      </c>
      <c r="F1066" s="18">
        <v>1</v>
      </c>
    </row>
    <row r="1067" spans="1:6" x14ac:dyDescent="0.35">
      <c r="A1067" s="11">
        <v>49706</v>
      </c>
      <c r="B1067" s="12" t="s">
        <v>13</v>
      </c>
      <c r="C1067" s="13">
        <v>17.5</v>
      </c>
      <c r="D1067" s="14">
        <v>14.7</v>
      </c>
      <c r="E1067">
        <f t="shared" si="16"/>
        <v>2036</v>
      </c>
      <c r="F1067" s="18">
        <v>1</v>
      </c>
    </row>
    <row r="1068" spans="1:6" x14ac:dyDescent="0.35">
      <c r="A1068" s="7">
        <v>49707</v>
      </c>
      <c r="B1068" s="8" t="s">
        <v>7</v>
      </c>
      <c r="C1068" s="9">
        <v>20.7</v>
      </c>
      <c r="D1068" s="10">
        <v>0</v>
      </c>
      <c r="E1068">
        <f t="shared" si="16"/>
        <v>2036</v>
      </c>
      <c r="F1068" s="18">
        <v>1</v>
      </c>
    </row>
    <row r="1069" spans="1:6" x14ac:dyDescent="0.35">
      <c r="A1069" s="11">
        <v>49708</v>
      </c>
      <c r="B1069" s="12" t="s">
        <v>10</v>
      </c>
      <c r="C1069" s="13">
        <v>10.8</v>
      </c>
      <c r="D1069" s="14">
        <v>36.4</v>
      </c>
      <c r="E1069">
        <f t="shared" si="16"/>
        <v>2036</v>
      </c>
      <c r="F1069" s="18">
        <v>1</v>
      </c>
    </row>
    <row r="1070" spans="1:6" x14ac:dyDescent="0.35">
      <c r="A1070" s="7">
        <v>49709</v>
      </c>
      <c r="B1070" s="8" t="s">
        <v>19</v>
      </c>
      <c r="C1070" s="9">
        <v>27.6</v>
      </c>
      <c r="D1070" s="10">
        <v>32.799999999999997</v>
      </c>
      <c r="E1070">
        <f t="shared" si="16"/>
        <v>2036</v>
      </c>
      <c r="F1070" s="18">
        <v>1</v>
      </c>
    </row>
    <row r="1071" spans="1:6" x14ac:dyDescent="0.35">
      <c r="A1071" s="11">
        <v>49710</v>
      </c>
      <c r="B1071" s="12" t="s">
        <v>11</v>
      </c>
      <c r="C1071" s="13">
        <v>10.8</v>
      </c>
      <c r="D1071" s="14">
        <v>11.6</v>
      </c>
      <c r="E1071">
        <f t="shared" si="16"/>
        <v>2036</v>
      </c>
      <c r="F1071" s="18">
        <v>1</v>
      </c>
    </row>
    <row r="1072" spans="1:6" x14ac:dyDescent="0.35">
      <c r="A1072" s="7">
        <v>49711</v>
      </c>
      <c r="B1072" s="8" t="s">
        <v>17</v>
      </c>
      <c r="C1072" s="9">
        <v>13.7</v>
      </c>
      <c r="D1072" s="10">
        <v>0</v>
      </c>
      <c r="E1072">
        <f t="shared" si="16"/>
        <v>2036</v>
      </c>
      <c r="F1072" s="18">
        <v>1</v>
      </c>
    </row>
    <row r="1073" spans="1:6" x14ac:dyDescent="0.35">
      <c r="A1073" s="11">
        <v>49712</v>
      </c>
      <c r="B1073" s="12" t="s">
        <v>18</v>
      </c>
      <c r="C1073" s="13">
        <v>19.5</v>
      </c>
      <c r="D1073" s="14">
        <v>0</v>
      </c>
      <c r="E1073">
        <f t="shared" si="16"/>
        <v>2036</v>
      </c>
      <c r="F1073" s="18">
        <v>1</v>
      </c>
    </row>
    <row r="1074" spans="1:6" x14ac:dyDescent="0.35">
      <c r="A1074" s="7">
        <v>49713</v>
      </c>
      <c r="B1074" s="8" t="s">
        <v>9</v>
      </c>
      <c r="C1074" s="9">
        <v>21.6</v>
      </c>
      <c r="D1074" s="10">
        <v>11.6</v>
      </c>
      <c r="E1074">
        <f t="shared" si="16"/>
        <v>2036</v>
      </c>
      <c r="F1074" s="18">
        <v>1</v>
      </c>
    </row>
    <row r="1075" spans="1:6" x14ac:dyDescent="0.35">
      <c r="A1075" s="11">
        <v>49714</v>
      </c>
      <c r="B1075" s="12" t="s">
        <v>17</v>
      </c>
      <c r="C1075" s="13">
        <v>21.6</v>
      </c>
      <c r="D1075" s="14">
        <v>2.7</v>
      </c>
      <c r="E1075">
        <f t="shared" si="16"/>
        <v>2036</v>
      </c>
      <c r="F1075" s="18">
        <v>1</v>
      </c>
    </row>
    <row r="1076" spans="1:6" x14ac:dyDescent="0.35">
      <c r="A1076" s="7">
        <v>49715</v>
      </c>
      <c r="B1076" s="8" t="s">
        <v>24</v>
      </c>
      <c r="C1076" s="9">
        <v>16.100000000000001</v>
      </c>
      <c r="D1076" s="10">
        <v>0</v>
      </c>
      <c r="E1076">
        <f t="shared" si="16"/>
        <v>2036</v>
      </c>
      <c r="F1076" s="18">
        <v>1</v>
      </c>
    </row>
    <row r="1077" spans="1:6" x14ac:dyDescent="0.35">
      <c r="A1077" s="11">
        <v>49716</v>
      </c>
      <c r="B1077" s="12" t="s">
        <v>6</v>
      </c>
      <c r="C1077" s="13">
        <v>29.4</v>
      </c>
      <c r="D1077" s="14">
        <v>12.5</v>
      </c>
      <c r="E1077">
        <f t="shared" si="16"/>
        <v>2036</v>
      </c>
      <c r="F1077" s="18">
        <v>1</v>
      </c>
    </row>
    <row r="1078" spans="1:6" x14ac:dyDescent="0.35">
      <c r="A1078" s="7">
        <v>49717</v>
      </c>
      <c r="B1078" s="8" t="s">
        <v>26</v>
      </c>
      <c r="C1078" s="9">
        <v>17.8</v>
      </c>
      <c r="D1078" s="10">
        <v>5.9</v>
      </c>
      <c r="E1078">
        <f t="shared" si="16"/>
        <v>2036</v>
      </c>
      <c r="F1078" s="18">
        <v>1</v>
      </c>
    </row>
    <row r="1079" spans="1:6" x14ac:dyDescent="0.35">
      <c r="A1079" s="11">
        <v>49718</v>
      </c>
      <c r="B1079" s="12" t="s">
        <v>19</v>
      </c>
      <c r="C1079" s="13">
        <v>26.1</v>
      </c>
      <c r="D1079" s="14">
        <v>14.8</v>
      </c>
      <c r="E1079">
        <f t="shared" si="16"/>
        <v>2036</v>
      </c>
      <c r="F1079" s="18">
        <v>1</v>
      </c>
    </row>
    <row r="1080" spans="1:6" x14ac:dyDescent="0.35">
      <c r="A1080" s="7">
        <v>49719</v>
      </c>
      <c r="B1080" s="8" t="s">
        <v>10</v>
      </c>
      <c r="C1080" s="9">
        <v>13.8</v>
      </c>
      <c r="D1080" s="10">
        <v>0</v>
      </c>
      <c r="E1080">
        <f t="shared" si="16"/>
        <v>2036</v>
      </c>
      <c r="F1080" s="18">
        <v>1</v>
      </c>
    </row>
    <row r="1081" spans="1:6" x14ac:dyDescent="0.35">
      <c r="A1081" s="11">
        <v>49720</v>
      </c>
      <c r="B1081" s="12" t="s">
        <v>12</v>
      </c>
      <c r="C1081" s="13">
        <v>16.100000000000001</v>
      </c>
      <c r="D1081" s="14">
        <v>6.2</v>
      </c>
      <c r="E1081">
        <f t="shared" si="16"/>
        <v>2036</v>
      </c>
      <c r="F1081" s="18">
        <v>1</v>
      </c>
    </row>
    <row r="1082" spans="1:6" x14ac:dyDescent="0.35">
      <c r="A1082" s="7">
        <v>49721</v>
      </c>
      <c r="B1082" s="8" t="s">
        <v>10</v>
      </c>
      <c r="C1082" s="9">
        <v>23.2</v>
      </c>
      <c r="D1082" s="10">
        <v>45.8</v>
      </c>
      <c r="E1082">
        <f t="shared" si="16"/>
        <v>2036</v>
      </c>
      <c r="F1082" s="18">
        <v>1</v>
      </c>
    </row>
    <row r="1083" spans="1:6" x14ac:dyDescent="0.35">
      <c r="A1083" s="11">
        <v>49722</v>
      </c>
      <c r="B1083" s="12" t="s">
        <v>12</v>
      </c>
      <c r="C1083" s="13">
        <v>18.899999999999999</v>
      </c>
      <c r="D1083" s="14">
        <v>0</v>
      </c>
      <c r="E1083">
        <f t="shared" si="16"/>
        <v>2036</v>
      </c>
      <c r="F1083" s="18">
        <v>1</v>
      </c>
    </row>
    <row r="1084" spans="1:6" x14ac:dyDescent="0.35">
      <c r="A1084" s="7">
        <v>49723</v>
      </c>
      <c r="B1084" s="8" t="s">
        <v>19</v>
      </c>
      <c r="C1084" s="9">
        <v>28.9</v>
      </c>
      <c r="D1084" s="10">
        <v>34.1</v>
      </c>
      <c r="E1084">
        <f t="shared" si="16"/>
        <v>2036</v>
      </c>
      <c r="F1084" s="18">
        <v>1</v>
      </c>
    </row>
    <row r="1085" spans="1:6" x14ac:dyDescent="0.35">
      <c r="A1085" s="11">
        <v>49724</v>
      </c>
      <c r="B1085" s="12" t="s">
        <v>10</v>
      </c>
      <c r="C1085" s="13">
        <v>19.3</v>
      </c>
      <c r="D1085" s="14">
        <v>49.6</v>
      </c>
      <c r="E1085">
        <f t="shared" si="16"/>
        <v>2036</v>
      </c>
      <c r="F1085" s="18">
        <v>1</v>
      </c>
    </row>
    <row r="1086" spans="1:6" x14ac:dyDescent="0.35">
      <c r="A1086" s="7">
        <v>49725</v>
      </c>
      <c r="B1086" s="8" t="s">
        <v>18</v>
      </c>
      <c r="C1086" s="9">
        <v>23.9</v>
      </c>
      <c r="D1086" s="10">
        <v>11.7</v>
      </c>
      <c r="E1086">
        <f t="shared" si="16"/>
        <v>2036</v>
      </c>
      <c r="F1086" s="18">
        <v>1</v>
      </c>
    </row>
    <row r="1087" spans="1:6" x14ac:dyDescent="0.35">
      <c r="A1087" s="11">
        <v>49726</v>
      </c>
      <c r="B1087" s="12" t="s">
        <v>13</v>
      </c>
      <c r="C1087" s="13">
        <v>28.6</v>
      </c>
      <c r="D1087" s="14">
        <v>11.5</v>
      </c>
      <c r="E1087">
        <f t="shared" si="16"/>
        <v>2036</v>
      </c>
      <c r="F1087" s="18">
        <v>1</v>
      </c>
    </row>
    <row r="1088" spans="1:6" x14ac:dyDescent="0.35">
      <c r="A1088" s="7">
        <v>49727</v>
      </c>
      <c r="B1088" s="8" t="s">
        <v>26</v>
      </c>
      <c r="C1088" s="9">
        <v>14.5</v>
      </c>
      <c r="D1088" s="10">
        <v>0.3</v>
      </c>
      <c r="E1088">
        <f t="shared" si="16"/>
        <v>2036</v>
      </c>
      <c r="F1088" s="18">
        <v>1</v>
      </c>
    </row>
    <row r="1089" spans="1:6" x14ac:dyDescent="0.35">
      <c r="A1089" s="11">
        <v>49728</v>
      </c>
      <c r="B1089" s="12" t="s">
        <v>10</v>
      </c>
      <c r="C1089" s="13">
        <v>13</v>
      </c>
      <c r="D1089" s="14">
        <v>0</v>
      </c>
      <c r="E1089">
        <f t="shared" si="16"/>
        <v>2036</v>
      </c>
      <c r="F1089" s="18">
        <v>1</v>
      </c>
    </row>
    <row r="1090" spans="1:6" x14ac:dyDescent="0.35">
      <c r="A1090" s="7">
        <v>49729</v>
      </c>
      <c r="B1090" s="8" t="s">
        <v>19</v>
      </c>
      <c r="C1090" s="9">
        <v>16.2</v>
      </c>
      <c r="D1090" s="10">
        <v>9.1999999999999993</v>
      </c>
      <c r="E1090">
        <f t="shared" si="16"/>
        <v>2036</v>
      </c>
      <c r="F1090" s="18">
        <v>1</v>
      </c>
    </row>
    <row r="1091" spans="1:6" x14ac:dyDescent="0.35">
      <c r="A1091" s="11">
        <v>49730</v>
      </c>
      <c r="B1091" s="12" t="s">
        <v>15</v>
      </c>
      <c r="C1091" s="13">
        <v>27.1</v>
      </c>
      <c r="D1091" s="14">
        <v>6.3</v>
      </c>
      <c r="E1091">
        <f t="shared" ref="E1091:E1154" si="17">YEAR(A1091)</f>
        <v>2036</v>
      </c>
      <c r="F1091" s="18">
        <v>1</v>
      </c>
    </row>
    <row r="1092" spans="1:6" x14ac:dyDescent="0.35">
      <c r="A1092" s="7">
        <v>49731</v>
      </c>
      <c r="B1092" s="8" t="s">
        <v>10</v>
      </c>
      <c r="C1092" s="9">
        <v>15.6</v>
      </c>
      <c r="D1092" s="10">
        <v>28</v>
      </c>
      <c r="E1092">
        <f t="shared" si="17"/>
        <v>2036</v>
      </c>
      <c r="F1092" s="18">
        <v>1</v>
      </c>
    </row>
    <row r="1093" spans="1:6" x14ac:dyDescent="0.35">
      <c r="A1093" s="11">
        <v>49732</v>
      </c>
      <c r="B1093" s="12" t="s">
        <v>26</v>
      </c>
      <c r="C1093" s="13">
        <v>28.9</v>
      </c>
      <c r="D1093" s="14">
        <v>6.8</v>
      </c>
      <c r="E1093">
        <f t="shared" si="17"/>
        <v>2036</v>
      </c>
      <c r="F1093" s="18">
        <v>1</v>
      </c>
    </row>
    <row r="1094" spans="1:6" x14ac:dyDescent="0.35">
      <c r="A1094" s="7">
        <v>49733</v>
      </c>
      <c r="B1094" s="8" t="s">
        <v>6</v>
      </c>
      <c r="C1094" s="9">
        <v>13.8</v>
      </c>
      <c r="D1094" s="10">
        <v>11.9</v>
      </c>
      <c r="E1094">
        <f t="shared" si="17"/>
        <v>2036</v>
      </c>
      <c r="F1094" s="18">
        <v>1</v>
      </c>
    </row>
    <row r="1095" spans="1:6" x14ac:dyDescent="0.35">
      <c r="A1095" s="11">
        <v>49734</v>
      </c>
      <c r="B1095" s="12" t="s">
        <v>6</v>
      </c>
      <c r="C1095" s="13">
        <v>17.8</v>
      </c>
      <c r="D1095" s="14">
        <v>1.5</v>
      </c>
      <c r="E1095">
        <f t="shared" si="17"/>
        <v>2036</v>
      </c>
      <c r="F1095" s="18">
        <v>1</v>
      </c>
    </row>
    <row r="1096" spans="1:6" x14ac:dyDescent="0.35">
      <c r="A1096" s="7">
        <v>49735</v>
      </c>
      <c r="B1096" s="8" t="s">
        <v>22</v>
      </c>
      <c r="C1096" s="9">
        <v>25.1</v>
      </c>
      <c r="D1096" s="10">
        <v>0</v>
      </c>
      <c r="E1096">
        <f t="shared" si="17"/>
        <v>2036</v>
      </c>
      <c r="F1096" s="18">
        <v>1</v>
      </c>
    </row>
    <row r="1097" spans="1:6" x14ac:dyDescent="0.35">
      <c r="A1097" s="11">
        <v>49736</v>
      </c>
      <c r="B1097" s="12" t="s">
        <v>22</v>
      </c>
      <c r="C1097" s="13">
        <v>29.5</v>
      </c>
      <c r="D1097" s="14">
        <v>0</v>
      </c>
      <c r="E1097">
        <f t="shared" si="17"/>
        <v>2036</v>
      </c>
      <c r="F1097" s="18">
        <v>1</v>
      </c>
    </row>
    <row r="1098" spans="1:6" x14ac:dyDescent="0.35">
      <c r="A1098" s="7">
        <v>49737</v>
      </c>
      <c r="B1098" s="8" t="s">
        <v>26</v>
      </c>
      <c r="C1098" s="9">
        <v>16.100000000000001</v>
      </c>
      <c r="D1098" s="10">
        <v>7.1</v>
      </c>
      <c r="E1098">
        <f t="shared" si="17"/>
        <v>2036</v>
      </c>
      <c r="F1098" s="18">
        <v>1</v>
      </c>
    </row>
    <row r="1099" spans="1:6" x14ac:dyDescent="0.35">
      <c r="A1099" s="11">
        <v>49738</v>
      </c>
      <c r="B1099" s="12" t="s">
        <v>9</v>
      </c>
      <c r="C1099" s="13">
        <v>18</v>
      </c>
      <c r="D1099" s="14">
        <v>12</v>
      </c>
      <c r="E1099">
        <f t="shared" si="17"/>
        <v>2036</v>
      </c>
      <c r="F1099" s="18">
        <v>1</v>
      </c>
    </row>
    <row r="1100" spans="1:6" x14ac:dyDescent="0.35">
      <c r="A1100" s="7">
        <v>49739</v>
      </c>
      <c r="B1100" s="8" t="s">
        <v>10</v>
      </c>
      <c r="C1100" s="9">
        <v>12.2</v>
      </c>
      <c r="D1100" s="10">
        <v>26.8</v>
      </c>
      <c r="E1100">
        <f t="shared" si="17"/>
        <v>2036</v>
      </c>
      <c r="F1100" s="18">
        <v>1</v>
      </c>
    </row>
    <row r="1101" spans="1:6" x14ac:dyDescent="0.35">
      <c r="A1101" s="11">
        <v>49740</v>
      </c>
      <c r="B1101" s="12" t="s">
        <v>14</v>
      </c>
      <c r="C1101" s="13">
        <v>20.7</v>
      </c>
      <c r="D1101" s="14">
        <v>4.7</v>
      </c>
      <c r="E1101">
        <f t="shared" si="17"/>
        <v>2036</v>
      </c>
      <c r="F1101" s="18">
        <v>1</v>
      </c>
    </row>
    <row r="1102" spans="1:6" x14ac:dyDescent="0.35">
      <c r="A1102" s="7">
        <v>49741</v>
      </c>
      <c r="B1102" s="8" t="s">
        <v>10</v>
      </c>
      <c r="C1102" s="9">
        <v>20.100000000000001</v>
      </c>
      <c r="D1102" s="10">
        <v>47.4</v>
      </c>
      <c r="E1102">
        <f t="shared" si="17"/>
        <v>2036</v>
      </c>
      <c r="F1102" s="18">
        <v>1</v>
      </c>
    </row>
    <row r="1103" spans="1:6" x14ac:dyDescent="0.35">
      <c r="A1103" s="11">
        <v>49742</v>
      </c>
      <c r="B1103" s="12" t="s">
        <v>10</v>
      </c>
      <c r="C1103" s="13">
        <v>14.9</v>
      </c>
      <c r="D1103" s="14">
        <v>43.8</v>
      </c>
      <c r="E1103">
        <f t="shared" si="17"/>
        <v>2036</v>
      </c>
      <c r="F1103" s="18">
        <v>1</v>
      </c>
    </row>
    <row r="1104" spans="1:6" x14ac:dyDescent="0.35">
      <c r="A1104" s="7">
        <v>49743</v>
      </c>
      <c r="B1104" s="8" t="s">
        <v>10</v>
      </c>
      <c r="C1104" s="9">
        <v>19</v>
      </c>
      <c r="D1104" s="10">
        <v>0</v>
      </c>
      <c r="E1104">
        <f t="shared" si="17"/>
        <v>2036</v>
      </c>
      <c r="F1104" s="18">
        <v>1</v>
      </c>
    </row>
    <row r="1105" spans="1:6" x14ac:dyDescent="0.35">
      <c r="A1105" s="11">
        <v>49744</v>
      </c>
      <c r="B1105" s="12" t="s">
        <v>6</v>
      </c>
      <c r="C1105" s="13">
        <v>12.5</v>
      </c>
      <c r="D1105" s="14">
        <v>0</v>
      </c>
      <c r="E1105">
        <f t="shared" si="17"/>
        <v>2036</v>
      </c>
      <c r="F1105" s="18">
        <v>1</v>
      </c>
    </row>
    <row r="1106" spans="1:6" x14ac:dyDescent="0.35">
      <c r="A1106" s="7">
        <v>49745</v>
      </c>
      <c r="B1106" s="8" t="s">
        <v>13</v>
      </c>
      <c r="C1106" s="9">
        <v>15.2</v>
      </c>
      <c r="D1106" s="10">
        <v>13.9</v>
      </c>
      <c r="E1106">
        <f t="shared" si="17"/>
        <v>2036</v>
      </c>
      <c r="F1106" s="18">
        <v>1</v>
      </c>
    </row>
    <row r="1107" spans="1:6" x14ac:dyDescent="0.35">
      <c r="A1107" s="11">
        <v>49746</v>
      </c>
      <c r="B1107" s="12" t="s">
        <v>19</v>
      </c>
      <c r="C1107" s="13">
        <v>29.2</v>
      </c>
      <c r="D1107" s="14">
        <v>26.8</v>
      </c>
      <c r="E1107">
        <f t="shared" si="17"/>
        <v>2036</v>
      </c>
      <c r="F1107" s="18">
        <v>1</v>
      </c>
    </row>
    <row r="1108" spans="1:6" x14ac:dyDescent="0.35">
      <c r="A1108" s="7">
        <v>49747</v>
      </c>
      <c r="B1108" s="8" t="s">
        <v>6</v>
      </c>
      <c r="C1108" s="9">
        <v>13.9</v>
      </c>
      <c r="D1108" s="10">
        <v>1.1000000000000001</v>
      </c>
      <c r="E1108">
        <f t="shared" si="17"/>
        <v>2036</v>
      </c>
      <c r="F1108" s="18">
        <v>1</v>
      </c>
    </row>
    <row r="1109" spans="1:6" x14ac:dyDescent="0.35">
      <c r="A1109" s="11">
        <v>49748</v>
      </c>
      <c r="B1109" s="12" t="s">
        <v>15</v>
      </c>
      <c r="C1109" s="13">
        <v>11.4</v>
      </c>
      <c r="D1109" s="14">
        <v>0</v>
      </c>
      <c r="E1109">
        <f t="shared" si="17"/>
        <v>2036</v>
      </c>
      <c r="F1109" s="18">
        <v>1</v>
      </c>
    </row>
    <row r="1110" spans="1:6" x14ac:dyDescent="0.35">
      <c r="A1110" s="7">
        <v>49749</v>
      </c>
      <c r="B1110" s="8" t="s">
        <v>9</v>
      </c>
      <c r="C1110" s="9">
        <v>15.8</v>
      </c>
      <c r="D1110" s="10">
        <v>7</v>
      </c>
      <c r="E1110">
        <f t="shared" si="17"/>
        <v>2036</v>
      </c>
      <c r="F1110" s="18">
        <v>1</v>
      </c>
    </row>
    <row r="1111" spans="1:6" x14ac:dyDescent="0.35">
      <c r="A1111" s="11">
        <v>49750</v>
      </c>
      <c r="B1111" s="12" t="s">
        <v>10</v>
      </c>
      <c r="C1111" s="13">
        <v>10.199999999999999</v>
      </c>
      <c r="D1111" s="14">
        <v>43.3</v>
      </c>
      <c r="E1111">
        <f t="shared" si="17"/>
        <v>2036</v>
      </c>
      <c r="F1111" s="18">
        <v>1</v>
      </c>
    </row>
    <row r="1112" spans="1:6" x14ac:dyDescent="0.35">
      <c r="A1112" s="7">
        <v>49751</v>
      </c>
      <c r="B1112" s="8" t="s">
        <v>13</v>
      </c>
      <c r="C1112" s="9">
        <v>19.600000000000001</v>
      </c>
      <c r="D1112" s="10">
        <v>8.9</v>
      </c>
      <c r="E1112">
        <f t="shared" si="17"/>
        <v>2036</v>
      </c>
      <c r="F1112" s="18">
        <v>1</v>
      </c>
    </row>
    <row r="1113" spans="1:6" x14ac:dyDescent="0.35">
      <c r="A1113" s="11">
        <v>49752</v>
      </c>
      <c r="B1113" s="12" t="s">
        <v>6</v>
      </c>
      <c r="C1113" s="13">
        <v>15.5</v>
      </c>
      <c r="D1113" s="14">
        <v>10.1</v>
      </c>
      <c r="E1113">
        <f t="shared" si="17"/>
        <v>2036</v>
      </c>
      <c r="F1113" s="18">
        <v>1</v>
      </c>
    </row>
    <row r="1114" spans="1:6" x14ac:dyDescent="0.35">
      <c r="A1114" s="7">
        <v>49753</v>
      </c>
      <c r="B1114" s="8" t="s">
        <v>15</v>
      </c>
      <c r="C1114" s="9">
        <v>19.899999999999999</v>
      </c>
      <c r="D1114" s="10">
        <v>16.2</v>
      </c>
      <c r="E1114">
        <f t="shared" si="17"/>
        <v>2036</v>
      </c>
      <c r="F1114" s="18">
        <v>1</v>
      </c>
    </row>
    <row r="1115" spans="1:6" x14ac:dyDescent="0.35">
      <c r="A1115" s="11">
        <v>49754</v>
      </c>
      <c r="B1115" s="12" t="s">
        <v>18</v>
      </c>
      <c r="C1115" s="13">
        <v>10.7</v>
      </c>
      <c r="D1115" s="14">
        <v>2.8</v>
      </c>
      <c r="E1115">
        <f t="shared" si="17"/>
        <v>2036</v>
      </c>
      <c r="F1115" s="18">
        <v>1</v>
      </c>
    </row>
    <row r="1116" spans="1:6" x14ac:dyDescent="0.35">
      <c r="A1116" s="7">
        <v>49755</v>
      </c>
      <c r="B1116" s="8" t="s">
        <v>26</v>
      </c>
      <c r="C1116" s="9">
        <v>11.5</v>
      </c>
      <c r="D1116" s="10">
        <v>5.9</v>
      </c>
      <c r="E1116">
        <f t="shared" si="17"/>
        <v>2036</v>
      </c>
      <c r="F1116" s="18">
        <v>1</v>
      </c>
    </row>
    <row r="1117" spans="1:6" x14ac:dyDescent="0.35">
      <c r="A1117" s="11">
        <v>49756</v>
      </c>
      <c r="B1117" s="12" t="s">
        <v>14</v>
      </c>
      <c r="C1117" s="13">
        <v>28.4</v>
      </c>
      <c r="D1117" s="14">
        <v>1</v>
      </c>
      <c r="E1117">
        <f t="shared" si="17"/>
        <v>2036</v>
      </c>
      <c r="F1117" s="18">
        <v>1</v>
      </c>
    </row>
    <row r="1118" spans="1:6" x14ac:dyDescent="0.35">
      <c r="A1118" s="7">
        <v>49757</v>
      </c>
      <c r="B1118" s="8" t="s">
        <v>19</v>
      </c>
      <c r="C1118" s="9">
        <v>22.3</v>
      </c>
      <c r="D1118" s="10">
        <v>5.0999999999999996</v>
      </c>
      <c r="E1118">
        <f t="shared" si="17"/>
        <v>2036</v>
      </c>
      <c r="F1118" s="18">
        <v>1</v>
      </c>
    </row>
    <row r="1119" spans="1:6" x14ac:dyDescent="0.35">
      <c r="A1119" s="11">
        <v>49758</v>
      </c>
      <c r="B1119" s="12" t="s">
        <v>13</v>
      </c>
      <c r="C1119" s="13">
        <v>28.7</v>
      </c>
      <c r="D1119" s="14">
        <v>11.5</v>
      </c>
      <c r="E1119">
        <f t="shared" si="17"/>
        <v>2036</v>
      </c>
      <c r="F1119" s="18">
        <v>1</v>
      </c>
    </row>
    <row r="1120" spans="1:6" x14ac:dyDescent="0.35">
      <c r="A1120" s="7">
        <v>49759</v>
      </c>
      <c r="B1120" s="8" t="s">
        <v>6</v>
      </c>
      <c r="C1120" s="9">
        <v>19.100000000000001</v>
      </c>
      <c r="D1120" s="10">
        <v>0</v>
      </c>
      <c r="E1120">
        <f t="shared" si="17"/>
        <v>2036</v>
      </c>
      <c r="F1120" s="18">
        <v>1</v>
      </c>
    </row>
    <row r="1121" spans="1:6" x14ac:dyDescent="0.35">
      <c r="A1121" s="11">
        <v>49760</v>
      </c>
      <c r="B1121" s="12" t="s">
        <v>10</v>
      </c>
      <c r="C1121" s="13">
        <v>10.199999999999999</v>
      </c>
      <c r="D1121" s="14">
        <v>7.6</v>
      </c>
      <c r="E1121">
        <f t="shared" si="17"/>
        <v>2036</v>
      </c>
      <c r="F1121" s="18">
        <v>1</v>
      </c>
    </row>
    <row r="1122" spans="1:6" x14ac:dyDescent="0.35">
      <c r="A1122" s="7">
        <v>49761</v>
      </c>
      <c r="B1122" s="8" t="s">
        <v>10</v>
      </c>
      <c r="C1122" s="9">
        <v>18.399999999999999</v>
      </c>
      <c r="D1122" s="10">
        <v>0</v>
      </c>
      <c r="E1122">
        <f t="shared" si="17"/>
        <v>2036</v>
      </c>
      <c r="F1122" s="18">
        <v>1</v>
      </c>
    </row>
    <row r="1123" spans="1:6" x14ac:dyDescent="0.35">
      <c r="A1123" s="11">
        <v>49762</v>
      </c>
      <c r="B1123" s="12" t="s">
        <v>19</v>
      </c>
      <c r="C1123" s="13">
        <v>29.3</v>
      </c>
      <c r="D1123" s="14">
        <v>0</v>
      </c>
      <c r="E1123">
        <f t="shared" si="17"/>
        <v>2036</v>
      </c>
      <c r="F1123" s="18">
        <v>1</v>
      </c>
    </row>
    <row r="1124" spans="1:6" x14ac:dyDescent="0.35">
      <c r="A1124" s="7">
        <v>49763</v>
      </c>
      <c r="B1124" s="8" t="s">
        <v>17</v>
      </c>
      <c r="C1124" s="9">
        <v>26.7</v>
      </c>
      <c r="D1124" s="10">
        <v>5.7</v>
      </c>
      <c r="E1124">
        <f t="shared" si="17"/>
        <v>2036</v>
      </c>
      <c r="F1124" s="18">
        <v>1</v>
      </c>
    </row>
    <row r="1125" spans="1:6" x14ac:dyDescent="0.35">
      <c r="A1125" s="11">
        <v>49764</v>
      </c>
      <c r="B1125" s="12" t="s">
        <v>8</v>
      </c>
      <c r="C1125" s="13">
        <v>22.2</v>
      </c>
      <c r="D1125" s="14">
        <v>0.9</v>
      </c>
      <c r="E1125">
        <f t="shared" si="17"/>
        <v>2036</v>
      </c>
      <c r="F1125" s="18">
        <v>1</v>
      </c>
    </row>
    <row r="1126" spans="1:6" x14ac:dyDescent="0.35">
      <c r="A1126" s="7">
        <v>49765</v>
      </c>
      <c r="B1126" s="8" t="s">
        <v>13</v>
      </c>
      <c r="C1126" s="9">
        <v>25.5</v>
      </c>
      <c r="D1126" s="10">
        <v>5.8</v>
      </c>
      <c r="E1126">
        <f t="shared" si="17"/>
        <v>2036</v>
      </c>
      <c r="F1126" s="18">
        <v>1</v>
      </c>
    </row>
    <row r="1127" spans="1:6" x14ac:dyDescent="0.35">
      <c r="A1127" s="11">
        <v>49766</v>
      </c>
      <c r="B1127" s="12" t="s">
        <v>19</v>
      </c>
      <c r="C1127" s="13">
        <v>23.5</v>
      </c>
      <c r="D1127" s="14">
        <v>32</v>
      </c>
      <c r="E1127">
        <f t="shared" si="17"/>
        <v>2036</v>
      </c>
      <c r="F1127" s="18">
        <v>1</v>
      </c>
    </row>
    <row r="1128" spans="1:6" x14ac:dyDescent="0.35">
      <c r="A1128" s="7">
        <v>49767</v>
      </c>
      <c r="B1128" s="8" t="s">
        <v>5</v>
      </c>
      <c r="C1128" s="9">
        <v>28.4</v>
      </c>
      <c r="D1128" s="10">
        <v>5.7</v>
      </c>
      <c r="E1128">
        <f t="shared" si="17"/>
        <v>2036</v>
      </c>
      <c r="F1128" s="18">
        <v>1</v>
      </c>
    </row>
    <row r="1129" spans="1:6" x14ac:dyDescent="0.35">
      <c r="A1129" s="11">
        <v>49768</v>
      </c>
      <c r="B1129" s="12" t="s">
        <v>22</v>
      </c>
      <c r="C1129" s="13">
        <v>13.7</v>
      </c>
      <c r="D1129" s="14">
        <v>6</v>
      </c>
      <c r="E1129">
        <f t="shared" si="17"/>
        <v>2036</v>
      </c>
      <c r="F1129" s="18">
        <v>1</v>
      </c>
    </row>
    <row r="1130" spans="1:6" x14ac:dyDescent="0.35">
      <c r="A1130" s="7">
        <v>49769</v>
      </c>
      <c r="B1130" s="8" t="s">
        <v>9</v>
      </c>
      <c r="C1130" s="9">
        <v>22.1</v>
      </c>
      <c r="D1130" s="10">
        <v>11.7</v>
      </c>
      <c r="E1130">
        <f t="shared" si="17"/>
        <v>2036</v>
      </c>
      <c r="F1130" s="18">
        <v>1</v>
      </c>
    </row>
    <row r="1131" spans="1:6" x14ac:dyDescent="0.35">
      <c r="A1131" s="11">
        <v>49770</v>
      </c>
      <c r="B1131" s="12" t="s">
        <v>11</v>
      </c>
      <c r="C1131" s="13">
        <v>16.899999999999999</v>
      </c>
      <c r="D1131" s="14">
        <v>18.2</v>
      </c>
      <c r="E1131">
        <f t="shared" si="17"/>
        <v>2036</v>
      </c>
      <c r="F1131" s="18">
        <v>1</v>
      </c>
    </row>
    <row r="1132" spans="1:6" x14ac:dyDescent="0.35">
      <c r="A1132" s="7">
        <v>49771</v>
      </c>
      <c r="B1132" s="8" t="s">
        <v>22</v>
      </c>
      <c r="C1132" s="9">
        <v>28</v>
      </c>
      <c r="D1132" s="10">
        <v>0</v>
      </c>
      <c r="E1132">
        <f t="shared" si="17"/>
        <v>2036</v>
      </c>
      <c r="F1132" s="18">
        <v>1</v>
      </c>
    </row>
    <row r="1133" spans="1:6" x14ac:dyDescent="0.35">
      <c r="A1133" s="11">
        <v>49772</v>
      </c>
      <c r="B1133" s="12" t="s">
        <v>10</v>
      </c>
      <c r="C1133" s="13">
        <v>13.5</v>
      </c>
      <c r="D1133" s="14">
        <v>3.7</v>
      </c>
      <c r="E1133">
        <f t="shared" si="17"/>
        <v>2036</v>
      </c>
      <c r="F1133" s="18">
        <v>1</v>
      </c>
    </row>
    <row r="1134" spans="1:6" x14ac:dyDescent="0.35">
      <c r="A1134" s="7">
        <v>49773</v>
      </c>
      <c r="B1134" s="8" t="s">
        <v>19</v>
      </c>
      <c r="C1134" s="9">
        <v>13.4</v>
      </c>
      <c r="D1134" s="10">
        <v>22.5</v>
      </c>
      <c r="E1134">
        <f t="shared" si="17"/>
        <v>2036</v>
      </c>
      <c r="F1134" s="18">
        <v>1</v>
      </c>
    </row>
    <row r="1135" spans="1:6" x14ac:dyDescent="0.35">
      <c r="A1135" s="11">
        <v>49774</v>
      </c>
      <c r="B1135" s="12" t="s">
        <v>6</v>
      </c>
      <c r="C1135" s="13">
        <v>19.899999999999999</v>
      </c>
      <c r="D1135" s="14">
        <v>11.6</v>
      </c>
      <c r="E1135">
        <f t="shared" si="17"/>
        <v>2036</v>
      </c>
      <c r="F1135" s="18">
        <v>1</v>
      </c>
    </row>
    <row r="1136" spans="1:6" x14ac:dyDescent="0.35">
      <c r="A1136" s="7">
        <v>49775</v>
      </c>
      <c r="B1136" s="8" t="s">
        <v>7</v>
      </c>
      <c r="C1136" s="9">
        <v>24.2</v>
      </c>
      <c r="D1136" s="10">
        <v>11</v>
      </c>
      <c r="E1136">
        <f t="shared" si="17"/>
        <v>2036</v>
      </c>
      <c r="F1136" s="18">
        <v>1</v>
      </c>
    </row>
    <row r="1137" spans="1:6" x14ac:dyDescent="0.35">
      <c r="A1137" s="11">
        <v>49776</v>
      </c>
      <c r="B1137" s="12" t="s">
        <v>27</v>
      </c>
      <c r="C1137" s="13">
        <v>20.399999999999999</v>
      </c>
      <c r="D1137" s="14">
        <v>0</v>
      </c>
      <c r="E1137">
        <f t="shared" si="17"/>
        <v>2036</v>
      </c>
      <c r="F1137" s="18">
        <v>1</v>
      </c>
    </row>
    <row r="1138" spans="1:6" x14ac:dyDescent="0.35">
      <c r="A1138" s="7">
        <v>49777</v>
      </c>
      <c r="B1138" s="8" t="s">
        <v>27</v>
      </c>
      <c r="C1138" s="9">
        <v>16.600000000000001</v>
      </c>
      <c r="D1138" s="10">
        <v>3.9</v>
      </c>
      <c r="E1138">
        <f t="shared" si="17"/>
        <v>2036</v>
      </c>
      <c r="F1138" s="18">
        <v>1</v>
      </c>
    </row>
    <row r="1139" spans="1:6" x14ac:dyDescent="0.35">
      <c r="A1139" s="11">
        <v>49778</v>
      </c>
      <c r="B1139" s="12" t="s">
        <v>33</v>
      </c>
      <c r="C1139" s="13">
        <v>14.3</v>
      </c>
      <c r="D1139" s="14">
        <v>0</v>
      </c>
      <c r="E1139">
        <f t="shared" si="17"/>
        <v>2036</v>
      </c>
      <c r="F1139" s="18">
        <v>1</v>
      </c>
    </row>
    <row r="1140" spans="1:6" x14ac:dyDescent="0.35">
      <c r="A1140" s="7">
        <v>49779</v>
      </c>
      <c r="B1140" s="8" t="s">
        <v>26</v>
      </c>
      <c r="C1140" s="9">
        <v>24.4</v>
      </c>
      <c r="D1140" s="10">
        <v>4.4000000000000004</v>
      </c>
      <c r="E1140">
        <f t="shared" si="17"/>
        <v>2036</v>
      </c>
      <c r="F1140" s="18">
        <v>1</v>
      </c>
    </row>
    <row r="1141" spans="1:6" x14ac:dyDescent="0.35">
      <c r="A1141" s="11">
        <v>49780</v>
      </c>
      <c r="B1141" s="12" t="s">
        <v>10</v>
      </c>
      <c r="C1141" s="13">
        <v>26.7</v>
      </c>
      <c r="D1141" s="14">
        <v>30.4</v>
      </c>
      <c r="E1141">
        <f t="shared" si="17"/>
        <v>2036</v>
      </c>
      <c r="F1141" s="18">
        <v>1</v>
      </c>
    </row>
    <row r="1142" spans="1:6" x14ac:dyDescent="0.35">
      <c r="A1142" s="7">
        <v>49781</v>
      </c>
      <c r="B1142" s="8" t="s">
        <v>13</v>
      </c>
      <c r="C1142" s="9">
        <v>20.100000000000001</v>
      </c>
      <c r="D1142" s="10">
        <v>3.1</v>
      </c>
      <c r="E1142">
        <f t="shared" si="17"/>
        <v>2036</v>
      </c>
      <c r="F1142" s="18">
        <v>1</v>
      </c>
    </row>
    <row r="1143" spans="1:6" x14ac:dyDescent="0.35">
      <c r="A1143" s="11">
        <v>49782</v>
      </c>
      <c r="B1143" s="12" t="s">
        <v>6</v>
      </c>
      <c r="C1143" s="13">
        <v>13.5</v>
      </c>
      <c r="D1143" s="14">
        <v>6.9</v>
      </c>
      <c r="E1143">
        <f t="shared" si="17"/>
        <v>2036</v>
      </c>
      <c r="F1143" s="18">
        <v>1</v>
      </c>
    </row>
    <row r="1144" spans="1:6" x14ac:dyDescent="0.35">
      <c r="A1144" s="7">
        <v>49783</v>
      </c>
      <c r="B1144" s="8" t="s">
        <v>7</v>
      </c>
      <c r="C1144" s="9">
        <v>18.8</v>
      </c>
      <c r="D1144" s="10">
        <v>21.5</v>
      </c>
      <c r="E1144">
        <f t="shared" si="17"/>
        <v>2036</v>
      </c>
      <c r="F1144" s="18">
        <v>1</v>
      </c>
    </row>
    <row r="1145" spans="1:6" x14ac:dyDescent="0.35">
      <c r="A1145" s="11">
        <v>49784</v>
      </c>
      <c r="B1145" s="12" t="s">
        <v>19</v>
      </c>
      <c r="C1145" s="13">
        <v>18</v>
      </c>
      <c r="D1145" s="14">
        <v>13.9</v>
      </c>
      <c r="E1145">
        <f t="shared" si="17"/>
        <v>2036</v>
      </c>
      <c r="F1145" s="18">
        <v>1</v>
      </c>
    </row>
    <row r="1146" spans="1:6" x14ac:dyDescent="0.35">
      <c r="A1146" s="7">
        <v>49785</v>
      </c>
      <c r="B1146" s="8" t="s">
        <v>27</v>
      </c>
      <c r="C1146" s="9">
        <v>16.899999999999999</v>
      </c>
      <c r="D1146" s="10">
        <v>1.8</v>
      </c>
      <c r="E1146">
        <f t="shared" si="17"/>
        <v>2036</v>
      </c>
      <c r="F1146" s="18">
        <v>1</v>
      </c>
    </row>
    <row r="1147" spans="1:6" x14ac:dyDescent="0.35">
      <c r="A1147" s="11">
        <v>49786</v>
      </c>
      <c r="B1147" s="12" t="s">
        <v>6</v>
      </c>
      <c r="C1147" s="13">
        <v>23.7</v>
      </c>
      <c r="D1147" s="14">
        <v>13</v>
      </c>
      <c r="E1147">
        <f t="shared" si="17"/>
        <v>2036</v>
      </c>
      <c r="F1147" s="18">
        <v>1</v>
      </c>
    </row>
    <row r="1148" spans="1:6" x14ac:dyDescent="0.35">
      <c r="A1148" s="7">
        <v>49787</v>
      </c>
      <c r="B1148" s="8" t="s">
        <v>32</v>
      </c>
      <c r="C1148" s="9">
        <v>17.600000000000001</v>
      </c>
      <c r="D1148" s="10">
        <v>0.6</v>
      </c>
      <c r="E1148">
        <f t="shared" si="17"/>
        <v>2036</v>
      </c>
      <c r="F1148" s="18">
        <v>1</v>
      </c>
    </row>
    <row r="1149" spans="1:6" x14ac:dyDescent="0.35">
      <c r="A1149" s="11">
        <v>49788</v>
      </c>
      <c r="B1149" s="12" t="s">
        <v>7</v>
      </c>
      <c r="C1149" s="13">
        <v>29.1</v>
      </c>
      <c r="D1149" s="14">
        <v>8.3000000000000007</v>
      </c>
      <c r="E1149">
        <f t="shared" si="17"/>
        <v>2036</v>
      </c>
      <c r="F1149" s="18">
        <v>1</v>
      </c>
    </row>
    <row r="1150" spans="1:6" x14ac:dyDescent="0.35">
      <c r="A1150" s="7">
        <v>49789</v>
      </c>
      <c r="B1150" s="8" t="s">
        <v>9</v>
      </c>
      <c r="C1150" s="9">
        <v>26.8</v>
      </c>
      <c r="D1150" s="10">
        <v>11.2</v>
      </c>
      <c r="E1150">
        <f t="shared" si="17"/>
        <v>2036</v>
      </c>
      <c r="F1150" s="18">
        <v>1</v>
      </c>
    </row>
    <row r="1151" spans="1:6" x14ac:dyDescent="0.35">
      <c r="A1151" s="11">
        <v>49790</v>
      </c>
      <c r="B1151" s="12" t="s">
        <v>18</v>
      </c>
      <c r="C1151" s="13">
        <v>10.5</v>
      </c>
      <c r="D1151" s="14">
        <v>0</v>
      </c>
      <c r="E1151">
        <f t="shared" si="17"/>
        <v>2036</v>
      </c>
      <c r="F1151" s="18">
        <v>1</v>
      </c>
    </row>
    <row r="1152" spans="1:6" x14ac:dyDescent="0.35">
      <c r="A1152" s="7">
        <v>49791</v>
      </c>
      <c r="B1152" s="8" t="s">
        <v>11</v>
      </c>
      <c r="C1152" s="9">
        <v>13.5</v>
      </c>
      <c r="D1152" s="10">
        <v>0</v>
      </c>
      <c r="E1152">
        <f t="shared" si="17"/>
        <v>2036</v>
      </c>
      <c r="F1152" s="18">
        <v>1</v>
      </c>
    </row>
    <row r="1153" spans="1:6" x14ac:dyDescent="0.35">
      <c r="A1153" s="11">
        <v>49792</v>
      </c>
      <c r="B1153" s="12" t="s">
        <v>10</v>
      </c>
      <c r="C1153" s="13">
        <v>14</v>
      </c>
      <c r="D1153" s="14">
        <v>22</v>
      </c>
      <c r="E1153">
        <f t="shared" si="17"/>
        <v>2036</v>
      </c>
      <c r="F1153" s="18">
        <v>1</v>
      </c>
    </row>
    <row r="1154" spans="1:6" x14ac:dyDescent="0.35">
      <c r="A1154" s="7">
        <v>49793</v>
      </c>
      <c r="B1154" s="8" t="s">
        <v>11</v>
      </c>
      <c r="C1154" s="9">
        <v>26.7</v>
      </c>
      <c r="D1154" s="10">
        <v>8</v>
      </c>
      <c r="E1154">
        <f t="shared" si="17"/>
        <v>2036</v>
      </c>
      <c r="F1154" s="18">
        <v>1</v>
      </c>
    </row>
    <row r="1155" spans="1:6" x14ac:dyDescent="0.35">
      <c r="A1155" s="11">
        <v>49794</v>
      </c>
      <c r="B1155" s="12" t="s">
        <v>26</v>
      </c>
      <c r="C1155" s="13">
        <v>11.2</v>
      </c>
      <c r="D1155" s="14">
        <v>6.1</v>
      </c>
      <c r="E1155">
        <f t="shared" ref="E1155:E1218" si="18">YEAR(A1155)</f>
        <v>2036</v>
      </c>
      <c r="F1155" s="18">
        <v>1</v>
      </c>
    </row>
    <row r="1156" spans="1:6" x14ac:dyDescent="0.35">
      <c r="A1156" s="7">
        <v>49795</v>
      </c>
      <c r="B1156" s="8" t="s">
        <v>27</v>
      </c>
      <c r="C1156" s="9">
        <v>24.7</v>
      </c>
      <c r="D1156" s="10">
        <v>0</v>
      </c>
      <c r="E1156">
        <f t="shared" si="18"/>
        <v>2036</v>
      </c>
      <c r="F1156" s="18">
        <v>1</v>
      </c>
    </row>
    <row r="1157" spans="1:6" x14ac:dyDescent="0.35">
      <c r="A1157" s="11">
        <v>49796</v>
      </c>
      <c r="B1157" s="12" t="s">
        <v>29</v>
      </c>
      <c r="C1157" s="13">
        <v>27.2</v>
      </c>
      <c r="D1157" s="14">
        <v>0.3</v>
      </c>
      <c r="E1157">
        <f t="shared" si="18"/>
        <v>2036</v>
      </c>
      <c r="F1157" s="18">
        <v>1</v>
      </c>
    </row>
    <row r="1158" spans="1:6" x14ac:dyDescent="0.35">
      <c r="A1158" s="7">
        <v>49797</v>
      </c>
      <c r="B1158" s="8" t="s">
        <v>30</v>
      </c>
      <c r="C1158" s="9">
        <v>11</v>
      </c>
      <c r="D1158" s="10">
        <v>0</v>
      </c>
      <c r="E1158">
        <f t="shared" si="18"/>
        <v>2036</v>
      </c>
      <c r="F1158" s="18">
        <v>1</v>
      </c>
    </row>
    <row r="1159" spans="1:6" x14ac:dyDescent="0.35">
      <c r="A1159" s="11">
        <v>49798</v>
      </c>
      <c r="B1159" s="12" t="s">
        <v>12</v>
      </c>
      <c r="C1159" s="13">
        <v>10.9</v>
      </c>
      <c r="D1159" s="14">
        <v>4.4000000000000004</v>
      </c>
      <c r="E1159">
        <f t="shared" si="18"/>
        <v>2036</v>
      </c>
      <c r="F1159" s="18">
        <v>1</v>
      </c>
    </row>
    <row r="1160" spans="1:6" x14ac:dyDescent="0.35">
      <c r="A1160" s="7">
        <v>49799</v>
      </c>
      <c r="B1160" s="8" t="s">
        <v>7</v>
      </c>
      <c r="C1160" s="9">
        <v>27.4</v>
      </c>
      <c r="D1160" s="10">
        <v>6</v>
      </c>
      <c r="E1160">
        <f t="shared" si="18"/>
        <v>2036</v>
      </c>
      <c r="F1160" s="18">
        <v>1</v>
      </c>
    </row>
    <row r="1161" spans="1:6" x14ac:dyDescent="0.35">
      <c r="A1161" s="11">
        <v>49800</v>
      </c>
      <c r="B1161" s="12" t="s">
        <v>6</v>
      </c>
      <c r="C1161" s="13">
        <v>20</v>
      </c>
      <c r="D1161" s="14">
        <v>7.6</v>
      </c>
      <c r="E1161">
        <f t="shared" si="18"/>
        <v>2036</v>
      </c>
      <c r="F1161" s="18">
        <v>1</v>
      </c>
    </row>
    <row r="1162" spans="1:6" x14ac:dyDescent="0.35">
      <c r="A1162" s="7">
        <v>49801</v>
      </c>
      <c r="B1162" s="8" t="s">
        <v>18</v>
      </c>
      <c r="C1162" s="9">
        <v>23.5</v>
      </c>
      <c r="D1162" s="10">
        <v>2.5</v>
      </c>
      <c r="E1162">
        <f t="shared" si="18"/>
        <v>2036</v>
      </c>
      <c r="F1162" s="18">
        <v>1</v>
      </c>
    </row>
    <row r="1163" spans="1:6" x14ac:dyDescent="0.35">
      <c r="A1163" s="11">
        <v>49802</v>
      </c>
      <c r="B1163" s="12" t="s">
        <v>11</v>
      </c>
      <c r="C1163" s="13">
        <v>28.5</v>
      </c>
      <c r="D1163" s="14">
        <v>0</v>
      </c>
      <c r="E1163">
        <f t="shared" si="18"/>
        <v>2036</v>
      </c>
      <c r="F1163" s="18">
        <v>1</v>
      </c>
    </row>
    <row r="1164" spans="1:6" x14ac:dyDescent="0.35">
      <c r="A1164" s="7">
        <v>49803</v>
      </c>
      <c r="B1164" s="8" t="s">
        <v>27</v>
      </c>
      <c r="C1164" s="9">
        <v>10.8</v>
      </c>
      <c r="D1164" s="10">
        <v>5.8</v>
      </c>
      <c r="E1164">
        <f t="shared" si="18"/>
        <v>2036</v>
      </c>
      <c r="F1164" s="18">
        <v>1</v>
      </c>
    </row>
    <row r="1165" spans="1:6" x14ac:dyDescent="0.35">
      <c r="A1165" s="11">
        <v>49804</v>
      </c>
      <c r="B1165" s="12" t="s">
        <v>15</v>
      </c>
      <c r="C1165" s="13">
        <v>18.899999999999999</v>
      </c>
      <c r="D1165" s="14">
        <v>9.5</v>
      </c>
      <c r="E1165">
        <f t="shared" si="18"/>
        <v>2036</v>
      </c>
      <c r="F1165" s="18">
        <v>1</v>
      </c>
    </row>
    <row r="1166" spans="1:6" x14ac:dyDescent="0.35">
      <c r="A1166" s="7">
        <v>49805</v>
      </c>
      <c r="B1166" s="8" t="s">
        <v>13</v>
      </c>
      <c r="C1166" s="9">
        <v>24</v>
      </c>
      <c r="D1166" s="10">
        <v>4</v>
      </c>
      <c r="E1166">
        <f t="shared" si="18"/>
        <v>2036</v>
      </c>
      <c r="F1166" s="18">
        <v>1</v>
      </c>
    </row>
    <row r="1167" spans="1:6" x14ac:dyDescent="0.35">
      <c r="A1167" s="11">
        <v>49806</v>
      </c>
      <c r="B1167" s="12" t="s">
        <v>12</v>
      </c>
      <c r="C1167" s="13">
        <v>12.7</v>
      </c>
      <c r="D1167" s="14">
        <v>3</v>
      </c>
      <c r="E1167">
        <f t="shared" si="18"/>
        <v>2036</v>
      </c>
      <c r="F1167" s="18">
        <v>1</v>
      </c>
    </row>
    <row r="1168" spans="1:6" x14ac:dyDescent="0.35">
      <c r="A1168" s="7">
        <v>49807</v>
      </c>
      <c r="B1168" s="8" t="s">
        <v>7</v>
      </c>
      <c r="C1168" s="9">
        <v>13.4</v>
      </c>
      <c r="D1168" s="10">
        <v>6.2</v>
      </c>
      <c r="E1168">
        <f t="shared" si="18"/>
        <v>2036</v>
      </c>
      <c r="F1168" s="18">
        <v>1</v>
      </c>
    </row>
    <row r="1169" spans="1:6" x14ac:dyDescent="0.35">
      <c r="A1169" s="11">
        <v>49808</v>
      </c>
      <c r="B1169" s="12" t="s">
        <v>10</v>
      </c>
      <c r="C1169" s="13">
        <v>15.9</v>
      </c>
      <c r="D1169" s="14">
        <v>0</v>
      </c>
      <c r="E1169">
        <f t="shared" si="18"/>
        <v>2036</v>
      </c>
      <c r="F1169" s="18">
        <v>1</v>
      </c>
    </row>
    <row r="1170" spans="1:6" x14ac:dyDescent="0.35">
      <c r="A1170" s="7">
        <v>49809</v>
      </c>
      <c r="B1170" s="8" t="s">
        <v>11</v>
      </c>
      <c r="C1170" s="9">
        <v>19.399999999999999</v>
      </c>
      <c r="D1170" s="10">
        <v>21.2</v>
      </c>
      <c r="E1170">
        <f t="shared" si="18"/>
        <v>2036</v>
      </c>
      <c r="F1170" s="18">
        <v>1</v>
      </c>
    </row>
    <row r="1171" spans="1:6" x14ac:dyDescent="0.35">
      <c r="A1171" s="11">
        <v>49810</v>
      </c>
      <c r="B1171" s="12" t="s">
        <v>15</v>
      </c>
      <c r="C1171" s="13">
        <v>16.3</v>
      </c>
      <c r="D1171" s="14">
        <v>17.600000000000001</v>
      </c>
      <c r="E1171">
        <f t="shared" si="18"/>
        <v>2036</v>
      </c>
      <c r="F1171" s="18">
        <v>1</v>
      </c>
    </row>
    <row r="1172" spans="1:6" x14ac:dyDescent="0.35">
      <c r="A1172" s="7">
        <v>49811</v>
      </c>
      <c r="B1172" s="8" t="s">
        <v>11</v>
      </c>
      <c r="C1172" s="9">
        <v>28</v>
      </c>
      <c r="D1172" s="10">
        <v>20.399999999999999</v>
      </c>
      <c r="E1172">
        <f t="shared" si="18"/>
        <v>2036</v>
      </c>
      <c r="F1172" s="18">
        <v>1</v>
      </c>
    </row>
    <row r="1173" spans="1:6" x14ac:dyDescent="0.35">
      <c r="A1173" s="11">
        <v>49812</v>
      </c>
      <c r="B1173" s="12" t="s">
        <v>12</v>
      </c>
      <c r="C1173" s="13">
        <v>19</v>
      </c>
      <c r="D1173" s="14">
        <v>5.2</v>
      </c>
      <c r="E1173">
        <f t="shared" si="18"/>
        <v>2036</v>
      </c>
      <c r="F1173" s="18">
        <v>1</v>
      </c>
    </row>
    <row r="1174" spans="1:6" x14ac:dyDescent="0.35">
      <c r="A1174" s="7">
        <v>49813</v>
      </c>
      <c r="B1174" s="8" t="s">
        <v>27</v>
      </c>
      <c r="C1174" s="9">
        <v>24.1</v>
      </c>
      <c r="D1174" s="10">
        <v>4.8</v>
      </c>
      <c r="E1174">
        <f t="shared" si="18"/>
        <v>2036</v>
      </c>
      <c r="F1174" s="18">
        <v>1</v>
      </c>
    </row>
    <row r="1175" spans="1:6" x14ac:dyDescent="0.35">
      <c r="A1175" s="11">
        <v>49814</v>
      </c>
      <c r="B1175" s="12" t="s">
        <v>10</v>
      </c>
      <c r="C1175" s="13">
        <v>15.2</v>
      </c>
      <c r="D1175" s="14">
        <v>25.7</v>
      </c>
      <c r="E1175">
        <f t="shared" si="18"/>
        <v>2036</v>
      </c>
      <c r="F1175" s="18">
        <v>1</v>
      </c>
    </row>
    <row r="1176" spans="1:6" x14ac:dyDescent="0.35">
      <c r="A1176" s="7">
        <v>49815</v>
      </c>
      <c r="B1176" s="8" t="s">
        <v>11</v>
      </c>
      <c r="C1176" s="9">
        <v>16.3</v>
      </c>
      <c r="D1176" s="10">
        <v>21</v>
      </c>
      <c r="E1176">
        <f t="shared" si="18"/>
        <v>2036</v>
      </c>
      <c r="F1176" s="18">
        <v>1</v>
      </c>
    </row>
    <row r="1177" spans="1:6" x14ac:dyDescent="0.35">
      <c r="A1177" s="11">
        <v>49816</v>
      </c>
      <c r="B1177" s="12" t="s">
        <v>7</v>
      </c>
      <c r="C1177" s="13">
        <v>26.9</v>
      </c>
      <c r="D1177" s="14">
        <v>0</v>
      </c>
      <c r="E1177">
        <f t="shared" si="18"/>
        <v>2036</v>
      </c>
      <c r="F1177" s="18">
        <v>1</v>
      </c>
    </row>
    <row r="1178" spans="1:6" x14ac:dyDescent="0.35">
      <c r="A1178" s="7">
        <v>49817</v>
      </c>
      <c r="B1178" s="8" t="s">
        <v>9</v>
      </c>
      <c r="C1178" s="9">
        <v>25</v>
      </c>
      <c r="D1178" s="10">
        <v>0.5</v>
      </c>
      <c r="E1178">
        <f t="shared" si="18"/>
        <v>2036</v>
      </c>
      <c r="F1178" s="18">
        <v>1</v>
      </c>
    </row>
    <row r="1179" spans="1:6" x14ac:dyDescent="0.35">
      <c r="A1179" s="11">
        <v>49818</v>
      </c>
      <c r="B1179" s="12" t="s">
        <v>17</v>
      </c>
      <c r="C1179" s="13">
        <v>25.1</v>
      </c>
      <c r="D1179" s="14">
        <v>5.2</v>
      </c>
      <c r="E1179">
        <f t="shared" si="18"/>
        <v>2036</v>
      </c>
      <c r="F1179" s="18">
        <v>1</v>
      </c>
    </row>
    <row r="1180" spans="1:6" x14ac:dyDescent="0.35">
      <c r="A1180" s="7">
        <v>49819</v>
      </c>
      <c r="B1180" s="8" t="s">
        <v>12</v>
      </c>
      <c r="C1180" s="9">
        <v>29.2</v>
      </c>
      <c r="D1180" s="10">
        <v>7.1</v>
      </c>
      <c r="E1180">
        <f t="shared" si="18"/>
        <v>2036</v>
      </c>
      <c r="F1180" s="18">
        <v>1</v>
      </c>
    </row>
    <row r="1181" spans="1:6" x14ac:dyDescent="0.35">
      <c r="A1181" s="11">
        <v>49820</v>
      </c>
      <c r="B1181" s="12" t="s">
        <v>13</v>
      </c>
      <c r="C1181" s="13">
        <v>18.100000000000001</v>
      </c>
      <c r="D1181" s="14">
        <v>5.0999999999999996</v>
      </c>
      <c r="E1181">
        <f t="shared" si="18"/>
        <v>2036</v>
      </c>
      <c r="F1181" s="18">
        <v>1</v>
      </c>
    </row>
    <row r="1182" spans="1:6" x14ac:dyDescent="0.35">
      <c r="A1182" s="7">
        <v>49821</v>
      </c>
      <c r="B1182" s="8" t="s">
        <v>11</v>
      </c>
      <c r="C1182" s="9">
        <v>12.5</v>
      </c>
      <c r="D1182" s="10">
        <v>0</v>
      </c>
      <c r="E1182">
        <f t="shared" si="18"/>
        <v>2036</v>
      </c>
      <c r="F1182" s="18">
        <v>1</v>
      </c>
    </row>
    <row r="1183" spans="1:6" x14ac:dyDescent="0.35">
      <c r="A1183" s="11">
        <v>49822</v>
      </c>
      <c r="B1183" s="12" t="s">
        <v>11</v>
      </c>
      <c r="C1183" s="13">
        <v>19.100000000000001</v>
      </c>
      <c r="D1183" s="14">
        <v>0.3</v>
      </c>
      <c r="E1183">
        <f t="shared" si="18"/>
        <v>2036</v>
      </c>
      <c r="F1183" s="18">
        <v>1</v>
      </c>
    </row>
    <row r="1184" spans="1:6" x14ac:dyDescent="0.35">
      <c r="A1184" s="7">
        <v>49823</v>
      </c>
      <c r="B1184" s="8" t="s">
        <v>19</v>
      </c>
      <c r="C1184" s="9">
        <v>27.4</v>
      </c>
      <c r="D1184" s="10">
        <v>0</v>
      </c>
      <c r="E1184">
        <f t="shared" si="18"/>
        <v>2036</v>
      </c>
      <c r="F1184" s="18">
        <v>1</v>
      </c>
    </row>
    <row r="1185" spans="1:6" x14ac:dyDescent="0.35">
      <c r="A1185" s="11">
        <v>49824</v>
      </c>
      <c r="B1185" s="12" t="s">
        <v>7</v>
      </c>
      <c r="C1185" s="13">
        <v>21.1</v>
      </c>
      <c r="D1185" s="14">
        <v>10.4</v>
      </c>
      <c r="E1185">
        <f t="shared" si="18"/>
        <v>2036</v>
      </c>
      <c r="F1185" s="18">
        <v>1</v>
      </c>
    </row>
    <row r="1186" spans="1:6" x14ac:dyDescent="0.35">
      <c r="A1186" s="7">
        <v>49825</v>
      </c>
      <c r="B1186" s="8" t="s">
        <v>27</v>
      </c>
      <c r="C1186" s="9">
        <v>13.4</v>
      </c>
      <c r="D1186" s="10">
        <v>0</v>
      </c>
      <c r="E1186">
        <f t="shared" si="18"/>
        <v>2036</v>
      </c>
      <c r="F1186" s="18">
        <v>1</v>
      </c>
    </row>
    <row r="1187" spans="1:6" x14ac:dyDescent="0.35">
      <c r="A1187" s="11">
        <v>49826</v>
      </c>
      <c r="B1187" s="12" t="s">
        <v>5</v>
      </c>
      <c r="C1187" s="13">
        <v>11.9</v>
      </c>
      <c r="D1187" s="14">
        <v>7.3</v>
      </c>
      <c r="E1187">
        <f t="shared" si="18"/>
        <v>2036</v>
      </c>
      <c r="F1187" s="18">
        <v>1</v>
      </c>
    </row>
    <row r="1188" spans="1:6" x14ac:dyDescent="0.35">
      <c r="A1188" s="7">
        <v>49827</v>
      </c>
      <c r="B1188" s="8" t="s">
        <v>13</v>
      </c>
      <c r="C1188" s="9">
        <v>20.399999999999999</v>
      </c>
      <c r="D1188" s="10">
        <v>4.3</v>
      </c>
      <c r="E1188">
        <f t="shared" si="18"/>
        <v>2036</v>
      </c>
      <c r="F1188" s="18">
        <v>1</v>
      </c>
    </row>
    <row r="1189" spans="1:6" x14ac:dyDescent="0.35">
      <c r="A1189" s="11">
        <v>49828</v>
      </c>
      <c r="B1189" s="12" t="s">
        <v>7</v>
      </c>
      <c r="C1189" s="13">
        <v>29.5</v>
      </c>
      <c r="D1189" s="14">
        <v>18.600000000000001</v>
      </c>
      <c r="E1189">
        <f t="shared" si="18"/>
        <v>2036</v>
      </c>
      <c r="F1189" s="18">
        <v>1</v>
      </c>
    </row>
    <row r="1190" spans="1:6" x14ac:dyDescent="0.35">
      <c r="A1190" s="7">
        <v>49829</v>
      </c>
      <c r="B1190" s="8" t="s">
        <v>12</v>
      </c>
      <c r="C1190" s="9">
        <v>24.1</v>
      </c>
      <c r="D1190" s="10">
        <v>5</v>
      </c>
      <c r="E1190">
        <f t="shared" si="18"/>
        <v>2036</v>
      </c>
      <c r="F1190" s="18">
        <v>1</v>
      </c>
    </row>
    <row r="1191" spans="1:6" x14ac:dyDescent="0.35">
      <c r="A1191" s="11">
        <v>49830</v>
      </c>
      <c r="B1191" s="12" t="s">
        <v>14</v>
      </c>
      <c r="C1191" s="13">
        <v>11.5</v>
      </c>
      <c r="D1191" s="14">
        <v>3.6</v>
      </c>
      <c r="E1191">
        <f t="shared" si="18"/>
        <v>2036</v>
      </c>
      <c r="F1191" s="18">
        <v>1</v>
      </c>
    </row>
    <row r="1192" spans="1:6" x14ac:dyDescent="0.35">
      <c r="A1192" s="7">
        <v>49831</v>
      </c>
      <c r="B1192" s="8" t="s">
        <v>25</v>
      </c>
      <c r="C1192" s="9">
        <v>21.2</v>
      </c>
      <c r="D1192" s="10">
        <v>1.8</v>
      </c>
      <c r="E1192">
        <f t="shared" si="18"/>
        <v>2036</v>
      </c>
      <c r="F1192" s="18">
        <v>1</v>
      </c>
    </row>
    <row r="1193" spans="1:6" x14ac:dyDescent="0.35">
      <c r="A1193" s="11">
        <v>49832</v>
      </c>
      <c r="B1193" s="12" t="s">
        <v>10</v>
      </c>
      <c r="C1193" s="13">
        <v>22.2</v>
      </c>
      <c r="D1193" s="14">
        <v>40.299999999999997</v>
      </c>
      <c r="E1193">
        <f t="shared" si="18"/>
        <v>2036</v>
      </c>
      <c r="F1193" s="18">
        <v>1</v>
      </c>
    </row>
    <row r="1194" spans="1:6" x14ac:dyDescent="0.35">
      <c r="A1194" s="7">
        <v>49833</v>
      </c>
      <c r="B1194" s="8" t="s">
        <v>10</v>
      </c>
      <c r="C1194" s="9">
        <v>14.6</v>
      </c>
      <c r="D1194" s="10">
        <v>2.6</v>
      </c>
      <c r="E1194">
        <f t="shared" si="18"/>
        <v>2036</v>
      </c>
      <c r="F1194" s="18">
        <v>1</v>
      </c>
    </row>
    <row r="1195" spans="1:6" x14ac:dyDescent="0.35">
      <c r="A1195" s="11">
        <v>49834</v>
      </c>
      <c r="B1195" s="12" t="s">
        <v>13</v>
      </c>
      <c r="C1195" s="13">
        <v>23.3</v>
      </c>
      <c r="D1195" s="14">
        <v>8.1</v>
      </c>
      <c r="E1195">
        <f t="shared" si="18"/>
        <v>2036</v>
      </c>
      <c r="F1195" s="18">
        <v>1</v>
      </c>
    </row>
    <row r="1196" spans="1:6" x14ac:dyDescent="0.35">
      <c r="A1196" s="7">
        <v>49835</v>
      </c>
      <c r="B1196" s="8" t="s">
        <v>13</v>
      </c>
      <c r="C1196" s="9">
        <v>16.2</v>
      </c>
      <c r="D1196" s="10">
        <v>10.4</v>
      </c>
      <c r="E1196">
        <f t="shared" si="18"/>
        <v>2036</v>
      </c>
      <c r="F1196" s="18">
        <v>1</v>
      </c>
    </row>
    <row r="1197" spans="1:6" x14ac:dyDescent="0.35">
      <c r="A1197" s="11">
        <v>49836</v>
      </c>
      <c r="B1197" s="12" t="s">
        <v>10</v>
      </c>
      <c r="C1197" s="13">
        <v>25.9</v>
      </c>
      <c r="D1197" s="14">
        <v>0</v>
      </c>
      <c r="E1197">
        <f t="shared" si="18"/>
        <v>2036</v>
      </c>
      <c r="F1197" s="18">
        <v>1</v>
      </c>
    </row>
    <row r="1198" spans="1:6" x14ac:dyDescent="0.35">
      <c r="A1198" s="7">
        <v>49837</v>
      </c>
      <c r="B1198" s="8" t="s">
        <v>5</v>
      </c>
      <c r="C1198" s="9">
        <v>14.6</v>
      </c>
      <c r="D1198" s="10">
        <v>7</v>
      </c>
      <c r="E1198">
        <f t="shared" si="18"/>
        <v>2036</v>
      </c>
      <c r="F1198" s="18">
        <v>1</v>
      </c>
    </row>
    <row r="1199" spans="1:6" x14ac:dyDescent="0.35">
      <c r="A1199" s="11">
        <v>49838</v>
      </c>
      <c r="B1199" s="12" t="s">
        <v>18</v>
      </c>
      <c r="C1199" s="13">
        <v>15.1</v>
      </c>
      <c r="D1199" s="14">
        <v>11.7</v>
      </c>
      <c r="E1199">
        <f t="shared" si="18"/>
        <v>2036</v>
      </c>
      <c r="F1199" s="18">
        <v>1</v>
      </c>
    </row>
    <row r="1200" spans="1:6" x14ac:dyDescent="0.35">
      <c r="A1200" s="7">
        <v>49839</v>
      </c>
      <c r="B1200" s="8" t="s">
        <v>19</v>
      </c>
      <c r="C1200" s="9">
        <v>14.1</v>
      </c>
      <c r="D1200" s="10">
        <v>6.5</v>
      </c>
      <c r="E1200">
        <f t="shared" si="18"/>
        <v>2036</v>
      </c>
      <c r="F1200" s="18">
        <v>1</v>
      </c>
    </row>
    <row r="1201" spans="1:6" x14ac:dyDescent="0.35">
      <c r="A1201" s="11">
        <v>49840</v>
      </c>
      <c r="B1201" s="12" t="s">
        <v>27</v>
      </c>
      <c r="C1201" s="13">
        <v>22.1</v>
      </c>
      <c r="D1201" s="14">
        <v>1.8</v>
      </c>
      <c r="E1201">
        <f t="shared" si="18"/>
        <v>2036</v>
      </c>
      <c r="F1201" s="18">
        <v>1</v>
      </c>
    </row>
    <row r="1202" spans="1:6" x14ac:dyDescent="0.35">
      <c r="A1202" s="7">
        <v>49841</v>
      </c>
      <c r="B1202" s="8" t="s">
        <v>11</v>
      </c>
      <c r="C1202" s="9">
        <v>27.2</v>
      </c>
      <c r="D1202" s="10">
        <v>21.9</v>
      </c>
      <c r="E1202">
        <f t="shared" si="18"/>
        <v>2036</v>
      </c>
      <c r="F1202" s="18">
        <v>1</v>
      </c>
    </row>
    <row r="1203" spans="1:6" x14ac:dyDescent="0.35">
      <c r="A1203" s="11">
        <v>49842</v>
      </c>
      <c r="B1203" s="12" t="s">
        <v>6</v>
      </c>
      <c r="C1203" s="13">
        <v>10.8</v>
      </c>
      <c r="D1203" s="14">
        <v>0</v>
      </c>
      <c r="E1203">
        <f t="shared" si="18"/>
        <v>2036</v>
      </c>
      <c r="F1203" s="18">
        <v>1</v>
      </c>
    </row>
    <row r="1204" spans="1:6" x14ac:dyDescent="0.35">
      <c r="A1204" s="7">
        <v>49843</v>
      </c>
      <c r="B1204" s="8" t="s">
        <v>7</v>
      </c>
      <c r="C1204" s="9">
        <v>24.6</v>
      </c>
      <c r="D1204" s="10">
        <v>0</v>
      </c>
      <c r="E1204">
        <f t="shared" si="18"/>
        <v>2036</v>
      </c>
      <c r="F1204" s="18">
        <v>1</v>
      </c>
    </row>
    <row r="1205" spans="1:6" x14ac:dyDescent="0.35">
      <c r="A1205" s="11">
        <v>49844</v>
      </c>
      <c r="B1205" s="12" t="s">
        <v>10</v>
      </c>
      <c r="C1205" s="13">
        <v>27.8</v>
      </c>
      <c r="D1205" s="14">
        <v>26.3</v>
      </c>
      <c r="E1205">
        <f t="shared" si="18"/>
        <v>2036</v>
      </c>
      <c r="F1205" s="18">
        <v>1</v>
      </c>
    </row>
    <row r="1206" spans="1:6" x14ac:dyDescent="0.35">
      <c r="A1206" s="7">
        <v>49845</v>
      </c>
      <c r="B1206" s="8" t="s">
        <v>14</v>
      </c>
      <c r="C1206" s="9">
        <v>12.9</v>
      </c>
      <c r="D1206" s="10">
        <v>2.8</v>
      </c>
      <c r="E1206">
        <f t="shared" si="18"/>
        <v>2036</v>
      </c>
      <c r="F1206" s="18">
        <v>1</v>
      </c>
    </row>
    <row r="1207" spans="1:6" x14ac:dyDescent="0.35">
      <c r="A1207" s="11">
        <v>49846</v>
      </c>
      <c r="B1207" s="12" t="s">
        <v>13</v>
      </c>
      <c r="C1207" s="13">
        <v>13.9</v>
      </c>
      <c r="D1207" s="14">
        <v>0.6</v>
      </c>
      <c r="E1207">
        <f t="shared" si="18"/>
        <v>2036</v>
      </c>
      <c r="F1207" s="18">
        <v>1</v>
      </c>
    </row>
    <row r="1208" spans="1:6" x14ac:dyDescent="0.35">
      <c r="A1208" s="7">
        <v>49847</v>
      </c>
      <c r="B1208" s="8" t="s">
        <v>29</v>
      </c>
      <c r="C1208" s="9">
        <v>27.6</v>
      </c>
      <c r="D1208" s="10">
        <v>0.6</v>
      </c>
      <c r="E1208">
        <f t="shared" si="18"/>
        <v>2036</v>
      </c>
      <c r="F1208" s="18">
        <v>1</v>
      </c>
    </row>
    <row r="1209" spans="1:6" x14ac:dyDescent="0.35">
      <c r="A1209" s="11">
        <v>49848</v>
      </c>
      <c r="B1209" s="12" t="s">
        <v>11</v>
      </c>
      <c r="C1209" s="13">
        <v>18.600000000000001</v>
      </c>
      <c r="D1209" s="14">
        <v>21.5</v>
      </c>
      <c r="E1209">
        <f t="shared" si="18"/>
        <v>2036</v>
      </c>
      <c r="F1209" s="18">
        <v>1</v>
      </c>
    </row>
    <row r="1210" spans="1:6" x14ac:dyDescent="0.35">
      <c r="A1210" s="7">
        <v>49849</v>
      </c>
      <c r="B1210" s="8" t="s">
        <v>6</v>
      </c>
      <c r="C1210" s="9">
        <v>17.8</v>
      </c>
      <c r="D1210" s="10">
        <v>0</v>
      </c>
      <c r="E1210">
        <f t="shared" si="18"/>
        <v>2036</v>
      </c>
      <c r="F1210" s="18">
        <v>1</v>
      </c>
    </row>
    <row r="1211" spans="1:6" x14ac:dyDescent="0.35">
      <c r="A1211" s="11">
        <v>49850</v>
      </c>
      <c r="B1211" s="12" t="s">
        <v>15</v>
      </c>
      <c r="C1211" s="13">
        <v>20.8</v>
      </c>
      <c r="D1211" s="14">
        <v>8.5</v>
      </c>
      <c r="E1211">
        <f t="shared" si="18"/>
        <v>2036</v>
      </c>
      <c r="F1211" s="18">
        <v>1</v>
      </c>
    </row>
    <row r="1212" spans="1:6" x14ac:dyDescent="0.35">
      <c r="A1212" s="7">
        <v>49851</v>
      </c>
      <c r="B1212" s="8" t="s">
        <v>22</v>
      </c>
      <c r="C1212" s="9">
        <v>16.399999999999999</v>
      </c>
      <c r="D1212" s="10">
        <v>6.8</v>
      </c>
      <c r="E1212">
        <f t="shared" si="18"/>
        <v>2036</v>
      </c>
      <c r="F1212" s="18">
        <v>1</v>
      </c>
    </row>
    <row r="1213" spans="1:6" x14ac:dyDescent="0.35">
      <c r="A1213" s="11">
        <v>49852</v>
      </c>
      <c r="B1213" s="12" t="s">
        <v>27</v>
      </c>
      <c r="C1213" s="13">
        <v>14.6</v>
      </c>
      <c r="D1213" s="14">
        <v>0</v>
      </c>
      <c r="E1213">
        <f t="shared" si="18"/>
        <v>2036</v>
      </c>
      <c r="F1213" s="18">
        <v>1</v>
      </c>
    </row>
    <row r="1214" spans="1:6" x14ac:dyDescent="0.35">
      <c r="A1214" s="7">
        <v>49853</v>
      </c>
      <c r="B1214" s="8" t="s">
        <v>9</v>
      </c>
      <c r="C1214" s="9">
        <v>27.1</v>
      </c>
      <c r="D1214" s="10">
        <v>1.2</v>
      </c>
      <c r="E1214">
        <f t="shared" si="18"/>
        <v>2036</v>
      </c>
      <c r="F1214" s="18">
        <v>1</v>
      </c>
    </row>
    <row r="1215" spans="1:6" x14ac:dyDescent="0.35">
      <c r="A1215" s="11">
        <v>49854</v>
      </c>
      <c r="B1215" s="12" t="s">
        <v>10</v>
      </c>
      <c r="C1215" s="13">
        <v>18.3</v>
      </c>
      <c r="D1215" s="14">
        <v>3.7</v>
      </c>
      <c r="E1215">
        <f t="shared" si="18"/>
        <v>2036</v>
      </c>
      <c r="F1215" s="18">
        <v>1</v>
      </c>
    </row>
    <row r="1216" spans="1:6" x14ac:dyDescent="0.35">
      <c r="A1216" s="7">
        <v>49855</v>
      </c>
      <c r="B1216" s="8" t="s">
        <v>29</v>
      </c>
      <c r="C1216" s="9">
        <v>27.1</v>
      </c>
      <c r="D1216" s="10">
        <v>0.2</v>
      </c>
      <c r="E1216">
        <f t="shared" si="18"/>
        <v>2036</v>
      </c>
      <c r="F1216" s="18">
        <v>1</v>
      </c>
    </row>
    <row r="1217" spans="1:6" x14ac:dyDescent="0.35">
      <c r="A1217" s="11">
        <v>49856</v>
      </c>
      <c r="B1217" s="12" t="s">
        <v>15</v>
      </c>
      <c r="C1217" s="13">
        <v>12.9</v>
      </c>
      <c r="D1217" s="14">
        <v>10.199999999999999</v>
      </c>
      <c r="E1217">
        <f t="shared" si="18"/>
        <v>2036</v>
      </c>
      <c r="F1217" s="18">
        <v>1</v>
      </c>
    </row>
    <row r="1218" spans="1:6" x14ac:dyDescent="0.35">
      <c r="A1218" s="7">
        <v>49857</v>
      </c>
      <c r="B1218" s="8" t="s">
        <v>19</v>
      </c>
      <c r="C1218" s="9">
        <v>19.100000000000001</v>
      </c>
      <c r="D1218" s="10">
        <v>19.600000000000001</v>
      </c>
      <c r="E1218">
        <f t="shared" si="18"/>
        <v>2036</v>
      </c>
      <c r="F1218" s="18">
        <v>1</v>
      </c>
    </row>
    <row r="1219" spans="1:6" x14ac:dyDescent="0.35">
      <c r="A1219" s="11">
        <v>49858</v>
      </c>
      <c r="B1219" s="12" t="s">
        <v>6</v>
      </c>
      <c r="C1219" s="13">
        <v>19.2</v>
      </c>
      <c r="D1219" s="14">
        <v>3.6</v>
      </c>
      <c r="E1219">
        <f t="shared" ref="E1219:E1282" si="19">YEAR(A1219)</f>
        <v>2036</v>
      </c>
      <c r="F1219" s="18">
        <v>1</v>
      </c>
    </row>
    <row r="1220" spans="1:6" x14ac:dyDescent="0.35">
      <c r="A1220" s="7">
        <v>49859</v>
      </c>
      <c r="B1220" s="8" t="s">
        <v>9</v>
      </c>
      <c r="C1220" s="9">
        <v>25.2</v>
      </c>
      <c r="D1220" s="10">
        <v>0</v>
      </c>
      <c r="E1220">
        <f t="shared" si="19"/>
        <v>2036</v>
      </c>
      <c r="F1220" s="18">
        <v>1</v>
      </c>
    </row>
    <row r="1221" spans="1:6" x14ac:dyDescent="0.35">
      <c r="A1221" s="11">
        <v>49860</v>
      </c>
      <c r="B1221" s="12" t="s">
        <v>15</v>
      </c>
      <c r="C1221" s="13">
        <v>13.5</v>
      </c>
      <c r="D1221" s="14">
        <v>6.3</v>
      </c>
      <c r="E1221">
        <f t="shared" si="19"/>
        <v>2036</v>
      </c>
      <c r="F1221" s="18">
        <v>1</v>
      </c>
    </row>
    <row r="1222" spans="1:6" x14ac:dyDescent="0.35">
      <c r="A1222" s="7">
        <v>49861</v>
      </c>
      <c r="B1222" s="8" t="s">
        <v>12</v>
      </c>
      <c r="C1222" s="9">
        <v>19.2</v>
      </c>
      <c r="D1222" s="10">
        <v>7.7</v>
      </c>
      <c r="E1222">
        <f t="shared" si="19"/>
        <v>2036</v>
      </c>
      <c r="F1222" s="18">
        <v>1</v>
      </c>
    </row>
    <row r="1223" spans="1:6" x14ac:dyDescent="0.35">
      <c r="A1223" s="11">
        <v>49862</v>
      </c>
      <c r="B1223" s="12" t="s">
        <v>14</v>
      </c>
      <c r="C1223" s="13">
        <v>24.1</v>
      </c>
      <c r="D1223" s="14">
        <v>7.8</v>
      </c>
      <c r="E1223">
        <f t="shared" si="19"/>
        <v>2036</v>
      </c>
      <c r="F1223" s="18">
        <v>1</v>
      </c>
    </row>
    <row r="1224" spans="1:6" x14ac:dyDescent="0.35">
      <c r="A1224" s="7">
        <v>49863</v>
      </c>
      <c r="B1224" s="8" t="s">
        <v>10</v>
      </c>
      <c r="C1224" s="9">
        <v>17.8</v>
      </c>
      <c r="D1224" s="10">
        <v>13.4</v>
      </c>
      <c r="E1224">
        <f t="shared" si="19"/>
        <v>2036</v>
      </c>
      <c r="F1224" s="18">
        <v>1</v>
      </c>
    </row>
    <row r="1225" spans="1:6" x14ac:dyDescent="0.35">
      <c r="A1225" s="11">
        <v>49864</v>
      </c>
      <c r="B1225" s="12" t="s">
        <v>7</v>
      </c>
      <c r="C1225" s="13">
        <v>24.7</v>
      </c>
      <c r="D1225" s="14">
        <v>21.1</v>
      </c>
      <c r="E1225">
        <f t="shared" si="19"/>
        <v>2036</v>
      </c>
      <c r="F1225" s="18">
        <v>1</v>
      </c>
    </row>
    <row r="1226" spans="1:6" x14ac:dyDescent="0.35">
      <c r="A1226" s="7">
        <v>49865</v>
      </c>
      <c r="B1226" s="8" t="s">
        <v>20</v>
      </c>
      <c r="C1226" s="9">
        <v>16.8</v>
      </c>
      <c r="D1226" s="10">
        <v>0</v>
      </c>
      <c r="E1226">
        <f t="shared" si="19"/>
        <v>2036</v>
      </c>
      <c r="F1226" s="18">
        <v>1</v>
      </c>
    </row>
    <row r="1227" spans="1:6" x14ac:dyDescent="0.35">
      <c r="A1227" s="11">
        <v>49866</v>
      </c>
      <c r="B1227" s="12" t="s">
        <v>5</v>
      </c>
      <c r="C1227" s="13">
        <v>10.7</v>
      </c>
      <c r="D1227" s="14">
        <v>3</v>
      </c>
      <c r="E1227">
        <f t="shared" si="19"/>
        <v>2036</v>
      </c>
      <c r="F1227" s="18">
        <v>1</v>
      </c>
    </row>
    <row r="1228" spans="1:6" x14ac:dyDescent="0.35">
      <c r="A1228" s="7">
        <v>49867</v>
      </c>
      <c r="B1228" s="8" t="s">
        <v>6</v>
      </c>
      <c r="C1228" s="9">
        <v>29.3</v>
      </c>
      <c r="D1228" s="10">
        <v>8.3000000000000007</v>
      </c>
      <c r="E1228">
        <f t="shared" si="19"/>
        <v>2036</v>
      </c>
      <c r="F1228" s="18">
        <v>1</v>
      </c>
    </row>
    <row r="1229" spans="1:6" x14ac:dyDescent="0.35">
      <c r="A1229" s="11">
        <v>49868</v>
      </c>
      <c r="B1229" s="12" t="s">
        <v>25</v>
      </c>
      <c r="C1229" s="13">
        <v>28.2</v>
      </c>
      <c r="D1229" s="14">
        <v>0</v>
      </c>
      <c r="E1229">
        <f t="shared" si="19"/>
        <v>2036</v>
      </c>
      <c r="F1229" s="18">
        <v>1</v>
      </c>
    </row>
    <row r="1230" spans="1:6" x14ac:dyDescent="0.35">
      <c r="A1230" s="7">
        <v>49869</v>
      </c>
      <c r="B1230" s="8" t="s">
        <v>10</v>
      </c>
      <c r="C1230" s="9">
        <v>17.3</v>
      </c>
      <c r="D1230" s="10">
        <v>33.6</v>
      </c>
      <c r="E1230">
        <f t="shared" si="19"/>
        <v>2036</v>
      </c>
      <c r="F1230" s="18">
        <v>1</v>
      </c>
    </row>
    <row r="1231" spans="1:6" x14ac:dyDescent="0.35">
      <c r="A1231" s="11">
        <v>49870</v>
      </c>
      <c r="B1231" s="12" t="s">
        <v>6</v>
      </c>
      <c r="C1231" s="13">
        <v>24.6</v>
      </c>
      <c r="D1231" s="14">
        <v>0</v>
      </c>
      <c r="E1231">
        <f t="shared" si="19"/>
        <v>2036</v>
      </c>
      <c r="F1231" s="18">
        <v>1</v>
      </c>
    </row>
    <row r="1232" spans="1:6" x14ac:dyDescent="0.35">
      <c r="A1232" s="7">
        <v>49871</v>
      </c>
      <c r="B1232" s="8" t="s">
        <v>12</v>
      </c>
      <c r="C1232" s="9">
        <v>12.6</v>
      </c>
      <c r="D1232" s="10">
        <v>0.6</v>
      </c>
      <c r="E1232">
        <f t="shared" si="19"/>
        <v>2036</v>
      </c>
      <c r="F1232" s="18">
        <v>1</v>
      </c>
    </row>
    <row r="1233" spans="1:6" x14ac:dyDescent="0.35">
      <c r="A1233" s="11">
        <v>49872</v>
      </c>
      <c r="B1233" s="12" t="s">
        <v>19</v>
      </c>
      <c r="C1233" s="13">
        <v>27.3</v>
      </c>
      <c r="D1233" s="14">
        <v>0</v>
      </c>
      <c r="E1233">
        <f t="shared" si="19"/>
        <v>2036</v>
      </c>
      <c r="F1233" s="18">
        <v>1</v>
      </c>
    </row>
    <row r="1234" spans="1:6" x14ac:dyDescent="0.35">
      <c r="A1234" s="7">
        <v>49873</v>
      </c>
      <c r="B1234" s="8" t="s">
        <v>8</v>
      </c>
      <c r="C1234" s="9">
        <v>14.4</v>
      </c>
      <c r="D1234" s="10">
        <v>2</v>
      </c>
      <c r="E1234">
        <f t="shared" si="19"/>
        <v>2036</v>
      </c>
      <c r="F1234" s="18">
        <v>1</v>
      </c>
    </row>
    <row r="1235" spans="1:6" x14ac:dyDescent="0.35">
      <c r="A1235" s="11">
        <v>49874</v>
      </c>
      <c r="B1235" s="12" t="s">
        <v>10</v>
      </c>
      <c r="C1235" s="13">
        <v>11.2</v>
      </c>
      <c r="D1235" s="14">
        <v>32.6</v>
      </c>
      <c r="E1235">
        <f t="shared" si="19"/>
        <v>2036</v>
      </c>
      <c r="F1235" s="18">
        <v>1</v>
      </c>
    </row>
    <row r="1236" spans="1:6" x14ac:dyDescent="0.35">
      <c r="A1236" s="7">
        <v>49875</v>
      </c>
      <c r="B1236" s="8" t="s">
        <v>19</v>
      </c>
      <c r="C1236" s="9">
        <v>11.4</v>
      </c>
      <c r="D1236" s="10">
        <v>5.5</v>
      </c>
      <c r="E1236">
        <f t="shared" si="19"/>
        <v>2036</v>
      </c>
      <c r="F1236" s="18">
        <v>1</v>
      </c>
    </row>
    <row r="1237" spans="1:6" x14ac:dyDescent="0.35">
      <c r="A1237" s="11">
        <v>49876</v>
      </c>
      <c r="B1237" s="12" t="s">
        <v>14</v>
      </c>
      <c r="C1237" s="13">
        <v>22.9</v>
      </c>
      <c r="D1237" s="14">
        <v>0</v>
      </c>
      <c r="E1237">
        <f t="shared" si="19"/>
        <v>2036</v>
      </c>
      <c r="F1237" s="18">
        <v>1</v>
      </c>
    </row>
    <row r="1238" spans="1:6" x14ac:dyDescent="0.35">
      <c r="A1238" s="7">
        <v>49877</v>
      </c>
      <c r="B1238" s="8" t="s">
        <v>7</v>
      </c>
      <c r="C1238" s="9">
        <v>14.3</v>
      </c>
      <c r="D1238" s="10">
        <v>13.2</v>
      </c>
      <c r="E1238">
        <f t="shared" si="19"/>
        <v>2036</v>
      </c>
      <c r="F1238" s="18">
        <v>1</v>
      </c>
    </row>
    <row r="1239" spans="1:6" x14ac:dyDescent="0.35">
      <c r="A1239" s="11">
        <v>49878</v>
      </c>
      <c r="B1239" s="12" t="s">
        <v>10</v>
      </c>
      <c r="C1239" s="13">
        <v>22.9</v>
      </c>
      <c r="D1239" s="14">
        <v>22.9</v>
      </c>
      <c r="E1239">
        <f t="shared" si="19"/>
        <v>2036</v>
      </c>
      <c r="F1239" s="18">
        <v>1</v>
      </c>
    </row>
    <row r="1240" spans="1:6" x14ac:dyDescent="0.35">
      <c r="A1240" s="7">
        <v>49879</v>
      </c>
      <c r="B1240" s="8" t="s">
        <v>11</v>
      </c>
      <c r="C1240" s="9">
        <v>11.8</v>
      </c>
      <c r="D1240" s="10">
        <v>0</v>
      </c>
      <c r="E1240">
        <f t="shared" si="19"/>
        <v>2036</v>
      </c>
      <c r="F1240" s="18">
        <v>1</v>
      </c>
    </row>
    <row r="1241" spans="1:6" x14ac:dyDescent="0.35">
      <c r="A1241" s="11">
        <v>49880</v>
      </c>
      <c r="B1241" s="12" t="s">
        <v>18</v>
      </c>
      <c r="C1241" s="13">
        <v>24.5</v>
      </c>
      <c r="D1241" s="14">
        <v>0</v>
      </c>
      <c r="E1241">
        <f t="shared" si="19"/>
        <v>2036</v>
      </c>
      <c r="F1241" s="18">
        <v>1</v>
      </c>
    </row>
    <row r="1242" spans="1:6" x14ac:dyDescent="0.35">
      <c r="A1242" s="7">
        <v>49881</v>
      </c>
      <c r="B1242" s="8" t="s">
        <v>15</v>
      </c>
      <c r="C1242" s="9">
        <v>25.5</v>
      </c>
      <c r="D1242" s="10">
        <v>19.3</v>
      </c>
      <c r="E1242">
        <f t="shared" si="19"/>
        <v>2036</v>
      </c>
      <c r="F1242" s="18">
        <v>1</v>
      </c>
    </row>
    <row r="1243" spans="1:6" x14ac:dyDescent="0.35">
      <c r="A1243" s="11">
        <v>49882</v>
      </c>
      <c r="B1243" s="12" t="s">
        <v>19</v>
      </c>
      <c r="C1243" s="13">
        <v>14.7</v>
      </c>
      <c r="D1243" s="14">
        <v>18.3</v>
      </c>
      <c r="E1243">
        <f t="shared" si="19"/>
        <v>2036</v>
      </c>
      <c r="F1243" s="18">
        <v>1</v>
      </c>
    </row>
    <row r="1244" spans="1:6" x14ac:dyDescent="0.35">
      <c r="A1244" s="7">
        <v>49883</v>
      </c>
      <c r="B1244" s="8" t="s">
        <v>15</v>
      </c>
      <c r="C1244" s="9">
        <v>28.7</v>
      </c>
      <c r="D1244" s="10">
        <v>0</v>
      </c>
      <c r="E1244">
        <f t="shared" si="19"/>
        <v>2036</v>
      </c>
      <c r="F1244" s="18">
        <v>1</v>
      </c>
    </row>
    <row r="1245" spans="1:6" x14ac:dyDescent="0.35">
      <c r="A1245" s="11">
        <v>49884</v>
      </c>
      <c r="B1245" s="12" t="s">
        <v>10</v>
      </c>
      <c r="C1245" s="13">
        <v>16.7</v>
      </c>
      <c r="D1245" s="14">
        <v>0</v>
      </c>
      <c r="E1245">
        <f t="shared" si="19"/>
        <v>2036</v>
      </c>
      <c r="F1245" s="18">
        <v>1</v>
      </c>
    </row>
    <row r="1246" spans="1:6" x14ac:dyDescent="0.35">
      <c r="A1246" s="7">
        <v>49885</v>
      </c>
      <c r="B1246" s="8" t="s">
        <v>15</v>
      </c>
      <c r="C1246" s="9">
        <v>17.399999999999999</v>
      </c>
      <c r="D1246" s="10">
        <v>13.7</v>
      </c>
      <c r="E1246">
        <f t="shared" si="19"/>
        <v>2036</v>
      </c>
      <c r="F1246" s="18">
        <v>1</v>
      </c>
    </row>
    <row r="1247" spans="1:6" x14ac:dyDescent="0.35">
      <c r="A1247" s="11">
        <v>49886</v>
      </c>
      <c r="B1247" s="12" t="s">
        <v>10</v>
      </c>
      <c r="C1247" s="13">
        <v>15.6</v>
      </c>
      <c r="D1247" s="14">
        <v>0</v>
      </c>
      <c r="E1247">
        <f t="shared" si="19"/>
        <v>2036</v>
      </c>
      <c r="F1247" s="18">
        <v>1</v>
      </c>
    </row>
    <row r="1248" spans="1:6" x14ac:dyDescent="0.35">
      <c r="A1248" s="7">
        <v>49887</v>
      </c>
      <c r="B1248" s="8" t="s">
        <v>19</v>
      </c>
      <c r="C1248" s="9">
        <v>21.7</v>
      </c>
      <c r="D1248" s="10">
        <v>0</v>
      </c>
      <c r="E1248">
        <f t="shared" si="19"/>
        <v>2036</v>
      </c>
      <c r="F1248" s="18">
        <v>1</v>
      </c>
    </row>
    <row r="1249" spans="1:6" x14ac:dyDescent="0.35">
      <c r="A1249" s="11">
        <v>49888</v>
      </c>
      <c r="B1249" s="12" t="s">
        <v>7</v>
      </c>
      <c r="C1249" s="13">
        <v>26</v>
      </c>
      <c r="D1249" s="14">
        <v>0</v>
      </c>
      <c r="E1249">
        <f t="shared" si="19"/>
        <v>2036</v>
      </c>
      <c r="F1249" s="18">
        <v>1</v>
      </c>
    </row>
    <row r="1250" spans="1:6" x14ac:dyDescent="0.35">
      <c r="A1250" s="7">
        <v>49889</v>
      </c>
      <c r="B1250" s="8" t="s">
        <v>22</v>
      </c>
      <c r="C1250" s="9">
        <v>24.5</v>
      </c>
      <c r="D1250" s="10">
        <v>9</v>
      </c>
      <c r="E1250">
        <f t="shared" si="19"/>
        <v>2036</v>
      </c>
      <c r="F1250" s="18">
        <v>1</v>
      </c>
    </row>
    <row r="1251" spans="1:6" x14ac:dyDescent="0.35">
      <c r="A1251" s="11">
        <v>49890</v>
      </c>
      <c r="B1251" s="12" t="s">
        <v>17</v>
      </c>
      <c r="C1251" s="13">
        <v>23.2</v>
      </c>
      <c r="D1251" s="14">
        <v>0</v>
      </c>
      <c r="E1251">
        <f t="shared" si="19"/>
        <v>2036</v>
      </c>
      <c r="F1251" s="18">
        <v>1</v>
      </c>
    </row>
    <row r="1252" spans="1:6" x14ac:dyDescent="0.35">
      <c r="A1252" s="7">
        <v>49891</v>
      </c>
      <c r="B1252" s="8" t="s">
        <v>24</v>
      </c>
      <c r="C1252" s="9">
        <v>17.600000000000001</v>
      </c>
      <c r="D1252" s="10">
        <v>0.8</v>
      </c>
      <c r="E1252">
        <f t="shared" si="19"/>
        <v>2036</v>
      </c>
      <c r="F1252" s="18">
        <v>1</v>
      </c>
    </row>
    <row r="1253" spans="1:6" x14ac:dyDescent="0.35">
      <c r="A1253" s="11">
        <v>49892</v>
      </c>
      <c r="B1253" s="12" t="s">
        <v>7</v>
      </c>
      <c r="C1253" s="13">
        <v>13.9</v>
      </c>
      <c r="D1253" s="14">
        <v>8.8000000000000007</v>
      </c>
      <c r="E1253">
        <f t="shared" si="19"/>
        <v>2036</v>
      </c>
      <c r="F1253" s="18">
        <v>1</v>
      </c>
    </row>
    <row r="1254" spans="1:6" x14ac:dyDescent="0.35">
      <c r="A1254" s="7">
        <v>49893</v>
      </c>
      <c r="B1254" s="8" t="s">
        <v>27</v>
      </c>
      <c r="C1254" s="9">
        <v>20.7</v>
      </c>
      <c r="D1254" s="10">
        <v>4.3</v>
      </c>
      <c r="E1254">
        <f t="shared" si="19"/>
        <v>2036</v>
      </c>
      <c r="F1254" s="18">
        <v>1</v>
      </c>
    </row>
    <row r="1255" spans="1:6" x14ac:dyDescent="0.35">
      <c r="A1255" s="11">
        <v>49894</v>
      </c>
      <c r="B1255" s="12" t="s">
        <v>5</v>
      </c>
      <c r="C1255" s="13">
        <v>10.1</v>
      </c>
      <c r="D1255" s="14">
        <v>1.7</v>
      </c>
      <c r="E1255">
        <f t="shared" si="19"/>
        <v>2036</v>
      </c>
      <c r="F1255" s="18">
        <v>1</v>
      </c>
    </row>
    <row r="1256" spans="1:6" x14ac:dyDescent="0.35">
      <c r="A1256" s="7">
        <v>49895</v>
      </c>
      <c r="B1256" s="8" t="s">
        <v>7</v>
      </c>
      <c r="C1256" s="9">
        <v>26.2</v>
      </c>
      <c r="D1256" s="10">
        <v>22.7</v>
      </c>
      <c r="E1256">
        <f t="shared" si="19"/>
        <v>2036</v>
      </c>
      <c r="F1256" s="18">
        <v>1</v>
      </c>
    </row>
    <row r="1257" spans="1:6" x14ac:dyDescent="0.35">
      <c r="A1257" s="11">
        <v>49896</v>
      </c>
      <c r="B1257" s="12" t="s">
        <v>19</v>
      </c>
      <c r="C1257" s="13">
        <v>27.6</v>
      </c>
      <c r="D1257" s="14">
        <v>13.8</v>
      </c>
      <c r="E1257">
        <f t="shared" si="19"/>
        <v>2036</v>
      </c>
      <c r="F1257" s="18">
        <v>1</v>
      </c>
    </row>
    <row r="1258" spans="1:6" x14ac:dyDescent="0.35">
      <c r="A1258" s="7">
        <v>49897</v>
      </c>
      <c r="B1258" s="8" t="s">
        <v>6</v>
      </c>
      <c r="C1258" s="9">
        <v>20.6</v>
      </c>
      <c r="D1258" s="10">
        <v>4.7</v>
      </c>
      <c r="E1258">
        <f t="shared" si="19"/>
        <v>2036</v>
      </c>
      <c r="F1258" s="18">
        <v>1</v>
      </c>
    </row>
    <row r="1259" spans="1:6" x14ac:dyDescent="0.35">
      <c r="A1259" s="11">
        <v>49898</v>
      </c>
      <c r="B1259" s="12" t="s">
        <v>9</v>
      </c>
      <c r="C1259" s="13">
        <v>21.4</v>
      </c>
      <c r="D1259" s="14">
        <v>5</v>
      </c>
      <c r="E1259">
        <f t="shared" si="19"/>
        <v>2036</v>
      </c>
      <c r="F1259" s="18">
        <v>1</v>
      </c>
    </row>
    <row r="1260" spans="1:6" x14ac:dyDescent="0.35">
      <c r="A1260" s="7">
        <v>49899</v>
      </c>
      <c r="B1260" s="8" t="s">
        <v>6</v>
      </c>
      <c r="C1260" s="9">
        <v>17.100000000000001</v>
      </c>
      <c r="D1260" s="10">
        <v>0</v>
      </c>
      <c r="E1260">
        <f t="shared" si="19"/>
        <v>2036</v>
      </c>
      <c r="F1260" s="18">
        <v>1</v>
      </c>
    </row>
    <row r="1261" spans="1:6" x14ac:dyDescent="0.35">
      <c r="A1261" s="11">
        <v>49900</v>
      </c>
      <c r="B1261" s="12" t="s">
        <v>10</v>
      </c>
      <c r="C1261" s="13">
        <v>19.5</v>
      </c>
      <c r="D1261" s="14">
        <v>20.5</v>
      </c>
      <c r="E1261">
        <f t="shared" si="19"/>
        <v>2036</v>
      </c>
      <c r="F1261" s="18">
        <v>1</v>
      </c>
    </row>
    <row r="1262" spans="1:6" x14ac:dyDescent="0.35">
      <c r="A1262" s="7">
        <v>49901</v>
      </c>
      <c r="B1262" s="8" t="s">
        <v>13</v>
      </c>
      <c r="C1262" s="9">
        <v>15.9</v>
      </c>
      <c r="D1262" s="10">
        <v>0</v>
      </c>
      <c r="E1262">
        <f t="shared" si="19"/>
        <v>2036</v>
      </c>
      <c r="F1262" s="18">
        <v>1</v>
      </c>
    </row>
    <row r="1263" spans="1:6" x14ac:dyDescent="0.35">
      <c r="A1263" s="11">
        <v>49902</v>
      </c>
      <c r="B1263" s="12" t="s">
        <v>10</v>
      </c>
      <c r="C1263" s="13">
        <v>21.1</v>
      </c>
      <c r="D1263" s="14">
        <v>46.8</v>
      </c>
      <c r="E1263">
        <f t="shared" si="19"/>
        <v>2036</v>
      </c>
      <c r="F1263" s="18">
        <v>1</v>
      </c>
    </row>
    <row r="1264" spans="1:6" x14ac:dyDescent="0.35">
      <c r="A1264" s="7">
        <v>49903</v>
      </c>
      <c r="B1264" s="8" t="s">
        <v>19</v>
      </c>
      <c r="C1264" s="9">
        <v>20.2</v>
      </c>
      <c r="D1264" s="10">
        <v>36.6</v>
      </c>
      <c r="E1264">
        <f t="shared" si="19"/>
        <v>2036</v>
      </c>
      <c r="F1264" s="18">
        <v>1</v>
      </c>
    </row>
    <row r="1265" spans="1:6" x14ac:dyDescent="0.35">
      <c r="A1265" s="11">
        <v>49904</v>
      </c>
      <c r="B1265" s="12" t="s">
        <v>12</v>
      </c>
      <c r="C1265" s="13">
        <v>25</v>
      </c>
      <c r="D1265" s="14">
        <v>7.8</v>
      </c>
      <c r="E1265">
        <f t="shared" si="19"/>
        <v>2036</v>
      </c>
      <c r="F1265" s="18">
        <v>1</v>
      </c>
    </row>
    <row r="1266" spans="1:6" x14ac:dyDescent="0.35">
      <c r="A1266" s="7">
        <v>49905</v>
      </c>
      <c r="B1266" s="8" t="s">
        <v>10</v>
      </c>
      <c r="C1266" s="9">
        <v>22.1</v>
      </c>
      <c r="D1266" s="10">
        <v>8.8000000000000007</v>
      </c>
      <c r="E1266">
        <f t="shared" si="19"/>
        <v>2036</v>
      </c>
      <c r="F1266" s="18">
        <v>1</v>
      </c>
    </row>
    <row r="1267" spans="1:6" x14ac:dyDescent="0.35">
      <c r="A1267" s="11">
        <v>49906</v>
      </c>
      <c r="B1267" s="12" t="s">
        <v>33</v>
      </c>
      <c r="C1267" s="13">
        <v>28.9</v>
      </c>
      <c r="D1267" s="14">
        <v>0.5</v>
      </c>
      <c r="E1267">
        <f t="shared" si="19"/>
        <v>2036</v>
      </c>
      <c r="F1267" s="18">
        <v>1</v>
      </c>
    </row>
    <row r="1268" spans="1:6" x14ac:dyDescent="0.35">
      <c r="A1268" s="7">
        <v>49907</v>
      </c>
      <c r="B1268" s="8" t="s">
        <v>11</v>
      </c>
      <c r="C1268" s="9">
        <v>19.600000000000001</v>
      </c>
      <c r="D1268" s="10">
        <v>0</v>
      </c>
      <c r="E1268">
        <f t="shared" si="19"/>
        <v>2036</v>
      </c>
      <c r="F1268" s="18">
        <v>1</v>
      </c>
    </row>
    <row r="1269" spans="1:6" x14ac:dyDescent="0.35">
      <c r="A1269" s="11">
        <v>49908</v>
      </c>
      <c r="B1269" s="12" t="s">
        <v>7</v>
      </c>
      <c r="C1269" s="13">
        <v>18</v>
      </c>
      <c r="D1269" s="14">
        <v>13.2</v>
      </c>
      <c r="E1269">
        <f t="shared" si="19"/>
        <v>2036</v>
      </c>
      <c r="F1269" s="18">
        <v>1</v>
      </c>
    </row>
    <row r="1270" spans="1:6" x14ac:dyDescent="0.35">
      <c r="A1270" s="7">
        <v>49909</v>
      </c>
      <c r="B1270" s="8" t="s">
        <v>12</v>
      </c>
      <c r="C1270" s="9">
        <v>28.3</v>
      </c>
      <c r="D1270" s="10">
        <v>0</v>
      </c>
      <c r="E1270">
        <f t="shared" si="19"/>
        <v>2036</v>
      </c>
      <c r="F1270" s="18">
        <v>1</v>
      </c>
    </row>
    <row r="1271" spans="1:6" x14ac:dyDescent="0.35">
      <c r="A1271" s="11">
        <v>49910</v>
      </c>
      <c r="B1271" s="12" t="s">
        <v>6</v>
      </c>
      <c r="C1271" s="13">
        <v>25.2</v>
      </c>
      <c r="D1271" s="14">
        <v>0</v>
      </c>
      <c r="E1271">
        <f t="shared" si="19"/>
        <v>2036</v>
      </c>
      <c r="F1271" s="18">
        <v>1</v>
      </c>
    </row>
    <row r="1272" spans="1:6" x14ac:dyDescent="0.35">
      <c r="A1272" s="7">
        <v>49911</v>
      </c>
      <c r="B1272" s="8" t="s">
        <v>10</v>
      </c>
      <c r="C1272" s="9">
        <v>22.5</v>
      </c>
      <c r="D1272" s="10">
        <v>0</v>
      </c>
      <c r="E1272">
        <f t="shared" si="19"/>
        <v>2036</v>
      </c>
      <c r="F1272" s="18">
        <v>1</v>
      </c>
    </row>
    <row r="1273" spans="1:6" x14ac:dyDescent="0.35">
      <c r="A1273" s="11">
        <v>49912</v>
      </c>
      <c r="B1273" s="12" t="s">
        <v>13</v>
      </c>
      <c r="C1273" s="13">
        <v>19.899999999999999</v>
      </c>
      <c r="D1273" s="14">
        <v>6.7</v>
      </c>
      <c r="E1273">
        <f t="shared" si="19"/>
        <v>2036</v>
      </c>
      <c r="F1273" s="18">
        <v>1</v>
      </c>
    </row>
    <row r="1274" spans="1:6" x14ac:dyDescent="0.35">
      <c r="A1274" s="7">
        <v>49913</v>
      </c>
      <c r="B1274" s="8" t="s">
        <v>11</v>
      </c>
      <c r="C1274" s="9">
        <v>10.8</v>
      </c>
      <c r="D1274" s="10">
        <v>19.600000000000001</v>
      </c>
      <c r="E1274">
        <f t="shared" si="19"/>
        <v>2036</v>
      </c>
      <c r="F1274" s="18">
        <v>1</v>
      </c>
    </row>
    <row r="1275" spans="1:6" x14ac:dyDescent="0.35">
      <c r="A1275" s="11">
        <v>49914</v>
      </c>
      <c r="B1275" s="12" t="s">
        <v>19</v>
      </c>
      <c r="C1275" s="13">
        <v>18.399999999999999</v>
      </c>
      <c r="D1275" s="14">
        <v>0.6</v>
      </c>
      <c r="E1275">
        <f t="shared" si="19"/>
        <v>2036</v>
      </c>
      <c r="F1275" s="18">
        <v>1</v>
      </c>
    </row>
    <row r="1276" spans="1:6" x14ac:dyDescent="0.35">
      <c r="A1276" s="7">
        <v>49915</v>
      </c>
      <c r="B1276" s="8" t="s">
        <v>26</v>
      </c>
      <c r="C1276" s="9">
        <v>27.6</v>
      </c>
      <c r="D1276" s="10">
        <v>3.7</v>
      </c>
      <c r="E1276">
        <f t="shared" si="19"/>
        <v>2036</v>
      </c>
      <c r="F1276" s="18">
        <v>1</v>
      </c>
    </row>
    <row r="1277" spans="1:6" x14ac:dyDescent="0.35">
      <c r="A1277" s="11">
        <v>49916</v>
      </c>
      <c r="B1277" s="12" t="s">
        <v>26</v>
      </c>
      <c r="C1277" s="13">
        <v>11.3</v>
      </c>
      <c r="D1277" s="14">
        <v>1.9</v>
      </c>
      <c r="E1277">
        <f t="shared" si="19"/>
        <v>2036</v>
      </c>
      <c r="F1277" s="18">
        <v>1</v>
      </c>
    </row>
    <row r="1278" spans="1:6" x14ac:dyDescent="0.35">
      <c r="A1278" s="7">
        <v>49917</v>
      </c>
      <c r="B1278" s="8" t="s">
        <v>26</v>
      </c>
      <c r="C1278" s="9">
        <v>28.7</v>
      </c>
      <c r="D1278" s="10">
        <v>0</v>
      </c>
      <c r="E1278">
        <f t="shared" si="19"/>
        <v>2036</v>
      </c>
      <c r="F1278" s="18">
        <v>1</v>
      </c>
    </row>
    <row r="1279" spans="1:6" x14ac:dyDescent="0.35">
      <c r="A1279" s="11">
        <v>49918</v>
      </c>
      <c r="B1279" s="12" t="s">
        <v>21</v>
      </c>
      <c r="C1279" s="13">
        <v>15</v>
      </c>
      <c r="D1279" s="14">
        <v>1.7</v>
      </c>
      <c r="E1279">
        <f t="shared" si="19"/>
        <v>2036</v>
      </c>
      <c r="F1279" s="18">
        <v>1</v>
      </c>
    </row>
    <row r="1280" spans="1:6" x14ac:dyDescent="0.35">
      <c r="A1280" s="7">
        <v>49919</v>
      </c>
      <c r="B1280" s="8" t="s">
        <v>7</v>
      </c>
      <c r="C1280" s="9">
        <v>15.1</v>
      </c>
      <c r="D1280" s="10">
        <v>13.5</v>
      </c>
      <c r="E1280">
        <f t="shared" si="19"/>
        <v>2036</v>
      </c>
      <c r="F1280" s="18">
        <v>1</v>
      </c>
    </row>
    <row r="1281" spans="1:6" x14ac:dyDescent="0.35">
      <c r="A1281" s="11">
        <v>49920</v>
      </c>
      <c r="B1281" s="12" t="s">
        <v>19</v>
      </c>
      <c r="C1281" s="13">
        <v>19.399999999999999</v>
      </c>
      <c r="D1281" s="14">
        <v>29.6</v>
      </c>
      <c r="E1281">
        <f t="shared" si="19"/>
        <v>2036</v>
      </c>
      <c r="F1281" s="18">
        <v>1</v>
      </c>
    </row>
    <row r="1282" spans="1:6" x14ac:dyDescent="0.35">
      <c r="A1282" s="7">
        <v>49921</v>
      </c>
      <c r="B1282" s="8" t="s">
        <v>7</v>
      </c>
      <c r="C1282" s="9">
        <v>21.9</v>
      </c>
      <c r="D1282" s="10">
        <v>1.6</v>
      </c>
      <c r="E1282">
        <f t="shared" si="19"/>
        <v>2036</v>
      </c>
      <c r="F1282" s="18">
        <v>1</v>
      </c>
    </row>
    <row r="1283" spans="1:6" x14ac:dyDescent="0.35">
      <c r="A1283" s="11">
        <v>49922</v>
      </c>
      <c r="B1283" s="12" t="s">
        <v>18</v>
      </c>
      <c r="C1283" s="13">
        <v>19.399999999999999</v>
      </c>
      <c r="D1283" s="14">
        <v>9.8000000000000007</v>
      </c>
      <c r="E1283">
        <f t="shared" ref="E1283:E1346" si="20">YEAR(A1283)</f>
        <v>2036</v>
      </c>
      <c r="F1283" s="18">
        <v>1</v>
      </c>
    </row>
    <row r="1284" spans="1:6" x14ac:dyDescent="0.35">
      <c r="A1284" s="7">
        <v>49923</v>
      </c>
      <c r="B1284" s="8" t="s">
        <v>7</v>
      </c>
      <c r="C1284" s="9">
        <v>21.8</v>
      </c>
      <c r="D1284" s="10">
        <v>18.5</v>
      </c>
      <c r="E1284">
        <f t="shared" si="20"/>
        <v>2036</v>
      </c>
      <c r="F1284" s="18">
        <v>1</v>
      </c>
    </row>
    <row r="1285" spans="1:6" x14ac:dyDescent="0.35">
      <c r="A1285" s="11">
        <v>49924</v>
      </c>
      <c r="B1285" s="12" t="s">
        <v>17</v>
      </c>
      <c r="C1285" s="13">
        <v>29.3</v>
      </c>
      <c r="D1285" s="14">
        <v>2.8</v>
      </c>
      <c r="E1285">
        <f t="shared" si="20"/>
        <v>2036</v>
      </c>
      <c r="F1285" s="18">
        <v>1</v>
      </c>
    </row>
    <row r="1286" spans="1:6" x14ac:dyDescent="0.35">
      <c r="A1286" s="7">
        <v>49925</v>
      </c>
      <c r="B1286" s="8" t="s">
        <v>19</v>
      </c>
      <c r="C1286" s="9">
        <v>14.4</v>
      </c>
      <c r="D1286" s="10">
        <v>0</v>
      </c>
      <c r="E1286">
        <f t="shared" si="20"/>
        <v>2036</v>
      </c>
      <c r="F1286" s="18">
        <v>1</v>
      </c>
    </row>
    <row r="1287" spans="1:6" x14ac:dyDescent="0.35">
      <c r="A1287" s="11">
        <v>49926</v>
      </c>
      <c r="B1287" s="12" t="s">
        <v>10</v>
      </c>
      <c r="C1287" s="13">
        <v>14.5</v>
      </c>
      <c r="D1287" s="14">
        <v>0</v>
      </c>
      <c r="E1287">
        <f t="shared" si="20"/>
        <v>2036</v>
      </c>
      <c r="F1287" s="18">
        <v>1</v>
      </c>
    </row>
    <row r="1288" spans="1:6" x14ac:dyDescent="0.35">
      <c r="A1288" s="7">
        <v>49927</v>
      </c>
      <c r="B1288" s="8" t="s">
        <v>15</v>
      </c>
      <c r="C1288" s="9">
        <v>18.399999999999999</v>
      </c>
      <c r="D1288" s="10">
        <v>10.1</v>
      </c>
      <c r="E1288">
        <f t="shared" si="20"/>
        <v>2036</v>
      </c>
      <c r="F1288" s="18">
        <v>1</v>
      </c>
    </row>
    <row r="1289" spans="1:6" x14ac:dyDescent="0.35">
      <c r="A1289" s="11">
        <v>49928</v>
      </c>
      <c r="B1289" s="12" t="s">
        <v>18</v>
      </c>
      <c r="C1289" s="13">
        <v>29.8</v>
      </c>
      <c r="D1289" s="14">
        <v>0</v>
      </c>
      <c r="E1289">
        <f t="shared" si="20"/>
        <v>2036</v>
      </c>
      <c r="F1289" s="18">
        <v>1</v>
      </c>
    </row>
    <row r="1290" spans="1:6" x14ac:dyDescent="0.35">
      <c r="A1290" s="7">
        <v>49929</v>
      </c>
      <c r="B1290" s="8" t="s">
        <v>7</v>
      </c>
      <c r="C1290" s="9">
        <v>27.3</v>
      </c>
      <c r="D1290" s="10">
        <v>18.600000000000001</v>
      </c>
      <c r="E1290">
        <f t="shared" si="20"/>
        <v>2036</v>
      </c>
      <c r="F1290" s="18">
        <v>1</v>
      </c>
    </row>
    <row r="1291" spans="1:6" x14ac:dyDescent="0.35">
      <c r="A1291" s="11">
        <v>49930</v>
      </c>
      <c r="B1291" s="12" t="s">
        <v>9</v>
      </c>
      <c r="C1291" s="13">
        <v>22.7</v>
      </c>
      <c r="D1291" s="14">
        <v>0</v>
      </c>
      <c r="E1291">
        <f t="shared" si="20"/>
        <v>2036</v>
      </c>
      <c r="F1291" s="18">
        <v>1</v>
      </c>
    </row>
    <row r="1292" spans="1:6" x14ac:dyDescent="0.35">
      <c r="A1292" s="7">
        <v>49931</v>
      </c>
      <c r="B1292" s="8" t="s">
        <v>10</v>
      </c>
      <c r="C1292" s="9">
        <v>27.3</v>
      </c>
      <c r="D1292" s="10">
        <v>18.399999999999999</v>
      </c>
      <c r="E1292">
        <f t="shared" si="20"/>
        <v>2036</v>
      </c>
      <c r="F1292" s="18">
        <v>1</v>
      </c>
    </row>
    <row r="1293" spans="1:6" x14ac:dyDescent="0.35">
      <c r="A1293" s="11">
        <v>49932</v>
      </c>
      <c r="B1293" s="12" t="s">
        <v>18</v>
      </c>
      <c r="C1293" s="13">
        <v>12.9</v>
      </c>
      <c r="D1293" s="14">
        <v>0</v>
      </c>
      <c r="E1293">
        <f t="shared" si="20"/>
        <v>2036</v>
      </c>
      <c r="F1293" s="18">
        <v>1</v>
      </c>
    </row>
    <row r="1294" spans="1:6" x14ac:dyDescent="0.35">
      <c r="A1294" s="7">
        <v>49933</v>
      </c>
      <c r="B1294" s="8" t="s">
        <v>19</v>
      </c>
      <c r="C1294" s="9">
        <v>24.3</v>
      </c>
      <c r="D1294" s="10">
        <v>1.9</v>
      </c>
      <c r="E1294">
        <f t="shared" si="20"/>
        <v>2036</v>
      </c>
      <c r="F1294" s="18">
        <v>1</v>
      </c>
    </row>
    <row r="1295" spans="1:6" x14ac:dyDescent="0.35">
      <c r="A1295" s="11">
        <v>49934</v>
      </c>
      <c r="B1295" s="12" t="s">
        <v>18</v>
      </c>
      <c r="C1295" s="13">
        <v>20.6</v>
      </c>
      <c r="D1295" s="14">
        <v>14.6</v>
      </c>
      <c r="E1295">
        <f t="shared" si="20"/>
        <v>2036</v>
      </c>
      <c r="F1295" s="18">
        <v>1</v>
      </c>
    </row>
    <row r="1296" spans="1:6" x14ac:dyDescent="0.35">
      <c r="A1296" s="7">
        <v>49935</v>
      </c>
      <c r="B1296" s="8" t="s">
        <v>5</v>
      </c>
      <c r="C1296" s="9">
        <v>24.2</v>
      </c>
      <c r="D1296" s="10">
        <v>0</v>
      </c>
      <c r="E1296">
        <f t="shared" si="20"/>
        <v>2036</v>
      </c>
      <c r="F1296" s="18">
        <v>1</v>
      </c>
    </row>
    <row r="1297" spans="1:6" x14ac:dyDescent="0.35">
      <c r="A1297" s="11">
        <v>49936</v>
      </c>
      <c r="B1297" s="12" t="s">
        <v>10</v>
      </c>
      <c r="C1297" s="13">
        <v>15.2</v>
      </c>
      <c r="D1297" s="14">
        <v>0</v>
      </c>
      <c r="E1297">
        <f t="shared" si="20"/>
        <v>2036</v>
      </c>
      <c r="F1297" s="18">
        <v>1</v>
      </c>
    </row>
    <row r="1298" spans="1:6" x14ac:dyDescent="0.35">
      <c r="A1298" s="7">
        <v>49937</v>
      </c>
      <c r="B1298" s="8" t="s">
        <v>25</v>
      </c>
      <c r="C1298" s="9">
        <v>27.3</v>
      </c>
      <c r="D1298" s="10">
        <v>2.5</v>
      </c>
      <c r="E1298">
        <f t="shared" si="20"/>
        <v>2036</v>
      </c>
      <c r="F1298" s="18">
        <v>1</v>
      </c>
    </row>
    <row r="1299" spans="1:6" x14ac:dyDescent="0.35">
      <c r="A1299" s="11">
        <v>49938</v>
      </c>
      <c r="B1299" s="12" t="s">
        <v>25</v>
      </c>
      <c r="C1299" s="13">
        <v>28</v>
      </c>
      <c r="D1299" s="14">
        <v>0</v>
      </c>
      <c r="E1299">
        <f t="shared" si="20"/>
        <v>2036</v>
      </c>
      <c r="F1299" s="18">
        <v>1</v>
      </c>
    </row>
    <row r="1300" spans="1:6" x14ac:dyDescent="0.35">
      <c r="A1300" s="7">
        <v>49939</v>
      </c>
      <c r="B1300" s="8" t="s">
        <v>31</v>
      </c>
      <c r="C1300" s="9">
        <v>16.100000000000001</v>
      </c>
      <c r="D1300" s="10">
        <v>0</v>
      </c>
      <c r="E1300">
        <f t="shared" si="20"/>
        <v>2036</v>
      </c>
      <c r="F1300" s="18">
        <v>1</v>
      </c>
    </row>
    <row r="1301" spans="1:6" x14ac:dyDescent="0.35">
      <c r="A1301" s="11">
        <v>49940</v>
      </c>
      <c r="B1301" s="12" t="s">
        <v>19</v>
      </c>
      <c r="C1301" s="13">
        <v>18.8</v>
      </c>
      <c r="D1301" s="14">
        <v>16.899999999999999</v>
      </c>
      <c r="E1301">
        <f t="shared" si="20"/>
        <v>2036</v>
      </c>
      <c r="F1301" s="18">
        <v>1</v>
      </c>
    </row>
    <row r="1302" spans="1:6" x14ac:dyDescent="0.35">
      <c r="A1302" s="7">
        <v>49941</v>
      </c>
      <c r="B1302" s="8" t="s">
        <v>10</v>
      </c>
      <c r="C1302" s="9">
        <v>13.2</v>
      </c>
      <c r="D1302" s="10">
        <v>10.4</v>
      </c>
      <c r="E1302">
        <f t="shared" si="20"/>
        <v>2036</v>
      </c>
      <c r="F1302" s="18">
        <v>1</v>
      </c>
    </row>
    <row r="1303" spans="1:6" x14ac:dyDescent="0.35">
      <c r="A1303" s="11">
        <v>49942</v>
      </c>
      <c r="B1303" s="12" t="s">
        <v>5</v>
      </c>
      <c r="C1303" s="13">
        <v>17.899999999999999</v>
      </c>
      <c r="D1303" s="14">
        <v>3.5</v>
      </c>
      <c r="E1303">
        <f t="shared" si="20"/>
        <v>2036</v>
      </c>
      <c r="F1303" s="18">
        <v>1</v>
      </c>
    </row>
    <row r="1304" spans="1:6" x14ac:dyDescent="0.35">
      <c r="A1304" s="7">
        <v>49943</v>
      </c>
      <c r="B1304" s="8" t="s">
        <v>7</v>
      </c>
      <c r="C1304" s="9">
        <v>18.3</v>
      </c>
      <c r="D1304" s="10">
        <v>16.7</v>
      </c>
      <c r="E1304">
        <f t="shared" si="20"/>
        <v>2036</v>
      </c>
      <c r="F1304" s="18">
        <v>1</v>
      </c>
    </row>
    <row r="1305" spans="1:6" x14ac:dyDescent="0.35">
      <c r="A1305" s="11">
        <v>49944</v>
      </c>
      <c r="B1305" s="12" t="s">
        <v>17</v>
      </c>
      <c r="C1305" s="13">
        <v>25.7</v>
      </c>
      <c r="D1305" s="14">
        <v>2</v>
      </c>
      <c r="E1305">
        <f t="shared" si="20"/>
        <v>2036</v>
      </c>
      <c r="F1305" s="18">
        <v>1</v>
      </c>
    </row>
    <row r="1306" spans="1:6" x14ac:dyDescent="0.35">
      <c r="A1306" s="7">
        <v>49945</v>
      </c>
      <c r="B1306" s="8" t="s">
        <v>10</v>
      </c>
      <c r="C1306" s="9">
        <v>29.2</v>
      </c>
      <c r="D1306" s="10">
        <v>31.5</v>
      </c>
      <c r="E1306">
        <f t="shared" si="20"/>
        <v>2036</v>
      </c>
      <c r="F1306" s="18">
        <v>1</v>
      </c>
    </row>
    <row r="1307" spans="1:6" x14ac:dyDescent="0.35">
      <c r="A1307" s="11">
        <v>49946</v>
      </c>
      <c r="B1307" s="12" t="s">
        <v>7</v>
      </c>
      <c r="C1307" s="13">
        <v>21.5</v>
      </c>
      <c r="D1307" s="14">
        <v>0</v>
      </c>
      <c r="E1307">
        <f t="shared" si="20"/>
        <v>2036</v>
      </c>
      <c r="F1307" s="18">
        <v>1</v>
      </c>
    </row>
    <row r="1308" spans="1:6" x14ac:dyDescent="0.35">
      <c r="A1308" s="7">
        <v>49947</v>
      </c>
      <c r="B1308" s="8" t="s">
        <v>11</v>
      </c>
      <c r="C1308" s="9">
        <v>29.5</v>
      </c>
      <c r="D1308" s="10">
        <v>12.2</v>
      </c>
      <c r="E1308">
        <f t="shared" si="20"/>
        <v>2036</v>
      </c>
      <c r="F1308" s="18">
        <v>1</v>
      </c>
    </row>
    <row r="1309" spans="1:6" x14ac:dyDescent="0.35">
      <c r="A1309" s="11">
        <v>49948</v>
      </c>
      <c r="B1309" s="12" t="s">
        <v>7</v>
      </c>
      <c r="C1309" s="13">
        <v>17.7</v>
      </c>
      <c r="D1309" s="14">
        <v>10.1</v>
      </c>
      <c r="E1309">
        <f t="shared" si="20"/>
        <v>2036</v>
      </c>
      <c r="F1309" s="18">
        <v>1</v>
      </c>
    </row>
    <row r="1310" spans="1:6" x14ac:dyDescent="0.35">
      <c r="A1310" s="7">
        <v>49949</v>
      </c>
      <c r="B1310" s="8" t="s">
        <v>19</v>
      </c>
      <c r="C1310" s="9">
        <v>26.7</v>
      </c>
      <c r="D1310" s="10">
        <v>1.2</v>
      </c>
      <c r="E1310">
        <f t="shared" si="20"/>
        <v>2036</v>
      </c>
      <c r="F1310" s="18">
        <v>1</v>
      </c>
    </row>
    <row r="1311" spans="1:6" x14ac:dyDescent="0.35">
      <c r="A1311" s="11">
        <v>49950</v>
      </c>
      <c r="B1311" s="12" t="s">
        <v>10</v>
      </c>
      <c r="C1311" s="13">
        <v>13.3</v>
      </c>
      <c r="D1311" s="14">
        <v>0.5</v>
      </c>
      <c r="E1311">
        <f t="shared" si="20"/>
        <v>2036</v>
      </c>
      <c r="F1311" s="18">
        <v>1</v>
      </c>
    </row>
    <row r="1312" spans="1:6" x14ac:dyDescent="0.35">
      <c r="A1312" s="7">
        <v>49951</v>
      </c>
      <c r="B1312" s="8" t="s">
        <v>7</v>
      </c>
      <c r="C1312" s="9">
        <v>13.4</v>
      </c>
      <c r="D1312" s="10">
        <v>23.4</v>
      </c>
      <c r="E1312">
        <f t="shared" si="20"/>
        <v>2036</v>
      </c>
      <c r="F1312" s="18">
        <v>1</v>
      </c>
    </row>
    <row r="1313" spans="1:6" x14ac:dyDescent="0.35">
      <c r="A1313" s="11">
        <v>49952</v>
      </c>
      <c r="B1313" s="12" t="s">
        <v>11</v>
      </c>
      <c r="C1313" s="13">
        <v>22.1</v>
      </c>
      <c r="D1313" s="14">
        <v>17.7</v>
      </c>
      <c r="E1313">
        <f t="shared" si="20"/>
        <v>2036</v>
      </c>
      <c r="F1313" s="18">
        <v>1</v>
      </c>
    </row>
    <row r="1314" spans="1:6" x14ac:dyDescent="0.35">
      <c r="A1314" s="7">
        <v>49953</v>
      </c>
      <c r="B1314" s="8" t="s">
        <v>22</v>
      </c>
      <c r="C1314" s="9">
        <v>11.4</v>
      </c>
      <c r="D1314" s="10">
        <v>0</v>
      </c>
      <c r="E1314">
        <f t="shared" si="20"/>
        <v>2036</v>
      </c>
      <c r="F1314" s="18">
        <v>1</v>
      </c>
    </row>
    <row r="1315" spans="1:6" x14ac:dyDescent="0.35">
      <c r="A1315" s="11">
        <v>49954</v>
      </c>
      <c r="B1315" s="12" t="s">
        <v>15</v>
      </c>
      <c r="C1315" s="13">
        <v>26</v>
      </c>
      <c r="D1315" s="14">
        <v>4.9000000000000004</v>
      </c>
      <c r="E1315">
        <f t="shared" si="20"/>
        <v>2036</v>
      </c>
      <c r="F1315" s="18">
        <v>1</v>
      </c>
    </row>
    <row r="1316" spans="1:6" x14ac:dyDescent="0.35">
      <c r="A1316" s="7">
        <v>49955</v>
      </c>
      <c r="B1316" s="8" t="s">
        <v>15</v>
      </c>
      <c r="C1316" s="9">
        <v>27.8</v>
      </c>
      <c r="D1316" s="10">
        <v>6.7</v>
      </c>
      <c r="E1316">
        <f t="shared" si="20"/>
        <v>2036</v>
      </c>
      <c r="F1316" s="18">
        <v>1</v>
      </c>
    </row>
    <row r="1317" spans="1:6" x14ac:dyDescent="0.35">
      <c r="A1317" s="11">
        <v>49956</v>
      </c>
      <c r="B1317" s="12" t="s">
        <v>7</v>
      </c>
      <c r="C1317" s="13">
        <v>29.3</v>
      </c>
      <c r="D1317" s="14">
        <v>1.7</v>
      </c>
      <c r="E1317">
        <f t="shared" si="20"/>
        <v>2036</v>
      </c>
      <c r="F1317" s="18">
        <v>1</v>
      </c>
    </row>
    <row r="1318" spans="1:6" x14ac:dyDescent="0.35">
      <c r="A1318" s="7">
        <v>49957</v>
      </c>
      <c r="B1318" s="8" t="s">
        <v>23</v>
      </c>
      <c r="C1318" s="9">
        <v>24.7</v>
      </c>
      <c r="D1318" s="10">
        <v>2.5</v>
      </c>
      <c r="E1318">
        <f t="shared" si="20"/>
        <v>2036</v>
      </c>
      <c r="F1318" s="18">
        <v>1</v>
      </c>
    </row>
    <row r="1319" spans="1:6" x14ac:dyDescent="0.35">
      <c r="A1319" s="11">
        <v>49958</v>
      </c>
      <c r="B1319" s="12" t="s">
        <v>4</v>
      </c>
      <c r="C1319" s="13">
        <v>16.600000000000001</v>
      </c>
      <c r="D1319" s="14">
        <v>0.1</v>
      </c>
      <c r="E1319">
        <f t="shared" si="20"/>
        <v>2036</v>
      </c>
      <c r="F1319" s="18">
        <v>1</v>
      </c>
    </row>
    <row r="1320" spans="1:6" x14ac:dyDescent="0.35">
      <c r="A1320" s="7">
        <v>49959</v>
      </c>
      <c r="B1320" s="8" t="s">
        <v>18</v>
      </c>
      <c r="C1320" s="9">
        <v>27.5</v>
      </c>
      <c r="D1320" s="10">
        <v>0</v>
      </c>
      <c r="E1320">
        <f t="shared" si="20"/>
        <v>2036</v>
      </c>
      <c r="F1320" s="18">
        <v>1</v>
      </c>
    </row>
    <row r="1321" spans="1:6" x14ac:dyDescent="0.35">
      <c r="A1321" s="11">
        <v>49960</v>
      </c>
      <c r="B1321" s="12" t="s">
        <v>15</v>
      </c>
      <c r="C1321" s="13">
        <v>22.7</v>
      </c>
      <c r="D1321" s="14">
        <v>0</v>
      </c>
      <c r="E1321">
        <f t="shared" si="20"/>
        <v>2036</v>
      </c>
      <c r="F1321" s="18">
        <v>1</v>
      </c>
    </row>
    <row r="1322" spans="1:6" x14ac:dyDescent="0.35">
      <c r="A1322" s="7">
        <v>49961</v>
      </c>
      <c r="B1322" s="8" t="s">
        <v>12</v>
      </c>
      <c r="C1322" s="9">
        <v>20.100000000000001</v>
      </c>
      <c r="D1322" s="10">
        <v>10.5</v>
      </c>
      <c r="E1322">
        <f t="shared" si="20"/>
        <v>2036</v>
      </c>
      <c r="F1322" s="18">
        <v>1</v>
      </c>
    </row>
    <row r="1323" spans="1:6" x14ac:dyDescent="0.35">
      <c r="A1323" s="11">
        <v>49962</v>
      </c>
      <c r="B1323" s="12" t="s">
        <v>7</v>
      </c>
      <c r="C1323" s="13">
        <v>16.100000000000001</v>
      </c>
      <c r="D1323" s="14">
        <v>8.1</v>
      </c>
      <c r="E1323">
        <f t="shared" si="20"/>
        <v>2036</v>
      </c>
      <c r="F1323" s="18">
        <v>1</v>
      </c>
    </row>
    <row r="1324" spans="1:6" x14ac:dyDescent="0.35">
      <c r="A1324" s="7">
        <v>49963</v>
      </c>
      <c r="B1324" s="8" t="s">
        <v>7</v>
      </c>
      <c r="C1324" s="9">
        <v>13.9</v>
      </c>
      <c r="D1324" s="10">
        <v>0</v>
      </c>
      <c r="E1324">
        <f t="shared" si="20"/>
        <v>2036</v>
      </c>
      <c r="F1324" s="18">
        <v>1</v>
      </c>
    </row>
    <row r="1325" spans="1:6" x14ac:dyDescent="0.35">
      <c r="A1325" s="11">
        <v>49964</v>
      </c>
      <c r="B1325" s="12" t="s">
        <v>12</v>
      </c>
      <c r="C1325" s="13">
        <v>22.3</v>
      </c>
      <c r="D1325" s="14">
        <v>0</v>
      </c>
      <c r="E1325">
        <f t="shared" si="20"/>
        <v>2036</v>
      </c>
      <c r="F1325" s="18">
        <v>1</v>
      </c>
    </row>
    <row r="1326" spans="1:6" x14ac:dyDescent="0.35">
      <c r="A1326" s="7">
        <v>49965</v>
      </c>
      <c r="B1326" s="8" t="s">
        <v>26</v>
      </c>
      <c r="C1326" s="9">
        <v>13</v>
      </c>
      <c r="D1326" s="10">
        <v>0</v>
      </c>
      <c r="E1326">
        <f t="shared" si="20"/>
        <v>2036</v>
      </c>
      <c r="F1326" s="18">
        <v>1</v>
      </c>
    </row>
    <row r="1327" spans="1:6" x14ac:dyDescent="0.35">
      <c r="A1327" s="11">
        <v>49966</v>
      </c>
      <c r="B1327" s="12" t="s">
        <v>11</v>
      </c>
      <c r="C1327" s="13">
        <v>16.2</v>
      </c>
      <c r="D1327" s="14">
        <v>0</v>
      </c>
      <c r="E1327">
        <f t="shared" si="20"/>
        <v>2036</v>
      </c>
      <c r="F1327" s="18">
        <v>1</v>
      </c>
    </row>
    <row r="1328" spans="1:6" x14ac:dyDescent="0.35">
      <c r="A1328" s="7">
        <v>49967</v>
      </c>
      <c r="B1328" s="8" t="s">
        <v>14</v>
      </c>
      <c r="C1328" s="9">
        <v>24.8</v>
      </c>
      <c r="D1328" s="10">
        <v>0</v>
      </c>
      <c r="E1328">
        <f t="shared" si="20"/>
        <v>2036</v>
      </c>
      <c r="F1328" s="18">
        <v>1</v>
      </c>
    </row>
    <row r="1329" spans="1:6" x14ac:dyDescent="0.35">
      <c r="A1329" s="11">
        <v>49968</v>
      </c>
      <c r="B1329" s="12" t="s">
        <v>13</v>
      </c>
      <c r="C1329" s="13">
        <v>29.7</v>
      </c>
      <c r="D1329" s="14">
        <v>0</v>
      </c>
      <c r="E1329">
        <f t="shared" si="20"/>
        <v>2036</v>
      </c>
      <c r="F1329" s="18">
        <v>1</v>
      </c>
    </row>
    <row r="1330" spans="1:6" x14ac:dyDescent="0.35">
      <c r="A1330" s="7">
        <v>49969</v>
      </c>
      <c r="B1330" s="8" t="s">
        <v>10</v>
      </c>
      <c r="C1330" s="9">
        <v>17.600000000000001</v>
      </c>
      <c r="D1330" s="10">
        <v>14.7</v>
      </c>
      <c r="E1330">
        <f t="shared" si="20"/>
        <v>2036</v>
      </c>
      <c r="F1330" s="18">
        <v>1</v>
      </c>
    </row>
    <row r="1331" spans="1:6" x14ac:dyDescent="0.35">
      <c r="A1331" s="11">
        <v>49970</v>
      </c>
      <c r="B1331" s="12" t="s">
        <v>10</v>
      </c>
      <c r="C1331" s="13">
        <v>10.4</v>
      </c>
      <c r="D1331" s="14">
        <v>27.7</v>
      </c>
      <c r="E1331">
        <f t="shared" si="20"/>
        <v>2036</v>
      </c>
      <c r="F1331" s="18">
        <v>1</v>
      </c>
    </row>
    <row r="1332" spans="1:6" x14ac:dyDescent="0.35">
      <c r="A1332" s="7">
        <v>49971</v>
      </c>
      <c r="B1332" s="8" t="s">
        <v>15</v>
      </c>
      <c r="C1332" s="9">
        <v>17</v>
      </c>
      <c r="D1332" s="10">
        <v>1.1000000000000001</v>
      </c>
      <c r="E1332">
        <f t="shared" si="20"/>
        <v>2036</v>
      </c>
      <c r="F1332" s="18">
        <v>1</v>
      </c>
    </row>
    <row r="1333" spans="1:6" x14ac:dyDescent="0.35">
      <c r="A1333" s="11">
        <v>49972</v>
      </c>
      <c r="B1333" s="12" t="s">
        <v>18</v>
      </c>
      <c r="C1333" s="13">
        <v>15.7</v>
      </c>
      <c r="D1333" s="14">
        <v>5.9</v>
      </c>
      <c r="E1333">
        <f t="shared" si="20"/>
        <v>2036</v>
      </c>
      <c r="F1333" s="18">
        <v>1</v>
      </c>
    </row>
    <row r="1334" spans="1:6" x14ac:dyDescent="0.35">
      <c r="A1334" s="7">
        <v>49973</v>
      </c>
      <c r="B1334" s="8" t="s">
        <v>19</v>
      </c>
      <c r="C1334" s="9">
        <v>23.8</v>
      </c>
      <c r="D1334" s="10">
        <v>4.3</v>
      </c>
      <c r="E1334">
        <f t="shared" si="20"/>
        <v>2036</v>
      </c>
      <c r="F1334" s="18">
        <v>1</v>
      </c>
    </row>
    <row r="1335" spans="1:6" x14ac:dyDescent="0.35">
      <c r="A1335" s="11">
        <v>49974</v>
      </c>
      <c r="B1335" s="12" t="s">
        <v>11</v>
      </c>
      <c r="C1335" s="13">
        <v>16.2</v>
      </c>
      <c r="D1335" s="14">
        <v>8.6999999999999993</v>
      </c>
      <c r="E1335">
        <f t="shared" si="20"/>
        <v>2036</v>
      </c>
      <c r="F1335" s="18">
        <v>1</v>
      </c>
    </row>
    <row r="1336" spans="1:6" x14ac:dyDescent="0.35">
      <c r="A1336" s="7">
        <v>49975</v>
      </c>
      <c r="B1336" s="8" t="s">
        <v>5</v>
      </c>
      <c r="C1336" s="9">
        <v>23.3</v>
      </c>
      <c r="D1336" s="10">
        <v>5.8</v>
      </c>
      <c r="E1336">
        <f t="shared" si="20"/>
        <v>2036</v>
      </c>
      <c r="F1336" s="18">
        <v>1</v>
      </c>
    </row>
    <row r="1337" spans="1:6" x14ac:dyDescent="0.35">
      <c r="A1337" s="11">
        <v>49976</v>
      </c>
      <c r="B1337" s="12" t="s">
        <v>7</v>
      </c>
      <c r="C1337" s="13">
        <v>18.7</v>
      </c>
      <c r="D1337" s="14">
        <v>1.1000000000000001</v>
      </c>
      <c r="E1337">
        <f t="shared" si="20"/>
        <v>2036</v>
      </c>
      <c r="F1337" s="18">
        <v>1</v>
      </c>
    </row>
    <row r="1338" spans="1:6" x14ac:dyDescent="0.35">
      <c r="A1338" s="7">
        <v>49977</v>
      </c>
      <c r="B1338" s="8" t="s">
        <v>17</v>
      </c>
      <c r="C1338" s="9">
        <v>27.9</v>
      </c>
      <c r="D1338" s="10">
        <v>2.6</v>
      </c>
      <c r="E1338">
        <f t="shared" si="20"/>
        <v>2036</v>
      </c>
      <c r="F1338" s="18">
        <v>1</v>
      </c>
    </row>
    <row r="1339" spans="1:6" x14ac:dyDescent="0.35">
      <c r="A1339" s="11">
        <v>49978</v>
      </c>
      <c r="B1339" s="12" t="s">
        <v>18</v>
      </c>
      <c r="C1339" s="13">
        <v>19.8</v>
      </c>
      <c r="D1339" s="14">
        <v>0</v>
      </c>
      <c r="E1339">
        <f t="shared" si="20"/>
        <v>2036</v>
      </c>
      <c r="F1339" s="18">
        <v>1</v>
      </c>
    </row>
    <row r="1340" spans="1:6" x14ac:dyDescent="0.35">
      <c r="A1340" s="7">
        <v>49979</v>
      </c>
      <c r="B1340" s="8" t="s">
        <v>11</v>
      </c>
      <c r="C1340" s="9">
        <v>16.7</v>
      </c>
      <c r="D1340" s="10">
        <v>3.5</v>
      </c>
      <c r="E1340">
        <f t="shared" si="20"/>
        <v>2036</v>
      </c>
      <c r="F1340" s="18">
        <v>1</v>
      </c>
    </row>
    <row r="1341" spans="1:6" x14ac:dyDescent="0.35">
      <c r="A1341" s="11">
        <v>49980</v>
      </c>
      <c r="B1341" s="12" t="s">
        <v>23</v>
      </c>
      <c r="C1341" s="13">
        <v>28.6</v>
      </c>
      <c r="D1341" s="14">
        <v>0</v>
      </c>
      <c r="E1341">
        <f t="shared" si="20"/>
        <v>2036</v>
      </c>
      <c r="F1341" s="18">
        <v>1</v>
      </c>
    </row>
    <row r="1342" spans="1:6" x14ac:dyDescent="0.35">
      <c r="A1342" s="7">
        <v>49981</v>
      </c>
      <c r="B1342" s="8" t="s">
        <v>10</v>
      </c>
      <c r="C1342" s="9">
        <v>10.8</v>
      </c>
      <c r="D1342" s="10">
        <v>32.9</v>
      </c>
      <c r="E1342">
        <f t="shared" si="20"/>
        <v>2036</v>
      </c>
      <c r="F1342" s="18">
        <v>1</v>
      </c>
    </row>
    <row r="1343" spans="1:6" x14ac:dyDescent="0.35">
      <c r="A1343" s="11">
        <v>49982</v>
      </c>
      <c r="B1343" s="12" t="s">
        <v>18</v>
      </c>
      <c r="C1343" s="13">
        <v>12.8</v>
      </c>
      <c r="D1343" s="14">
        <v>0</v>
      </c>
      <c r="E1343">
        <f t="shared" si="20"/>
        <v>2036</v>
      </c>
      <c r="F1343" s="18">
        <v>1</v>
      </c>
    </row>
    <row r="1344" spans="1:6" x14ac:dyDescent="0.35">
      <c r="A1344" s="7">
        <v>49983</v>
      </c>
      <c r="B1344" s="8" t="s">
        <v>26</v>
      </c>
      <c r="C1344" s="9">
        <v>17.600000000000001</v>
      </c>
      <c r="D1344" s="10">
        <v>0</v>
      </c>
      <c r="E1344">
        <f t="shared" si="20"/>
        <v>2036</v>
      </c>
      <c r="F1344" s="18">
        <v>1</v>
      </c>
    </row>
    <row r="1345" spans="1:6" x14ac:dyDescent="0.35">
      <c r="A1345" s="11">
        <v>49984</v>
      </c>
      <c r="B1345" s="12" t="s">
        <v>22</v>
      </c>
      <c r="C1345" s="13">
        <v>24.1</v>
      </c>
      <c r="D1345" s="14">
        <v>0</v>
      </c>
      <c r="E1345">
        <f t="shared" si="20"/>
        <v>2036</v>
      </c>
      <c r="F1345" s="18">
        <v>1</v>
      </c>
    </row>
    <row r="1346" spans="1:6" x14ac:dyDescent="0.35">
      <c r="A1346" s="7">
        <v>49985</v>
      </c>
      <c r="B1346" s="8" t="s">
        <v>11</v>
      </c>
      <c r="C1346" s="9">
        <v>11.4</v>
      </c>
      <c r="D1346" s="10">
        <v>18.2</v>
      </c>
      <c r="E1346">
        <f t="shared" si="20"/>
        <v>2036</v>
      </c>
      <c r="F1346" s="18">
        <v>1</v>
      </c>
    </row>
    <row r="1347" spans="1:6" x14ac:dyDescent="0.35">
      <c r="A1347" s="11">
        <v>49986</v>
      </c>
      <c r="B1347" s="12" t="s">
        <v>9</v>
      </c>
      <c r="C1347" s="13">
        <v>21.9</v>
      </c>
      <c r="D1347" s="14">
        <v>5.4</v>
      </c>
      <c r="E1347">
        <f t="shared" ref="E1347:E1410" si="21">YEAR(A1347)</f>
        <v>2036</v>
      </c>
      <c r="F1347" s="18">
        <v>1</v>
      </c>
    </row>
    <row r="1348" spans="1:6" x14ac:dyDescent="0.35">
      <c r="A1348" s="7">
        <v>49987</v>
      </c>
      <c r="B1348" s="8" t="s">
        <v>26</v>
      </c>
      <c r="C1348" s="9">
        <v>16.8</v>
      </c>
      <c r="D1348" s="10">
        <v>1.6</v>
      </c>
      <c r="E1348">
        <f t="shared" si="21"/>
        <v>2036</v>
      </c>
      <c r="F1348" s="18">
        <v>1</v>
      </c>
    </row>
    <row r="1349" spans="1:6" x14ac:dyDescent="0.35">
      <c r="A1349" s="11">
        <v>49988</v>
      </c>
      <c r="B1349" s="12" t="s">
        <v>6</v>
      </c>
      <c r="C1349" s="13">
        <v>26</v>
      </c>
      <c r="D1349" s="14">
        <v>0</v>
      </c>
      <c r="E1349">
        <f t="shared" si="21"/>
        <v>2036</v>
      </c>
      <c r="F1349" s="18">
        <v>1</v>
      </c>
    </row>
    <row r="1350" spans="1:6" x14ac:dyDescent="0.35">
      <c r="A1350" s="7">
        <v>49989</v>
      </c>
      <c r="B1350" s="8" t="s">
        <v>11</v>
      </c>
      <c r="C1350" s="9">
        <v>20.2</v>
      </c>
      <c r="D1350" s="10">
        <v>10</v>
      </c>
      <c r="E1350">
        <f t="shared" si="21"/>
        <v>2036</v>
      </c>
      <c r="F1350" s="18">
        <v>1</v>
      </c>
    </row>
    <row r="1351" spans="1:6" x14ac:dyDescent="0.35">
      <c r="A1351" s="11">
        <v>49990</v>
      </c>
      <c r="B1351" s="12" t="s">
        <v>19</v>
      </c>
      <c r="C1351" s="13">
        <v>20.3</v>
      </c>
      <c r="D1351" s="14">
        <v>37.799999999999997</v>
      </c>
      <c r="E1351">
        <f t="shared" si="21"/>
        <v>2036</v>
      </c>
      <c r="F1351" s="18">
        <v>1</v>
      </c>
    </row>
    <row r="1352" spans="1:6" x14ac:dyDescent="0.35">
      <c r="A1352" s="7">
        <v>49991</v>
      </c>
      <c r="B1352" s="8" t="s">
        <v>7</v>
      </c>
      <c r="C1352" s="9">
        <v>27.5</v>
      </c>
      <c r="D1352" s="10">
        <v>20.8</v>
      </c>
      <c r="E1352">
        <f t="shared" si="21"/>
        <v>2036</v>
      </c>
      <c r="F1352" s="18">
        <v>1</v>
      </c>
    </row>
    <row r="1353" spans="1:6" x14ac:dyDescent="0.35">
      <c r="A1353" s="11">
        <v>49992</v>
      </c>
      <c r="B1353" s="12" t="s">
        <v>19</v>
      </c>
      <c r="C1353" s="13">
        <v>24.2</v>
      </c>
      <c r="D1353" s="14">
        <v>2.9</v>
      </c>
      <c r="E1353">
        <f t="shared" si="21"/>
        <v>2036</v>
      </c>
      <c r="F1353" s="18">
        <v>1</v>
      </c>
    </row>
    <row r="1354" spans="1:6" x14ac:dyDescent="0.35">
      <c r="A1354" s="7">
        <v>49993</v>
      </c>
      <c r="B1354" s="8" t="s">
        <v>11</v>
      </c>
      <c r="C1354" s="9">
        <v>10.7</v>
      </c>
      <c r="D1354" s="10">
        <v>14.3</v>
      </c>
      <c r="E1354">
        <f t="shared" si="21"/>
        <v>2036</v>
      </c>
      <c r="F1354" s="18">
        <v>1</v>
      </c>
    </row>
    <row r="1355" spans="1:6" x14ac:dyDescent="0.35">
      <c r="A1355" s="11">
        <v>49994</v>
      </c>
      <c r="B1355" s="12" t="s">
        <v>19</v>
      </c>
      <c r="C1355" s="13">
        <v>17.3</v>
      </c>
      <c r="D1355" s="14">
        <v>0</v>
      </c>
      <c r="E1355">
        <f t="shared" si="21"/>
        <v>2036</v>
      </c>
      <c r="F1355" s="18">
        <v>1</v>
      </c>
    </row>
    <row r="1356" spans="1:6" x14ac:dyDescent="0.35">
      <c r="A1356" s="7">
        <v>49995</v>
      </c>
      <c r="B1356" s="8" t="s">
        <v>11</v>
      </c>
      <c r="C1356" s="9">
        <v>13.5</v>
      </c>
      <c r="D1356" s="10">
        <v>21.1</v>
      </c>
      <c r="E1356">
        <f t="shared" si="21"/>
        <v>2036</v>
      </c>
      <c r="F1356" s="18">
        <v>1</v>
      </c>
    </row>
    <row r="1357" spans="1:6" x14ac:dyDescent="0.35">
      <c r="A1357" s="11">
        <v>49996</v>
      </c>
      <c r="B1357" s="12" t="s">
        <v>6</v>
      </c>
      <c r="C1357" s="13">
        <v>13.6</v>
      </c>
      <c r="D1357" s="14">
        <v>6</v>
      </c>
      <c r="E1357">
        <f t="shared" si="21"/>
        <v>2036</v>
      </c>
      <c r="F1357" s="18">
        <v>1</v>
      </c>
    </row>
    <row r="1358" spans="1:6" x14ac:dyDescent="0.35">
      <c r="A1358" s="7">
        <v>49997</v>
      </c>
      <c r="B1358" s="8" t="s">
        <v>5</v>
      </c>
      <c r="C1358" s="9">
        <v>19.899999999999999</v>
      </c>
      <c r="D1358" s="10">
        <v>0</v>
      </c>
      <c r="E1358">
        <f t="shared" si="21"/>
        <v>2036</v>
      </c>
      <c r="F1358" s="18">
        <v>1</v>
      </c>
    </row>
    <row r="1359" spans="1:6" x14ac:dyDescent="0.35">
      <c r="A1359" s="11">
        <v>49998</v>
      </c>
      <c r="B1359" s="12" t="s">
        <v>18</v>
      </c>
      <c r="C1359" s="13">
        <v>13.1</v>
      </c>
      <c r="D1359" s="14">
        <v>10.199999999999999</v>
      </c>
      <c r="E1359">
        <f t="shared" si="21"/>
        <v>2036</v>
      </c>
      <c r="F1359" s="18">
        <v>1</v>
      </c>
    </row>
    <row r="1360" spans="1:6" x14ac:dyDescent="0.35">
      <c r="A1360" s="7">
        <v>49999</v>
      </c>
      <c r="B1360" s="8" t="s">
        <v>21</v>
      </c>
      <c r="C1360" s="9">
        <v>29.8</v>
      </c>
      <c r="D1360" s="10">
        <v>1.9</v>
      </c>
      <c r="E1360">
        <f t="shared" si="21"/>
        <v>2036</v>
      </c>
      <c r="F1360" s="18">
        <v>1</v>
      </c>
    </row>
    <row r="1361" spans="1:6" x14ac:dyDescent="0.35">
      <c r="A1361" s="11">
        <v>50000</v>
      </c>
      <c r="B1361" s="12" t="s">
        <v>28</v>
      </c>
      <c r="C1361" s="13">
        <v>23.7</v>
      </c>
      <c r="D1361" s="14">
        <v>0.3</v>
      </c>
      <c r="E1361">
        <f t="shared" si="21"/>
        <v>2036</v>
      </c>
      <c r="F1361" s="18">
        <v>1</v>
      </c>
    </row>
    <row r="1362" spans="1:6" x14ac:dyDescent="0.35">
      <c r="A1362" s="7">
        <v>50001</v>
      </c>
      <c r="B1362" s="8" t="s">
        <v>19</v>
      </c>
      <c r="C1362" s="9">
        <v>14</v>
      </c>
      <c r="D1362" s="10">
        <v>0</v>
      </c>
      <c r="E1362">
        <f t="shared" si="21"/>
        <v>2036</v>
      </c>
      <c r="F1362" s="18">
        <v>1</v>
      </c>
    </row>
    <row r="1363" spans="1:6" x14ac:dyDescent="0.35">
      <c r="A1363" s="11">
        <v>50002</v>
      </c>
      <c r="B1363" s="12" t="s">
        <v>30</v>
      </c>
      <c r="C1363" s="13">
        <v>19</v>
      </c>
      <c r="D1363" s="14">
        <v>0.5</v>
      </c>
      <c r="E1363">
        <f t="shared" si="21"/>
        <v>2036</v>
      </c>
      <c r="F1363" s="18">
        <v>1</v>
      </c>
    </row>
    <row r="1364" spans="1:6" x14ac:dyDescent="0.35">
      <c r="A1364" s="7">
        <v>50003</v>
      </c>
      <c r="B1364" s="8" t="s">
        <v>32</v>
      </c>
      <c r="C1364" s="9">
        <v>23.9</v>
      </c>
      <c r="D1364" s="10">
        <v>0.5</v>
      </c>
      <c r="E1364">
        <f t="shared" si="21"/>
        <v>2036</v>
      </c>
      <c r="F1364" s="18">
        <v>1</v>
      </c>
    </row>
    <row r="1365" spans="1:6" x14ac:dyDescent="0.35">
      <c r="A1365" s="11">
        <v>50004</v>
      </c>
      <c r="B1365" s="12" t="s">
        <v>19</v>
      </c>
      <c r="C1365" s="13">
        <v>12.8</v>
      </c>
      <c r="D1365" s="14">
        <v>26.7</v>
      </c>
      <c r="E1365">
        <f t="shared" si="21"/>
        <v>2036</v>
      </c>
      <c r="F1365" s="18">
        <v>1</v>
      </c>
    </row>
    <row r="1366" spans="1:6" x14ac:dyDescent="0.35">
      <c r="A1366" s="7">
        <v>50005</v>
      </c>
      <c r="B1366" s="8" t="s">
        <v>7</v>
      </c>
      <c r="C1366" s="9">
        <v>26.9</v>
      </c>
      <c r="D1366" s="10">
        <v>4.5</v>
      </c>
      <c r="E1366">
        <f t="shared" si="21"/>
        <v>2036</v>
      </c>
      <c r="F1366" s="18">
        <v>1</v>
      </c>
    </row>
    <row r="1367" spans="1:6" x14ac:dyDescent="0.35">
      <c r="A1367" s="11">
        <v>50006</v>
      </c>
      <c r="B1367" s="12" t="s">
        <v>26</v>
      </c>
      <c r="C1367" s="13">
        <v>10.6</v>
      </c>
      <c r="D1367" s="14">
        <v>0</v>
      </c>
      <c r="E1367">
        <f t="shared" si="21"/>
        <v>2036</v>
      </c>
      <c r="F1367" s="18">
        <v>1</v>
      </c>
    </row>
    <row r="1368" spans="1:6" x14ac:dyDescent="0.35">
      <c r="A1368" s="7">
        <v>50007</v>
      </c>
      <c r="B1368" s="8" t="s">
        <v>11</v>
      </c>
      <c r="C1368" s="9">
        <v>21.1</v>
      </c>
      <c r="D1368" s="10">
        <v>10.6</v>
      </c>
      <c r="E1368">
        <f t="shared" si="21"/>
        <v>2036</v>
      </c>
      <c r="F1368" s="18">
        <v>1</v>
      </c>
    </row>
    <row r="1369" spans="1:6" x14ac:dyDescent="0.35">
      <c r="A1369" s="11">
        <v>50008</v>
      </c>
      <c r="B1369" s="12" t="s">
        <v>6</v>
      </c>
      <c r="C1369" s="13">
        <v>11.7</v>
      </c>
      <c r="D1369" s="14">
        <v>9.9</v>
      </c>
      <c r="E1369">
        <f t="shared" si="21"/>
        <v>2036</v>
      </c>
      <c r="F1369" s="18">
        <v>1</v>
      </c>
    </row>
    <row r="1370" spans="1:6" x14ac:dyDescent="0.35">
      <c r="A1370" s="7">
        <v>50009</v>
      </c>
      <c r="B1370" s="8" t="s">
        <v>8</v>
      </c>
      <c r="C1370" s="9">
        <v>20.5</v>
      </c>
      <c r="D1370" s="10">
        <v>3.7</v>
      </c>
      <c r="E1370">
        <f t="shared" si="21"/>
        <v>2036</v>
      </c>
      <c r="F1370" s="18">
        <v>1</v>
      </c>
    </row>
    <row r="1371" spans="1:6" x14ac:dyDescent="0.35">
      <c r="A1371" s="11">
        <v>50010</v>
      </c>
      <c r="B1371" s="12" t="s">
        <v>19</v>
      </c>
      <c r="C1371" s="13">
        <v>27.4</v>
      </c>
      <c r="D1371" s="14">
        <v>10.4</v>
      </c>
      <c r="E1371">
        <f t="shared" si="21"/>
        <v>2036</v>
      </c>
      <c r="F1371" s="18">
        <v>1</v>
      </c>
    </row>
    <row r="1372" spans="1:6" x14ac:dyDescent="0.35">
      <c r="A1372" s="7">
        <v>50011</v>
      </c>
      <c r="B1372" s="8" t="s">
        <v>10</v>
      </c>
      <c r="C1372" s="9">
        <v>15.8</v>
      </c>
      <c r="D1372" s="10">
        <v>10.199999999999999</v>
      </c>
      <c r="E1372">
        <f t="shared" si="21"/>
        <v>2036</v>
      </c>
      <c r="F1372" s="18">
        <v>1</v>
      </c>
    </row>
    <row r="1373" spans="1:6" x14ac:dyDescent="0.35">
      <c r="A1373" s="11">
        <v>50012</v>
      </c>
      <c r="B1373" s="12" t="s">
        <v>19</v>
      </c>
      <c r="C1373" s="13">
        <v>19.600000000000001</v>
      </c>
      <c r="D1373" s="14">
        <v>0</v>
      </c>
      <c r="E1373">
        <f t="shared" si="21"/>
        <v>2036</v>
      </c>
      <c r="F1373" s="18">
        <v>1</v>
      </c>
    </row>
    <row r="1374" spans="1:6" x14ac:dyDescent="0.35">
      <c r="A1374" s="7">
        <v>50013</v>
      </c>
      <c r="B1374" s="8" t="s">
        <v>10</v>
      </c>
      <c r="C1374" s="9">
        <v>16.899999999999999</v>
      </c>
      <c r="D1374" s="10">
        <v>48.4</v>
      </c>
      <c r="E1374">
        <f t="shared" si="21"/>
        <v>2036</v>
      </c>
      <c r="F1374" s="18">
        <v>1</v>
      </c>
    </row>
    <row r="1375" spans="1:6" x14ac:dyDescent="0.35">
      <c r="A1375" s="11">
        <v>50014</v>
      </c>
      <c r="B1375" s="12" t="s">
        <v>19</v>
      </c>
      <c r="C1375" s="13">
        <v>12.2</v>
      </c>
      <c r="D1375" s="14">
        <v>0</v>
      </c>
      <c r="E1375">
        <f t="shared" si="21"/>
        <v>2036</v>
      </c>
      <c r="F1375" s="18">
        <v>1</v>
      </c>
    </row>
    <row r="1376" spans="1:6" x14ac:dyDescent="0.35">
      <c r="A1376" s="7">
        <v>50015</v>
      </c>
      <c r="B1376" s="8" t="s">
        <v>10</v>
      </c>
      <c r="C1376" s="9">
        <v>16.600000000000001</v>
      </c>
      <c r="D1376" s="10">
        <v>14.1</v>
      </c>
      <c r="E1376">
        <f t="shared" si="21"/>
        <v>2036</v>
      </c>
      <c r="F1376" s="18">
        <v>1</v>
      </c>
    </row>
    <row r="1377" spans="1:6" x14ac:dyDescent="0.35">
      <c r="A1377" s="11">
        <v>50016</v>
      </c>
      <c r="B1377" s="12" t="s">
        <v>11</v>
      </c>
      <c r="C1377" s="13">
        <v>27.6</v>
      </c>
      <c r="D1377" s="14">
        <v>0</v>
      </c>
      <c r="E1377">
        <f t="shared" si="21"/>
        <v>2036</v>
      </c>
      <c r="F1377" s="18">
        <v>1</v>
      </c>
    </row>
    <row r="1378" spans="1:6" x14ac:dyDescent="0.35">
      <c r="A1378" s="7">
        <v>50017</v>
      </c>
      <c r="B1378" s="8" t="s">
        <v>15</v>
      </c>
      <c r="C1378" s="9">
        <v>24.8</v>
      </c>
      <c r="D1378" s="10">
        <v>0</v>
      </c>
      <c r="E1378">
        <f t="shared" si="21"/>
        <v>2036</v>
      </c>
      <c r="F1378" s="18">
        <v>1</v>
      </c>
    </row>
    <row r="1379" spans="1:6" x14ac:dyDescent="0.35">
      <c r="A1379" s="11">
        <v>50018</v>
      </c>
      <c r="B1379" s="12" t="s">
        <v>10</v>
      </c>
      <c r="C1379" s="13">
        <v>23.1</v>
      </c>
      <c r="D1379" s="14">
        <v>29.8</v>
      </c>
      <c r="E1379">
        <f t="shared" si="21"/>
        <v>2036</v>
      </c>
      <c r="F1379" s="18">
        <v>1</v>
      </c>
    </row>
    <row r="1380" spans="1:6" x14ac:dyDescent="0.35">
      <c r="A1380" s="7">
        <v>50019</v>
      </c>
      <c r="B1380" s="8" t="s">
        <v>27</v>
      </c>
      <c r="C1380" s="9">
        <v>12.4</v>
      </c>
      <c r="D1380" s="10">
        <v>6.1</v>
      </c>
      <c r="E1380">
        <f t="shared" si="21"/>
        <v>2036</v>
      </c>
      <c r="F1380" s="18">
        <v>1</v>
      </c>
    </row>
    <row r="1381" spans="1:6" x14ac:dyDescent="0.35">
      <c r="A1381" s="11">
        <v>50020</v>
      </c>
      <c r="B1381" s="12" t="s">
        <v>19</v>
      </c>
      <c r="C1381" s="13">
        <v>13.9</v>
      </c>
      <c r="D1381" s="14">
        <v>21.5</v>
      </c>
      <c r="E1381">
        <f t="shared" si="21"/>
        <v>2036</v>
      </c>
      <c r="F1381" s="18">
        <v>1</v>
      </c>
    </row>
    <row r="1382" spans="1:6" x14ac:dyDescent="0.35">
      <c r="A1382" s="7">
        <v>50021</v>
      </c>
      <c r="B1382" s="8" t="s">
        <v>20</v>
      </c>
      <c r="C1382" s="9">
        <v>16.600000000000001</v>
      </c>
      <c r="D1382" s="10">
        <v>4.7</v>
      </c>
      <c r="E1382">
        <f t="shared" si="21"/>
        <v>2036</v>
      </c>
      <c r="F1382" s="18">
        <v>1</v>
      </c>
    </row>
    <row r="1383" spans="1:6" x14ac:dyDescent="0.35">
      <c r="A1383" s="11">
        <v>50022</v>
      </c>
      <c r="B1383" s="12" t="s">
        <v>13</v>
      </c>
      <c r="C1383" s="13">
        <v>17.7</v>
      </c>
      <c r="D1383" s="14">
        <v>14</v>
      </c>
      <c r="E1383">
        <f t="shared" si="21"/>
        <v>2036</v>
      </c>
      <c r="F1383" s="18">
        <v>1</v>
      </c>
    </row>
    <row r="1384" spans="1:6" x14ac:dyDescent="0.35">
      <c r="A1384" s="7">
        <v>50023</v>
      </c>
      <c r="B1384" s="8" t="s">
        <v>11</v>
      </c>
      <c r="C1384" s="9">
        <v>19</v>
      </c>
      <c r="D1384" s="10">
        <v>1.7</v>
      </c>
      <c r="E1384">
        <f t="shared" si="21"/>
        <v>2036</v>
      </c>
      <c r="F1384" s="18">
        <v>1</v>
      </c>
    </row>
    <row r="1385" spans="1:6" x14ac:dyDescent="0.35">
      <c r="A1385" s="11">
        <v>50024</v>
      </c>
      <c r="B1385" s="12" t="s">
        <v>7</v>
      </c>
      <c r="C1385" s="13">
        <v>29.9</v>
      </c>
      <c r="D1385" s="14">
        <v>0</v>
      </c>
      <c r="E1385">
        <f t="shared" si="21"/>
        <v>2036</v>
      </c>
      <c r="F1385" s="18">
        <v>1</v>
      </c>
    </row>
    <row r="1386" spans="1:6" x14ac:dyDescent="0.35">
      <c r="A1386" s="7">
        <v>50025</v>
      </c>
      <c r="B1386" s="8" t="s">
        <v>19</v>
      </c>
      <c r="C1386" s="9">
        <v>23.7</v>
      </c>
      <c r="D1386" s="10">
        <v>31.4</v>
      </c>
      <c r="E1386">
        <f t="shared" si="21"/>
        <v>2036</v>
      </c>
      <c r="F1386" s="18">
        <v>1</v>
      </c>
    </row>
    <row r="1387" spans="1:6" x14ac:dyDescent="0.35">
      <c r="A1387" s="11">
        <v>50026</v>
      </c>
      <c r="B1387" s="12" t="s">
        <v>10</v>
      </c>
      <c r="C1387" s="13">
        <v>25.4</v>
      </c>
      <c r="D1387" s="14">
        <v>0</v>
      </c>
      <c r="E1387">
        <f t="shared" si="21"/>
        <v>2036</v>
      </c>
      <c r="F1387" s="18">
        <v>1</v>
      </c>
    </row>
    <row r="1388" spans="1:6" x14ac:dyDescent="0.35">
      <c r="A1388" s="7">
        <v>50027</v>
      </c>
      <c r="B1388" s="8" t="s">
        <v>18</v>
      </c>
      <c r="C1388" s="9">
        <v>24.3</v>
      </c>
      <c r="D1388" s="10">
        <v>15.8</v>
      </c>
      <c r="E1388">
        <f t="shared" si="21"/>
        <v>2036</v>
      </c>
      <c r="F1388" s="18">
        <v>1</v>
      </c>
    </row>
    <row r="1389" spans="1:6" x14ac:dyDescent="0.35">
      <c r="A1389" s="11">
        <v>50028</v>
      </c>
      <c r="B1389" s="12" t="s">
        <v>7</v>
      </c>
      <c r="C1389" s="13">
        <v>10.8</v>
      </c>
      <c r="D1389" s="14">
        <v>0</v>
      </c>
      <c r="E1389">
        <f t="shared" si="21"/>
        <v>2036</v>
      </c>
      <c r="F1389" s="18">
        <v>1</v>
      </c>
    </row>
    <row r="1390" spans="1:6" x14ac:dyDescent="0.35">
      <c r="A1390" s="7">
        <v>50029</v>
      </c>
      <c r="B1390" s="8" t="s">
        <v>10</v>
      </c>
      <c r="C1390" s="9">
        <v>19</v>
      </c>
      <c r="D1390" s="10">
        <v>9.1</v>
      </c>
      <c r="E1390">
        <f t="shared" si="21"/>
        <v>2036</v>
      </c>
      <c r="F1390" s="18">
        <v>1</v>
      </c>
    </row>
    <row r="1391" spans="1:6" x14ac:dyDescent="0.35">
      <c r="A1391" s="11">
        <v>50030</v>
      </c>
      <c r="B1391" s="12" t="s">
        <v>15</v>
      </c>
      <c r="C1391" s="13">
        <v>27.8</v>
      </c>
      <c r="D1391" s="14">
        <v>15.2</v>
      </c>
      <c r="E1391">
        <f t="shared" si="21"/>
        <v>2036</v>
      </c>
      <c r="F1391" s="18">
        <v>1</v>
      </c>
    </row>
    <row r="1392" spans="1:6" x14ac:dyDescent="0.35">
      <c r="A1392" s="7">
        <v>50031</v>
      </c>
      <c r="B1392" s="8" t="s">
        <v>7</v>
      </c>
      <c r="C1392" s="9">
        <v>28.8</v>
      </c>
      <c r="D1392" s="10">
        <v>0</v>
      </c>
      <c r="E1392">
        <f t="shared" si="21"/>
        <v>2036</v>
      </c>
      <c r="F1392" s="18">
        <v>1</v>
      </c>
    </row>
    <row r="1393" spans="1:6" x14ac:dyDescent="0.35">
      <c r="A1393" s="11">
        <v>50032</v>
      </c>
      <c r="B1393" s="12" t="s">
        <v>5</v>
      </c>
      <c r="C1393" s="13">
        <v>12.6</v>
      </c>
      <c r="D1393" s="14">
        <v>0.8</v>
      </c>
      <c r="E1393">
        <f t="shared" si="21"/>
        <v>2036</v>
      </c>
      <c r="F1393" s="18">
        <v>1</v>
      </c>
    </row>
    <row r="1394" spans="1:6" x14ac:dyDescent="0.35">
      <c r="A1394" s="7">
        <v>50033</v>
      </c>
      <c r="B1394" s="8" t="s">
        <v>5</v>
      </c>
      <c r="C1394" s="9">
        <v>20.7</v>
      </c>
      <c r="D1394" s="10">
        <v>0</v>
      </c>
      <c r="E1394">
        <f t="shared" si="21"/>
        <v>2036</v>
      </c>
      <c r="F1394" s="18">
        <v>1</v>
      </c>
    </row>
    <row r="1395" spans="1:6" x14ac:dyDescent="0.35">
      <c r="A1395" s="11">
        <v>50034</v>
      </c>
      <c r="B1395" s="12" t="s">
        <v>19</v>
      </c>
      <c r="C1395" s="13">
        <v>19.399999999999999</v>
      </c>
      <c r="D1395" s="14">
        <v>19.3</v>
      </c>
      <c r="E1395">
        <f t="shared" si="21"/>
        <v>2036</v>
      </c>
      <c r="F1395" s="18">
        <v>1</v>
      </c>
    </row>
    <row r="1396" spans="1:6" x14ac:dyDescent="0.35">
      <c r="A1396" s="7">
        <v>50035</v>
      </c>
      <c r="B1396" s="8" t="s">
        <v>10</v>
      </c>
      <c r="C1396" s="9">
        <v>24.3</v>
      </c>
      <c r="D1396" s="10">
        <v>8.8000000000000007</v>
      </c>
      <c r="E1396">
        <f t="shared" si="21"/>
        <v>2036</v>
      </c>
      <c r="F1396" s="18">
        <v>1</v>
      </c>
    </row>
    <row r="1397" spans="1:6" x14ac:dyDescent="0.35">
      <c r="A1397" s="11">
        <v>50036</v>
      </c>
      <c r="B1397" s="12" t="s">
        <v>19</v>
      </c>
      <c r="C1397" s="13">
        <v>21.2</v>
      </c>
      <c r="D1397" s="14">
        <v>36</v>
      </c>
      <c r="E1397">
        <f t="shared" si="21"/>
        <v>2036</v>
      </c>
      <c r="F1397" s="18">
        <v>1</v>
      </c>
    </row>
    <row r="1398" spans="1:6" x14ac:dyDescent="0.35">
      <c r="A1398" s="7">
        <v>50037</v>
      </c>
      <c r="B1398" s="8" t="s">
        <v>5</v>
      </c>
      <c r="C1398" s="9">
        <v>28.4</v>
      </c>
      <c r="D1398" s="10">
        <v>0</v>
      </c>
      <c r="E1398">
        <f t="shared" si="21"/>
        <v>2036</v>
      </c>
      <c r="F1398" s="18">
        <v>1</v>
      </c>
    </row>
    <row r="1399" spans="1:6" x14ac:dyDescent="0.35">
      <c r="A1399" s="11">
        <v>50038</v>
      </c>
      <c r="B1399" s="12" t="s">
        <v>27</v>
      </c>
      <c r="C1399" s="13">
        <v>17.100000000000001</v>
      </c>
      <c r="D1399" s="14">
        <v>5.4</v>
      </c>
      <c r="E1399">
        <f t="shared" si="21"/>
        <v>2036</v>
      </c>
      <c r="F1399" s="18">
        <v>1</v>
      </c>
    </row>
    <row r="1400" spans="1:6" x14ac:dyDescent="0.35">
      <c r="A1400" s="7">
        <v>50039</v>
      </c>
      <c r="B1400" s="8" t="s">
        <v>10</v>
      </c>
      <c r="C1400" s="9">
        <v>24.4</v>
      </c>
      <c r="D1400" s="10">
        <v>23.8</v>
      </c>
      <c r="E1400">
        <f t="shared" si="21"/>
        <v>2036</v>
      </c>
      <c r="F1400" s="18">
        <v>1</v>
      </c>
    </row>
    <row r="1401" spans="1:6" x14ac:dyDescent="0.35">
      <c r="A1401" s="11">
        <v>50040</v>
      </c>
      <c r="B1401" s="12" t="s">
        <v>18</v>
      </c>
      <c r="C1401" s="13">
        <v>18.5</v>
      </c>
      <c r="D1401" s="14">
        <v>6</v>
      </c>
      <c r="E1401">
        <f t="shared" si="21"/>
        <v>2036</v>
      </c>
      <c r="F1401" s="18">
        <v>1</v>
      </c>
    </row>
    <row r="1402" spans="1:6" x14ac:dyDescent="0.35">
      <c r="A1402" s="7">
        <v>50041</v>
      </c>
      <c r="B1402" s="8" t="s">
        <v>19</v>
      </c>
      <c r="C1402" s="9">
        <v>24.1</v>
      </c>
      <c r="D1402" s="10">
        <v>21.5</v>
      </c>
      <c r="E1402">
        <f t="shared" si="21"/>
        <v>2037</v>
      </c>
      <c r="F1402" s="18">
        <v>1</v>
      </c>
    </row>
    <row r="1403" spans="1:6" x14ac:dyDescent="0.35">
      <c r="A1403" s="11">
        <v>50042</v>
      </c>
      <c r="B1403" s="12" t="s">
        <v>22</v>
      </c>
      <c r="C1403" s="13">
        <v>17.899999999999999</v>
      </c>
      <c r="D1403" s="14">
        <v>5.4</v>
      </c>
      <c r="E1403">
        <f t="shared" si="21"/>
        <v>2037</v>
      </c>
      <c r="F1403" s="18">
        <v>1</v>
      </c>
    </row>
    <row r="1404" spans="1:6" x14ac:dyDescent="0.35">
      <c r="A1404" s="7">
        <v>50043</v>
      </c>
      <c r="B1404" s="8" t="s">
        <v>22</v>
      </c>
      <c r="C1404" s="9">
        <v>15.8</v>
      </c>
      <c r="D1404" s="10">
        <v>7.4</v>
      </c>
      <c r="E1404">
        <f t="shared" si="21"/>
        <v>2037</v>
      </c>
      <c r="F1404" s="18">
        <v>1</v>
      </c>
    </row>
    <row r="1405" spans="1:6" x14ac:dyDescent="0.35">
      <c r="A1405" s="11">
        <v>50044</v>
      </c>
      <c r="B1405" s="12" t="s">
        <v>30</v>
      </c>
      <c r="C1405" s="13">
        <v>19.600000000000001</v>
      </c>
      <c r="D1405" s="14">
        <v>0.3</v>
      </c>
      <c r="E1405">
        <f t="shared" si="21"/>
        <v>2037</v>
      </c>
      <c r="F1405" s="18">
        <v>1</v>
      </c>
    </row>
    <row r="1406" spans="1:6" x14ac:dyDescent="0.35">
      <c r="A1406" s="7">
        <v>50045</v>
      </c>
      <c r="B1406" s="8" t="s">
        <v>19</v>
      </c>
      <c r="C1406" s="9">
        <v>17.7</v>
      </c>
      <c r="D1406" s="10">
        <v>0</v>
      </c>
      <c r="E1406">
        <f t="shared" si="21"/>
        <v>2037</v>
      </c>
      <c r="F1406" s="18">
        <v>1</v>
      </c>
    </row>
    <row r="1407" spans="1:6" x14ac:dyDescent="0.35">
      <c r="A1407" s="11">
        <v>50046</v>
      </c>
      <c r="B1407" s="12" t="s">
        <v>27</v>
      </c>
      <c r="C1407" s="13">
        <v>19.899999999999999</v>
      </c>
      <c r="D1407" s="14">
        <v>4.7</v>
      </c>
      <c r="E1407">
        <f t="shared" si="21"/>
        <v>2037</v>
      </c>
      <c r="F1407" s="18">
        <v>1</v>
      </c>
    </row>
    <row r="1408" spans="1:6" x14ac:dyDescent="0.35">
      <c r="A1408" s="7">
        <v>50047</v>
      </c>
      <c r="B1408" s="8" t="s">
        <v>5</v>
      </c>
      <c r="C1408" s="9">
        <v>10.6</v>
      </c>
      <c r="D1408" s="10">
        <v>4.8</v>
      </c>
      <c r="E1408">
        <f t="shared" si="21"/>
        <v>2037</v>
      </c>
      <c r="F1408" s="18">
        <v>1</v>
      </c>
    </row>
    <row r="1409" spans="1:6" x14ac:dyDescent="0.35">
      <c r="A1409" s="11">
        <v>50048</v>
      </c>
      <c r="B1409" s="12" t="s">
        <v>19</v>
      </c>
      <c r="C1409" s="13">
        <v>25.6</v>
      </c>
      <c r="D1409" s="14">
        <v>17.399999999999999</v>
      </c>
      <c r="E1409">
        <f t="shared" si="21"/>
        <v>2037</v>
      </c>
      <c r="F1409" s="18">
        <v>1</v>
      </c>
    </row>
    <row r="1410" spans="1:6" x14ac:dyDescent="0.35">
      <c r="A1410" s="7">
        <v>50049</v>
      </c>
      <c r="B1410" s="8" t="s">
        <v>9</v>
      </c>
      <c r="C1410" s="9">
        <v>22.4</v>
      </c>
      <c r="D1410" s="10">
        <v>7.7</v>
      </c>
      <c r="E1410">
        <f t="shared" si="21"/>
        <v>2037</v>
      </c>
      <c r="F1410" s="18">
        <v>1</v>
      </c>
    </row>
    <row r="1411" spans="1:6" x14ac:dyDescent="0.35">
      <c r="A1411" s="11">
        <v>50050</v>
      </c>
      <c r="B1411" s="12" t="s">
        <v>8</v>
      </c>
      <c r="C1411" s="13">
        <v>14.5</v>
      </c>
      <c r="D1411" s="14">
        <v>3.8</v>
      </c>
      <c r="E1411">
        <f t="shared" ref="E1411:E1474" si="22">YEAR(A1411)</f>
        <v>2037</v>
      </c>
      <c r="F1411" s="18">
        <v>1</v>
      </c>
    </row>
    <row r="1412" spans="1:6" x14ac:dyDescent="0.35">
      <c r="A1412" s="7">
        <v>50051</v>
      </c>
      <c r="B1412" s="8" t="s">
        <v>9</v>
      </c>
      <c r="C1412" s="9">
        <v>15</v>
      </c>
      <c r="D1412" s="10">
        <v>4.2</v>
      </c>
      <c r="E1412">
        <f t="shared" si="22"/>
        <v>2037</v>
      </c>
      <c r="F1412" s="18">
        <v>1</v>
      </c>
    </row>
    <row r="1413" spans="1:6" x14ac:dyDescent="0.35">
      <c r="A1413" s="11">
        <v>50052</v>
      </c>
      <c r="B1413" s="12" t="s">
        <v>13</v>
      </c>
      <c r="C1413" s="13">
        <v>24</v>
      </c>
      <c r="D1413" s="14">
        <v>11.5</v>
      </c>
      <c r="E1413">
        <f t="shared" si="22"/>
        <v>2037</v>
      </c>
      <c r="F1413" s="18">
        <v>1</v>
      </c>
    </row>
    <row r="1414" spans="1:6" x14ac:dyDescent="0.35">
      <c r="A1414" s="7">
        <v>50053</v>
      </c>
      <c r="B1414" s="8" t="s">
        <v>23</v>
      </c>
      <c r="C1414" s="9">
        <v>20.7</v>
      </c>
      <c r="D1414" s="10">
        <v>2.9</v>
      </c>
      <c r="E1414">
        <f t="shared" si="22"/>
        <v>2037</v>
      </c>
      <c r="F1414" s="18">
        <v>1</v>
      </c>
    </row>
    <row r="1415" spans="1:6" x14ac:dyDescent="0.35">
      <c r="A1415" s="11">
        <v>50054</v>
      </c>
      <c r="B1415" s="12" t="s">
        <v>28</v>
      </c>
      <c r="C1415" s="13">
        <v>13.5</v>
      </c>
      <c r="D1415" s="14">
        <v>0.7</v>
      </c>
      <c r="E1415">
        <f t="shared" si="22"/>
        <v>2037</v>
      </c>
      <c r="F1415" s="18">
        <v>1</v>
      </c>
    </row>
    <row r="1416" spans="1:6" x14ac:dyDescent="0.35">
      <c r="A1416" s="7">
        <v>50055</v>
      </c>
      <c r="B1416" s="8" t="s">
        <v>19</v>
      </c>
      <c r="C1416" s="9">
        <v>23.7</v>
      </c>
      <c r="D1416" s="10">
        <v>13.1</v>
      </c>
      <c r="E1416">
        <f t="shared" si="22"/>
        <v>2037</v>
      </c>
      <c r="F1416" s="18">
        <v>1</v>
      </c>
    </row>
    <row r="1417" spans="1:6" x14ac:dyDescent="0.35">
      <c r="A1417" s="11">
        <v>50056</v>
      </c>
      <c r="B1417" s="12" t="s">
        <v>10</v>
      </c>
      <c r="C1417" s="13">
        <v>12.1</v>
      </c>
      <c r="D1417" s="14">
        <v>36</v>
      </c>
      <c r="E1417">
        <f t="shared" si="22"/>
        <v>2037</v>
      </c>
      <c r="F1417" s="18">
        <v>1</v>
      </c>
    </row>
    <row r="1418" spans="1:6" x14ac:dyDescent="0.35">
      <c r="A1418" s="7">
        <v>50057</v>
      </c>
      <c r="B1418" s="8" t="s">
        <v>13</v>
      </c>
      <c r="C1418" s="9">
        <v>21.8</v>
      </c>
      <c r="D1418" s="10">
        <v>10.9</v>
      </c>
      <c r="E1418">
        <f t="shared" si="22"/>
        <v>2037</v>
      </c>
      <c r="F1418" s="18">
        <v>1</v>
      </c>
    </row>
    <row r="1419" spans="1:6" x14ac:dyDescent="0.35">
      <c r="A1419" s="11">
        <v>50058</v>
      </c>
      <c r="B1419" s="12" t="s">
        <v>22</v>
      </c>
      <c r="C1419" s="13">
        <v>17.399999999999999</v>
      </c>
      <c r="D1419" s="14">
        <v>0</v>
      </c>
      <c r="E1419">
        <f t="shared" si="22"/>
        <v>2037</v>
      </c>
      <c r="F1419" s="18">
        <v>1</v>
      </c>
    </row>
    <row r="1420" spans="1:6" x14ac:dyDescent="0.35">
      <c r="A1420" s="7">
        <v>50059</v>
      </c>
      <c r="B1420" s="8" t="s">
        <v>6</v>
      </c>
      <c r="C1420" s="9">
        <v>15.6</v>
      </c>
      <c r="D1420" s="10">
        <v>0</v>
      </c>
      <c r="E1420">
        <f t="shared" si="22"/>
        <v>2037</v>
      </c>
      <c r="F1420" s="18">
        <v>1</v>
      </c>
    </row>
    <row r="1421" spans="1:6" x14ac:dyDescent="0.35">
      <c r="A1421" s="11">
        <v>50060</v>
      </c>
      <c r="B1421" s="12" t="s">
        <v>13</v>
      </c>
      <c r="C1421" s="13">
        <v>13.7</v>
      </c>
      <c r="D1421" s="14">
        <v>0</v>
      </c>
      <c r="E1421">
        <f t="shared" si="22"/>
        <v>2037</v>
      </c>
      <c r="F1421" s="18">
        <v>1</v>
      </c>
    </row>
    <row r="1422" spans="1:6" x14ac:dyDescent="0.35">
      <c r="A1422" s="7">
        <v>50061</v>
      </c>
      <c r="B1422" s="8" t="s">
        <v>10</v>
      </c>
      <c r="C1422" s="9">
        <v>24.7</v>
      </c>
      <c r="D1422" s="10">
        <v>16.2</v>
      </c>
      <c r="E1422">
        <f t="shared" si="22"/>
        <v>2037</v>
      </c>
      <c r="F1422" s="18">
        <v>1</v>
      </c>
    </row>
    <row r="1423" spans="1:6" x14ac:dyDescent="0.35">
      <c r="A1423" s="11">
        <v>50062</v>
      </c>
      <c r="B1423" s="12" t="s">
        <v>15</v>
      </c>
      <c r="C1423" s="13">
        <v>25.3</v>
      </c>
      <c r="D1423" s="14">
        <v>14.2</v>
      </c>
      <c r="E1423">
        <f t="shared" si="22"/>
        <v>2037</v>
      </c>
      <c r="F1423" s="18">
        <v>1</v>
      </c>
    </row>
    <row r="1424" spans="1:6" x14ac:dyDescent="0.35">
      <c r="A1424" s="7">
        <v>50063</v>
      </c>
      <c r="B1424" s="8" t="s">
        <v>15</v>
      </c>
      <c r="C1424" s="9">
        <v>18.399999999999999</v>
      </c>
      <c r="D1424" s="10">
        <v>0</v>
      </c>
      <c r="E1424">
        <f t="shared" si="22"/>
        <v>2037</v>
      </c>
      <c r="F1424" s="18">
        <v>1</v>
      </c>
    </row>
    <row r="1425" spans="1:6" x14ac:dyDescent="0.35">
      <c r="A1425" s="11">
        <v>50064</v>
      </c>
      <c r="B1425" s="12" t="s">
        <v>14</v>
      </c>
      <c r="C1425" s="13">
        <v>10.199999999999999</v>
      </c>
      <c r="D1425" s="14">
        <v>0</v>
      </c>
      <c r="E1425">
        <f t="shared" si="22"/>
        <v>2037</v>
      </c>
      <c r="F1425" s="18">
        <v>1</v>
      </c>
    </row>
    <row r="1426" spans="1:6" x14ac:dyDescent="0.35">
      <c r="A1426" s="7">
        <v>50065</v>
      </c>
      <c r="B1426" s="8" t="s">
        <v>33</v>
      </c>
      <c r="C1426" s="9">
        <v>26.9</v>
      </c>
      <c r="D1426" s="10">
        <v>0</v>
      </c>
      <c r="E1426">
        <f t="shared" si="22"/>
        <v>2037</v>
      </c>
      <c r="F1426" s="18">
        <v>1</v>
      </c>
    </row>
    <row r="1427" spans="1:6" x14ac:dyDescent="0.35">
      <c r="A1427" s="11">
        <v>50066</v>
      </c>
      <c r="B1427" s="12" t="s">
        <v>8</v>
      </c>
      <c r="C1427" s="13">
        <v>28.2</v>
      </c>
      <c r="D1427" s="14">
        <v>0</v>
      </c>
      <c r="E1427">
        <f t="shared" si="22"/>
        <v>2037</v>
      </c>
      <c r="F1427" s="18">
        <v>1</v>
      </c>
    </row>
    <row r="1428" spans="1:6" x14ac:dyDescent="0.35">
      <c r="A1428" s="7">
        <v>50067</v>
      </c>
      <c r="B1428" s="8" t="s">
        <v>7</v>
      </c>
      <c r="C1428" s="9">
        <v>15.9</v>
      </c>
      <c r="D1428" s="10">
        <v>0</v>
      </c>
      <c r="E1428">
        <f t="shared" si="22"/>
        <v>2037</v>
      </c>
      <c r="F1428" s="18">
        <v>1</v>
      </c>
    </row>
    <row r="1429" spans="1:6" x14ac:dyDescent="0.35">
      <c r="A1429" s="11">
        <v>50068</v>
      </c>
      <c r="B1429" s="12" t="s">
        <v>10</v>
      </c>
      <c r="C1429" s="13">
        <v>19.7</v>
      </c>
      <c r="D1429" s="14">
        <v>0</v>
      </c>
      <c r="E1429">
        <f t="shared" si="22"/>
        <v>2037</v>
      </c>
      <c r="F1429" s="18">
        <v>1</v>
      </c>
    </row>
    <row r="1430" spans="1:6" x14ac:dyDescent="0.35">
      <c r="A1430" s="7">
        <v>50069</v>
      </c>
      <c r="B1430" s="8" t="s">
        <v>7</v>
      </c>
      <c r="C1430" s="9">
        <v>16</v>
      </c>
      <c r="D1430" s="10">
        <v>0</v>
      </c>
      <c r="E1430">
        <f t="shared" si="22"/>
        <v>2037</v>
      </c>
      <c r="F1430" s="18">
        <v>1</v>
      </c>
    </row>
    <row r="1431" spans="1:6" x14ac:dyDescent="0.35">
      <c r="A1431" s="11">
        <v>50070</v>
      </c>
      <c r="B1431" s="12" t="s">
        <v>6</v>
      </c>
      <c r="C1431" s="13">
        <v>20.8</v>
      </c>
      <c r="D1431" s="14">
        <v>0</v>
      </c>
      <c r="E1431">
        <f t="shared" si="22"/>
        <v>2037</v>
      </c>
      <c r="F1431" s="18">
        <v>1</v>
      </c>
    </row>
    <row r="1432" spans="1:6" x14ac:dyDescent="0.35">
      <c r="A1432" s="7">
        <v>50071</v>
      </c>
      <c r="B1432" s="8" t="s">
        <v>23</v>
      </c>
      <c r="C1432" s="9">
        <v>12.5</v>
      </c>
      <c r="D1432" s="10">
        <v>0</v>
      </c>
      <c r="E1432">
        <f t="shared" si="22"/>
        <v>2037</v>
      </c>
      <c r="F1432" s="18">
        <v>1</v>
      </c>
    </row>
    <row r="1433" spans="1:6" x14ac:dyDescent="0.35">
      <c r="A1433" s="11">
        <v>50072</v>
      </c>
      <c r="B1433" s="12" t="s">
        <v>15</v>
      </c>
      <c r="C1433" s="13">
        <v>12.7</v>
      </c>
      <c r="D1433" s="14">
        <v>2.4</v>
      </c>
      <c r="E1433">
        <f t="shared" si="22"/>
        <v>2037</v>
      </c>
      <c r="F1433" s="18">
        <v>1</v>
      </c>
    </row>
    <row r="1434" spans="1:6" x14ac:dyDescent="0.35">
      <c r="A1434" s="7">
        <v>50073</v>
      </c>
      <c r="B1434" s="8" t="s">
        <v>18</v>
      </c>
      <c r="C1434" s="9">
        <v>23.5</v>
      </c>
      <c r="D1434" s="10">
        <v>11.5</v>
      </c>
      <c r="E1434">
        <f t="shared" si="22"/>
        <v>2037</v>
      </c>
      <c r="F1434" s="18">
        <v>1</v>
      </c>
    </row>
    <row r="1435" spans="1:6" x14ac:dyDescent="0.35">
      <c r="A1435" s="11">
        <v>50074</v>
      </c>
      <c r="B1435" s="12" t="s">
        <v>14</v>
      </c>
      <c r="C1435" s="13">
        <v>17.8</v>
      </c>
      <c r="D1435" s="14">
        <v>1.8</v>
      </c>
      <c r="E1435">
        <f t="shared" si="22"/>
        <v>2037</v>
      </c>
      <c r="F1435" s="18">
        <v>1</v>
      </c>
    </row>
    <row r="1436" spans="1:6" x14ac:dyDescent="0.35">
      <c r="A1436" s="7">
        <v>50075</v>
      </c>
      <c r="B1436" s="8" t="s">
        <v>11</v>
      </c>
      <c r="C1436" s="9">
        <v>11</v>
      </c>
      <c r="D1436" s="10">
        <v>0</v>
      </c>
      <c r="E1436">
        <f t="shared" si="22"/>
        <v>2037</v>
      </c>
      <c r="F1436" s="18">
        <v>1</v>
      </c>
    </row>
    <row r="1437" spans="1:6" x14ac:dyDescent="0.35">
      <c r="A1437" s="11">
        <v>50076</v>
      </c>
      <c r="B1437" s="12" t="s">
        <v>12</v>
      </c>
      <c r="C1437" s="13">
        <v>21.3</v>
      </c>
      <c r="D1437" s="14">
        <v>5.2</v>
      </c>
      <c r="E1437">
        <f t="shared" si="22"/>
        <v>2037</v>
      </c>
      <c r="F1437" s="18">
        <v>1</v>
      </c>
    </row>
    <row r="1438" spans="1:6" x14ac:dyDescent="0.35">
      <c r="A1438" s="7">
        <v>50077</v>
      </c>
      <c r="B1438" s="8" t="s">
        <v>7</v>
      </c>
      <c r="C1438" s="9">
        <v>19.600000000000001</v>
      </c>
      <c r="D1438" s="10">
        <v>8.1</v>
      </c>
      <c r="E1438">
        <f t="shared" si="22"/>
        <v>2037</v>
      </c>
      <c r="F1438" s="18">
        <v>1</v>
      </c>
    </row>
    <row r="1439" spans="1:6" x14ac:dyDescent="0.35">
      <c r="A1439" s="11">
        <v>50078</v>
      </c>
      <c r="B1439" s="12" t="s">
        <v>11</v>
      </c>
      <c r="C1439" s="13">
        <v>25.7</v>
      </c>
      <c r="D1439" s="14">
        <v>4.2</v>
      </c>
      <c r="E1439">
        <f t="shared" si="22"/>
        <v>2037</v>
      </c>
      <c r="F1439" s="18">
        <v>1</v>
      </c>
    </row>
    <row r="1440" spans="1:6" x14ac:dyDescent="0.35">
      <c r="A1440" s="7">
        <v>50079</v>
      </c>
      <c r="B1440" s="8" t="s">
        <v>10</v>
      </c>
      <c r="C1440" s="9">
        <v>20.9</v>
      </c>
      <c r="D1440" s="10">
        <v>28.6</v>
      </c>
      <c r="E1440">
        <f t="shared" si="22"/>
        <v>2037</v>
      </c>
      <c r="F1440" s="18">
        <v>1</v>
      </c>
    </row>
    <row r="1441" spans="1:6" x14ac:dyDescent="0.35">
      <c r="A1441" s="11">
        <v>50080</v>
      </c>
      <c r="B1441" s="12" t="s">
        <v>19</v>
      </c>
      <c r="C1441" s="13">
        <v>26.4</v>
      </c>
      <c r="D1441" s="14">
        <v>3.2</v>
      </c>
      <c r="E1441">
        <f t="shared" si="22"/>
        <v>2037</v>
      </c>
      <c r="F1441" s="18">
        <v>1</v>
      </c>
    </row>
    <row r="1442" spans="1:6" x14ac:dyDescent="0.35">
      <c r="A1442" s="7">
        <v>50081</v>
      </c>
      <c r="B1442" s="8" t="s">
        <v>19</v>
      </c>
      <c r="C1442" s="9">
        <v>26.5</v>
      </c>
      <c r="D1442" s="10">
        <v>13.1</v>
      </c>
      <c r="E1442">
        <f t="shared" si="22"/>
        <v>2037</v>
      </c>
      <c r="F1442" s="18">
        <v>1</v>
      </c>
    </row>
    <row r="1443" spans="1:6" x14ac:dyDescent="0.35">
      <c r="A1443" s="11">
        <v>50082</v>
      </c>
      <c r="B1443" s="12" t="s">
        <v>8</v>
      </c>
      <c r="C1443" s="13">
        <v>11.7</v>
      </c>
      <c r="D1443" s="14">
        <v>0</v>
      </c>
      <c r="E1443">
        <f t="shared" si="22"/>
        <v>2037</v>
      </c>
      <c r="F1443" s="18">
        <v>1</v>
      </c>
    </row>
    <row r="1444" spans="1:6" x14ac:dyDescent="0.35">
      <c r="A1444" s="7">
        <v>50083</v>
      </c>
      <c r="B1444" s="8" t="s">
        <v>12</v>
      </c>
      <c r="C1444" s="9">
        <v>24.7</v>
      </c>
      <c r="D1444" s="10">
        <v>0.3</v>
      </c>
      <c r="E1444">
        <f t="shared" si="22"/>
        <v>2037</v>
      </c>
      <c r="F1444" s="18">
        <v>1</v>
      </c>
    </row>
    <row r="1445" spans="1:6" x14ac:dyDescent="0.35">
      <c r="A1445" s="11">
        <v>50084</v>
      </c>
      <c r="B1445" s="12" t="s">
        <v>9</v>
      </c>
      <c r="C1445" s="13">
        <v>24.4</v>
      </c>
      <c r="D1445" s="14">
        <v>9.6</v>
      </c>
      <c r="E1445">
        <f t="shared" si="22"/>
        <v>2037</v>
      </c>
      <c r="F1445" s="18">
        <v>1</v>
      </c>
    </row>
    <row r="1446" spans="1:6" x14ac:dyDescent="0.35">
      <c r="A1446" s="7">
        <v>50085</v>
      </c>
      <c r="B1446" s="8" t="s">
        <v>19</v>
      </c>
      <c r="C1446" s="9">
        <v>19</v>
      </c>
      <c r="D1446" s="10">
        <v>28.8</v>
      </c>
      <c r="E1446">
        <f t="shared" si="22"/>
        <v>2037</v>
      </c>
      <c r="F1446" s="18">
        <v>1</v>
      </c>
    </row>
    <row r="1447" spans="1:6" x14ac:dyDescent="0.35">
      <c r="A1447" s="11">
        <v>50086</v>
      </c>
      <c r="B1447" s="12" t="s">
        <v>10</v>
      </c>
      <c r="C1447" s="13">
        <v>13.7</v>
      </c>
      <c r="D1447" s="14">
        <v>19.3</v>
      </c>
      <c r="E1447">
        <f t="shared" si="22"/>
        <v>2037</v>
      </c>
      <c r="F1447" s="18">
        <v>1</v>
      </c>
    </row>
    <row r="1448" spans="1:6" x14ac:dyDescent="0.35">
      <c r="A1448" s="7">
        <v>50087</v>
      </c>
      <c r="B1448" s="8" t="s">
        <v>10</v>
      </c>
      <c r="C1448" s="9">
        <v>28.9</v>
      </c>
      <c r="D1448" s="10">
        <v>20.399999999999999</v>
      </c>
      <c r="E1448">
        <f t="shared" si="22"/>
        <v>2037</v>
      </c>
      <c r="F1448" s="18">
        <v>1</v>
      </c>
    </row>
    <row r="1449" spans="1:6" x14ac:dyDescent="0.35">
      <c r="A1449" s="11">
        <v>50088</v>
      </c>
      <c r="B1449" s="12" t="s">
        <v>20</v>
      </c>
      <c r="C1449" s="13">
        <v>25.2</v>
      </c>
      <c r="D1449" s="14">
        <v>0</v>
      </c>
      <c r="E1449">
        <f t="shared" si="22"/>
        <v>2037</v>
      </c>
      <c r="F1449" s="18">
        <v>1</v>
      </c>
    </row>
    <row r="1450" spans="1:6" x14ac:dyDescent="0.35">
      <c r="A1450" s="7">
        <v>50089</v>
      </c>
      <c r="B1450" s="8" t="s">
        <v>11</v>
      </c>
      <c r="C1450" s="9">
        <v>15.4</v>
      </c>
      <c r="D1450" s="10">
        <v>9</v>
      </c>
      <c r="E1450">
        <f t="shared" si="22"/>
        <v>2037</v>
      </c>
      <c r="F1450" s="18">
        <v>1</v>
      </c>
    </row>
    <row r="1451" spans="1:6" x14ac:dyDescent="0.35">
      <c r="A1451" s="11">
        <v>50090</v>
      </c>
      <c r="B1451" s="12" t="s">
        <v>16</v>
      </c>
      <c r="C1451" s="13">
        <v>24.1</v>
      </c>
      <c r="D1451" s="14">
        <v>0.3</v>
      </c>
      <c r="E1451">
        <f t="shared" si="22"/>
        <v>2037</v>
      </c>
      <c r="F1451" s="18">
        <v>1</v>
      </c>
    </row>
    <row r="1452" spans="1:6" x14ac:dyDescent="0.35">
      <c r="A1452" s="7">
        <v>50091</v>
      </c>
      <c r="B1452" s="8" t="s">
        <v>22</v>
      </c>
      <c r="C1452" s="9">
        <v>27.7</v>
      </c>
      <c r="D1452" s="10">
        <v>0</v>
      </c>
      <c r="E1452">
        <f t="shared" si="22"/>
        <v>2037</v>
      </c>
      <c r="F1452" s="18">
        <v>1</v>
      </c>
    </row>
    <row r="1453" spans="1:6" x14ac:dyDescent="0.35">
      <c r="A1453" s="11">
        <v>50092</v>
      </c>
      <c r="B1453" s="12" t="s">
        <v>11</v>
      </c>
      <c r="C1453" s="13">
        <v>19.600000000000001</v>
      </c>
      <c r="D1453" s="14">
        <v>21.1</v>
      </c>
      <c r="E1453">
        <f t="shared" si="22"/>
        <v>2037</v>
      </c>
      <c r="F1453" s="18">
        <v>1</v>
      </c>
    </row>
    <row r="1454" spans="1:6" x14ac:dyDescent="0.35">
      <c r="A1454" s="7">
        <v>50093</v>
      </c>
      <c r="B1454" s="8" t="s">
        <v>23</v>
      </c>
      <c r="C1454" s="9">
        <v>29</v>
      </c>
      <c r="D1454" s="10">
        <v>3.2</v>
      </c>
      <c r="E1454">
        <f t="shared" si="22"/>
        <v>2037</v>
      </c>
      <c r="F1454" s="18">
        <v>1</v>
      </c>
    </row>
    <row r="1455" spans="1:6" x14ac:dyDescent="0.35">
      <c r="A1455" s="11">
        <v>50094</v>
      </c>
      <c r="B1455" s="12" t="s">
        <v>31</v>
      </c>
      <c r="C1455" s="13">
        <v>10.3</v>
      </c>
      <c r="D1455" s="14">
        <v>0.7</v>
      </c>
      <c r="E1455">
        <f t="shared" si="22"/>
        <v>2037</v>
      </c>
      <c r="F1455" s="18">
        <v>1</v>
      </c>
    </row>
    <row r="1456" spans="1:6" x14ac:dyDescent="0.35">
      <c r="A1456" s="7">
        <v>50095</v>
      </c>
      <c r="B1456" s="8" t="s">
        <v>10</v>
      </c>
      <c r="C1456" s="9">
        <v>11</v>
      </c>
      <c r="D1456" s="10">
        <v>40.200000000000003</v>
      </c>
      <c r="E1456">
        <f t="shared" si="22"/>
        <v>2037</v>
      </c>
      <c r="F1456" s="18">
        <v>1</v>
      </c>
    </row>
    <row r="1457" spans="1:6" x14ac:dyDescent="0.35">
      <c r="A1457" s="11">
        <v>50096</v>
      </c>
      <c r="B1457" s="12" t="s">
        <v>11</v>
      </c>
      <c r="C1457" s="13">
        <v>28.6</v>
      </c>
      <c r="D1457" s="14">
        <v>0.6</v>
      </c>
      <c r="E1457">
        <f t="shared" si="22"/>
        <v>2037</v>
      </c>
      <c r="F1457" s="18">
        <v>1</v>
      </c>
    </row>
    <row r="1458" spans="1:6" x14ac:dyDescent="0.35">
      <c r="A1458" s="7">
        <v>50097</v>
      </c>
      <c r="B1458" s="8" t="s">
        <v>17</v>
      </c>
      <c r="C1458" s="9">
        <v>22.5</v>
      </c>
      <c r="D1458" s="10">
        <v>1</v>
      </c>
      <c r="E1458">
        <f t="shared" si="22"/>
        <v>2037</v>
      </c>
      <c r="F1458" s="18">
        <v>1</v>
      </c>
    </row>
    <row r="1459" spans="1:6" x14ac:dyDescent="0.35">
      <c r="A1459" s="11">
        <v>50098</v>
      </c>
      <c r="B1459" s="12" t="s">
        <v>12</v>
      </c>
      <c r="C1459" s="13">
        <v>19.600000000000001</v>
      </c>
      <c r="D1459" s="14">
        <v>0</v>
      </c>
      <c r="E1459">
        <f t="shared" si="22"/>
        <v>2037</v>
      </c>
      <c r="F1459" s="18">
        <v>1</v>
      </c>
    </row>
    <row r="1460" spans="1:6" x14ac:dyDescent="0.35">
      <c r="A1460" s="7">
        <v>50099</v>
      </c>
      <c r="B1460" s="8" t="s">
        <v>28</v>
      </c>
      <c r="C1460" s="9">
        <v>19.899999999999999</v>
      </c>
      <c r="D1460" s="10">
        <v>0</v>
      </c>
      <c r="E1460">
        <f t="shared" si="22"/>
        <v>2037</v>
      </c>
      <c r="F1460" s="18">
        <v>1</v>
      </c>
    </row>
    <row r="1461" spans="1:6" x14ac:dyDescent="0.35">
      <c r="A1461" s="11">
        <v>50100</v>
      </c>
      <c r="B1461" s="12" t="s">
        <v>6</v>
      </c>
      <c r="C1461" s="13">
        <v>21.7</v>
      </c>
      <c r="D1461" s="14">
        <v>9.4</v>
      </c>
      <c r="E1461">
        <f t="shared" si="22"/>
        <v>2037</v>
      </c>
      <c r="F1461" s="18">
        <v>1</v>
      </c>
    </row>
    <row r="1462" spans="1:6" x14ac:dyDescent="0.35">
      <c r="A1462" s="7">
        <v>50101</v>
      </c>
      <c r="B1462" s="8" t="s">
        <v>12</v>
      </c>
      <c r="C1462" s="9">
        <v>15.3</v>
      </c>
      <c r="D1462" s="10">
        <v>0</v>
      </c>
      <c r="E1462">
        <f t="shared" si="22"/>
        <v>2037</v>
      </c>
      <c r="F1462" s="18">
        <v>1</v>
      </c>
    </row>
    <row r="1463" spans="1:6" x14ac:dyDescent="0.35">
      <c r="A1463" s="11">
        <v>50102</v>
      </c>
      <c r="B1463" s="12" t="s">
        <v>15</v>
      </c>
      <c r="C1463" s="13">
        <v>20.9</v>
      </c>
      <c r="D1463" s="14">
        <v>12.4</v>
      </c>
      <c r="E1463">
        <f t="shared" si="22"/>
        <v>2037</v>
      </c>
      <c r="F1463" s="18">
        <v>1</v>
      </c>
    </row>
    <row r="1464" spans="1:6" x14ac:dyDescent="0.35">
      <c r="A1464" s="7">
        <v>50103</v>
      </c>
      <c r="B1464" s="8" t="s">
        <v>5</v>
      </c>
      <c r="C1464" s="9">
        <v>17</v>
      </c>
      <c r="D1464" s="10">
        <v>0</v>
      </c>
      <c r="E1464">
        <f t="shared" si="22"/>
        <v>2037</v>
      </c>
      <c r="F1464" s="18">
        <v>1</v>
      </c>
    </row>
    <row r="1465" spans="1:6" x14ac:dyDescent="0.35">
      <c r="A1465" s="11">
        <v>50104</v>
      </c>
      <c r="B1465" s="12" t="s">
        <v>6</v>
      </c>
      <c r="C1465" s="13">
        <v>25.8</v>
      </c>
      <c r="D1465" s="14">
        <v>1.4</v>
      </c>
      <c r="E1465">
        <f t="shared" si="22"/>
        <v>2037</v>
      </c>
      <c r="F1465" s="18">
        <v>1</v>
      </c>
    </row>
    <row r="1466" spans="1:6" x14ac:dyDescent="0.35">
      <c r="A1466" s="7">
        <v>50105</v>
      </c>
      <c r="B1466" s="8" t="s">
        <v>27</v>
      </c>
      <c r="C1466" s="9">
        <v>19.100000000000001</v>
      </c>
      <c r="D1466" s="10">
        <v>2.5</v>
      </c>
      <c r="E1466">
        <f t="shared" si="22"/>
        <v>2037</v>
      </c>
      <c r="F1466" s="18">
        <v>1</v>
      </c>
    </row>
    <row r="1467" spans="1:6" x14ac:dyDescent="0.35">
      <c r="A1467" s="11">
        <v>50106</v>
      </c>
      <c r="B1467" s="12" t="s">
        <v>13</v>
      </c>
      <c r="C1467" s="13">
        <v>24.6</v>
      </c>
      <c r="D1467" s="14">
        <v>12.5</v>
      </c>
      <c r="E1467">
        <f t="shared" si="22"/>
        <v>2037</v>
      </c>
      <c r="F1467" s="18">
        <v>1</v>
      </c>
    </row>
    <row r="1468" spans="1:6" x14ac:dyDescent="0.35">
      <c r="A1468" s="7">
        <v>50107</v>
      </c>
      <c r="B1468" s="8" t="s">
        <v>15</v>
      </c>
      <c r="C1468" s="9">
        <v>22.6</v>
      </c>
      <c r="D1468" s="10">
        <v>15.4</v>
      </c>
      <c r="E1468">
        <f t="shared" si="22"/>
        <v>2037</v>
      </c>
      <c r="F1468" s="18">
        <v>1</v>
      </c>
    </row>
    <row r="1469" spans="1:6" x14ac:dyDescent="0.35">
      <c r="A1469" s="11">
        <v>50108</v>
      </c>
      <c r="B1469" s="12" t="s">
        <v>9</v>
      </c>
      <c r="C1469" s="13">
        <v>18.3</v>
      </c>
      <c r="D1469" s="14">
        <v>4.7</v>
      </c>
      <c r="E1469">
        <f t="shared" si="22"/>
        <v>2037</v>
      </c>
      <c r="F1469" s="18">
        <v>1</v>
      </c>
    </row>
    <row r="1470" spans="1:6" x14ac:dyDescent="0.35">
      <c r="A1470" s="7">
        <v>50109</v>
      </c>
      <c r="B1470" s="8" t="s">
        <v>7</v>
      </c>
      <c r="C1470" s="9">
        <v>25.5</v>
      </c>
      <c r="D1470" s="10">
        <v>0</v>
      </c>
      <c r="E1470">
        <f t="shared" si="22"/>
        <v>2037</v>
      </c>
      <c r="F1470" s="18">
        <v>1</v>
      </c>
    </row>
    <row r="1471" spans="1:6" x14ac:dyDescent="0.35">
      <c r="A1471" s="11">
        <v>50110</v>
      </c>
      <c r="B1471" s="12" t="s">
        <v>18</v>
      </c>
      <c r="C1471" s="13">
        <v>26.6</v>
      </c>
      <c r="D1471" s="14">
        <v>0</v>
      </c>
      <c r="E1471">
        <f t="shared" si="22"/>
        <v>2037</v>
      </c>
      <c r="F1471" s="18">
        <v>1</v>
      </c>
    </row>
    <row r="1472" spans="1:6" x14ac:dyDescent="0.35">
      <c r="A1472" s="7">
        <v>50111</v>
      </c>
      <c r="B1472" s="8" t="s">
        <v>7</v>
      </c>
      <c r="C1472" s="9">
        <v>19.8</v>
      </c>
      <c r="D1472" s="10">
        <v>14.9</v>
      </c>
      <c r="E1472">
        <f t="shared" si="22"/>
        <v>2037</v>
      </c>
      <c r="F1472" s="18">
        <v>1</v>
      </c>
    </row>
    <row r="1473" spans="1:6" x14ac:dyDescent="0.35">
      <c r="A1473" s="11">
        <v>50112</v>
      </c>
      <c r="B1473" s="12" t="s">
        <v>26</v>
      </c>
      <c r="C1473" s="13">
        <v>23.7</v>
      </c>
      <c r="D1473" s="14">
        <v>0.9</v>
      </c>
      <c r="E1473">
        <f t="shared" si="22"/>
        <v>2037</v>
      </c>
      <c r="F1473" s="18">
        <v>1</v>
      </c>
    </row>
    <row r="1474" spans="1:6" x14ac:dyDescent="0.35">
      <c r="A1474" s="7">
        <v>50113</v>
      </c>
      <c r="B1474" s="8" t="s">
        <v>24</v>
      </c>
      <c r="C1474" s="9">
        <v>23.5</v>
      </c>
      <c r="D1474" s="10">
        <v>1</v>
      </c>
      <c r="E1474">
        <f t="shared" si="22"/>
        <v>2037</v>
      </c>
      <c r="F1474" s="18">
        <v>1</v>
      </c>
    </row>
    <row r="1475" spans="1:6" x14ac:dyDescent="0.35">
      <c r="A1475" s="11">
        <v>50114</v>
      </c>
      <c r="B1475" s="12" t="s">
        <v>5</v>
      </c>
      <c r="C1475" s="13">
        <v>18.8</v>
      </c>
      <c r="D1475" s="14">
        <v>7.8</v>
      </c>
      <c r="E1475">
        <f t="shared" ref="E1475:E1538" si="23">YEAR(A1475)</f>
        <v>2037</v>
      </c>
      <c r="F1475" s="18">
        <v>1</v>
      </c>
    </row>
    <row r="1476" spans="1:6" x14ac:dyDescent="0.35">
      <c r="A1476" s="7">
        <v>50115</v>
      </c>
      <c r="B1476" s="8" t="s">
        <v>6</v>
      </c>
      <c r="C1476" s="9">
        <v>18.7</v>
      </c>
      <c r="D1476" s="10">
        <v>10</v>
      </c>
      <c r="E1476">
        <f t="shared" si="23"/>
        <v>2037</v>
      </c>
      <c r="F1476" s="18">
        <v>1</v>
      </c>
    </row>
    <row r="1477" spans="1:6" x14ac:dyDescent="0.35">
      <c r="A1477" s="11">
        <v>50116</v>
      </c>
      <c r="B1477" s="12" t="s">
        <v>19</v>
      </c>
      <c r="C1477" s="13">
        <v>28.3</v>
      </c>
      <c r="D1477" s="14">
        <v>21.8</v>
      </c>
      <c r="E1477">
        <f t="shared" si="23"/>
        <v>2037</v>
      </c>
      <c r="F1477" s="18">
        <v>1</v>
      </c>
    </row>
    <row r="1478" spans="1:6" x14ac:dyDescent="0.35">
      <c r="A1478" s="7">
        <v>50117</v>
      </c>
      <c r="B1478" s="8" t="s">
        <v>22</v>
      </c>
      <c r="C1478" s="9">
        <v>10.6</v>
      </c>
      <c r="D1478" s="10">
        <v>6.4</v>
      </c>
      <c r="E1478">
        <f t="shared" si="23"/>
        <v>2037</v>
      </c>
      <c r="F1478" s="18">
        <v>1</v>
      </c>
    </row>
    <row r="1479" spans="1:6" x14ac:dyDescent="0.35">
      <c r="A1479" s="11">
        <v>50118</v>
      </c>
      <c r="B1479" s="12" t="s">
        <v>10</v>
      </c>
      <c r="C1479" s="13">
        <v>26.2</v>
      </c>
      <c r="D1479" s="14">
        <v>19.2</v>
      </c>
      <c r="E1479">
        <f t="shared" si="23"/>
        <v>2037</v>
      </c>
      <c r="F1479" s="18">
        <v>1</v>
      </c>
    </row>
    <row r="1480" spans="1:6" x14ac:dyDescent="0.35">
      <c r="A1480" s="7">
        <v>50119</v>
      </c>
      <c r="B1480" s="8" t="s">
        <v>13</v>
      </c>
      <c r="C1480" s="9">
        <v>25.3</v>
      </c>
      <c r="D1480" s="10">
        <v>8.6999999999999993</v>
      </c>
      <c r="E1480">
        <f t="shared" si="23"/>
        <v>2037</v>
      </c>
      <c r="F1480" s="18">
        <v>1</v>
      </c>
    </row>
    <row r="1481" spans="1:6" x14ac:dyDescent="0.35">
      <c r="A1481" s="11">
        <v>50120</v>
      </c>
      <c r="B1481" s="12" t="s">
        <v>22</v>
      </c>
      <c r="C1481" s="13">
        <v>21.6</v>
      </c>
      <c r="D1481" s="14">
        <v>1</v>
      </c>
      <c r="E1481">
        <f t="shared" si="23"/>
        <v>2037</v>
      </c>
      <c r="F1481" s="18">
        <v>1</v>
      </c>
    </row>
    <row r="1482" spans="1:6" x14ac:dyDescent="0.35">
      <c r="A1482" s="7">
        <v>50121</v>
      </c>
      <c r="B1482" s="8" t="s">
        <v>19</v>
      </c>
      <c r="C1482" s="9">
        <v>24.9</v>
      </c>
      <c r="D1482" s="10">
        <v>23.5</v>
      </c>
      <c r="E1482">
        <f t="shared" si="23"/>
        <v>2037</v>
      </c>
      <c r="F1482" s="18">
        <v>1</v>
      </c>
    </row>
    <row r="1483" spans="1:6" x14ac:dyDescent="0.35">
      <c r="A1483" s="11">
        <v>50122</v>
      </c>
      <c r="B1483" s="12" t="s">
        <v>15</v>
      </c>
      <c r="C1483" s="13">
        <v>27.7</v>
      </c>
      <c r="D1483" s="14">
        <v>11.5</v>
      </c>
      <c r="E1483">
        <f t="shared" si="23"/>
        <v>2037</v>
      </c>
      <c r="F1483" s="18">
        <v>1</v>
      </c>
    </row>
    <row r="1484" spans="1:6" x14ac:dyDescent="0.35">
      <c r="A1484" s="7">
        <v>50123</v>
      </c>
      <c r="B1484" s="8" t="s">
        <v>19</v>
      </c>
      <c r="C1484" s="9">
        <v>12.3</v>
      </c>
      <c r="D1484" s="10">
        <v>0</v>
      </c>
      <c r="E1484">
        <f t="shared" si="23"/>
        <v>2037</v>
      </c>
      <c r="F1484" s="18">
        <v>1</v>
      </c>
    </row>
    <row r="1485" spans="1:6" x14ac:dyDescent="0.35">
      <c r="A1485" s="11">
        <v>50124</v>
      </c>
      <c r="B1485" s="12" t="s">
        <v>20</v>
      </c>
      <c r="C1485" s="13">
        <v>10.199999999999999</v>
      </c>
      <c r="D1485" s="14">
        <v>0.8</v>
      </c>
      <c r="E1485">
        <f t="shared" si="23"/>
        <v>2037</v>
      </c>
      <c r="F1485" s="18">
        <v>1</v>
      </c>
    </row>
    <row r="1486" spans="1:6" x14ac:dyDescent="0.35">
      <c r="A1486" s="7">
        <v>50125</v>
      </c>
      <c r="B1486" s="8" t="s">
        <v>10</v>
      </c>
      <c r="C1486" s="9">
        <v>23.1</v>
      </c>
      <c r="D1486" s="10">
        <v>0</v>
      </c>
      <c r="E1486">
        <f t="shared" si="23"/>
        <v>2037</v>
      </c>
      <c r="F1486" s="18">
        <v>1</v>
      </c>
    </row>
    <row r="1487" spans="1:6" x14ac:dyDescent="0.35">
      <c r="A1487" s="11">
        <v>50126</v>
      </c>
      <c r="B1487" s="12" t="s">
        <v>18</v>
      </c>
      <c r="C1487" s="13">
        <v>11.3</v>
      </c>
      <c r="D1487" s="14">
        <v>0</v>
      </c>
      <c r="E1487">
        <f t="shared" si="23"/>
        <v>2037</v>
      </c>
      <c r="F1487" s="18">
        <v>1</v>
      </c>
    </row>
    <row r="1488" spans="1:6" x14ac:dyDescent="0.35">
      <c r="A1488" s="7">
        <v>50127</v>
      </c>
      <c r="B1488" s="8" t="s">
        <v>19</v>
      </c>
      <c r="C1488" s="9">
        <v>29.5</v>
      </c>
      <c r="D1488" s="10">
        <v>10.4</v>
      </c>
      <c r="E1488">
        <f t="shared" si="23"/>
        <v>2037</v>
      </c>
      <c r="F1488" s="18">
        <v>1</v>
      </c>
    </row>
    <row r="1489" spans="1:6" x14ac:dyDescent="0.35">
      <c r="A1489" s="11">
        <v>50128</v>
      </c>
      <c r="B1489" s="12" t="s">
        <v>15</v>
      </c>
      <c r="C1489" s="13">
        <v>19.7</v>
      </c>
      <c r="D1489" s="14">
        <v>0</v>
      </c>
      <c r="E1489">
        <f t="shared" si="23"/>
        <v>2037</v>
      </c>
      <c r="F1489" s="18">
        <v>1</v>
      </c>
    </row>
    <row r="1490" spans="1:6" x14ac:dyDescent="0.35">
      <c r="A1490" s="7">
        <v>50129</v>
      </c>
      <c r="B1490" s="8" t="s">
        <v>5</v>
      </c>
      <c r="C1490" s="9">
        <v>27.9</v>
      </c>
      <c r="D1490" s="10">
        <v>3.4</v>
      </c>
      <c r="E1490">
        <f t="shared" si="23"/>
        <v>2037</v>
      </c>
      <c r="F1490" s="18">
        <v>1</v>
      </c>
    </row>
    <row r="1491" spans="1:6" x14ac:dyDescent="0.35">
      <c r="A1491" s="11">
        <v>50130</v>
      </c>
      <c r="B1491" s="12" t="s">
        <v>10</v>
      </c>
      <c r="C1491" s="13">
        <v>17.399999999999999</v>
      </c>
      <c r="D1491" s="14">
        <v>34.200000000000003</v>
      </c>
      <c r="E1491">
        <f t="shared" si="23"/>
        <v>2037</v>
      </c>
      <c r="F1491" s="18">
        <v>1</v>
      </c>
    </row>
    <row r="1492" spans="1:6" x14ac:dyDescent="0.35">
      <c r="A1492" s="7">
        <v>50131</v>
      </c>
      <c r="B1492" s="8" t="s">
        <v>17</v>
      </c>
      <c r="C1492" s="9">
        <v>23</v>
      </c>
      <c r="D1492" s="10">
        <v>0</v>
      </c>
      <c r="E1492">
        <f t="shared" si="23"/>
        <v>2037</v>
      </c>
      <c r="F1492" s="18">
        <v>1</v>
      </c>
    </row>
    <row r="1493" spans="1:6" x14ac:dyDescent="0.35">
      <c r="A1493" s="11">
        <v>50132</v>
      </c>
      <c r="B1493" s="12" t="s">
        <v>21</v>
      </c>
      <c r="C1493" s="13">
        <v>27.6</v>
      </c>
      <c r="D1493" s="14">
        <v>0</v>
      </c>
      <c r="E1493">
        <f t="shared" si="23"/>
        <v>2037</v>
      </c>
      <c r="F1493" s="18">
        <v>1</v>
      </c>
    </row>
    <row r="1494" spans="1:6" x14ac:dyDescent="0.35">
      <c r="A1494" s="7">
        <v>50133</v>
      </c>
      <c r="B1494" s="8" t="s">
        <v>22</v>
      </c>
      <c r="C1494" s="9">
        <v>11.6</v>
      </c>
      <c r="D1494" s="10">
        <v>0</v>
      </c>
      <c r="E1494">
        <f t="shared" si="23"/>
        <v>2037</v>
      </c>
      <c r="F1494" s="18">
        <v>1</v>
      </c>
    </row>
    <row r="1495" spans="1:6" x14ac:dyDescent="0.35">
      <c r="A1495" s="11">
        <v>50134</v>
      </c>
      <c r="B1495" s="12" t="s">
        <v>20</v>
      </c>
      <c r="C1495" s="13">
        <v>24.2</v>
      </c>
      <c r="D1495" s="14">
        <v>5</v>
      </c>
      <c r="E1495">
        <f t="shared" si="23"/>
        <v>2037</v>
      </c>
      <c r="F1495" s="18">
        <v>1</v>
      </c>
    </row>
    <row r="1496" spans="1:6" x14ac:dyDescent="0.35">
      <c r="A1496" s="7">
        <v>50135</v>
      </c>
      <c r="B1496" s="8" t="s">
        <v>6</v>
      </c>
      <c r="C1496" s="9">
        <v>13.2</v>
      </c>
      <c r="D1496" s="10">
        <v>2.2999999999999998</v>
      </c>
      <c r="E1496">
        <f t="shared" si="23"/>
        <v>2037</v>
      </c>
      <c r="F1496" s="18">
        <v>1</v>
      </c>
    </row>
    <row r="1497" spans="1:6" x14ac:dyDescent="0.35">
      <c r="A1497" s="11">
        <v>50136</v>
      </c>
      <c r="B1497" s="12" t="s">
        <v>7</v>
      </c>
      <c r="C1497" s="13">
        <v>27</v>
      </c>
      <c r="D1497" s="14">
        <v>0.7</v>
      </c>
      <c r="E1497">
        <f t="shared" si="23"/>
        <v>2037</v>
      </c>
      <c r="F1497" s="18">
        <v>1</v>
      </c>
    </row>
    <row r="1498" spans="1:6" x14ac:dyDescent="0.35">
      <c r="A1498" s="7">
        <v>50137</v>
      </c>
      <c r="B1498" s="8" t="s">
        <v>6</v>
      </c>
      <c r="C1498" s="9">
        <v>23.9</v>
      </c>
      <c r="D1498" s="10">
        <v>6.2</v>
      </c>
      <c r="E1498">
        <f t="shared" si="23"/>
        <v>2037</v>
      </c>
      <c r="F1498" s="18">
        <v>1</v>
      </c>
    </row>
    <row r="1499" spans="1:6" x14ac:dyDescent="0.35">
      <c r="A1499" s="11">
        <v>50138</v>
      </c>
      <c r="B1499" s="12" t="s">
        <v>19</v>
      </c>
      <c r="C1499" s="13">
        <v>16.8</v>
      </c>
      <c r="D1499" s="14">
        <v>17.600000000000001</v>
      </c>
      <c r="E1499">
        <f t="shared" si="23"/>
        <v>2037</v>
      </c>
      <c r="F1499" s="18">
        <v>1</v>
      </c>
    </row>
    <row r="1500" spans="1:6" x14ac:dyDescent="0.35">
      <c r="A1500" s="7">
        <v>50139</v>
      </c>
      <c r="B1500" s="8" t="s">
        <v>19</v>
      </c>
      <c r="C1500" s="9">
        <v>28.5</v>
      </c>
      <c r="D1500" s="10">
        <v>15.2</v>
      </c>
      <c r="E1500">
        <f t="shared" si="23"/>
        <v>2037</v>
      </c>
      <c r="F1500" s="18">
        <v>1</v>
      </c>
    </row>
    <row r="1501" spans="1:6" x14ac:dyDescent="0.35">
      <c r="A1501" s="11">
        <v>50140</v>
      </c>
      <c r="B1501" s="12" t="s">
        <v>33</v>
      </c>
      <c r="C1501" s="13">
        <v>25.2</v>
      </c>
      <c r="D1501" s="14">
        <v>1.9</v>
      </c>
      <c r="E1501">
        <f t="shared" si="23"/>
        <v>2037</v>
      </c>
      <c r="F1501" s="18">
        <v>1</v>
      </c>
    </row>
    <row r="1502" spans="1:6" x14ac:dyDescent="0.35">
      <c r="A1502" s="7">
        <v>50141</v>
      </c>
      <c r="B1502" s="8" t="s">
        <v>10</v>
      </c>
      <c r="C1502" s="9">
        <v>24.9</v>
      </c>
      <c r="D1502" s="10">
        <v>6.8</v>
      </c>
      <c r="E1502">
        <f t="shared" si="23"/>
        <v>2037</v>
      </c>
      <c r="F1502" s="18">
        <v>1</v>
      </c>
    </row>
    <row r="1503" spans="1:6" x14ac:dyDescent="0.35">
      <c r="A1503" s="11">
        <v>50142</v>
      </c>
      <c r="B1503" s="12" t="s">
        <v>12</v>
      </c>
      <c r="C1503" s="13">
        <v>14.7</v>
      </c>
      <c r="D1503" s="14">
        <v>5.7</v>
      </c>
      <c r="E1503">
        <f t="shared" si="23"/>
        <v>2037</v>
      </c>
      <c r="F1503" s="18">
        <v>1</v>
      </c>
    </row>
    <row r="1504" spans="1:6" x14ac:dyDescent="0.35">
      <c r="A1504" s="7">
        <v>50143</v>
      </c>
      <c r="B1504" s="8" t="s">
        <v>10</v>
      </c>
      <c r="C1504" s="9">
        <v>12.2</v>
      </c>
      <c r="D1504" s="10">
        <v>14.1</v>
      </c>
      <c r="E1504">
        <f t="shared" si="23"/>
        <v>2037</v>
      </c>
      <c r="F1504" s="18">
        <v>1</v>
      </c>
    </row>
    <row r="1505" spans="1:6" x14ac:dyDescent="0.35">
      <c r="A1505" s="11">
        <v>50144</v>
      </c>
      <c r="B1505" s="12" t="s">
        <v>9</v>
      </c>
      <c r="C1505" s="13">
        <v>24.2</v>
      </c>
      <c r="D1505" s="14">
        <v>8</v>
      </c>
      <c r="E1505">
        <f t="shared" si="23"/>
        <v>2037</v>
      </c>
      <c r="F1505" s="18">
        <v>1</v>
      </c>
    </row>
    <row r="1506" spans="1:6" x14ac:dyDescent="0.35">
      <c r="A1506" s="7">
        <v>50145</v>
      </c>
      <c r="B1506" s="8" t="s">
        <v>22</v>
      </c>
      <c r="C1506" s="9">
        <v>28.7</v>
      </c>
      <c r="D1506" s="10">
        <v>0</v>
      </c>
      <c r="E1506">
        <f t="shared" si="23"/>
        <v>2037</v>
      </c>
      <c r="F1506" s="18">
        <v>1</v>
      </c>
    </row>
    <row r="1507" spans="1:6" x14ac:dyDescent="0.35">
      <c r="A1507" s="11">
        <v>50146</v>
      </c>
      <c r="B1507" s="12" t="s">
        <v>10</v>
      </c>
      <c r="C1507" s="13">
        <v>28.5</v>
      </c>
      <c r="D1507" s="14">
        <v>0</v>
      </c>
      <c r="E1507">
        <f t="shared" si="23"/>
        <v>2037</v>
      </c>
      <c r="F1507" s="18">
        <v>1</v>
      </c>
    </row>
    <row r="1508" spans="1:6" x14ac:dyDescent="0.35">
      <c r="A1508" s="7">
        <v>50147</v>
      </c>
      <c r="B1508" s="8" t="s">
        <v>7</v>
      </c>
      <c r="C1508" s="9">
        <v>29.3</v>
      </c>
      <c r="D1508" s="10">
        <v>23.3</v>
      </c>
      <c r="E1508">
        <f t="shared" si="23"/>
        <v>2037</v>
      </c>
      <c r="F1508" s="18">
        <v>1</v>
      </c>
    </row>
    <row r="1509" spans="1:6" x14ac:dyDescent="0.35">
      <c r="A1509" s="11">
        <v>50148</v>
      </c>
      <c r="B1509" s="12" t="s">
        <v>10</v>
      </c>
      <c r="C1509" s="13">
        <v>13.3</v>
      </c>
      <c r="D1509" s="14">
        <v>4.9000000000000004</v>
      </c>
      <c r="E1509">
        <f t="shared" si="23"/>
        <v>2037</v>
      </c>
      <c r="F1509" s="18">
        <v>1</v>
      </c>
    </row>
    <row r="1510" spans="1:6" x14ac:dyDescent="0.35">
      <c r="A1510" s="7">
        <v>50149</v>
      </c>
      <c r="B1510" s="8" t="s">
        <v>10</v>
      </c>
      <c r="C1510" s="9">
        <v>22.6</v>
      </c>
      <c r="D1510" s="10">
        <v>0.7</v>
      </c>
      <c r="E1510">
        <f t="shared" si="23"/>
        <v>2037</v>
      </c>
      <c r="F1510" s="18">
        <v>1</v>
      </c>
    </row>
    <row r="1511" spans="1:6" x14ac:dyDescent="0.35">
      <c r="A1511" s="11">
        <v>50150</v>
      </c>
      <c r="B1511" s="12" t="s">
        <v>20</v>
      </c>
      <c r="C1511" s="13">
        <v>19.3</v>
      </c>
      <c r="D1511" s="14">
        <v>3</v>
      </c>
      <c r="E1511">
        <f t="shared" si="23"/>
        <v>2037</v>
      </c>
      <c r="F1511" s="18">
        <v>1</v>
      </c>
    </row>
    <row r="1512" spans="1:6" x14ac:dyDescent="0.35">
      <c r="A1512" s="7">
        <v>50151</v>
      </c>
      <c r="B1512" s="8" t="s">
        <v>8</v>
      </c>
      <c r="C1512" s="9">
        <v>17.899999999999999</v>
      </c>
      <c r="D1512" s="10">
        <v>5.0999999999999996</v>
      </c>
      <c r="E1512">
        <f t="shared" si="23"/>
        <v>2037</v>
      </c>
      <c r="F1512" s="18">
        <v>1</v>
      </c>
    </row>
    <row r="1513" spans="1:6" x14ac:dyDescent="0.35">
      <c r="A1513" s="11">
        <v>50152</v>
      </c>
      <c r="B1513" s="12" t="s">
        <v>20</v>
      </c>
      <c r="C1513" s="13">
        <v>16.7</v>
      </c>
      <c r="D1513" s="14">
        <v>0.3</v>
      </c>
      <c r="E1513">
        <f t="shared" si="23"/>
        <v>2037</v>
      </c>
      <c r="F1513" s="18">
        <v>1</v>
      </c>
    </row>
    <row r="1514" spans="1:6" x14ac:dyDescent="0.35">
      <c r="A1514" s="7">
        <v>50153</v>
      </c>
      <c r="B1514" s="8" t="s">
        <v>20</v>
      </c>
      <c r="C1514" s="9">
        <v>22</v>
      </c>
      <c r="D1514" s="10">
        <v>0</v>
      </c>
      <c r="E1514">
        <f t="shared" si="23"/>
        <v>2037</v>
      </c>
      <c r="F1514" s="18">
        <v>1</v>
      </c>
    </row>
    <row r="1515" spans="1:6" x14ac:dyDescent="0.35">
      <c r="A1515" s="11">
        <v>50154</v>
      </c>
      <c r="B1515" s="12" t="s">
        <v>9</v>
      </c>
      <c r="C1515" s="13">
        <v>21.2</v>
      </c>
      <c r="D1515" s="14">
        <v>5.9</v>
      </c>
      <c r="E1515">
        <f t="shared" si="23"/>
        <v>2037</v>
      </c>
      <c r="F1515" s="18">
        <v>1</v>
      </c>
    </row>
    <row r="1516" spans="1:6" x14ac:dyDescent="0.35">
      <c r="A1516" s="7">
        <v>50155</v>
      </c>
      <c r="B1516" s="8" t="s">
        <v>11</v>
      </c>
      <c r="C1516" s="9">
        <v>20.6</v>
      </c>
      <c r="D1516" s="10">
        <v>4.5999999999999996</v>
      </c>
      <c r="E1516">
        <f t="shared" si="23"/>
        <v>2037</v>
      </c>
      <c r="F1516" s="18">
        <v>1</v>
      </c>
    </row>
    <row r="1517" spans="1:6" x14ac:dyDescent="0.35">
      <c r="A1517" s="11">
        <v>50156</v>
      </c>
      <c r="B1517" s="12" t="s">
        <v>19</v>
      </c>
      <c r="C1517" s="13">
        <v>29.4</v>
      </c>
      <c r="D1517" s="14">
        <v>9.1999999999999993</v>
      </c>
      <c r="E1517">
        <f t="shared" si="23"/>
        <v>2037</v>
      </c>
      <c r="F1517" s="18">
        <v>1</v>
      </c>
    </row>
    <row r="1518" spans="1:6" x14ac:dyDescent="0.35">
      <c r="A1518" s="7">
        <v>50157</v>
      </c>
      <c r="B1518" s="8" t="s">
        <v>7</v>
      </c>
      <c r="C1518" s="9">
        <v>21.3</v>
      </c>
      <c r="D1518" s="10">
        <v>0</v>
      </c>
      <c r="E1518">
        <f t="shared" si="23"/>
        <v>2037</v>
      </c>
      <c r="F1518" s="18">
        <v>1</v>
      </c>
    </row>
    <row r="1519" spans="1:6" x14ac:dyDescent="0.35">
      <c r="A1519" s="11">
        <v>50158</v>
      </c>
      <c r="B1519" s="12" t="s">
        <v>9</v>
      </c>
      <c r="C1519" s="13">
        <v>20.100000000000001</v>
      </c>
      <c r="D1519" s="14">
        <v>2.2000000000000002</v>
      </c>
      <c r="E1519">
        <f t="shared" si="23"/>
        <v>2037</v>
      </c>
      <c r="F1519" s="18">
        <v>1</v>
      </c>
    </row>
    <row r="1520" spans="1:6" x14ac:dyDescent="0.35">
      <c r="A1520" s="7">
        <v>50159</v>
      </c>
      <c r="B1520" s="8" t="s">
        <v>10</v>
      </c>
      <c r="C1520" s="9">
        <v>12.7</v>
      </c>
      <c r="D1520" s="10">
        <v>5.6</v>
      </c>
      <c r="E1520">
        <f t="shared" si="23"/>
        <v>2037</v>
      </c>
      <c r="F1520" s="18">
        <v>1</v>
      </c>
    </row>
    <row r="1521" spans="1:6" x14ac:dyDescent="0.35">
      <c r="A1521" s="11">
        <v>50160</v>
      </c>
      <c r="B1521" s="12" t="s">
        <v>11</v>
      </c>
      <c r="C1521" s="13">
        <v>28.9</v>
      </c>
      <c r="D1521" s="14">
        <v>0</v>
      </c>
      <c r="E1521">
        <f t="shared" si="23"/>
        <v>2037</v>
      </c>
      <c r="F1521" s="18">
        <v>1</v>
      </c>
    </row>
    <row r="1522" spans="1:6" x14ac:dyDescent="0.35">
      <c r="A1522" s="7">
        <v>50161</v>
      </c>
      <c r="B1522" s="8" t="s">
        <v>19</v>
      </c>
      <c r="C1522" s="9">
        <v>24.4</v>
      </c>
      <c r="D1522" s="10">
        <v>28.7</v>
      </c>
      <c r="E1522">
        <f t="shared" si="23"/>
        <v>2037</v>
      </c>
      <c r="F1522" s="18">
        <v>1</v>
      </c>
    </row>
    <row r="1523" spans="1:6" x14ac:dyDescent="0.35">
      <c r="A1523" s="11">
        <v>50162</v>
      </c>
      <c r="B1523" s="12" t="s">
        <v>10</v>
      </c>
      <c r="C1523" s="13">
        <v>10.8</v>
      </c>
      <c r="D1523" s="14">
        <v>0</v>
      </c>
      <c r="E1523">
        <f t="shared" si="23"/>
        <v>2037</v>
      </c>
      <c r="F1523" s="18">
        <v>1</v>
      </c>
    </row>
    <row r="1524" spans="1:6" x14ac:dyDescent="0.35">
      <c r="A1524" s="7">
        <v>50163</v>
      </c>
      <c r="B1524" s="8" t="s">
        <v>10</v>
      </c>
      <c r="C1524" s="9">
        <v>18.399999999999999</v>
      </c>
      <c r="D1524" s="10">
        <v>0</v>
      </c>
      <c r="E1524">
        <f t="shared" si="23"/>
        <v>2037</v>
      </c>
      <c r="F1524" s="18">
        <v>1</v>
      </c>
    </row>
    <row r="1525" spans="1:6" x14ac:dyDescent="0.35">
      <c r="A1525" s="11">
        <v>50164</v>
      </c>
      <c r="B1525" s="12" t="s">
        <v>19</v>
      </c>
      <c r="C1525" s="13">
        <v>23.3</v>
      </c>
      <c r="D1525" s="14">
        <v>10.7</v>
      </c>
      <c r="E1525">
        <f t="shared" si="23"/>
        <v>2037</v>
      </c>
      <c r="F1525" s="18">
        <v>1</v>
      </c>
    </row>
    <row r="1526" spans="1:6" x14ac:dyDescent="0.35">
      <c r="A1526" s="7">
        <v>50165</v>
      </c>
      <c r="B1526" s="8" t="s">
        <v>15</v>
      </c>
      <c r="C1526" s="9">
        <v>27.9</v>
      </c>
      <c r="D1526" s="10">
        <v>14.8</v>
      </c>
      <c r="E1526">
        <f t="shared" si="23"/>
        <v>2037</v>
      </c>
      <c r="F1526" s="18">
        <v>1</v>
      </c>
    </row>
    <row r="1527" spans="1:6" x14ac:dyDescent="0.35">
      <c r="A1527" s="11">
        <v>50166</v>
      </c>
      <c r="B1527" s="12" t="s">
        <v>12</v>
      </c>
      <c r="C1527" s="13">
        <v>24.7</v>
      </c>
      <c r="D1527" s="14">
        <v>9</v>
      </c>
      <c r="E1527">
        <f t="shared" si="23"/>
        <v>2037</v>
      </c>
      <c r="F1527" s="18">
        <v>1</v>
      </c>
    </row>
    <row r="1528" spans="1:6" x14ac:dyDescent="0.35">
      <c r="A1528" s="7">
        <v>50167</v>
      </c>
      <c r="B1528" s="8" t="s">
        <v>19</v>
      </c>
      <c r="C1528" s="9">
        <v>14.3</v>
      </c>
      <c r="D1528" s="10">
        <v>22</v>
      </c>
      <c r="E1528">
        <f t="shared" si="23"/>
        <v>2037</v>
      </c>
      <c r="F1528" s="18">
        <v>1</v>
      </c>
    </row>
    <row r="1529" spans="1:6" x14ac:dyDescent="0.35">
      <c r="A1529" s="11">
        <v>50168</v>
      </c>
      <c r="B1529" s="12" t="s">
        <v>33</v>
      </c>
      <c r="C1529" s="13">
        <v>26.2</v>
      </c>
      <c r="D1529" s="14">
        <v>2</v>
      </c>
      <c r="E1529">
        <f t="shared" si="23"/>
        <v>2037</v>
      </c>
      <c r="F1529" s="18">
        <v>1</v>
      </c>
    </row>
    <row r="1530" spans="1:6" x14ac:dyDescent="0.35">
      <c r="A1530" s="7">
        <v>50169</v>
      </c>
      <c r="B1530" s="8" t="s">
        <v>16</v>
      </c>
      <c r="C1530" s="9">
        <v>21.5</v>
      </c>
      <c r="D1530" s="10">
        <v>0.4</v>
      </c>
      <c r="E1530">
        <f t="shared" si="23"/>
        <v>2037</v>
      </c>
      <c r="F1530" s="18">
        <v>1</v>
      </c>
    </row>
    <row r="1531" spans="1:6" x14ac:dyDescent="0.35">
      <c r="A1531" s="11">
        <v>50170</v>
      </c>
      <c r="B1531" s="12" t="s">
        <v>10</v>
      </c>
      <c r="C1531" s="13">
        <v>12.8</v>
      </c>
      <c r="D1531" s="14">
        <v>0</v>
      </c>
      <c r="E1531">
        <f t="shared" si="23"/>
        <v>2037</v>
      </c>
      <c r="F1531" s="18">
        <v>1</v>
      </c>
    </row>
    <row r="1532" spans="1:6" x14ac:dyDescent="0.35">
      <c r="A1532" s="7">
        <v>50171</v>
      </c>
      <c r="B1532" s="8" t="s">
        <v>9</v>
      </c>
      <c r="C1532" s="9">
        <v>24.6</v>
      </c>
      <c r="D1532" s="10">
        <v>3</v>
      </c>
      <c r="E1532">
        <f t="shared" si="23"/>
        <v>2037</v>
      </c>
      <c r="F1532" s="18">
        <v>1</v>
      </c>
    </row>
    <row r="1533" spans="1:6" x14ac:dyDescent="0.35">
      <c r="A1533" s="11">
        <v>50172</v>
      </c>
      <c r="B1533" s="12" t="s">
        <v>27</v>
      </c>
      <c r="C1533" s="13">
        <v>22.6</v>
      </c>
      <c r="D1533" s="14">
        <v>1.6</v>
      </c>
      <c r="E1533">
        <f t="shared" si="23"/>
        <v>2037</v>
      </c>
      <c r="F1533" s="18">
        <v>1</v>
      </c>
    </row>
    <row r="1534" spans="1:6" x14ac:dyDescent="0.35">
      <c r="A1534" s="7">
        <v>50173</v>
      </c>
      <c r="B1534" s="8" t="s">
        <v>13</v>
      </c>
      <c r="C1534" s="9">
        <v>27.3</v>
      </c>
      <c r="D1534" s="10">
        <v>9.3000000000000007</v>
      </c>
      <c r="E1534">
        <f t="shared" si="23"/>
        <v>2037</v>
      </c>
      <c r="F1534" s="18">
        <v>1</v>
      </c>
    </row>
    <row r="1535" spans="1:6" x14ac:dyDescent="0.35">
      <c r="A1535" s="11">
        <v>50174</v>
      </c>
      <c r="B1535" s="12" t="s">
        <v>19</v>
      </c>
      <c r="C1535" s="13">
        <v>10.8</v>
      </c>
      <c r="D1535" s="14">
        <v>22.2</v>
      </c>
      <c r="E1535">
        <f t="shared" si="23"/>
        <v>2037</v>
      </c>
      <c r="F1535" s="18">
        <v>1</v>
      </c>
    </row>
    <row r="1536" spans="1:6" x14ac:dyDescent="0.35">
      <c r="A1536" s="7">
        <v>50175</v>
      </c>
      <c r="B1536" s="8" t="s">
        <v>17</v>
      </c>
      <c r="C1536" s="9">
        <v>12</v>
      </c>
      <c r="D1536" s="10">
        <v>5.3</v>
      </c>
      <c r="E1536">
        <f t="shared" si="23"/>
        <v>2037</v>
      </c>
      <c r="F1536" s="18">
        <v>1</v>
      </c>
    </row>
    <row r="1537" spans="1:6" x14ac:dyDescent="0.35">
      <c r="A1537" s="11">
        <v>50176</v>
      </c>
      <c r="B1537" s="12" t="s">
        <v>7</v>
      </c>
      <c r="C1537" s="13">
        <v>28.1</v>
      </c>
      <c r="D1537" s="14">
        <v>0</v>
      </c>
      <c r="E1537">
        <f t="shared" si="23"/>
        <v>2037</v>
      </c>
      <c r="F1537" s="18">
        <v>1</v>
      </c>
    </row>
    <row r="1538" spans="1:6" x14ac:dyDescent="0.35">
      <c r="A1538" s="7">
        <v>50177</v>
      </c>
      <c r="B1538" s="8" t="s">
        <v>11</v>
      </c>
      <c r="C1538" s="9">
        <v>16.100000000000001</v>
      </c>
      <c r="D1538" s="10">
        <v>9</v>
      </c>
      <c r="E1538">
        <f t="shared" si="23"/>
        <v>2037</v>
      </c>
      <c r="F1538" s="18">
        <v>1</v>
      </c>
    </row>
    <row r="1539" spans="1:6" x14ac:dyDescent="0.35">
      <c r="A1539" s="11">
        <v>50178</v>
      </c>
      <c r="B1539" s="12" t="s">
        <v>18</v>
      </c>
      <c r="C1539" s="13">
        <v>29</v>
      </c>
      <c r="D1539" s="14">
        <v>1.6</v>
      </c>
      <c r="E1539">
        <f t="shared" ref="E1539:E1602" si="24">YEAR(A1539)</f>
        <v>2037</v>
      </c>
      <c r="F1539" s="18">
        <v>1</v>
      </c>
    </row>
    <row r="1540" spans="1:6" x14ac:dyDescent="0.35">
      <c r="A1540" s="7">
        <v>50179</v>
      </c>
      <c r="B1540" s="8" t="s">
        <v>11</v>
      </c>
      <c r="C1540" s="9">
        <v>23.6</v>
      </c>
      <c r="D1540" s="10">
        <v>16</v>
      </c>
      <c r="E1540">
        <f t="shared" si="24"/>
        <v>2037</v>
      </c>
      <c r="F1540" s="18">
        <v>1</v>
      </c>
    </row>
    <row r="1541" spans="1:6" x14ac:dyDescent="0.35">
      <c r="A1541" s="11">
        <v>50180</v>
      </c>
      <c r="B1541" s="12" t="s">
        <v>19</v>
      </c>
      <c r="C1541" s="13">
        <v>11.6</v>
      </c>
      <c r="D1541" s="14">
        <v>32</v>
      </c>
      <c r="E1541">
        <f t="shared" si="24"/>
        <v>2037</v>
      </c>
      <c r="F1541" s="18">
        <v>1</v>
      </c>
    </row>
    <row r="1542" spans="1:6" x14ac:dyDescent="0.35">
      <c r="A1542" s="7">
        <v>50181</v>
      </c>
      <c r="B1542" s="8" t="s">
        <v>15</v>
      </c>
      <c r="C1542" s="9">
        <v>15.9</v>
      </c>
      <c r="D1542" s="10">
        <v>5.5</v>
      </c>
      <c r="E1542">
        <f t="shared" si="24"/>
        <v>2037</v>
      </c>
      <c r="F1542" s="18">
        <v>1</v>
      </c>
    </row>
    <row r="1543" spans="1:6" x14ac:dyDescent="0.35">
      <c r="A1543" s="11">
        <v>50182</v>
      </c>
      <c r="B1543" s="12" t="s">
        <v>26</v>
      </c>
      <c r="C1543" s="13">
        <v>28.3</v>
      </c>
      <c r="D1543" s="14">
        <v>6</v>
      </c>
      <c r="E1543">
        <f t="shared" si="24"/>
        <v>2037</v>
      </c>
      <c r="F1543" s="18">
        <v>1</v>
      </c>
    </row>
    <row r="1544" spans="1:6" x14ac:dyDescent="0.35">
      <c r="A1544" s="7">
        <v>50183</v>
      </c>
      <c r="B1544" s="8" t="s">
        <v>12</v>
      </c>
      <c r="C1544" s="9">
        <v>16.600000000000001</v>
      </c>
      <c r="D1544" s="10">
        <v>11.3</v>
      </c>
      <c r="E1544">
        <f t="shared" si="24"/>
        <v>2037</v>
      </c>
      <c r="F1544" s="18">
        <v>1</v>
      </c>
    </row>
    <row r="1545" spans="1:6" x14ac:dyDescent="0.35">
      <c r="A1545" s="11">
        <v>50184</v>
      </c>
      <c r="B1545" s="12" t="s">
        <v>22</v>
      </c>
      <c r="C1545" s="13">
        <v>25.2</v>
      </c>
      <c r="D1545" s="14">
        <v>6.4</v>
      </c>
      <c r="E1545">
        <f t="shared" si="24"/>
        <v>2037</v>
      </c>
      <c r="F1545" s="18">
        <v>1</v>
      </c>
    </row>
    <row r="1546" spans="1:6" x14ac:dyDescent="0.35">
      <c r="A1546" s="7">
        <v>50185</v>
      </c>
      <c r="B1546" s="8" t="s">
        <v>10</v>
      </c>
      <c r="C1546" s="9">
        <v>29.5</v>
      </c>
      <c r="D1546" s="10">
        <v>26.1</v>
      </c>
      <c r="E1546">
        <f t="shared" si="24"/>
        <v>2037</v>
      </c>
      <c r="F1546" s="18">
        <v>1</v>
      </c>
    </row>
    <row r="1547" spans="1:6" x14ac:dyDescent="0.35">
      <c r="A1547" s="11">
        <v>50186</v>
      </c>
      <c r="B1547" s="12" t="s">
        <v>18</v>
      </c>
      <c r="C1547" s="13">
        <v>13.3</v>
      </c>
      <c r="D1547" s="14">
        <v>7.3</v>
      </c>
      <c r="E1547">
        <f t="shared" si="24"/>
        <v>2037</v>
      </c>
      <c r="F1547" s="18">
        <v>1</v>
      </c>
    </row>
    <row r="1548" spans="1:6" x14ac:dyDescent="0.35">
      <c r="A1548" s="7">
        <v>50187</v>
      </c>
      <c r="B1548" s="8" t="s">
        <v>17</v>
      </c>
      <c r="C1548" s="9">
        <v>19.5</v>
      </c>
      <c r="D1548" s="10">
        <v>3.4</v>
      </c>
      <c r="E1548">
        <f t="shared" si="24"/>
        <v>2037</v>
      </c>
      <c r="F1548" s="18">
        <v>1</v>
      </c>
    </row>
    <row r="1549" spans="1:6" x14ac:dyDescent="0.35">
      <c r="A1549" s="11">
        <v>50188</v>
      </c>
      <c r="B1549" s="12" t="s">
        <v>25</v>
      </c>
      <c r="C1549" s="13">
        <v>11.9</v>
      </c>
      <c r="D1549" s="14">
        <v>1.7</v>
      </c>
      <c r="E1549">
        <f t="shared" si="24"/>
        <v>2037</v>
      </c>
      <c r="F1549" s="18">
        <v>1</v>
      </c>
    </row>
    <row r="1550" spans="1:6" x14ac:dyDescent="0.35">
      <c r="A1550" s="7">
        <v>50189</v>
      </c>
      <c r="B1550" s="8" t="s">
        <v>14</v>
      </c>
      <c r="C1550" s="9">
        <v>29.5</v>
      </c>
      <c r="D1550" s="10">
        <v>5.0999999999999996</v>
      </c>
      <c r="E1550">
        <f t="shared" si="24"/>
        <v>2037</v>
      </c>
      <c r="F1550" s="18">
        <v>1</v>
      </c>
    </row>
    <row r="1551" spans="1:6" x14ac:dyDescent="0.35">
      <c r="A1551" s="11">
        <v>50190</v>
      </c>
      <c r="B1551" s="12" t="s">
        <v>19</v>
      </c>
      <c r="C1551" s="13">
        <v>25.1</v>
      </c>
      <c r="D1551" s="14">
        <v>0</v>
      </c>
      <c r="E1551">
        <f t="shared" si="24"/>
        <v>2037</v>
      </c>
      <c r="F1551" s="18">
        <v>1</v>
      </c>
    </row>
    <row r="1552" spans="1:6" x14ac:dyDescent="0.35">
      <c r="A1552" s="7">
        <v>50191</v>
      </c>
      <c r="B1552" s="8" t="s">
        <v>22</v>
      </c>
      <c r="C1552" s="9">
        <v>15.1</v>
      </c>
      <c r="D1552" s="10">
        <v>0</v>
      </c>
      <c r="E1552">
        <f t="shared" si="24"/>
        <v>2037</v>
      </c>
      <c r="F1552" s="18">
        <v>1</v>
      </c>
    </row>
    <row r="1553" spans="1:6" x14ac:dyDescent="0.35">
      <c r="A1553" s="11">
        <v>50192</v>
      </c>
      <c r="B1553" s="12" t="s">
        <v>33</v>
      </c>
      <c r="C1553" s="13">
        <v>19.7</v>
      </c>
      <c r="D1553" s="14">
        <v>1.7</v>
      </c>
      <c r="E1553">
        <f t="shared" si="24"/>
        <v>2037</v>
      </c>
      <c r="F1553" s="18">
        <v>1</v>
      </c>
    </row>
    <row r="1554" spans="1:6" x14ac:dyDescent="0.35">
      <c r="A1554" s="7">
        <v>50193</v>
      </c>
      <c r="B1554" s="8" t="s">
        <v>19</v>
      </c>
      <c r="C1554" s="9">
        <v>25.6</v>
      </c>
      <c r="D1554" s="10">
        <v>0</v>
      </c>
      <c r="E1554">
        <f t="shared" si="24"/>
        <v>2037</v>
      </c>
      <c r="F1554" s="18">
        <v>1</v>
      </c>
    </row>
    <row r="1555" spans="1:6" x14ac:dyDescent="0.35">
      <c r="A1555" s="11">
        <v>50194</v>
      </c>
      <c r="B1555" s="12" t="s">
        <v>11</v>
      </c>
      <c r="C1555" s="13">
        <v>25</v>
      </c>
      <c r="D1555" s="14">
        <v>18.8</v>
      </c>
      <c r="E1555">
        <f t="shared" si="24"/>
        <v>2037</v>
      </c>
      <c r="F1555" s="18">
        <v>1</v>
      </c>
    </row>
    <row r="1556" spans="1:6" x14ac:dyDescent="0.35">
      <c r="A1556" s="7">
        <v>50195</v>
      </c>
      <c r="B1556" s="8" t="s">
        <v>23</v>
      </c>
      <c r="C1556" s="9">
        <v>11.5</v>
      </c>
      <c r="D1556" s="10">
        <v>0</v>
      </c>
      <c r="E1556">
        <f t="shared" si="24"/>
        <v>2037</v>
      </c>
      <c r="F1556" s="18">
        <v>1</v>
      </c>
    </row>
    <row r="1557" spans="1:6" x14ac:dyDescent="0.35">
      <c r="A1557" s="11">
        <v>50196</v>
      </c>
      <c r="B1557" s="12" t="s">
        <v>10</v>
      </c>
      <c r="C1557" s="13">
        <v>23.8</v>
      </c>
      <c r="D1557" s="14">
        <v>7.3</v>
      </c>
      <c r="E1557">
        <f t="shared" si="24"/>
        <v>2037</v>
      </c>
      <c r="F1557" s="18">
        <v>1</v>
      </c>
    </row>
    <row r="1558" spans="1:6" x14ac:dyDescent="0.35">
      <c r="A1558" s="7">
        <v>50197</v>
      </c>
      <c r="B1558" s="8" t="s">
        <v>19</v>
      </c>
      <c r="C1558" s="9">
        <v>25.3</v>
      </c>
      <c r="D1558" s="10">
        <v>14.7</v>
      </c>
      <c r="E1558">
        <f t="shared" si="24"/>
        <v>2037</v>
      </c>
      <c r="F1558" s="18">
        <v>1</v>
      </c>
    </row>
    <row r="1559" spans="1:6" x14ac:dyDescent="0.35">
      <c r="A1559" s="11">
        <v>50198</v>
      </c>
      <c r="B1559" s="12" t="s">
        <v>10</v>
      </c>
      <c r="C1559" s="13">
        <v>22.6</v>
      </c>
      <c r="D1559" s="14">
        <v>42.2</v>
      </c>
      <c r="E1559">
        <f t="shared" si="24"/>
        <v>2037</v>
      </c>
      <c r="F1559" s="18">
        <v>1</v>
      </c>
    </row>
    <row r="1560" spans="1:6" x14ac:dyDescent="0.35">
      <c r="A1560" s="7">
        <v>50199</v>
      </c>
      <c r="B1560" s="8" t="s">
        <v>14</v>
      </c>
      <c r="C1560" s="9">
        <v>18.100000000000001</v>
      </c>
      <c r="D1560" s="10">
        <v>3.3</v>
      </c>
      <c r="E1560">
        <f t="shared" si="24"/>
        <v>2037</v>
      </c>
      <c r="F1560" s="18">
        <v>1</v>
      </c>
    </row>
    <row r="1561" spans="1:6" x14ac:dyDescent="0.35">
      <c r="A1561" s="11">
        <v>50200</v>
      </c>
      <c r="B1561" s="12" t="s">
        <v>19</v>
      </c>
      <c r="C1561" s="13">
        <v>17.8</v>
      </c>
      <c r="D1561" s="14">
        <v>0</v>
      </c>
      <c r="E1561">
        <f t="shared" si="24"/>
        <v>2037</v>
      </c>
      <c r="F1561" s="18">
        <v>1</v>
      </c>
    </row>
    <row r="1562" spans="1:6" x14ac:dyDescent="0.35">
      <c r="A1562" s="7">
        <v>50201</v>
      </c>
      <c r="B1562" s="8" t="s">
        <v>10</v>
      </c>
      <c r="C1562" s="9">
        <v>25.1</v>
      </c>
      <c r="D1562" s="10">
        <v>25.5</v>
      </c>
      <c r="E1562">
        <f t="shared" si="24"/>
        <v>2037</v>
      </c>
      <c r="F1562" s="18">
        <v>1</v>
      </c>
    </row>
    <row r="1563" spans="1:6" x14ac:dyDescent="0.35">
      <c r="A1563" s="11">
        <v>50202</v>
      </c>
      <c r="B1563" s="12" t="s">
        <v>18</v>
      </c>
      <c r="C1563" s="13">
        <v>12</v>
      </c>
      <c r="D1563" s="14">
        <v>0</v>
      </c>
      <c r="E1563">
        <f t="shared" si="24"/>
        <v>2037</v>
      </c>
      <c r="F1563" s="18">
        <v>1</v>
      </c>
    </row>
    <row r="1564" spans="1:6" x14ac:dyDescent="0.35">
      <c r="A1564" s="7">
        <v>50203</v>
      </c>
      <c r="B1564" s="8" t="s">
        <v>10</v>
      </c>
      <c r="C1564" s="9">
        <v>23.2</v>
      </c>
      <c r="D1564" s="10">
        <v>0</v>
      </c>
      <c r="E1564">
        <f t="shared" si="24"/>
        <v>2037</v>
      </c>
      <c r="F1564" s="18">
        <v>1</v>
      </c>
    </row>
    <row r="1565" spans="1:6" x14ac:dyDescent="0.35">
      <c r="A1565" s="11">
        <v>50204</v>
      </c>
      <c r="B1565" s="12" t="s">
        <v>6</v>
      </c>
      <c r="C1565" s="13">
        <v>16</v>
      </c>
      <c r="D1565" s="14">
        <v>7.9</v>
      </c>
      <c r="E1565">
        <f t="shared" si="24"/>
        <v>2037</v>
      </c>
      <c r="F1565" s="18">
        <v>1</v>
      </c>
    </row>
    <row r="1566" spans="1:6" x14ac:dyDescent="0.35">
      <c r="A1566" s="7">
        <v>50205</v>
      </c>
      <c r="B1566" s="8" t="s">
        <v>15</v>
      </c>
      <c r="C1566" s="9">
        <v>26.5</v>
      </c>
      <c r="D1566" s="10">
        <v>20.2</v>
      </c>
      <c r="E1566">
        <f t="shared" si="24"/>
        <v>2037</v>
      </c>
      <c r="F1566" s="18">
        <v>1</v>
      </c>
    </row>
    <row r="1567" spans="1:6" x14ac:dyDescent="0.35">
      <c r="A1567" s="11">
        <v>50206</v>
      </c>
      <c r="B1567" s="12" t="s">
        <v>29</v>
      </c>
      <c r="C1567" s="13">
        <v>28.9</v>
      </c>
      <c r="D1567" s="14">
        <v>0.3</v>
      </c>
      <c r="E1567">
        <f t="shared" si="24"/>
        <v>2037</v>
      </c>
      <c r="F1567" s="18">
        <v>1</v>
      </c>
    </row>
    <row r="1568" spans="1:6" x14ac:dyDescent="0.35">
      <c r="A1568" s="7">
        <v>50207</v>
      </c>
      <c r="B1568" s="8" t="s">
        <v>10</v>
      </c>
      <c r="C1568" s="9">
        <v>26.6</v>
      </c>
      <c r="D1568" s="10">
        <v>0</v>
      </c>
      <c r="E1568">
        <f t="shared" si="24"/>
        <v>2037</v>
      </c>
      <c r="F1568" s="18">
        <v>1</v>
      </c>
    </row>
    <row r="1569" spans="1:6" x14ac:dyDescent="0.35">
      <c r="A1569" s="11">
        <v>50208</v>
      </c>
      <c r="B1569" s="12" t="s">
        <v>7</v>
      </c>
      <c r="C1569" s="13">
        <v>13.1</v>
      </c>
      <c r="D1569" s="14">
        <v>19.899999999999999</v>
      </c>
      <c r="E1569">
        <f t="shared" si="24"/>
        <v>2037</v>
      </c>
      <c r="F1569" s="18">
        <v>1</v>
      </c>
    </row>
    <row r="1570" spans="1:6" x14ac:dyDescent="0.35">
      <c r="A1570" s="7">
        <v>50209</v>
      </c>
      <c r="B1570" s="8" t="s">
        <v>10</v>
      </c>
      <c r="C1570" s="9">
        <v>21.5</v>
      </c>
      <c r="D1570" s="10">
        <v>33.4</v>
      </c>
      <c r="E1570">
        <f t="shared" si="24"/>
        <v>2037</v>
      </c>
      <c r="F1570" s="18">
        <v>1</v>
      </c>
    </row>
    <row r="1571" spans="1:6" x14ac:dyDescent="0.35">
      <c r="A1571" s="11">
        <v>50210</v>
      </c>
      <c r="B1571" s="12" t="s">
        <v>31</v>
      </c>
      <c r="C1571" s="13">
        <v>25.7</v>
      </c>
      <c r="D1571" s="14">
        <v>0</v>
      </c>
      <c r="E1571">
        <f t="shared" si="24"/>
        <v>2037</v>
      </c>
      <c r="F1571" s="18">
        <v>1</v>
      </c>
    </row>
    <row r="1572" spans="1:6" x14ac:dyDescent="0.35">
      <c r="A1572" s="7">
        <v>50211</v>
      </c>
      <c r="B1572" s="8" t="s">
        <v>19</v>
      </c>
      <c r="C1572" s="9">
        <v>11.8</v>
      </c>
      <c r="D1572" s="10">
        <v>23</v>
      </c>
      <c r="E1572">
        <f t="shared" si="24"/>
        <v>2037</v>
      </c>
      <c r="F1572" s="18">
        <v>1</v>
      </c>
    </row>
    <row r="1573" spans="1:6" x14ac:dyDescent="0.35">
      <c r="A1573" s="11">
        <v>50212</v>
      </c>
      <c r="B1573" s="12" t="s">
        <v>25</v>
      </c>
      <c r="C1573" s="13">
        <v>12.6</v>
      </c>
      <c r="D1573" s="14">
        <v>0.7</v>
      </c>
      <c r="E1573">
        <f t="shared" si="24"/>
        <v>2037</v>
      </c>
      <c r="F1573" s="18">
        <v>1</v>
      </c>
    </row>
    <row r="1574" spans="1:6" x14ac:dyDescent="0.35">
      <c r="A1574" s="7">
        <v>50213</v>
      </c>
      <c r="B1574" s="8" t="s">
        <v>27</v>
      </c>
      <c r="C1574" s="9">
        <v>26.2</v>
      </c>
      <c r="D1574" s="10">
        <v>0.3</v>
      </c>
      <c r="E1574">
        <f t="shared" si="24"/>
        <v>2037</v>
      </c>
      <c r="F1574" s="18">
        <v>1</v>
      </c>
    </row>
    <row r="1575" spans="1:6" x14ac:dyDescent="0.35">
      <c r="A1575" s="11">
        <v>50214</v>
      </c>
      <c r="B1575" s="12" t="s">
        <v>8</v>
      </c>
      <c r="C1575" s="13">
        <v>29.1</v>
      </c>
      <c r="D1575" s="14">
        <v>5</v>
      </c>
      <c r="E1575">
        <f t="shared" si="24"/>
        <v>2037</v>
      </c>
      <c r="F1575" s="18">
        <v>1</v>
      </c>
    </row>
    <row r="1576" spans="1:6" x14ac:dyDescent="0.35">
      <c r="A1576" s="7">
        <v>50215</v>
      </c>
      <c r="B1576" s="8" t="s">
        <v>22</v>
      </c>
      <c r="C1576" s="9">
        <v>18.899999999999999</v>
      </c>
      <c r="D1576" s="10">
        <v>7.5</v>
      </c>
      <c r="E1576">
        <f t="shared" si="24"/>
        <v>2037</v>
      </c>
      <c r="F1576" s="18">
        <v>1</v>
      </c>
    </row>
    <row r="1577" spans="1:6" x14ac:dyDescent="0.35">
      <c r="A1577" s="11">
        <v>50216</v>
      </c>
      <c r="B1577" s="12" t="s">
        <v>11</v>
      </c>
      <c r="C1577" s="13">
        <v>10.5</v>
      </c>
      <c r="D1577" s="14">
        <v>7.3</v>
      </c>
      <c r="E1577">
        <f t="shared" si="24"/>
        <v>2037</v>
      </c>
      <c r="F1577" s="18">
        <v>1</v>
      </c>
    </row>
    <row r="1578" spans="1:6" x14ac:dyDescent="0.35">
      <c r="A1578" s="7">
        <v>50217</v>
      </c>
      <c r="B1578" s="8" t="s">
        <v>23</v>
      </c>
      <c r="C1578" s="9">
        <v>15.1</v>
      </c>
      <c r="D1578" s="10">
        <v>6</v>
      </c>
      <c r="E1578">
        <f t="shared" si="24"/>
        <v>2037</v>
      </c>
      <c r="F1578" s="18">
        <v>1</v>
      </c>
    </row>
    <row r="1579" spans="1:6" x14ac:dyDescent="0.35">
      <c r="A1579" s="11">
        <v>50218</v>
      </c>
      <c r="B1579" s="12" t="s">
        <v>7</v>
      </c>
      <c r="C1579" s="13">
        <v>27.8</v>
      </c>
      <c r="D1579" s="14">
        <v>8.3000000000000007</v>
      </c>
      <c r="E1579">
        <f t="shared" si="24"/>
        <v>2037</v>
      </c>
      <c r="F1579" s="18">
        <v>1</v>
      </c>
    </row>
    <row r="1580" spans="1:6" x14ac:dyDescent="0.35">
      <c r="A1580" s="7">
        <v>50219</v>
      </c>
      <c r="B1580" s="8" t="s">
        <v>16</v>
      </c>
      <c r="C1580" s="9">
        <v>11.7</v>
      </c>
      <c r="D1580" s="10">
        <v>0.4</v>
      </c>
      <c r="E1580">
        <f t="shared" si="24"/>
        <v>2037</v>
      </c>
      <c r="F1580" s="18">
        <v>1</v>
      </c>
    </row>
    <row r="1581" spans="1:6" x14ac:dyDescent="0.35">
      <c r="A1581" s="11">
        <v>50220</v>
      </c>
      <c r="B1581" s="12" t="s">
        <v>10</v>
      </c>
      <c r="C1581" s="13">
        <v>10.5</v>
      </c>
      <c r="D1581" s="14">
        <v>36.9</v>
      </c>
      <c r="E1581">
        <f t="shared" si="24"/>
        <v>2037</v>
      </c>
      <c r="F1581" s="18">
        <v>1</v>
      </c>
    </row>
    <row r="1582" spans="1:6" x14ac:dyDescent="0.35">
      <c r="A1582" s="7">
        <v>50221</v>
      </c>
      <c r="B1582" s="8" t="s">
        <v>5</v>
      </c>
      <c r="C1582" s="9">
        <v>21</v>
      </c>
      <c r="D1582" s="10">
        <v>7.1</v>
      </c>
      <c r="E1582">
        <f t="shared" si="24"/>
        <v>2037</v>
      </c>
      <c r="F1582" s="18">
        <v>1</v>
      </c>
    </row>
    <row r="1583" spans="1:6" x14ac:dyDescent="0.35">
      <c r="A1583" s="11">
        <v>50222</v>
      </c>
      <c r="B1583" s="12" t="s">
        <v>24</v>
      </c>
      <c r="C1583" s="13">
        <v>17.399999999999999</v>
      </c>
      <c r="D1583" s="14">
        <v>3.7</v>
      </c>
      <c r="E1583">
        <f t="shared" si="24"/>
        <v>2037</v>
      </c>
      <c r="F1583" s="18">
        <v>1</v>
      </c>
    </row>
    <row r="1584" spans="1:6" x14ac:dyDescent="0.35">
      <c r="A1584" s="7">
        <v>50223</v>
      </c>
      <c r="B1584" s="8" t="s">
        <v>18</v>
      </c>
      <c r="C1584" s="9">
        <v>21.9</v>
      </c>
      <c r="D1584" s="10">
        <v>7.6</v>
      </c>
      <c r="E1584">
        <f t="shared" si="24"/>
        <v>2037</v>
      </c>
      <c r="F1584" s="18">
        <v>1</v>
      </c>
    </row>
    <row r="1585" spans="1:6" x14ac:dyDescent="0.35">
      <c r="A1585" s="11">
        <v>50224</v>
      </c>
      <c r="B1585" s="12" t="s">
        <v>18</v>
      </c>
      <c r="C1585" s="13">
        <v>26</v>
      </c>
      <c r="D1585" s="14">
        <v>4.5999999999999996</v>
      </c>
      <c r="E1585">
        <f t="shared" si="24"/>
        <v>2037</v>
      </c>
      <c r="F1585" s="18">
        <v>1</v>
      </c>
    </row>
    <row r="1586" spans="1:6" x14ac:dyDescent="0.35">
      <c r="A1586" s="7">
        <v>50225</v>
      </c>
      <c r="B1586" s="8" t="s">
        <v>19</v>
      </c>
      <c r="C1586" s="9">
        <v>12.2</v>
      </c>
      <c r="D1586" s="10">
        <v>19.3</v>
      </c>
      <c r="E1586">
        <f t="shared" si="24"/>
        <v>2037</v>
      </c>
      <c r="F1586" s="18">
        <v>1</v>
      </c>
    </row>
    <row r="1587" spans="1:6" x14ac:dyDescent="0.35">
      <c r="A1587" s="11">
        <v>50226</v>
      </c>
      <c r="B1587" s="12" t="s">
        <v>8</v>
      </c>
      <c r="C1587" s="13">
        <v>22.4</v>
      </c>
      <c r="D1587" s="14">
        <v>0.3</v>
      </c>
      <c r="E1587">
        <f t="shared" si="24"/>
        <v>2037</v>
      </c>
      <c r="F1587" s="18">
        <v>1</v>
      </c>
    </row>
    <row r="1588" spans="1:6" x14ac:dyDescent="0.35">
      <c r="A1588" s="7">
        <v>50227</v>
      </c>
      <c r="B1588" s="8" t="s">
        <v>22</v>
      </c>
      <c r="C1588" s="9">
        <v>18.600000000000001</v>
      </c>
      <c r="D1588" s="10">
        <v>7.2</v>
      </c>
      <c r="E1588">
        <f t="shared" si="24"/>
        <v>2037</v>
      </c>
      <c r="F1588" s="18">
        <v>1</v>
      </c>
    </row>
    <row r="1589" spans="1:6" x14ac:dyDescent="0.35">
      <c r="A1589" s="11">
        <v>50228</v>
      </c>
      <c r="B1589" s="12" t="s">
        <v>10</v>
      </c>
      <c r="C1589" s="13">
        <v>17.100000000000001</v>
      </c>
      <c r="D1589" s="14">
        <v>0</v>
      </c>
      <c r="E1589">
        <f t="shared" si="24"/>
        <v>2037</v>
      </c>
      <c r="F1589" s="18">
        <v>1</v>
      </c>
    </row>
    <row r="1590" spans="1:6" x14ac:dyDescent="0.35">
      <c r="A1590" s="7">
        <v>50229</v>
      </c>
      <c r="B1590" s="8" t="s">
        <v>19</v>
      </c>
      <c r="C1590" s="9">
        <v>25.1</v>
      </c>
      <c r="D1590" s="10">
        <v>24.3</v>
      </c>
      <c r="E1590">
        <f t="shared" si="24"/>
        <v>2037</v>
      </c>
      <c r="F1590" s="18">
        <v>1</v>
      </c>
    </row>
    <row r="1591" spans="1:6" x14ac:dyDescent="0.35">
      <c r="A1591" s="11">
        <v>50230</v>
      </c>
      <c r="B1591" s="12" t="s">
        <v>11</v>
      </c>
      <c r="C1591" s="13">
        <v>10.4</v>
      </c>
      <c r="D1591" s="14">
        <v>22.2</v>
      </c>
      <c r="E1591">
        <f t="shared" si="24"/>
        <v>2037</v>
      </c>
      <c r="F1591" s="18">
        <v>1</v>
      </c>
    </row>
    <row r="1592" spans="1:6" x14ac:dyDescent="0.35">
      <c r="A1592" s="7">
        <v>50231</v>
      </c>
      <c r="B1592" s="8" t="s">
        <v>18</v>
      </c>
      <c r="C1592" s="9">
        <v>28.9</v>
      </c>
      <c r="D1592" s="10">
        <v>0</v>
      </c>
      <c r="E1592">
        <f t="shared" si="24"/>
        <v>2037</v>
      </c>
      <c r="F1592" s="18">
        <v>1</v>
      </c>
    </row>
    <row r="1593" spans="1:6" x14ac:dyDescent="0.35">
      <c r="A1593" s="11">
        <v>50232</v>
      </c>
      <c r="B1593" s="12" t="s">
        <v>31</v>
      </c>
      <c r="C1593" s="13">
        <v>24.1</v>
      </c>
      <c r="D1593" s="14">
        <v>0</v>
      </c>
      <c r="E1593">
        <f t="shared" si="24"/>
        <v>2037</v>
      </c>
      <c r="F1593" s="18">
        <v>1</v>
      </c>
    </row>
    <row r="1594" spans="1:6" x14ac:dyDescent="0.35">
      <c r="A1594" s="7">
        <v>50233</v>
      </c>
      <c r="B1594" s="8" t="s">
        <v>19</v>
      </c>
      <c r="C1594" s="9">
        <v>23.2</v>
      </c>
      <c r="D1594" s="10">
        <v>22.1</v>
      </c>
      <c r="E1594">
        <f t="shared" si="24"/>
        <v>2037</v>
      </c>
      <c r="F1594" s="18">
        <v>1</v>
      </c>
    </row>
    <row r="1595" spans="1:6" x14ac:dyDescent="0.35">
      <c r="A1595" s="11">
        <v>50234</v>
      </c>
      <c r="B1595" s="12" t="s">
        <v>13</v>
      </c>
      <c r="C1595" s="13">
        <v>24.1</v>
      </c>
      <c r="D1595" s="14">
        <v>9.3000000000000007</v>
      </c>
      <c r="E1595">
        <f t="shared" si="24"/>
        <v>2037</v>
      </c>
      <c r="F1595" s="18">
        <v>1</v>
      </c>
    </row>
    <row r="1596" spans="1:6" x14ac:dyDescent="0.35">
      <c r="A1596" s="7">
        <v>50235</v>
      </c>
      <c r="B1596" s="8" t="s">
        <v>10</v>
      </c>
      <c r="C1596" s="9">
        <v>14.6</v>
      </c>
      <c r="D1596" s="10">
        <v>0</v>
      </c>
      <c r="E1596">
        <f t="shared" si="24"/>
        <v>2037</v>
      </c>
      <c r="F1596" s="18">
        <v>1</v>
      </c>
    </row>
    <row r="1597" spans="1:6" x14ac:dyDescent="0.35">
      <c r="A1597" s="11">
        <v>50236</v>
      </c>
      <c r="B1597" s="12" t="s">
        <v>20</v>
      </c>
      <c r="C1597" s="13">
        <v>17.7</v>
      </c>
      <c r="D1597" s="14">
        <v>0</v>
      </c>
      <c r="E1597">
        <f t="shared" si="24"/>
        <v>2037</v>
      </c>
      <c r="F1597" s="18">
        <v>1</v>
      </c>
    </row>
    <row r="1598" spans="1:6" x14ac:dyDescent="0.35">
      <c r="A1598" s="7">
        <v>50237</v>
      </c>
      <c r="B1598" s="8" t="s">
        <v>6</v>
      </c>
      <c r="C1598" s="9">
        <v>20.100000000000001</v>
      </c>
      <c r="D1598" s="10">
        <v>11.5</v>
      </c>
      <c r="E1598">
        <f t="shared" si="24"/>
        <v>2037</v>
      </c>
      <c r="F1598" s="18">
        <v>1</v>
      </c>
    </row>
    <row r="1599" spans="1:6" x14ac:dyDescent="0.35">
      <c r="A1599" s="11">
        <v>50238</v>
      </c>
      <c r="B1599" s="12" t="s">
        <v>8</v>
      </c>
      <c r="C1599" s="13">
        <v>27.5</v>
      </c>
      <c r="D1599" s="14">
        <v>0</v>
      </c>
      <c r="E1599">
        <f t="shared" si="24"/>
        <v>2037</v>
      </c>
      <c r="F1599" s="18">
        <v>1</v>
      </c>
    </row>
    <row r="1600" spans="1:6" x14ac:dyDescent="0.35">
      <c r="A1600" s="7">
        <v>50239</v>
      </c>
      <c r="B1600" s="8" t="s">
        <v>7</v>
      </c>
      <c r="C1600" s="9">
        <v>10.9</v>
      </c>
      <c r="D1600" s="10">
        <v>9</v>
      </c>
      <c r="E1600">
        <f t="shared" si="24"/>
        <v>2037</v>
      </c>
      <c r="F1600" s="18">
        <v>1</v>
      </c>
    </row>
    <row r="1601" spans="1:6" x14ac:dyDescent="0.35">
      <c r="A1601" s="11">
        <v>50240</v>
      </c>
      <c r="B1601" s="12" t="s">
        <v>24</v>
      </c>
      <c r="C1601" s="13">
        <v>27.6</v>
      </c>
      <c r="D1601" s="14">
        <v>3.2</v>
      </c>
      <c r="E1601">
        <f t="shared" si="24"/>
        <v>2037</v>
      </c>
      <c r="F1601" s="18">
        <v>1</v>
      </c>
    </row>
    <row r="1602" spans="1:6" x14ac:dyDescent="0.35">
      <c r="A1602" s="7">
        <v>50241</v>
      </c>
      <c r="B1602" s="8" t="s">
        <v>19</v>
      </c>
      <c r="C1602" s="9">
        <v>24.5</v>
      </c>
      <c r="D1602" s="10">
        <v>15.3</v>
      </c>
      <c r="E1602">
        <f t="shared" si="24"/>
        <v>2037</v>
      </c>
      <c r="F1602" s="18">
        <v>1</v>
      </c>
    </row>
    <row r="1603" spans="1:6" x14ac:dyDescent="0.35">
      <c r="A1603" s="11">
        <v>50242</v>
      </c>
      <c r="B1603" s="12" t="s">
        <v>17</v>
      </c>
      <c r="C1603" s="13">
        <v>10.8</v>
      </c>
      <c r="D1603" s="14">
        <v>0</v>
      </c>
      <c r="E1603">
        <f t="shared" ref="E1603:E1666" si="25">YEAR(A1603)</f>
        <v>2037</v>
      </c>
      <c r="F1603" s="18">
        <v>1</v>
      </c>
    </row>
    <row r="1604" spans="1:6" x14ac:dyDescent="0.35">
      <c r="A1604" s="7">
        <v>50243</v>
      </c>
      <c r="B1604" s="8" t="s">
        <v>19</v>
      </c>
      <c r="C1604" s="9">
        <v>28.7</v>
      </c>
      <c r="D1604" s="10">
        <v>27.2</v>
      </c>
      <c r="E1604">
        <f t="shared" si="25"/>
        <v>2037</v>
      </c>
      <c r="F1604" s="18">
        <v>1</v>
      </c>
    </row>
    <row r="1605" spans="1:6" x14ac:dyDescent="0.35">
      <c r="A1605" s="11">
        <v>50244</v>
      </c>
      <c r="B1605" s="12" t="s">
        <v>9</v>
      </c>
      <c r="C1605" s="13">
        <v>21.5</v>
      </c>
      <c r="D1605" s="14">
        <v>0.6</v>
      </c>
      <c r="E1605">
        <f t="shared" si="25"/>
        <v>2037</v>
      </c>
      <c r="F1605" s="18">
        <v>1</v>
      </c>
    </row>
    <row r="1606" spans="1:6" x14ac:dyDescent="0.35">
      <c r="A1606" s="7">
        <v>50245</v>
      </c>
      <c r="B1606" s="8" t="s">
        <v>24</v>
      </c>
      <c r="C1606" s="9">
        <v>20.100000000000001</v>
      </c>
      <c r="D1606" s="10">
        <v>0.8</v>
      </c>
      <c r="E1606">
        <f t="shared" si="25"/>
        <v>2037</v>
      </c>
      <c r="F1606" s="18">
        <v>1</v>
      </c>
    </row>
    <row r="1607" spans="1:6" x14ac:dyDescent="0.35">
      <c r="A1607" s="11">
        <v>50246</v>
      </c>
      <c r="B1607" s="12" t="s">
        <v>19</v>
      </c>
      <c r="C1607" s="13">
        <v>21.3</v>
      </c>
      <c r="D1607" s="14">
        <v>14.6</v>
      </c>
      <c r="E1607">
        <f t="shared" si="25"/>
        <v>2037</v>
      </c>
      <c r="F1607" s="18">
        <v>1</v>
      </c>
    </row>
    <row r="1608" spans="1:6" x14ac:dyDescent="0.35">
      <c r="A1608" s="7">
        <v>50247</v>
      </c>
      <c r="B1608" s="8" t="s">
        <v>27</v>
      </c>
      <c r="C1608" s="9">
        <v>20.2</v>
      </c>
      <c r="D1608" s="10">
        <v>6.9</v>
      </c>
      <c r="E1608">
        <f t="shared" si="25"/>
        <v>2037</v>
      </c>
      <c r="F1608" s="18">
        <v>1</v>
      </c>
    </row>
    <row r="1609" spans="1:6" x14ac:dyDescent="0.35">
      <c r="A1609" s="11">
        <v>50248</v>
      </c>
      <c r="B1609" s="12" t="s">
        <v>13</v>
      </c>
      <c r="C1609" s="13">
        <v>16.8</v>
      </c>
      <c r="D1609" s="14">
        <v>7.6</v>
      </c>
      <c r="E1609">
        <f t="shared" si="25"/>
        <v>2037</v>
      </c>
      <c r="F1609" s="18">
        <v>1</v>
      </c>
    </row>
    <row r="1610" spans="1:6" x14ac:dyDescent="0.35">
      <c r="A1610" s="7">
        <v>50249</v>
      </c>
      <c r="B1610" s="8" t="s">
        <v>6</v>
      </c>
      <c r="C1610" s="9">
        <v>26.5</v>
      </c>
      <c r="D1610" s="10">
        <v>2.5</v>
      </c>
      <c r="E1610">
        <f t="shared" si="25"/>
        <v>2037</v>
      </c>
      <c r="F1610" s="18">
        <v>1</v>
      </c>
    </row>
    <row r="1611" spans="1:6" x14ac:dyDescent="0.35">
      <c r="A1611" s="11">
        <v>50250</v>
      </c>
      <c r="B1611" s="12" t="s">
        <v>7</v>
      </c>
      <c r="C1611" s="13">
        <v>18.899999999999999</v>
      </c>
      <c r="D1611" s="14">
        <v>0</v>
      </c>
      <c r="E1611">
        <f t="shared" si="25"/>
        <v>2037</v>
      </c>
      <c r="F1611" s="18">
        <v>1</v>
      </c>
    </row>
    <row r="1612" spans="1:6" x14ac:dyDescent="0.35">
      <c r="A1612" s="7">
        <v>50251</v>
      </c>
      <c r="B1612" s="8" t="s">
        <v>20</v>
      </c>
      <c r="C1612" s="9">
        <v>22.9</v>
      </c>
      <c r="D1612" s="10">
        <v>1.2</v>
      </c>
      <c r="E1612">
        <f t="shared" si="25"/>
        <v>2037</v>
      </c>
      <c r="F1612" s="18">
        <v>1</v>
      </c>
    </row>
    <row r="1613" spans="1:6" x14ac:dyDescent="0.35">
      <c r="A1613" s="11">
        <v>50252</v>
      </c>
      <c r="B1613" s="12" t="s">
        <v>19</v>
      </c>
      <c r="C1613" s="13">
        <v>11.3</v>
      </c>
      <c r="D1613" s="14">
        <v>32.700000000000003</v>
      </c>
      <c r="E1613">
        <f t="shared" si="25"/>
        <v>2037</v>
      </c>
      <c r="F1613" s="18">
        <v>1</v>
      </c>
    </row>
    <row r="1614" spans="1:6" x14ac:dyDescent="0.35">
      <c r="A1614" s="7">
        <v>50253</v>
      </c>
      <c r="B1614" s="8" t="s">
        <v>13</v>
      </c>
      <c r="C1614" s="9">
        <v>13</v>
      </c>
      <c r="D1614" s="10">
        <v>1.7</v>
      </c>
      <c r="E1614">
        <f t="shared" si="25"/>
        <v>2037</v>
      </c>
      <c r="F1614" s="18">
        <v>1</v>
      </c>
    </row>
    <row r="1615" spans="1:6" x14ac:dyDescent="0.35">
      <c r="A1615" s="11">
        <v>50254</v>
      </c>
      <c r="B1615" s="12" t="s">
        <v>8</v>
      </c>
      <c r="C1615" s="13">
        <v>18.3</v>
      </c>
      <c r="D1615" s="14">
        <v>2.5</v>
      </c>
      <c r="E1615">
        <f t="shared" si="25"/>
        <v>2037</v>
      </c>
      <c r="F1615" s="18">
        <v>1</v>
      </c>
    </row>
    <row r="1616" spans="1:6" x14ac:dyDescent="0.35">
      <c r="A1616" s="7">
        <v>50255</v>
      </c>
      <c r="B1616" s="8" t="s">
        <v>7</v>
      </c>
      <c r="C1616" s="9">
        <v>10.199999999999999</v>
      </c>
      <c r="D1616" s="10">
        <v>14.3</v>
      </c>
      <c r="E1616">
        <f t="shared" si="25"/>
        <v>2037</v>
      </c>
      <c r="F1616" s="18">
        <v>1</v>
      </c>
    </row>
    <row r="1617" spans="1:6" x14ac:dyDescent="0.35">
      <c r="A1617" s="11">
        <v>50256</v>
      </c>
      <c r="B1617" s="12" t="s">
        <v>11</v>
      </c>
      <c r="C1617" s="13">
        <v>14.5</v>
      </c>
      <c r="D1617" s="14">
        <v>10.5</v>
      </c>
      <c r="E1617">
        <f t="shared" si="25"/>
        <v>2037</v>
      </c>
      <c r="F1617" s="18">
        <v>1</v>
      </c>
    </row>
    <row r="1618" spans="1:6" x14ac:dyDescent="0.35">
      <c r="A1618" s="7">
        <v>50257</v>
      </c>
      <c r="B1618" s="8" t="s">
        <v>14</v>
      </c>
      <c r="C1618" s="9">
        <v>12.3</v>
      </c>
      <c r="D1618" s="10">
        <v>7.4</v>
      </c>
      <c r="E1618">
        <f t="shared" si="25"/>
        <v>2037</v>
      </c>
      <c r="F1618" s="18">
        <v>1</v>
      </c>
    </row>
    <row r="1619" spans="1:6" x14ac:dyDescent="0.35">
      <c r="A1619" s="11">
        <v>50258</v>
      </c>
      <c r="B1619" s="12" t="s">
        <v>13</v>
      </c>
      <c r="C1619" s="13">
        <v>17</v>
      </c>
      <c r="D1619" s="14">
        <v>16.899999999999999</v>
      </c>
      <c r="E1619">
        <f t="shared" si="25"/>
        <v>2037</v>
      </c>
      <c r="F1619" s="18">
        <v>1</v>
      </c>
    </row>
    <row r="1620" spans="1:6" x14ac:dyDescent="0.35">
      <c r="A1620" s="7">
        <v>50259</v>
      </c>
      <c r="B1620" s="8" t="s">
        <v>5</v>
      </c>
      <c r="C1620" s="9">
        <v>17.5</v>
      </c>
      <c r="D1620" s="10">
        <v>0</v>
      </c>
      <c r="E1620">
        <f t="shared" si="25"/>
        <v>2037</v>
      </c>
      <c r="F1620" s="18">
        <v>1</v>
      </c>
    </row>
    <row r="1621" spans="1:6" x14ac:dyDescent="0.35">
      <c r="A1621" s="11">
        <v>50260</v>
      </c>
      <c r="B1621" s="12" t="s">
        <v>4</v>
      </c>
      <c r="C1621" s="13">
        <v>28.4</v>
      </c>
      <c r="D1621" s="14">
        <v>0</v>
      </c>
      <c r="E1621">
        <f t="shared" si="25"/>
        <v>2037</v>
      </c>
      <c r="F1621" s="18">
        <v>1</v>
      </c>
    </row>
    <row r="1622" spans="1:6" x14ac:dyDescent="0.35">
      <c r="A1622" s="7">
        <v>50261</v>
      </c>
      <c r="B1622" s="8" t="s">
        <v>19</v>
      </c>
      <c r="C1622" s="9">
        <v>13.1</v>
      </c>
      <c r="D1622" s="10">
        <v>36.6</v>
      </c>
      <c r="E1622">
        <f t="shared" si="25"/>
        <v>2037</v>
      </c>
      <c r="F1622" s="18">
        <v>1</v>
      </c>
    </row>
    <row r="1623" spans="1:6" x14ac:dyDescent="0.35">
      <c r="A1623" s="11">
        <v>50262</v>
      </c>
      <c r="B1623" s="12" t="s">
        <v>7</v>
      </c>
      <c r="C1623" s="13">
        <v>16.600000000000001</v>
      </c>
      <c r="D1623" s="14">
        <v>6.6</v>
      </c>
      <c r="E1623">
        <f t="shared" si="25"/>
        <v>2037</v>
      </c>
      <c r="F1623" s="18">
        <v>1</v>
      </c>
    </row>
    <row r="1624" spans="1:6" x14ac:dyDescent="0.35">
      <c r="A1624" s="7">
        <v>50263</v>
      </c>
      <c r="B1624" s="8" t="s">
        <v>19</v>
      </c>
      <c r="C1624" s="9">
        <v>20.2</v>
      </c>
      <c r="D1624" s="10">
        <v>0</v>
      </c>
      <c r="E1624">
        <f t="shared" si="25"/>
        <v>2037</v>
      </c>
      <c r="F1624" s="18">
        <v>1</v>
      </c>
    </row>
    <row r="1625" spans="1:6" x14ac:dyDescent="0.35">
      <c r="A1625" s="11">
        <v>50264</v>
      </c>
      <c r="B1625" s="12" t="s">
        <v>7</v>
      </c>
      <c r="C1625" s="13">
        <v>26.4</v>
      </c>
      <c r="D1625" s="14">
        <v>11.9</v>
      </c>
      <c r="E1625">
        <f t="shared" si="25"/>
        <v>2037</v>
      </c>
      <c r="F1625" s="18">
        <v>1</v>
      </c>
    </row>
    <row r="1626" spans="1:6" x14ac:dyDescent="0.35">
      <c r="A1626" s="7">
        <v>50265</v>
      </c>
      <c r="B1626" s="8" t="s">
        <v>10</v>
      </c>
      <c r="C1626" s="9">
        <v>11.8</v>
      </c>
      <c r="D1626" s="10">
        <v>0</v>
      </c>
      <c r="E1626">
        <f t="shared" si="25"/>
        <v>2037</v>
      </c>
      <c r="F1626" s="18">
        <v>1</v>
      </c>
    </row>
    <row r="1627" spans="1:6" x14ac:dyDescent="0.35">
      <c r="A1627" s="11">
        <v>50266</v>
      </c>
      <c r="B1627" s="12" t="s">
        <v>17</v>
      </c>
      <c r="C1627" s="13">
        <v>19.5</v>
      </c>
      <c r="D1627" s="14">
        <v>6.4</v>
      </c>
      <c r="E1627">
        <f t="shared" si="25"/>
        <v>2037</v>
      </c>
      <c r="F1627" s="18">
        <v>1</v>
      </c>
    </row>
    <row r="1628" spans="1:6" x14ac:dyDescent="0.35">
      <c r="A1628" s="7">
        <v>50267</v>
      </c>
      <c r="B1628" s="8" t="s">
        <v>19</v>
      </c>
      <c r="C1628" s="9">
        <v>12</v>
      </c>
      <c r="D1628" s="10">
        <v>13.3</v>
      </c>
      <c r="E1628">
        <f t="shared" si="25"/>
        <v>2037</v>
      </c>
      <c r="F1628" s="18">
        <v>1</v>
      </c>
    </row>
    <row r="1629" spans="1:6" x14ac:dyDescent="0.35">
      <c r="A1629" s="11">
        <v>50268</v>
      </c>
      <c r="B1629" s="12" t="s">
        <v>22</v>
      </c>
      <c r="C1629" s="13">
        <v>16.3</v>
      </c>
      <c r="D1629" s="14">
        <v>7.5</v>
      </c>
      <c r="E1629">
        <f t="shared" si="25"/>
        <v>2037</v>
      </c>
      <c r="F1629" s="18">
        <v>1</v>
      </c>
    </row>
    <row r="1630" spans="1:6" x14ac:dyDescent="0.35">
      <c r="A1630" s="7">
        <v>50269</v>
      </c>
      <c r="B1630" s="8" t="s">
        <v>17</v>
      </c>
      <c r="C1630" s="9">
        <v>22.8</v>
      </c>
      <c r="D1630" s="10">
        <v>2.7</v>
      </c>
      <c r="E1630">
        <f t="shared" si="25"/>
        <v>2037</v>
      </c>
      <c r="F1630" s="18">
        <v>1</v>
      </c>
    </row>
    <row r="1631" spans="1:6" x14ac:dyDescent="0.35">
      <c r="A1631" s="11">
        <v>50270</v>
      </c>
      <c r="B1631" s="12" t="s">
        <v>10</v>
      </c>
      <c r="C1631" s="13">
        <v>16.2</v>
      </c>
      <c r="D1631" s="14">
        <v>43.3</v>
      </c>
      <c r="E1631">
        <f t="shared" si="25"/>
        <v>2037</v>
      </c>
      <c r="F1631" s="18">
        <v>1</v>
      </c>
    </row>
    <row r="1632" spans="1:6" x14ac:dyDescent="0.35">
      <c r="A1632" s="7">
        <v>50271</v>
      </c>
      <c r="B1632" s="8" t="s">
        <v>24</v>
      </c>
      <c r="C1632" s="9">
        <v>11.5</v>
      </c>
      <c r="D1632" s="10">
        <v>3.1</v>
      </c>
      <c r="E1632">
        <f t="shared" si="25"/>
        <v>2037</v>
      </c>
      <c r="F1632" s="18">
        <v>1</v>
      </c>
    </row>
    <row r="1633" spans="1:6" x14ac:dyDescent="0.35">
      <c r="A1633" s="11">
        <v>50272</v>
      </c>
      <c r="B1633" s="12" t="s">
        <v>13</v>
      </c>
      <c r="C1633" s="13">
        <v>13.5</v>
      </c>
      <c r="D1633" s="14">
        <v>0</v>
      </c>
      <c r="E1633">
        <f t="shared" si="25"/>
        <v>2037</v>
      </c>
      <c r="F1633" s="18">
        <v>1</v>
      </c>
    </row>
    <row r="1634" spans="1:6" x14ac:dyDescent="0.35">
      <c r="A1634" s="7">
        <v>50273</v>
      </c>
      <c r="B1634" s="8" t="s">
        <v>17</v>
      </c>
      <c r="C1634" s="9">
        <v>16.2</v>
      </c>
      <c r="D1634" s="10">
        <v>6.4</v>
      </c>
      <c r="E1634">
        <f t="shared" si="25"/>
        <v>2037</v>
      </c>
      <c r="F1634" s="18">
        <v>1</v>
      </c>
    </row>
    <row r="1635" spans="1:6" x14ac:dyDescent="0.35">
      <c r="A1635" s="11">
        <v>50274</v>
      </c>
      <c r="B1635" s="12" t="s">
        <v>10</v>
      </c>
      <c r="C1635" s="13">
        <v>18.5</v>
      </c>
      <c r="D1635" s="14">
        <v>24.9</v>
      </c>
      <c r="E1635">
        <f t="shared" si="25"/>
        <v>2037</v>
      </c>
      <c r="F1635" s="18">
        <v>1</v>
      </c>
    </row>
    <row r="1636" spans="1:6" x14ac:dyDescent="0.35">
      <c r="A1636" s="7">
        <v>50275</v>
      </c>
      <c r="B1636" s="8" t="s">
        <v>19</v>
      </c>
      <c r="C1636" s="9">
        <v>10.9</v>
      </c>
      <c r="D1636" s="10">
        <v>0</v>
      </c>
      <c r="E1636">
        <f t="shared" si="25"/>
        <v>2037</v>
      </c>
      <c r="F1636" s="18">
        <v>1</v>
      </c>
    </row>
    <row r="1637" spans="1:6" x14ac:dyDescent="0.35">
      <c r="A1637" s="11">
        <v>50276</v>
      </c>
      <c r="B1637" s="12" t="s">
        <v>17</v>
      </c>
      <c r="C1637" s="13">
        <v>23.9</v>
      </c>
      <c r="D1637" s="14">
        <v>4.5</v>
      </c>
      <c r="E1637">
        <f t="shared" si="25"/>
        <v>2037</v>
      </c>
      <c r="F1637" s="18">
        <v>1</v>
      </c>
    </row>
    <row r="1638" spans="1:6" x14ac:dyDescent="0.35">
      <c r="A1638" s="7">
        <v>50277</v>
      </c>
      <c r="B1638" s="8" t="s">
        <v>11</v>
      </c>
      <c r="C1638" s="9">
        <v>20.2</v>
      </c>
      <c r="D1638" s="10">
        <v>0</v>
      </c>
      <c r="E1638">
        <f t="shared" si="25"/>
        <v>2037</v>
      </c>
      <c r="F1638" s="18">
        <v>1</v>
      </c>
    </row>
    <row r="1639" spans="1:6" x14ac:dyDescent="0.35">
      <c r="A1639" s="11">
        <v>50278</v>
      </c>
      <c r="B1639" s="12" t="s">
        <v>7</v>
      </c>
      <c r="C1639" s="13">
        <v>23.3</v>
      </c>
      <c r="D1639" s="14">
        <v>0</v>
      </c>
      <c r="E1639">
        <f t="shared" si="25"/>
        <v>2037</v>
      </c>
      <c r="F1639" s="18">
        <v>1</v>
      </c>
    </row>
    <row r="1640" spans="1:6" x14ac:dyDescent="0.35">
      <c r="A1640" s="7">
        <v>50279</v>
      </c>
      <c r="B1640" s="8" t="s">
        <v>13</v>
      </c>
      <c r="C1640" s="9">
        <v>26.3</v>
      </c>
      <c r="D1640" s="10">
        <v>2.2000000000000002</v>
      </c>
      <c r="E1640">
        <f t="shared" si="25"/>
        <v>2037</v>
      </c>
      <c r="F1640" s="18">
        <v>1</v>
      </c>
    </row>
    <row r="1641" spans="1:6" x14ac:dyDescent="0.35">
      <c r="A1641" s="11">
        <v>50280</v>
      </c>
      <c r="B1641" s="12" t="s">
        <v>13</v>
      </c>
      <c r="C1641" s="13">
        <v>20.3</v>
      </c>
      <c r="D1641" s="14">
        <v>16.600000000000001</v>
      </c>
      <c r="E1641">
        <f t="shared" si="25"/>
        <v>2037</v>
      </c>
      <c r="F1641" s="18">
        <v>1</v>
      </c>
    </row>
    <row r="1642" spans="1:6" x14ac:dyDescent="0.35">
      <c r="A1642" s="7">
        <v>50281</v>
      </c>
      <c r="B1642" s="8" t="s">
        <v>10</v>
      </c>
      <c r="C1642" s="9">
        <v>11.1</v>
      </c>
      <c r="D1642" s="10">
        <v>38</v>
      </c>
      <c r="E1642">
        <f t="shared" si="25"/>
        <v>2037</v>
      </c>
      <c r="F1642" s="18">
        <v>1</v>
      </c>
    </row>
    <row r="1643" spans="1:6" x14ac:dyDescent="0.35">
      <c r="A1643" s="11">
        <v>50282</v>
      </c>
      <c r="B1643" s="12" t="s">
        <v>5</v>
      </c>
      <c r="C1643" s="13">
        <v>10.7</v>
      </c>
      <c r="D1643" s="14">
        <v>1.2</v>
      </c>
      <c r="E1643">
        <f t="shared" si="25"/>
        <v>2037</v>
      </c>
      <c r="F1643" s="18">
        <v>1</v>
      </c>
    </row>
    <row r="1644" spans="1:6" x14ac:dyDescent="0.35">
      <c r="A1644" s="7">
        <v>50283</v>
      </c>
      <c r="B1644" s="8" t="s">
        <v>21</v>
      </c>
      <c r="C1644" s="9">
        <v>21.8</v>
      </c>
      <c r="D1644" s="10">
        <v>0</v>
      </c>
      <c r="E1644">
        <f t="shared" si="25"/>
        <v>2037</v>
      </c>
      <c r="F1644" s="18">
        <v>1</v>
      </c>
    </row>
    <row r="1645" spans="1:6" x14ac:dyDescent="0.35">
      <c r="A1645" s="11">
        <v>50284</v>
      </c>
      <c r="B1645" s="12" t="s">
        <v>7</v>
      </c>
      <c r="C1645" s="13">
        <v>29.7</v>
      </c>
      <c r="D1645" s="14">
        <v>2.5</v>
      </c>
      <c r="E1645">
        <f t="shared" si="25"/>
        <v>2037</v>
      </c>
      <c r="F1645" s="18">
        <v>1</v>
      </c>
    </row>
    <row r="1646" spans="1:6" x14ac:dyDescent="0.35">
      <c r="A1646" s="7">
        <v>50285</v>
      </c>
      <c r="B1646" s="8" t="s">
        <v>10</v>
      </c>
      <c r="C1646" s="9">
        <v>21.7</v>
      </c>
      <c r="D1646" s="10">
        <v>16.100000000000001</v>
      </c>
      <c r="E1646">
        <f t="shared" si="25"/>
        <v>2037</v>
      </c>
      <c r="F1646" s="18">
        <v>1</v>
      </c>
    </row>
    <row r="1647" spans="1:6" x14ac:dyDescent="0.35">
      <c r="A1647" s="11">
        <v>50286</v>
      </c>
      <c r="B1647" s="12" t="s">
        <v>10</v>
      </c>
      <c r="C1647" s="13">
        <v>26</v>
      </c>
      <c r="D1647" s="14">
        <v>47.6</v>
      </c>
      <c r="E1647">
        <f t="shared" si="25"/>
        <v>2037</v>
      </c>
      <c r="F1647" s="18">
        <v>1</v>
      </c>
    </row>
    <row r="1648" spans="1:6" x14ac:dyDescent="0.35">
      <c r="A1648" s="7">
        <v>50287</v>
      </c>
      <c r="B1648" s="8" t="s">
        <v>7</v>
      </c>
      <c r="C1648" s="9">
        <v>18</v>
      </c>
      <c r="D1648" s="10">
        <v>5.3</v>
      </c>
      <c r="E1648">
        <f t="shared" si="25"/>
        <v>2037</v>
      </c>
      <c r="F1648" s="18">
        <v>1</v>
      </c>
    </row>
    <row r="1649" spans="1:6" x14ac:dyDescent="0.35">
      <c r="A1649" s="11">
        <v>50288</v>
      </c>
      <c r="B1649" s="12" t="s">
        <v>24</v>
      </c>
      <c r="C1649" s="13">
        <v>15.8</v>
      </c>
      <c r="D1649" s="14">
        <v>3.6</v>
      </c>
      <c r="E1649">
        <f t="shared" si="25"/>
        <v>2037</v>
      </c>
      <c r="F1649" s="18">
        <v>1</v>
      </c>
    </row>
    <row r="1650" spans="1:6" x14ac:dyDescent="0.35">
      <c r="A1650" s="7">
        <v>50289</v>
      </c>
      <c r="B1650" s="8" t="s">
        <v>26</v>
      </c>
      <c r="C1650" s="9">
        <v>14.1</v>
      </c>
      <c r="D1650" s="10">
        <v>6.8</v>
      </c>
      <c r="E1650">
        <f t="shared" si="25"/>
        <v>2037</v>
      </c>
      <c r="F1650" s="18">
        <v>1</v>
      </c>
    </row>
    <row r="1651" spans="1:6" x14ac:dyDescent="0.35">
      <c r="A1651" s="11">
        <v>50290</v>
      </c>
      <c r="B1651" s="12" t="s">
        <v>24</v>
      </c>
      <c r="C1651" s="13">
        <v>22.3</v>
      </c>
      <c r="D1651" s="14">
        <v>1.8</v>
      </c>
      <c r="E1651">
        <f t="shared" si="25"/>
        <v>2037</v>
      </c>
      <c r="F1651" s="18">
        <v>1</v>
      </c>
    </row>
    <row r="1652" spans="1:6" x14ac:dyDescent="0.35">
      <c r="A1652" s="7">
        <v>50291</v>
      </c>
      <c r="B1652" s="8" t="s">
        <v>19</v>
      </c>
      <c r="C1652" s="9">
        <v>22.2</v>
      </c>
      <c r="D1652" s="10">
        <v>0</v>
      </c>
      <c r="E1652">
        <f t="shared" si="25"/>
        <v>2037</v>
      </c>
      <c r="F1652" s="18">
        <v>1</v>
      </c>
    </row>
    <row r="1653" spans="1:6" x14ac:dyDescent="0.35">
      <c r="A1653" s="11">
        <v>50292</v>
      </c>
      <c r="B1653" s="12" t="s">
        <v>6</v>
      </c>
      <c r="C1653" s="13">
        <v>23.8</v>
      </c>
      <c r="D1653" s="14">
        <v>0</v>
      </c>
      <c r="E1653">
        <f t="shared" si="25"/>
        <v>2037</v>
      </c>
      <c r="F1653" s="18">
        <v>1</v>
      </c>
    </row>
    <row r="1654" spans="1:6" x14ac:dyDescent="0.35">
      <c r="A1654" s="7">
        <v>50293</v>
      </c>
      <c r="B1654" s="8" t="s">
        <v>14</v>
      </c>
      <c r="C1654" s="9">
        <v>10</v>
      </c>
      <c r="D1654" s="10">
        <v>8.1</v>
      </c>
      <c r="E1654">
        <f t="shared" si="25"/>
        <v>2037</v>
      </c>
      <c r="F1654" s="18">
        <v>1</v>
      </c>
    </row>
    <row r="1655" spans="1:6" x14ac:dyDescent="0.35">
      <c r="A1655" s="11">
        <v>50294</v>
      </c>
      <c r="B1655" s="12" t="s">
        <v>24</v>
      </c>
      <c r="C1655" s="13">
        <v>23.8</v>
      </c>
      <c r="D1655" s="14">
        <v>0</v>
      </c>
      <c r="E1655">
        <f t="shared" si="25"/>
        <v>2037</v>
      </c>
      <c r="F1655" s="18">
        <v>1</v>
      </c>
    </row>
    <row r="1656" spans="1:6" x14ac:dyDescent="0.35">
      <c r="A1656" s="7">
        <v>50295</v>
      </c>
      <c r="B1656" s="8" t="s">
        <v>23</v>
      </c>
      <c r="C1656" s="9">
        <v>13.4</v>
      </c>
      <c r="D1656" s="10">
        <v>2.6</v>
      </c>
      <c r="E1656">
        <f t="shared" si="25"/>
        <v>2037</v>
      </c>
      <c r="F1656" s="18">
        <v>1</v>
      </c>
    </row>
    <row r="1657" spans="1:6" x14ac:dyDescent="0.35">
      <c r="A1657" s="11">
        <v>50296</v>
      </c>
      <c r="B1657" s="12" t="s">
        <v>24</v>
      </c>
      <c r="C1657" s="13">
        <v>17</v>
      </c>
      <c r="D1657" s="14">
        <v>1.5</v>
      </c>
      <c r="E1657">
        <f t="shared" si="25"/>
        <v>2037</v>
      </c>
      <c r="F1657" s="18">
        <v>1</v>
      </c>
    </row>
    <row r="1658" spans="1:6" x14ac:dyDescent="0.35">
      <c r="A1658" s="7">
        <v>50297</v>
      </c>
      <c r="B1658" s="8" t="s">
        <v>6</v>
      </c>
      <c r="C1658" s="9">
        <v>25.5</v>
      </c>
      <c r="D1658" s="10">
        <v>0</v>
      </c>
      <c r="E1658">
        <f t="shared" si="25"/>
        <v>2037</v>
      </c>
      <c r="F1658" s="18">
        <v>1</v>
      </c>
    </row>
    <row r="1659" spans="1:6" x14ac:dyDescent="0.35">
      <c r="A1659" s="11">
        <v>50298</v>
      </c>
      <c r="B1659" s="12" t="s">
        <v>14</v>
      </c>
      <c r="C1659" s="13">
        <v>19.7</v>
      </c>
      <c r="D1659" s="14">
        <v>0</v>
      </c>
      <c r="E1659">
        <f t="shared" si="25"/>
        <v>2037</v>
      </c>
      <c r="F1659" s="18">
        <v>1</v>
      </c>
    </row>
    <row r="1660" spans="1:6" x14ac:dyDescent="0.35">
      <c r="A1660" s="7">
        <v>50299</v>
      </c>
      <c r="B1660" s="8" t="s">
        <v>10</v>
      </c>
      <c r="C1660" s="9">
        <v>22.8</v>
      </c>
      <c r="D1660" s="10">
        <v>10.7</v>
      </c>
      <c r="E1660">
        <f t="shared" si="25"/>
        <v>2037</v>
      </c>
      <c r="F1660" s="18">
        <v>1</v>
      </c>
    </row>
    <row r="1661" spans="1:6" x14ac:dyDescent="0.35">
      <c r="A1661" s="11">
        <v>50300</v>
      </c>
      <c r="B1661" s="12" t="s">
        <v>16</v>
      </c>
      <c r="C1661" s="13">
        <v>25.5</v>
      </c>
      <c r="D1661" s="14">
        <v>0</v>
      </c>
      <c r="E1661">
        <f t="shared" si="25"/>
        <v>2037</v>
      </c>
      <c r="F1661" s="18">
        <v>1</v>
      </c>
    </row>
    <row r="1662" spans="1:6" x14ac:dyDescent="0.35">
      <c r="A1662" s="7">
        <v>50301</v>
      </c>
      <c r="B1662" s="8" t="s">
        <v>10</v>
      </c>
      <c r="C1662" s="9">
        <v>16.8</v>
      </c>
      <c r="D1662" s="10">
        <v>2.2000000000000002</v>
      </c>
      <c r="E1662">
        <f t="shared" si="25"/>
        <v>2037</v>
      </c>
      <c r="F1662" s="18">
        <v>1</v>
      </c>
    </row>
    <row r="1663" spans="1:6" x14ac:dyDescent="0.35">
      <c r="A1663" s="11">
        <v>50302</v>
      </c>
      <c r="B1663" s="12" t="s">
        <v>23</v>
      </c>
      <c r="C1663" s="13">
        <v>25.3</v>
      </c>
      <c r="D1663" s="14">
        <v>2.5</v>
      </c>
      <c r="E1663">
        <f t="shared" si="25"/>
        <v>2037</v>
      </c>
      <c r="F1663" s="18">
        <v>1</v>
      </c>
    </row>
    <row r="1664" spans="1:6" x14ac:dyDescent="0.35">
      <c r="A1664" s="7">
        <v>50303</v>
      </c>
      <c r="B1664" s="8" t="s">
        <v>25</v>
      </c>
      <c r="C1664" s="9">
        <v>26.3</v>
      </c>
      <c r="D1664" s="10">
        <v>0.4</v>
      </c>
      <c r="E1664">
        <f t="shared" si="25"/>
        <v>2037</v>
      </c>
      <c r="F1664" s="18">
        <v>1</v>
      </c>
    </row>
    <row r="1665" spans="1:6" x14ac:dyDescent="0.35">
      <c r="A1665" s="11">
        <v>50304</v>
      </c>
      <c r="B1665" s="12" t="s">
        <v>13</v>
      </c>
      <c r="C1665" s="13">
        <v>21.9</v>
      </c>
      <c r="D1665" s="14">
        <v>7</v>
      </c>
      <c r="E1665">
        <f t="shared" si="25"/>
        <v>2037</v>
      </c>
      <c r="F1665" s="18">
        <v>1</v>
      </c>
    </row>
    <row r="1666" spans="1:6" x14ac:dyDescent="0.35">
      <c r="A1666" s="7">
        <v>50305</v>
      </c>
      <c r="B1666" s="8" t="s">
        <v>13</v>
      </c>
      <c r="C1666" s="9">
        <v>11.2</v>
      </c>
      <c r="D1666" s="10">
        <v>0</v>
      </c>
      <c r="E1666">
        <f t="shared" si="25"/>
        <v>2037</v>
      </c>
      <c r="F1666" s="18">
        <v>1</v>
      </c>
    </row>
    <row r="1667" spans="1:6" x14ac:dyDescent="0.35">
      <c r="A1667" s="11">
        <v>50306</v>
      </c>
      <c r="B1667" s="12" t="s">
        <v>15</v>
      </c>
      <c r="C1667" s="13">
        <v>10.6</v>
      </c>
      <c r="D1667" s="14">
        <v>5.2</v>
      </c>
      <c r="E1667">
        <f t="shared" ref="E1667:E1730" si="26">YEAR(A1667)</f>
        <v>2037</v>
      </c>
      <c r="F1667" s="18">
        <v>1</v>
      </c>
    </row>
    <row r="1668" spans="1:6" x14ac:dyDescent="0.35">
      <c r="A1668" s="7">
        <v>50307</v>
      </c>
      <c r="B1668" s="8" t="s">
        <v>12</v>
      </c>
      <c r="C1668" s="9">
        <v>17.7</v>
      </c>
      <c r="D1668" s="10">
        <v>1</v>
      </c>
      <c r="E1668">
        <f t="shared" si="26"/>
        <v>2037</v>
      </c>
      <c r="F1668" s="18">
        <v>1</v>
      </c>
    </row>
    <row r="1669" spans="1:6" x14ac:dyDescent="0.35">
      <c r="A1669" s="11">
        <v>50308</v>
      </c>
      <c r="B1669" s="12" t="s">
        <v>7</v>
      </c>
      <c r="C1669" s="13">
        <v>19.899999999999999</v>
      </c>
      <c r="D1669" s="14">
        <v>0</v>
      </c>
      <c r="E1669">
        <f t="shared" si="26"/>
        <v>2037</v>
      </c>
      <c r="F1669" s="18">
        <v>1</v>
      </c>
    </row>
    <row r="1670" spans="1:6" x14ac:dyDescent="0.35">
      <c r="A1670" s="7">
        <v>50309</v>
      </c>
      <c r="B1670" s="8" t="s">
        <v>10</v>
      </c>
      <c r="C1670" s="9">
        <v>25.1</v>
      </c>
      <c r="D1670" s="10">
        <v>42.1</v>
      </c>
      <c r="E1670">
        <f t="shared" si="26"/>
        <v>2037</v>
      </c>
      <c r="F1670" s="18">
        <v>1</v>
      </c>
    </row>
    <row r="1671" spans="1:6" x14ac:dyDescent="0.35">
      <c r="A1671" s="11">
        <v>50310</v>
      </c>
      <c r="B1671" s="12" t="s">
        <v>9</v>
      </c>
      <c r="C1671" s="13">
        <v>18.5</v>
      </c>
      <c r="D1671" s="14">
        <v>0.3</v>
      </c>
      <c r="E1671">
        <f t="shared" si="26"/>
        <v>2037</v>
      </c>
      <c r="F1671" s="18">
        <v>1</v>
      </c>
    </row>
    <row r="1672" spans="1:6" x14ac:dyDescent="0.35">
      <c r="A1672" s="7">
        <v>50311</v>
      </c>
      <c r="B1672" s="8" t="s">
        <v>10</v>
      </c>
      <c r="C1672" s="9">
        <v>25.5</v>
      </c>
      <c r="D1672" s="10">
        <v>25.3</v>
      </c>
      <c r="E1672">
        <f t="shared" si="26"/>
        <v>2037</v>
      </c>
      <c r="F1672" s="18">
        <v>1</v>
      </c>
    </row>
    <row r="1673" spans="1:6" x14ac:dyDescent="0.35">
      <c r="A1673" s="11">
        <v>50312</v>
      </c>
      <c r="B1673" s="12" t="s">
        <v>10</v>
      </c>
      <c r="C1673" s="13">
        <v>12.8</v>
      </c>
      <c r="D1673" s="14">
        <v>0</v>
      </c>
      <c r="E1673">
        <f t="shared" si="26"/>
        <v>2037</v>
      </c>
      <c r="F1673" s="18">
        <v>1</v>
      </c>
    </row>
    <row r="1674" spans="1:6" x14ac:dyDescent="0.35">
      <c r="A1674" s="7">
        <v>50313</v>
      </c>
      <c r="B1674" s="8" t="s">
        <v>19</v>
      </c>
      <c r="C1674" s="9">
        <v>23.6</v>
      </c>
      <c r="D1674" s="10">
        <v>34.299999999999997</v>
      </c>
      <c r="E1674">
        <f t="shared" si="26"/>
        <v>2037</v>
      </c>
      <c r="F1674" s="18">
        <v>1</v>
      </c>
    </row>
    <row r="1675" spans="1:6" x14ac:dyDescent="0.35">
      <c r="A1675" s="11">
        <v>50314</v>
      </c>
      <c r="B1675" s="12" t="s">
        <v>15</v>
      </c>
      <c r="C1675" s="13">
        <v>13.1</v>
      </c>
      <c r="D1675" s="14">
        <v>2</v>
      </c>
      <c r="E1675">
        <f t="shared" si="26"/>
        <v>2037</v>
      </c>
      <c r="F1675" s="18">
        <v>1</v>
      </c>
    </row>
    <row r="1676" spans="1:6" x14ac:dyDescent="0.35">
      <c r="A1676" s="7">
        <v>50315</v>
      </c>
      <c r="B1676" s="8" t="s">
        <v>23</v>
      </c>
      <c r="C1676" s="9">
        <v>23</v>
      </c>
      <c r="D1676" s="10">
        <v>0</v>
      </c>
      <c r="E1676">
        <f t="shared" si="26"/>
        <v>2037</v>
      </c>
      <c r="F1676" s="18">
        <v>1</v>
      </c>
    </row>
    <row r="1677" spans="1:6" x14ac:dyDescent="0.35">
      <c r="A1677" s="11">
        <v>50316</v>
      </c>
      <c r="B1677" s="12" t="s">
        <v>13</v>
      </c>
      <c r="C1677" s="13">
        <v>13</v>
      </c>
      <c r="D1677" s="14">
        <v>15.8</v>
      </c>
      <c r="E1677">
        <f t="shared" si="26"/>
        <v>2037</v>
      </c>
      <c r="F1677" s="18">
        <v>1</v>
      </c>
    </row>
    <row r="1678" spans="1:6" x14ac:dyDescent="0.35">
      <c r="A1678" s="7">
        <v>50317</v>
      </c>
      <c r="B1678" s="8" t="s">
        <v>9</v>
      </c>
      <c r="C1678" s="9">
        <v>19.5</v>
      </c>
      <c r="D1678" s="10">
        <v>8</v>
      </c>
      <c r="E1678">
        <f t="shared" si="26"/>
        <v>2037</v>
      </c>
      <c r="F1678" s="18">
        <v>1</v>
      </c>
    </row>
    <row r="1679" spans="1:6" x14ac:dyDescent="0.35">
      <c r="A1679" s="11">
        <v>50318</v>
      </c>
      <c r="B1679" s="12" t="s">
        <v>7</v>
      </c>
      <c r="C1679" s="13">
        <v>19.2</v>
      </c>
      <c r="D1679" s="14">
        <v>0</v>
      </c>
      <c r="E1679">
        <f t="shared" si="26"/>
        <v>2037</v>
      </c>
      <c r="F1679" s="18">
        <v>1</v>
      </c>
    </row>
    <row r="1680" spans="1:6" x14ac:dyDescent="0.35">
      <c r="A1680" s="7">
        <v>50319</v>
      </c>
      <c r="B1680" s="8" t="s">
        <v>5</v>
      </c>
      <c r="C1680" s="9">
        <v>28.3</v>
      </c>
      <c r="D1680" s="10">
        <v>1.1000000000000001</v>
      </c>
      <c r="E1680">
        <f t="shared" si="26"/>
        <v>2037</v>
      </c>
      <c r="F1680" s="18">
        <v>1</v>
      </c>
    </row>
    <row r="1681" spans="1:6" x14ac:dyDescent="0.35">
      <c r="A1681" s="11">
        <v>50320</v>
      </c>
      <c r="B1681" s="12" t="s">
        <v>10</v>
      </c>
      <c r="C1681" s="13">
        <v>18.100000000000001</v>
      </c>
      <c r="D1681" s="14">
        <v>0</v>
      </c>
      <c r="E1681">
        <f t="shared" si="26"/>
        <v>2037</v>
      </c>
      <c r="F1681" s="18">
        <v>1</v>
      </c>
    </row>
    <row r="1682" spans="1:6" x14ac:dyDescent="0.35">
      <c r="A1682" s="7">
        <v>50321</v>
      </c>
      <c r="B1682" s="8" t="s">
        <v>19</v>
      </c>
      <c r="C1682" s="9">
        <v>17.5</v>
      </c>
      <c r="D1682" s="10">
        <v>13.3</v>
      </c>
      <c r="E1682">
        <f t="shared" si="26"/>
        <v>2037</v>
      </c>
      <c r="F1682" s="18">
        <v>1</v>
      </c>
    </row>
    <row r="1683" spans="1:6" x14ac:dyDescent="0.35">
      <c r="A1683" s="11">
        <v>50322</v>
      </c>
      <c r="B1683" s="12" t="s">
        <v>6</v>
      </c>
      <c r="C1683" s="13">
        <v>26.7</v>
      </c>
      <c r="D1683" s="14">
        <v>12.9</v>
      </c>
      <c r="E1683">
        <f t="shared" si="26"/>
        <v>2037</v>
      </c>
      <c r="F1683" s="18">
        <v>1</v>
      </c>
    </row>
    <row r="1684" spans="1:6" x14ac:dyDescent="0.35">
      <c r="A1684" s="7">
        <v>50323</v>
      </c>
      <c r="B1684" s="8" t="s">
        <v>19</v>
      </c>
      <c r="C1684" s="9">
        <v>26.6</v>
      </c>
      <c r="D1684" s="10">
        <v>0</v>
      </c>
      <c r="E1684">
        <f t="shared" si="26"/>
        <v>2037</v>
      </c>
      <c r="F1684" s="18">
        <v>1</v>
      </c>
    </row>
    <row r="1685" spans="1:6" x14ac:dyDescent="0.35">
      <c r="A1685" s="11">
        <v>50324</v>
      </c>
      <c r="B1685" s="12" t="s">
        <v>22</v>
      </c>
      <c r="C1685" s="13">
        <v>12.2</v>
      </c>
      <c r="D1685" s="14">
        <v>1.8</v>
      </c>
      <c r="E1685">
        <f t="shared" si="26"/>
        <v>2037</v>
      </c>
      <c r="F1685" s="18">
        <v>1</v>
      </c>
    </row>
    <row r="1686" spans="1:6" x14ac:dyDescent="0.35">
      <c r="A1686" s="7">
        <v>50325</v>
      </c>
      <c r="B1686" s="8" t="s">
        <v>7</v>
      </c>
      <c r="C1686" s="9">
        <v>27.4</v>
      </c>
      <c r="D1686" s="10">
        <v>4.8</v>
      </c>
      <c r="E1686">
        <f t="shared" si="26"/>
        <v>2037</v>
      </c>
      <c r="F1686" s="18">
        <v>1</v>
      </c>
    </row>
    <row r="1687" spans="1:6" x14ac:dyDescent="0.35">
      <c r="A1687" s="11">
        <v>50326</v>
      </c>
      <c r="B1687" s="12" t="s">
        <v>13</v>
      </c>
      <c r="C1687" s="13">
        <v>24.9</v>
      </c>
      <c r="D1687" s="14">
        <v>1.6</v>
      </c>
      <c r="E1687">
        <f t="shared" si="26"/>
        <v>2037</v>
      </c>
      <c r="F1687" s="18">
        <v>1</v>
      </c>
    </row>
    <row r="1688" spans="1:6" x14ac:dyDescent="0.35">
      <c r="A1688" s="7">
        <v>50327</v>
      </c>
      <c r="B1688" s="8" t="s">
        <v>27</v>
      </c>
      <c r="C1688" s="9">
        <v>21.4</v>
      </c>
      <c r="D1688" s="10">
        <v>5.5</v>
      </c>
      <c r="E1688">
        <f t="shared" si="26"/>
        <v>2037</v>
      </c>
      <c r="F1688" s="18">
        <v>1</v>
      </c>
    </row>
    <row r="1689" spans="1:6" x14ac:dyDescent="0.35">
      <c r="A1689" s="11">
        <v>50328</v>
      </c>
      <c r="B1689" s="12" t="s">
        <v>29</v>
      </c>
      <c r="C1689" s="13">
        <v>14.1</v>
      </c>
      <c r="D1689" s="14">
        <v>0</v>
      </c>
      <c r="E1689">
        <f t="shared" si="26"/>
        <v>2037</v>
      </c>
      <c r="F1689" s="18">
        <v>1</v>
      </c>
    </row>
    <row r="1690" spans="1:6" x14ac:dyDescent="0.35">
      <c r="A1690" s="7">
        <v>50329</v>
      </c>
      <c r="B1690" s="8" t="s">
        <v>25</v>
      </c>
      <c r="C1690" s="9">
        <v>15.4</v>
      </c>
      <c r="D1690" s="10">
        <v>2.1</v>
      </c>
      <c r="E1690">
        <f t="shared" si="26"/>
        <v>2037</v>
      </c>
      <c r="F1690" s="18">
        <v>1</v>
      </c>
    </row>
    <row r="1691" spans="1:6" x14ac:dyDescent="0.35">
      <c r="A1691" s="11">
        <v>50330</v>
      </c>
      <c r="B1691" s="12" t="s">
        <v>13</v>
      </c>
      <c r="C1691" s="13">
        <v>27.7</v>
      </c>
      <c r="D1691" s="14">
        <v>0</v>
      </c>
      <c r="E1691">
        <f t="shared" si="26"/>
        <v>2037</v>
      </c>
      <c r="F1691" s="18">
        <v>1</v>
      </c>
    </row>
    <row r="1692" spans="1:6" x14ac:dyDescent="0.35">
      <c r="A1692" s="7">
        <v>50331</v>
      </c>
      <c r="B1692" s="8" t="s">
        <v>10</v>
      </c>
      <c r="C1692" s="9">
        <v>15.5</v>
      </c>
      <c r="D1692" s="10">
        <v>43.4</v>
      </c>
      <c r="E1692">
        <f t="shared" si="26"/>
        <v>2037</v>
      </c>
      <c r="F1692" s="18">
        <v>1</v>
      </c>
    </row>
    <row r="1693" spans="1:6" x14ac:dyDescent="0.35">
      <c r="A1693" s="11">
        <v>50332</v>
      </c>
      <c r="B1693" s="12" t="s">
        <v>7</v>
      </c>
      <c r="C1693" s="13">
        <v>26.8</v>
      </c>
      <c r="D1693" s="14">
        <v>0</v>
      </c>
      <c r="E1693">
        <f t="shared" si="26"/>
        <v>2037</v>
      </c>
      <c r="F1693" s="18">
        <v>1</v>
      </c>
    </row>
    <row r="1694" spans="1:6" x14ac:dyDescent="0.35">
      <c r="A1694" s="7">
        <v>50333</v>
      </c>
      <c r="B1694" s="8" t="s">
        <v>13</v>
      </c>
      <c r="C1694" s="9">
        <v>23.1</v>
      </c>
      <c r="D1694" s="10">
        <v>9.1</v>
      </c>
      <c r="E1694">
        <f t="shared" si="26"/>
        <v>2037</v>
      </c>
      <c r="F1694" s="18">
        <v>1</v>
      </c>
    </row>
    <row r="1695" spans="1:6" x14ac:dyDescent="0.35">
      <c r="A1695" s="11">
        <v>50334</v>
      </c>
      <c r="B1695" s="12" t="s">
        <v>6</v>
      </c>
      <c r="C1695" s="13">
        <v>22.8</v>
      </c>
      <c r="D1695" s="14">
        <v>12.9</v>
      </c>
      <c r="E1695">
        <f t="shared" si="26"/>
        <v>2037</v>
      </c>
      <c r="F1695" s="18">
        <v>1</v>
      </c>
    </row>
    <row r="1696" spans="1:6" x14ac:dyDescent="0.35">
      <c r="A1696" s="7">
        <v>50335</v>
      </c>
      <c r="B1696" s="8" t="s">
        <v>10</v>
      </c>
      <c r="C1696" s="9">
        <v>17.2</v>
      </c>
      <c r="D1696" s="10">
        <v>0</v>
      </c>
      <c r="E1696">
        <f t="shared" si="26"/>
        <v>2037</v>
      </c>
      <c r="F1696" s="18">
        <v>1</v>
      </c>
    </row>
    <row r="1697" spans="1:6" x14ac:dyDescent="0.35">
      <c r="A1697" s="11">
        <v>50336</v>
      </c>
      <c r="B1697" s="12" t="s">
        <v>10</v>
      </c>
      <c r="C1697" s="13">
        <v>29.3</v>
      </c>
      <c r="D1697" s="14">
        <v>6.1</v>
      </c>
      <c r="E1697">
        <f t="shared" si="26"/>
        <v>2037</v>
      </c>
      <c r="F1697" s="18">
        <v>1</v>
      </c>
    </row>
    <row r="1698" spans="1:6" x14ac:dyDescent="0.35">
      <c r="A1698" s="7">
        <v>50337</v>
      </c>
      <c r="B1698" s="8" t="s">
        <v>13</v>
      </c>
      <c r="C1698" s="9">
        <v>19.5</v>
      </c>
      <c r="D1698" s="10">
        <v>14.2</v>
      </c>
      <c r="E1698">
        <f t="shared" si="26"/>
        <v>2037</v>
      </c>
      <c r="F1698" s="18">
        <v>1</v>
      </c>
    </row>
    <row r="1699" spans="1:6" x14ac:dyDescent="0.35">
      <c r="A1699" s="11">
        <v>50338</v>
      </c>
      <c r="B1699" s="12" t="s">
        <v>19</v>
      </c>
      <c r="C1699" s="13">
        <v>28.1</v>
      </c>
      <c r="D1699" s="14">
        <v>9.4</v>
      </c>
      <c r="E1699">
        <f t="shared" si="26"/>
        <v>2037</v>
      </c>
      <c r="F1699" s="18">
        <v>1</v>
      </c>
    </row>
    <row r="1700" spans="1:6" x14ac:dyDescent="0.35">
      <c r="A1700" s="7">
        <v>50339</v>
      </c>
      <c r="B1700" s="8" t="s">
        <v>11</v>
      </c>
      <c r="C1700" s="9">
        <v>21.1</v>
      </c>
      <c r="D1700" s="10">
        <v>12</v>
      </c>
      <c r="E1700">
        <f t="shared" si="26"/>
        <v>2037</v>
      </c>
      <c r="F1700" s="18">
        <v>1</v>
      </c>
    </row>
    <row r="1701" spans="1:6" x14ac:dyDescent="0.35">
      <c r="A1701" s="11">
        <v>50340</v>
      </c>
      <c r="B1701" s="12" t="s">
        <v>7</v>
      </c>
      <c r="C1701" s="13">
        <v>23.8</v>
      </c>
      <c r="D1701" s="14">
        <v>13.3</v>
      </c>
      <c r="E1701">
        <f t="shared" si="26"/>
        <v>2037</v>
      </c>
      <c r="F1701" s="18">
        <v>1</v>
      </c>
    </row>
    <row r="1702" spans="1:6" x14ac:dyDescent="0.35">
      <c r="A1702" s="7">
        <v>50341</v>
      </c>
      <c r="B1702" s="8" t="s">
        <v>24</v>
      </c>
      <c r="C1702" s="9">
        <v>19.399999999999999</v>
      </c>
      <c r="D1702" s="10">
        <v>2.2000000000000002</v>
      </c>
      <c r="E1702">
        <f t="shared" si="26"/>
        <v>2037</v>
      </c>
      <c r="F1702" s="18">
        <v>1</v>
      </c>
    </row>
    <row r="1703" spans="1:6" x14ac:dyDescent="0.35">
      <c r="A1703" s="11">
        <v>50342</v>
      </c>
      <c r="B1703" s="12" t="s">
        <v>7</v>
      </c>
      <c r="C1703" s="13">
        <v>25.8</v>
      </c>
      <c r="D1703" s="14">
        <v>17.100000000000001</v>
      </c>
      <c r="E1703">
        <f t="shared" si="26"/>
        <v>2037</v>
      </c>
      <c r="F1703" s="18">
        <v>1</v>
      </c>
    </row>
    <row r="1704" spans="1:6" x14ac:dyDescent="0.35">
      <c r="A1704" s="7">
        <v>50343</v>
      </c>
      <c r="B1704" s="8" t="s">
        <v>7</v>
      </c>
      <c r="C1704" s="9">
        <v>30</v>
      </c>
      <c r="D1704" s="10">
        <v>6.3</v>
      </c>
      <c r="E1704">
        <f t="shared" si="26"/>
        <v>2037</v>
      </c>
      <c r="F1704" s="18">
        <v>1</v>
      </c>
    </row>
    <row r="1705" spans="1:6" x14ac:dyDescent="0.35">
      <c r="A1705" s="11">
        <v>50344</v>
      </c>
      <c r="B1705" s="12" t="s">
        <v>10</v>
      </c>
      <c r="C1705" s="13">
        <v>11</v>
      </c>
      <c r="D1705" s="14">
        <v>0</v>
      </c>
      <c r="E1705">
        <f t="shared" si="26"/>
        <v>2037</v>
      </c>
      <c r="F1705" s="18">
        <v>1</v>
      </c>
    </row>
    <row r="1706" spans="1:6" x14ac:dyDescent="0.35">
      <c r="A1706" s="7">
        <v>50345</v>
      </c>
      <c r="B1706" s="8" t="s">
        <v>19</v>
      </c>
      <c r="C1706" s="9">
        <v>27.2</v>
      </c>
      <c r="D1706" s="10">
        <v>0</v>
      </c>
      <c r="E1706">
        <f t="shared" si="26"/>
        <v>2037</v>
      </c>
      <c r="F1706" s="18">
        <v>1</v>
      </c>
    </row>
    <row r="1707" spans="1:6" x14ac:dyDescent="0.35">
      <c r="A1707" s="11">
        <v>50346</v>
      </c>
      <c r="B1707" s="12" t="s">
        <v>7</v>
      </c>
      <c r="C1707" s="13">
        <v>18.3</v>
      </c>
      <c r="D1707" s="14">
        <v>8.4</v>
      </c>
      <c r="E1707">
        <f t="shared" si="26"/>
        <v>2037</v>
      </c>
      <c r="F1707" s="18">
        <v>1</v>
      </c>
    </row>
    <row r="1708" spans="1:6" x14ac:dyDescent="0.35">
      <c r="A1708" s="7">
        <v>50347</v>
      </c>
      <c r="B1708" s="8" t="s">
        <v>25</v>
      </c>
      <c r="C1708" s="9">
        <v>14</v>
      </c>
      <c r="D1708" s="10">
        <v>2.5</v>
      </c>
      <c r="E1708">
        <f t="shared" si="26"/>
        <v>2037</v>
      </c>
      <c r="F1708" s="18">
        <v>1</v>
      </c>
    </row>
    <row r="1709" spans="1:6" x14ac:dyDescent="0.35">
      <c r="A1709" s="11">
        <v>50348</v>
      </c>
      <c r="B1709" s="12" t="s">
        <v>7</v>
      </c>
      <c r="C1709" s="13">
        <v>26.2</v>
      </c>
      <c r="D1709" s="14">
        <v>6.9</v>
      </c>
      <c r="E1709">
        <f t="shared" si="26"/>
        <v>2037</v>
      </c>
      <c r="F1709" s="18">
        <v>1</v>
      </c>
    </row>
    <row r="1710" spans="1:6" x14ac:dyDescent="0.35">
      <c r="A1710" s="7">
        <v>50349</v>
      </c>
      <c r="B1710" s="8" t="s">
        <v>15</v>
      </c>
      <c r="C1710" s="9">
        <v>25.5</v>
      </c>
      <c r="D1710" s="10">
        <v>8.4</v>
      </c>
      <c r="E1710">
        <f t="shared" si="26"/>
        <v>2037</v>
      </c>
      <c r="F1710" s="18">
        <v>1</v>
      </c>
    </row>
    <row r="1711" spans="1:6" x14ac:dyDescent="0.35">
      <c r="A1711" s="11">
        <v>50350</v>
      </c>
      <c r="B1711" s="12" t="s">
        <v>18</v>
      </c>
      <c r="C1711" s="13">
        <v>23.1</v>
      </c>
      <c r="D1711" s="14">
        <v>11.4</v>
      </c>
      <c r="E1711">
        <f t="shared" si="26"/>
        <v>2037</v>
      </c>
      <c r="F1711" s="18">
        <v>1</v>
      </c>
    </row>
    <row r="1712" spans="1:6" x14ac:dyDescent="0.35">
      <c r="A1712" s="7">
        <v>50351</v>
      </c>
      <c r="B1712" s="8" t="s">
        <v>12</v>
      </c>
      <c r="C1712" s="9">
        <v>21.3</v>
      </c>
      <c r="D1712" s="10">
        <v>2.8</v>
      </c>
      <c r="E1712">
        <f t="shared" si="26"/>
        <v>2037</v>
      </c>
      <c r="F1712" s="18">
        <v>1</v>
      </c>
    </row>
    <row r="1713" spans="1:6" x14ac:dyDescent="0.35">
      <c r="A1713" s="11">
        <v>50352</v>
      </c>
      <c r="B1713" s="12" t="s">
        <v>12</v>
      </c>
      <c r="C1713" s="13">
        <v>16.3</v>
      </c>
      <c r="D1713" s="14">
        <v>7.6</v>
      </c>
      <c r="E1713">
        <f t="shared" si="26"/>
        <v>2037</v>
      </c>
      <c r="F1713" s="18">
        <v>1</v>
      </c>
    </row>
    <row r="1714" spans="1:6" x14ac:dyDescent="0.35">
      <c r="A1714" s="7">
        <v>50353</v>
      </c>
      <c r="B1714" s="8" t="s">
        <v>14</v>
      </c>
      <c r="C1714" s="9">
        <v>23.7</v>
      </c>
      <c r="D1714" s="10">
        <v>7.6</v>
      </c>
      <c r="E1714">
        <f t="shared" si="26"/>
        <v>2037</v>
      </c>
      <c r="F1714" s="18">
        <v>1</v>
      </c>
    </row>
    <row r="1715" spans="1:6" x14ac:dyDescent="0.35">
      <c r="A1715" s="11">
        <v>50354</v>
      </c>
      <c r="B1715" s="12" t="s">
        <v>18</v>
      </c>
      <c r="C1715" s="13">
        <v>24.8</v>
      </c>
      <c r="D1715" s="14">
        <v>0</v>
      </c>
      <c r="E1715">
        <f t="shared" si="26"/>
        <v>2037</v>
      </c>
      <c r="F1715" s="18">
        <v>1</v>
      </c>
    </row>
    <row r="1716" spans="1:6" x14ac:dyDescent="0.35">
      <c r="A1716" s="7">
        <v>50355</v>
      </c>
      <c r="B1716" s="8" t="s">
        <v>33</v>
      </c>
      <c r="C1716" s="9">
        <v>21.7</v>
      </c>
      <c r="D1716" s="10">
        <v>1</v>
      </c>
      <c r="E1716">
        <f t="shared" si="26"/>
        <v>2037</v>
      </c>
      <c r="F1716" s="18">
        <v>1</v>
      </c>
    </row>
    <row r="1717" spans="1:6" x14ac:dyDescent="0.35">
      <c r="A1717" s="11">
        <v>50356</v>
      </c>
      <c r="B1717" s="12" t="s">
        <v>10</v>
      </c>
      <c r="C1717" s="13">
        <v>16.7</v>
      </c>
      <c r="D1717" s="14">
        <v>21</v>
      </c>
      <c r="E1717">
        <f t="shared" si="26"/>
        <v>2037</v>
      </c>
      <c r="F1717" s="18">
        <v>1</v>
      </c>
    </row>
    <row r="1718" spans="1:6" x14ac:dyDescent="0.35">
      <c r="A1718" s="7">
        <v>50357</v>
      </c>
      <c r="B1718" s="8" t="s">
        <v>23</v>
      </c>
      <c r="C1718" s="9">
        <v>22.3</v>
      </c>
      <c r="D1718" s="10">
        <v>0.1</v>
      </c>
      <c r="E1718">
        <f t="shared" si="26"/>
        <v>2037</v>
      </c>
      <c r="F1718" s="18">
        <v>1</v>
      </c>
    </row>
    <row r="1719" spans="1:6" x14ac:dyDescent="0.35">
      <c r="A1719" s="11">
        <v>50358</v>
      </c>
      <c r="B1719" s="12" t="s">
        <v>26</v>
      </c>
      <c r="C1719" s="13">
        <v>13.6</v>
      </c>
      <c r="D1719" s="14">
        <v>0</v>
      </c>
      <c r="E1719">
        <f t="shared" si="26"/>
        <v>2037</v>
      </c>
      <c r="F1719" s="18">
        <v>1</v>
      </c>
    </row>
    <row r="1720" spans="1:6" x14ac:dyDescent="0.35">
      <c r="A1720" s="7">
        <v>50359</v>
      </c>
      <c r="B1720" s="8" t="s">
        <v>25</v>
      </c>
      <c r="C1720" s="9">
        <v>11.8</v>
      </c>
      <c r="D1720" s="10">
        <v>2.1</v>
      </c>
      <c r="E1720">
        <f t="shared" si="26"/>
        <v>2037</v>
      </c>
      <c r="F1720" s="18">
        <v>1</v>
      </c>
    </row>
    <row r="1721" spans="1:6" x14ac:dyDescent="0.35">
      <c r="A1721" s="11">
        <v>50360</v>
      </c>
      <c r="B1721" s="12" t="s">
        <v>11</v>
      </c>
      <c r="C1721" s="13">
        <v>11.1</v>
      </c>
      <c r="D1721" s="14">
        <v>0</v>
      </c>
      <c r="E1721">
        <f t="shared" si="26"/>
        <v>2037</v>
      </c>
      <c r="F1721" s="18">
        <v>1</v>
      </c>
    </row>
    <row r="1722" spans="1:6" x14ac:dyDescent="0.35">
      <c r="A1722" s="7">
        <v>50361</v>
      </c>
      <c r="B1722" s="8" t="s">
        <v>13</v>
      </c>
      <c r="C1722" s="9">
        <v>11.2</v>
      </c>
      <c r="D1722" s="10">
        <v>15</v>
      </c>
      <c r="E1722">
        <f t="shared" si="26"/>
        <v>2037</v>
      </c>
      <c r="F1722" s="18">
        <v>1</v>
      </c>
    </row>
    <row r="1723" spans="1:6" x14ac:dyDescent="0.35">
      <c r="A1723" s="11">
        <v>50362</v>
      </c>
      <c r="B1723" s="12" t="s">
        <v>23</v>
      </c>
      <c r="C1723" s="13">
        <v>19.100000000000001</v>
      </c>
      <c r="D1723" s="14">
        <v>0</v>
      </c>
      <c r="E1723">
        <f t="shared" si="26"/>
        <v>2037</v>
      </c>
      <c r="F1723" s="18">
        <v>1</v>
      </c>
    </row>
    <row r="1724" spans="1:6" x14ac:dyDescent="0.35">
      <c r="A1724" s="7">
        <v>50363</v>
      </c>
      <c r="B1724" s="8" t="s">
        <v>10</v>
      </c>
      <c r="C1724" s="9">
        <v>11.1</v>
      </c>
      <c r="D1724" s="10">
        <v>46.3</v>
      </c>
      <c r="E1724">
        <f t="shared" si="26"/>
        <v>2037</v>
      </c>
      <c r="F1724" s="18">
        <v>1</v>
      </c>
    </row>
    <row r="1725" spans="1:6" x14ac:dyDescent="0.35">
      <c r="A1725" s="11">
        <v>50364</v>
      </c>
      <c r="B1725" s="12" t="s">
        <v>18</v>
      </c>
      <c r="C1725" s="13">
        <v>15.1</v>
      </c>
      <c r="D1725" s="14">
        <v>6.2</v>
      </c>
      <c r="E1725">
        <f t="shared" si="26"/>
        <v>2037</v>
      </c>
      <c r="F1725" s="18">
        <v>1</v>
      </c>
    </row>
    <row r="1726" spans="1:6" x14ac:dyDescent="0.35">
      <c r="A1726" s="7">
        <v>50365</v>
      </c>
      <c r="B1726" s="8" t="s">
        <v>15</v>
      </c>
      <c r="C1726" s="9">
        <v>21.7</v>
      </c>
      <c r="D1726" s="10">
        <v>0</v>
      </c>
      <c r="E1726">
        <f t="shared" si="26"/>
        <v>2037</v>
      </c>
      <c r="F1726" s="18">
        <v>1</v>
      </c>
    </row>
    <row r="1727" spans="1:6" x14ac:dyDescent="0.35">
      <c r="A1727" s="11">
        <v>50366</v>
      </c>
      <c r="B1727" s="12" t="s">
        <v>23</v>
      </c>
      <c r="C1727" s="13">
        <v>19.7</v>
      </c>
      <c r="D1727" s="14">
        <v>0.2</v>
      </c>
      <c r="E1727">
        <f t="shared" si="26"/>
        <v>2037</v>
      </c>
      <c r="F1727" s="18">
        <v>1</v>
      </c>
    </row>
    <row r="1728" spans="1:6" x14ac:dyDescent="0.35">
      <c r="A1728" s="7">
        <v>50367</v>
      </c>
      <c r="B1728" s="8" t="s">
        <v>7</v>
      </c>
      <c r="C1728" s="9">
        <v>17.5</v>
      </c>
      <c r="D1728" s="10">
        <v>2.2000000000000002</v>
      </c>
      <c r="E1728">
        <f t="shared" si="26"/>
        <v>2037</v>
      </c>
      <c r="F1728" s="18">
        <v>1</v>
      </c>
    </row>
    <row r="1729" spans="1:6" x14ac:dyDescent="0.35">
      <c r="A1729" s="11">
        <v>50368</v>
      </c>
      <c r="B1729" s="12" t="s">
        <v>6</v>
      </c>
      <c r="C1729" s="13">
        <v>18.8</v>
      </c>
      <c r="D1729" s="14">
        <v>11.3</v>
      </c>
      <c r="E1729">
        <f t="shared" si="26"/>
        <v>2037</v>
      </c>
      <c r="F1729" s="18">
        <v>1</v>
      </c>
    </row>
    <row r="1730" spans="1:6" x14ac:dyDescent="0.35">
      <c r="A1730" s="7">
        <v>50369</v>
      </c>
      <c r="B1730" s="8" t="s">
        <v>30</v>
      </c>
      <c r="C1730" s="9">
        <v>19.600000000000001</v>
      </c>
      <c r="D1730" s="10">
        <v>0.3</v>
      </c>
      <c r="E1730">
        <f t="shared" si="26"/>
        <v>2037</v>
      </c>
      <c r="F1730" s="18">
        <v>1</v>
      </c>
    </row>
    <row r="1731" spans="1:6" x14ac:dyDescent="0.35">
      <c r="A1731" s="11">
        <v>50370</v>
      </c>
      <c r="B1731" s="12" t="s">
        <v>11</v>
      </c>
      <c r="C1731" s="13">
        <v>24.4</v>
      </c>
      <c r="D1731" s="14">
        <v>22</v>
      </c>
      <c r="E1731">
        <f t="shared" ref="E1731:E1794" si="27">YEAR(A1731)</f>
        <v>2037</v>
      </c>
      <c r="F1731" s="18">
        <v>1</v>
      </c>
    </row>
    <row r="1732" spans="1:6" x14ac:dyDescent="0.35">
      <c r="A1732" s="7">
        <v>50371</v>
      </c>
      <c r="B1732" s="8" t="s">
        <v>23</v>
      </c>
      <c r="C1732" s="9">
        <v>10.5</v>
      </c>
      <c r="D1732" s="10">
        <v>0.1</v>
      </c>
      <c r="E1732">
        <f t="shared" si="27"/>
        <v>2037</v>
      </c>
      <c r="F1732" s="18">
        <v>1</v>
      </c>
    </row>
    <row r="1733" spans="1:6" x14ac:dyDescent="0.35">
      <c r="A1733" s="11">
        <v>50372</v>
      </c>
      <c r="B1733" s="12" t="s">
        <v>9</v>
      </c>
      <c r="C1733" s="13">
        <v>23.5</v>
      </c>
      <c r="D1733" s="14">
        <v>0</v>
      </c>
      <c r="E1733">
        <f t="shared" si="27"/>
        <v>2037</v>
      </c>
      <c r="F1733" s="18">
        <v>1</v>
      </c>
    </row>
    <row r="1734" spans="1:6" x14ac:dyDescent="0.35">
      <c r="A1734" s="7">
        <v>50373</v>
      </c>
      <c r="B1734" s="8" t="s">
        <v>27</v>
      </c>
      <c r="C1734" s="9">
        <v>19.2</v>
      </c>
      <c r="D1734" s="10">
        <v>0</v>
      </c>
      <c r="E1734">
        <f t="shared" si="27"/>
        <v>2037</v>
      </c>
      <c r="F1734" s="18">
        <v>1</v>
      </c>
    </row>
    <row r="1735" spans="1:6" x14ac:dyDescent="0.35">
      <c r="A1735" s="11">
        <v>50374</v>
      </c>
      <c r="B1735" s="12" t="s">
        <v>6</v>
      </c>
      <c r="C1735" s="13">
        <v>11</v>
      </c>
      <c r="D1735" s="14">
        <v>0</v>
      </c>
      <c r="E1735">
        <f t="shared" si="27"/>
        <v>2037</v>
      </c>
      <c r="F1735" s="18">
        <v>1</v>
      </c>
    </row>
    <row r="1736" spans="1:6" x14ac:dyDescent="0.35">
      <c r="A1736" s="7">
        <v>50375</v>
      </c>
      <c r="B1736" s="8" t="s">
        <v>11</v>
      </c>
      <c r="C1736" s="9">
        <v>10.4</v>
      </c>
      <c r="D1736" s="10">
        <v>0</v>
      </c>
      <c r="E1736">
        <f t="shared" si="27"/>
        <v>2037</v>
      </c>
      <c r="F1736" s="18">
        <v>1</v>
      </c>
    </row>
    <row r="1737" spans="1:6" x14ac:dyDescent="0.35">
      <c r="A1737" s="11">
        <v>50376</v>
      </c>
      <c r="B1737" s="12" t="s">
        <v>7</v>
      </c>
      <c r="C1737" s="13">
        <v>11.9</v>
      </c>
      <c r="D1737" s="14">
        <v>9</v>
      </c>
      <c r="E1737">
        <f t="shared" si="27"/>
        <v>2037</v>
      </c>
      <c r="F1737" s="18">
        <v>1</v>
      </c>
    </row>
    <row r="1738" spans="1:6" x14ac:dyDescent="0.35">
      <c r="A1738" s="7">
        <v>50377</v>
      </c>
      <c r="B1738" s="8" t="s">
        <v>14</v>
      </c>
      <c r="C1738" s="9">
        <v>23.1</v>
      </c>
      <c r="D1738" s="10">
        <v>2</v>
      </c>
      <c r="E1738">
        <f t="shared" si="27"/>
        <v>2037</v>
      </c>
      <c r="F1738" s="18">
        <v>1</v>
      </c>
    </row>
    <row r="1739" spans="1:6" x14ac:dyDescent="0.35">
      <c r="A1739" s="11">
        <v>50378</v>
      </c>
      <c r="B1739" s="12" t="s">
        <v>19</v>
      </c>
      <c r="C1739" s="13">
        <v>18.600000000000001</v>
      </c>
      <c r="D1739" s="14">
        <v>17.2</v>
      </c>
      <c r="E1739">
        <f t="shared" si="27"/>
        <v>2037</v>
      </c>
      <c r="F1739" s="18">
        <v>1</v>
      </c>
    </row>
    <row r="1740" spans="1:6" x14ac:dyDescent="0.35">
      <c r="A1740" s="7">
        <v>50379</v>
      </c>
      <c r="B1740" s="8" t="s">
        <v>6</v>
      </c>
      <c r="C1740" s="9">
        <v>21.8</v>
      </c>
      <c r="D1740" s="10">
        <v>12.3</v>
      </c>
      <c r="E1740">
        <f t="shared" si="27"/>
        <v>2037</v>
      </c>
      <c r="F1740" s="18">
        <v>1</v>
      </c>
    </row>
    <row r="1741" spans="1:6" x14ac:dyDescent="0.35">
      <c r="A1741" s="11">
        <v>50380</v>
      </c>
      <c r="B1741" s="12" t="s">
        <v>14</v>
      </c>
      <c r="C1741" s="13">
        <v>27.7</v>
      </c>
      <c r="D1741" s="14">
        <v>7.4</v>
      </c>
      <c r="E1741">
        <f t="shared" si="27"/>
        <v>2037</v>
      </c>
      <c r="F1741" s="18">
        <v>1</v>
      </c>
    </row>
    <row r="1742" spans="1:6" x14ac:dyDescent="0.35">
      <c r="A1742" s="7">
        <v>50381</v>
      </c>
      <c r="B1742" s="8" t="s">
        <v>19</v>
      </c>
      <c r="C1742" s="9">
        <v>23.2</v>
      </c>
      <c r="D1742" s="10">
        <v>24</v>
      </c>
      <c r="E1742">
        <f t="shared" si="27"/>
        <v>2037</v>
      </c>
      <c r="F1742" s="18">
        <v>1</v>
      </c>
    </row>
    <row r="1743" spans="1:6" x14ac:dyDescent="0.35">
      <c r="A1743" s="11">
        <v>50382</v>
      </c>
      <c r="B1743" s="12" t="s">
        <v>19</v>
      </c>
      <c r="C1743" s="13">
        <v>25.8</v>
      </c>
      <c r="D1743" s="14">
        <v>16.100000000000001</v>
      </c>
      <c r="E1743">
        <f t="shared" si="27"/>
        <v>2037</v>
      </c>
      <c r="F1743" s="18">
        <v>1</v>
      </c>
    </row>
    <row r="1744" spans="1:6" x14ac:dyDescent="0.35">
      <c r="A1744" s="7">
        <v>50383</v>
      </c>
      <c r="B1744" s="8" t="s">
        <v>5</v>
      </c>
      <c r="C1744" s="9">
        <v>19.8</v>
      </c>
      <c r="D1744" s="10">
        <v>6.6</v>
      </c>
      <c r="E1744">
        <f t="shared" si="27"/>
        <v>2037</v>
      </c>
      <c r="F1744" s="18">
        <v>1</v>
      </c>
    </row>
    <row r="1745" spans="1:6" x14ac:dyDescent="0.35">
      <c r="A1745" s="11">
        <v>50384</v>
      </c>
      <c r="B1745" s="12" t="s">
        <v>18</v>
      </c>
      <c r="C1745" s="13">
        <v>11.2</v>
      </c>
      <c r="D1745" s="14">
        <v>7.5</v>
      </c>
      <c r="E1745">
        <f t="shared" si="27"/>
        <v>2037</v>
      </c>
      <c r="F1745" s="18">
        <v>1</v>
      </c>
    </row>
    <row r="1746" spans="1:6" x14ac:dyDescent="0.35">
      <c r="A1746" s="7">
        <v>50385</v>
      </c>
      <c r="B1746" s="8" t="s">
        <v>10</v>
      </c>
      <c r="C1746" s="9">
        <v>15.7</v>
      </c>
      <c r="D1746" s="10">
        <v>0</v>
      </c>
      <c r="E1746">
        <f t="shared" si="27"/>
        <v>2037</v>
      </c>
      <c r="F1746" s="18">
        <v>1</v>
      </c>
    </row>
    <row r="1747" spans="1:6" x14ac:dyDescent="0.35">
      <c r="A1747" s="11">
        <v>50386</v>
      </c>
      <c r="B1747" s="12" t="s">
        <v>30</v>
      </c>
      <c r="C1747" s="13">
        <v>23.6</v>
      </c>
      <c r="D1747" s="14">
        <v>0.6</v>
      </c>
      <c r="E1747">
        <f t="shared" si="27"/>
        <v>2037</v>
      </c>
      <c r="F1747" s="18">
        <v>1</v>
      </c>
    </row>
    <row r="1748" spans="1:6" x14ac:dyDescent="0.35">
      <c r="A1748" s="7">
        <v>50387</v>
      </c>
      <c r="B1748" s="8" t="s">
        <v>8</v>
      </c>
      <c r="C1748" s="9">
        <v>27.5</v>
      </c>
      <c r="D1748" s="10">
        <v>5.3</v>
      </c>
      <c r="E1748">
        <f t="shared" si="27"/>
        <v>2037</v>
      </c>
      <c r="F1748" s="18">
        <v>1</v>
      </c>
    </row>
    <row r="1749" spans="1:6" x14ac:dyDescent="0.35">
      <c r="A1749" s="11">
        <v>50388</v>
      </c>
      <c r="B1749" s="12" t="s">
        <v>5</v>
      </c>
      <c r="C1749" s="13">
        <v>17.3</v>
      </c>
      <c r="D1749" s="14">
        <v>0</v>
      </c>
      <c r="E1749">
        <f t="shared" si="27"/>
        <v>2037</v>
      </c>
      <c r="F1749" s="18">
        <v>1</v>
      </c>
    </row>
    <row r="1750" spans="1:6" x14ac:dyDescent="0.35">
      <c r="A1750" s="7">
        <v>50389</v>
      </c>
      <c r="B1750" s="8" t="s">
        <v>19</v>
      </c>
      <c r="C1750" s="9">
        <v>11.2</v>
      </c>
      <c r="D1750" s="10">
        <v>32.700000000000003</v>
      </c>
      <c r="E1750">
        <f t="shared" si="27"/>
        <v>2037</v>
      </c>
      <c r="F1750" s="18">
        <v>1</v>
      </c>
    </row>
    <row r="1751" spans="1:6" x14ac:dyDescent="0.35">
      <c r="A1751" s="11">
        <v>50390</v>
      </c>
      <c r="B1751" s="12" t="s">
        <v>11</v>
      </c>
      <c r="C1751" s="13">
        <v>17.8</v>
      </c>
      <c r="D1751" s="14">
        <v>0</v>
      </c>
      <c r="E1751">
        <f t="shared" si="27"/>
        <v>2037</v>
      </c>
      <c r="F1751" s="18">
        <v>1</v>
      </c>
    </row>
    <row r="1752" spans="1:6" x14ac:dyDescent="0.35">
      <c r="A1752" s="7">
        <v>50391</v>
      </c>
      <c r="B1752" s="8" t="s">
        <v>10</v>
      </c>
      <c r="C1752" s="9">
        <v>16.899999999999999</v>
      </c>
      <c r="D1752" s="10">
        <v>41.8</v>
      </c>
      <c r="E1752">
        <f t="shared" si="27"/>
        <v>2037</v>
      </c>
      <c r="F1752" s="18">
        <v>1</v>
      </c>
    </row>
    <row r="1753" spans="1:6" x14ac:dyDescent="0.35">
      <c r="A1753" s="11">
        <v>50392</v>
      </c>
      <c r="B1753" s="12" t="s">
        <v>11</v>
      </c>
      <c r="C1753" s="13">
        <v>18.3</v>
      </c>
      <c r="D1753" s="14">
        <v>0</v>
      </c>
      <c r="E1753">
        <f t="shared" si="27"/>
        <v>2037</v>
      </c>
      <c r="F1753" s="18">
        <v>1</v>
      </c>
    </row>
    <row r="1754" spans="1:6" x14ac:dyDescent="0.35">
      <c r="A1754" s="7">
        <v>50393</v>
      </c>
      <c r="B1754" s="8" t="s">
        <v>17</v>
      </c>
      <c r="C1754" s="9">
        <v>12.2</v>
      </c>
      <c r="D1754" s="10">
        <v>0</v>
      </c>
      <c r="E1754">
        <f t="shared" si="27"/>
        <v>2037</v>
      </c>
      <c r="F1754" s="18">
        <v>1</v>
      </c>
    </row>
    <row r="1755" spans="1:6" x14ac:dyDescent="0.35">
      <c r="A1755" s="11">
        <v>50394</v>
      </c>
      <c r="B1755" s="12" t="s">
        <v>13</v>
      </c>
      <c r="C1755" s="13">
        <v>21.2</v>
      </c>
      <c r="D1755" s="14">
        <v>0</v>
      </c>
      <c r="E1755">
        <f t="shared" si="27"/>
        <v>2037</v>
      </c>
      <c r="F1755" s="18">
        <v>1</v>
      </c>
    </row>
    <row r="1756" spans="1:6" x14ac:dyDescent="0.35">
      <c r="A1756" s="7">
        <v>50395</v>
      </c>
      <c r="B1756" s="8" t="s">
        <v>10</v>
      </c>
      <c r="C1756" s="9">
        <v>19.600000000000001</v>
      </c>
      <c r="D1756" s="10">
        <v>48.2</v>
      </c>
      <c r="E1756">
        <f t="shared" si="27"/>
        <v>2037</v>
      </c>
      <c r="F1756" s="18">
        <v>1</v>
      </c>
    </row>
    <row r="1757" spans="1:6" x14ac:dyDescent="0.35">
      <c r="A1757" s="11">
        <v>50396</v>
      </c>
      <c r="B1757" s="12" t="s">
        <v>9</v>
      </c>
      <c r="C1757" s="13">
        <v>15.6</v>
      </c>
      <c r="D1757" s="14">
        <v>0.6</v>
      </c>
      <c r="E1757">
        <f t="shared" si="27"/>
        <v>2037</v>
      </c>
      <c r="F1757" s="18">
        <v>1</v>
      </c>
    </row>
    <row r="1758" spans="1:6" x14ac:dyDescent="0.35">
      <c r="A1758" s="7">
        <v>50397</v>
      </c>
      <c r="B1758" s="8" t="s">
        <v>26</v>
      </c>
      <c r="C1758" s="9">
        <v>12.5</v>
      </c>
      <c r="D1758" s="10">
        <v>5.9</v>
      </c>
      <c r="E1758">
        <f t="shared" si="27"/>
        <v>2037</v>
      </c>
      <c r="F1758" s="18">
        <v>1</v>
      </c>
    </row>
    <row r="1759" spans="1:6" x14ac:dyDescent="0.35">
      <c r="A1759" s="11">
        <v>50398</v>
      </c>
      <c r="B1759" s="12" t="s">
        <v>12</v>
      </c>
      <c r="C1759" s="13">
        <v>29.3</v>
      </c>
      <c r="D1759" s="14">
        <v>0</v>
      </c>
      <c r="E1759">
        <f t="shared" si="27"/>
        <v>2037</v>
      </c>
      <c r="F1759" s="18">
        <v>1</v>
      </c>
    </row>
    <row r="1760" spans="1:6" x14ac:dyDescent="0.35">
      <c r="A1760" s="7">
        <v>50399</v>
      </c>
      <c r="B1760" s="8" t="s">
        <v>18</v>
      </c>
      <c r="C1760" s="9">
        <v>24.6</v>
      </c>
      <c r="D1760" s="10">
        <v>0</v>
      </c>
      <c r="E1760">
        <f t="shared" si="27"/>
        <v>2037</v>
      </c>
      <c r="F1760" s="18">
        <v>1</v>
      </c>
    </row>
    <row r="1761" spans="1:6" x14ac:dyDescent="0.35">
      <c r="A1761" s="11">
        <v>50400</v>
      </c>
      <c r="B1761" s="12" t="s">
        <v>9</v>
      </c>
      <c r="C1761" s="13">
        <v>21.2</v>
      </c>
      <c r="D1761" s="14">
        <v>3.1</v>
      </c>
      <c r="E1761">
        <f t="shared" si="27"/>
        <v>2037</v>
      </c>
      <c r="F1761" s="18">
        <v>1</v>
      </c>
    </row>
    <row r="1762" spans="1:6" x14ac:dyDescent="0.35">
      <c r="A1762" s="7">
        <v>50401</v>
      </c>
      <c r="B1762" s="8" t="s">
        <v>10</v>
      </c>
      <c r="C1762" s="9">
        <v>12.7</v>
      </c>
      <c r="D1762" s="10">
        <v>38.1</v>
      </c>
      <c r="E1762">
        <f t="shared" si="27"/>
        <v>2037</v>
      </c>
      <c r="F1762" s="18">
        <v>1</v>
      </c>
    </row>
    <row r="1763" spans="1:6" x14ac:dyDescent="0.35">
      <c r="A1763" s="11">
        <v>50402</v>
      </c>
      <c r="B1763" s="12" t="s">
        <v>23</v>
      </c>
      <c r="C1763" s="13">
        <v>20.6</v>
      </c>
      <c r="D1763" s="14">
        <v>5.2</v>
      </c>
      <c r="E1763">
        <f t="shared" si="27"/>
        <v>2037</v>
      </c>
      <c r="F1763" s="18">
        <v>1</v>
      </c>
    </row>
    <row r="1764" spans="1:6" x14ac:dyDescent="0.35">
      <c r="A1764" s="7">
        <v>50403</v>
      </c>
      <c r="B1764" s="8" t="s">
        <v>12</v>
      </c>
      <c r="C1764" s="9">
        <v>28.3</v>
      </c>
      <c r="D1764" s="10">
        <v>0</v>
      </c>
      <c r="E1764">
        <f t="shared" si="27"/>
        <v>2037</v>
      </c>
      <c r="F1764" s="18">
        <v>1</v>
      </c>
    </row>
    <row r="1765" spans="1:6" x14ac:dyDescent="0.35">
      <c r="A1765" s="11">
        <v>50404</v>
      </c>
      <c r="B1765" s="12" t="s">
        <v>19</v>
      </c>
      <c r="C1765" s="13">
        <v>15.1</v>
      </c>
      <c r="D1765" s="14">
        <v>22.6</v>
      </c>
      <c r="E1765">
        <f t="shared" si="27"/>
        <v>2037</v>
      </c>
      <c r="F1765" s="18">
        <v>1</v>
      </c>
    </row>
    <row r="1766" spans="1:6" x14ac:dyDescent="0.35">
      <c r="A1766" s="7">
        <v>50405</v>
      </c>
      <c r="B1766" s="8" t="s">
        <v>15</v>
      </c>
      <c r="C1766" s="9">
        <v>24.8</v>
      </c>
      <c r="D1766" s="10">
        <v>10.5</v>
      </c>
      <c r="E1766">
        <f t="shared" si="27"/>
        <v>2037</v>
      </c>
      <c r="F1766" s="18">
        <v>1</v>
      </c>
    </row>
    <row r="1767" spans="1:6" x14ac:dyDescent="0.35">
      <c r="A1767" s="11">
        <v>50406</v>
      </c>
      <c r="B1767" s="12" t="s">
        <v>21</v>
      </c>
      <c r="C1767" s="13">
        <v>16.899999999999999</v>
      </c>
      <c r="D1767" s="14">
        <v>1.2</v>
      </c>
      <c r="E1767">
        <f t="shared" si="27"/>
        <v>2038</v>
      </c>
      <c r="F1767" s="18">
        <v>1</v>
      </c>
    </row>
    <row r="1768" spans="1:6" x14ac:dyDescent="0.35">
      <c r="A1768" s="7">
        <v>50407</v>
      </c>
      <c r="B1768" s="8" t="s">
        <v>21</v>
      </c>
      <c r="C1768" s="9">
        <v>23.4</v>
      </c>
      <c r="D1768" s="10">
        <v>0</v>
      </c>
      <c r="E1768">
        <f t="shared" si="27"/>
        <v>2038</v>
      </c>
      <c r="F1768" s="18">
        <v>1</v>
      </c>
    </row>
    <row r="1769" spans="1:6" x14ac:dyDescent="0.35">
      <c r="A1769" s="11">
        <v>50408</v>
      </c>
      <c r="B1769" s="12" t="s">
        <v>7</v>
      </c>
      <c r="C1769" s="13">
        <v>10.5</v>
      </c>
      <c r="D1769" s="14">
        <v>22.2</v>
      </c>
      <c r="E1769">
        <f t="shared" si="27"/>
        <v>2038</v>
      </c>
      <c r="F1769" s="18">
        <v>1</v>
      </c>
    </row>
    <row r="1770" spans="1:6" x14ac:dyDescent="0.35">
      <c r="A1770" s="7">
        <v>50409</v>
      </c>
      <c r="B1770" s="8" t="s">
        <v>10</v>
      </c>
      <c r="C1770" s="9">
        <v>16.2</v>
      </c>
      <c r="D1770" s="10">
        <v>0</v>
      </c>
      <c r="E1770">
        <f t="shared" si="27"/>
        <v>2038</v>
      </c>
      <c r="F1770" s="18">
        <v>1</v>
      </c>
    </row>
    <row r="1771" spans="1:6" x14ac:dyDescent="0.35">
      <c r="A1771" s="11">
        <v>50410</v>
      </c>
      <c r="B1771" s="12" t="s">
        <v>16</v>
      </c>
      <c r="C1771" s="13">
        <v>29.7</v>
      </c>
      <c r="D1771" s="14">
        <v>0.3</v>
      </c>
      <c r="E1771">
        <f t="shared" si="27"/>
        <v>2038</v>
      </c>
      <c r="F1771" s="18">
        <v>1</v>
      </c>
    </row>
    <row r="1772" spans="1:6" x14ac:dyDescent="0.35">
      <c r="A1772" s="7">
        <v>50411</v>
      </c>
      <c r="B1772" s="8" t="s">
        <v>10</v>
      </c>
      <c r="C1772" s="9">
        <v>12.8</v>
      </c>
      <c r="D1772" s="10">
        <v>0</v>
      </c>
      <c r="E1772">
        <f t="shared" si="27"/>
        <v>2038</v>
      </c>
      <c r="F1772" s="18">
        <v>1</v>
      </c>
    </row>
    <row r="1773" spans="1:6" x14ac:dyDescent="0.35">
      <c r="A1773" s="11">
        <v>50412</v>
      </c>
      <c r="B1773" s="12" t="s">
        <v>8</v>
      </c>
      <c r="C1773" s="13">
        <v>19.100000000000001</v>
      </c>
      <c r="D1773" s="14">
        <v>1.7</v>
      </c>
      <c r="E1773">
        <f t="shared" si="27"/>
        <v>2038</v>
      </c>
      <c r="F1773" s="18">
        <v>1</v>
      </c>
    </row>
    <row r="1774" spans="1:6" x14ac:dyDescent="0.35">
      <c r="A1774" s="7">
        <v>50413</v>
      </c>
      <c r="B1774" s="8" t="s">
        <v>11</v>
      </c>
      <c r="C1774" s="9">
        <v>27.7</v>
      </c>
      <c r="D1774" s="10">
        <v>0</v>
      </c>
      <c r="E1774">
        <f t="shared" si="27"/>
        <v>2038</v>
      </c>
      <c r="F1774" s="18">
        <v>1</v>
      </c>
    </row>
    <row r="1775" spans="1:6" x14ac:dyDescent="0.35">
      <c r="A1775" s="11">
        <v>50414</v>
      </c>
      <c r="B1775" s="12" t="s">
        <v>14</v>
      </c>
      <c r="C1775" s="13">
        <v>22</v>
      </c>
      <c r="D1775" s="14">
        <v>5.9</v>
      </c>
      <c r="E1775">
        <f t="shared" si="27"/>
        <v>2038</v>
      </c>
      <c r="F1775" s="18">
        <v>1</v>
      </c>
    </row>
    <row r="1776" spans="1:6" x14ac:dyDescent="0.35">
      <c r="A1776" s="7">
        <v>50415</v>
      </c>
      <c r="B1776" s="8" t="s">
        <v>6</v>
      </c>
      <c r="C1776" s="9">
        <v>19.600000000000001</v>
      </c>
      <c r="D1776" s="10">
        <v>2.7</v>
      </c>
      <c r="E1776">
        <f t="shared" si="27"/>
        <v>2038</v>
      </c>
      <c r="F1776" s="18">
        <v>1</v>
      </c>
    </row>
    <row r="1777" spans="1:6" x14ac:dyDescent="0.35">
      <c r="A1777" s="11">
        <v>50416</v>
      </c>
      <c r="B1777" s="12" t="s">
        <v>8</v>
      </c>
      <c r="C1777" s="13">
        <v>16</v>
      </c>
      <c r="D1777" s="14">
        <v>0.3</v>
      </c>
      <c r="E1777">
        <f t="shared" si="27"/>
        <v>2038</v>
      </c>
      <c r="F1777" s="18">
        <v>1</v>
      </c>
    </row>
    <row r="1778" spans="1:6" x14ac:dyDescent="0.35">
      <c r="A1778" s="7">
        <v>50417</v>
      </c>
      <c r="B1778" s="8" t="s">
        <v>5</v>
      </c>
      <c r="C1778" s="9">
        <v>14</v>
      </c>
      <c r="D1778" s="10">
        <v>1.3</v>
      </c>
      <c r="E1778">
        <f t="shared" si="27"/>
        <v>2038</v>
      </c>
      <c r="F1778" s="18">
        <v>1</v>
      </c>
    </row>
    <row r="1779" spans="1:6" x14ac:dyDescent="0.35">
      <c r="A1779" s="11">
        <v>50418</v>
      </c>
      <c r="B1779" s="12" t="s">
        <v>15</v>
      </c>
      <c r="C1779" s="13">
        <v>29.5</v>
      </c>
      <c r="D1779" s="14">
        <v>3.3</v>
      </c>
      <c r="E1779">
        <f t="shared" si="27"/>
        <v>2038</v>
      </c>
      <c r="F1779" s="18">
        <v>1</v>
      </c>
    </row>
    <row r="1780" spans="1:6" x14ac:dyDescent="0.35">
      <c r="A1780" s="7">
        <v>50419</v>
      </c>
      <c r="B1780" s="8" t="s">
        <v>7</v>
      </c>
      <c r="C1780" s="9">
        <v>12.2</v>
      </c>
      <c r="D1780" s="10">
        <v>0</v>
      </c>
      <c r="E1780">
        <f t="shared" si="27"/>
        <v>2038</v>
      </c>
      <c r="F1780" s="18">
        <v>1</v>
      </c>
    </row>
    <row r="1781" spans="1:6" x14ac:dyDescent="0.35">
      <c r="A1781" s="11">
        <v>50420</v>
      </c>
      <c r="B1781" s="12" t="s">
        <v>11</v>
      </c>
      <c r="C1781" s="13">
        <v>15</v>
      </c>
      <c r="D1781" s="14">
        <v>7.4</v>
      </c>
      <c r="E1781">
        <f t="shared" si="27"/>
        <v>2038</v>
      </c>
      <c r="F1781" s="18">
        <v>1</v>
      </c>
    </row>
    <row r="1782" spans="1:6" x14ac:dyDescent="0.35">
      <c r="A1782" s="7">
        <v>50421</v>
      </c>
      <c r="B1782" s="8" t="s">
        <v>20</v>
      </c>
      <c r="C1782" s="9">
        <v>10.4</v>
      </c>
      <c r="D1782" s="10">
        <v>2</v>
      </c>
      <c r="E1782">
        <f t="shared" si="27"/>
        <v>2038</v>
      </c>
      <c r="F1782" s="18">
        <v>1</v>
      </c>
    </row>
    <row r="1783" spans="1:6" x14ac:dyDescent="0.35">
      <c r="A1783" s="11">
        <v>50422</v>
      </c>
      <c r="B1783" s="12" t="s">
        <v>19</v>
      </c>
      <c r="C1783" s="13">
        <v>18.600000000000001</v>
      </c>
      <c r="D1783" s="14">
        <v>4.5999999999999996</v>
      </c>
      <c r="E1783">
        <f t="shared" si="27"/>
        <v>2038</v>
      </c>
      <c r="F1783" s="18">
        <v>1</v>
      </c>
    </row>
    <row r="1784" spans="1:6" x14ac:dyDescent="0.35">
      <c r="A1784" s="7">
        <v>50423</v>
      </c>
      <c r="B1784" s="8" t="s">
        <v>18</v>
      </c>
      <c r="C1784" s="9">
        <v>23.7</v>
      </c>
      <c r="D1784" s="10">
        <v>7.2</v>
      </c>
      <c r="E1784">
        <f t="shared" si="27"/>
        <v>2038</v>
      </c>
      <c r="F1784" s="18">
        <v>1</v>
      </c>
    </row>
    <row r="1785" spans="1:6" x14ac:dyDescent="0.35">
      <c r="A1785" s="11">
        <v>50424</v>
      </c>
      <c r="B1785" s="12" t="s">
        <v>5</v>
      </c>
      <c r="C1785" s="13">
        <v>27.2</v>
      </c>
      <c r="D1785" s="14">
        <v>0</v>
      </c>
      <c r="E1785">
        <f t="shared" si="27"/>
        <v>2038</v>
      </c>
      <c r="F1785" s="18">
        <v>1</v>
      </c>
    </row>
    <row r="1786" spans="1:6" x14ac:dyDescent="0.35">
      <c r="A1786" s="7">
        <v>50425</v>
      </c>
      <c r="B1786" s="8" t="s">
        <v>15</v>
      </c>
      <c r="C1786" s="9">
        <v>11.3</v>
      </c>
      <c r="D1786" s="10">
        <v>18.8</v>
      </c>
      <c r="E1786">
        <f t="shared" si="27"/>
        <v>2038</v>
      </c>
      <c r="F1786" s="18">
        <v>1</v>
      </c>
    </row>
    <row r="1787" spans="1:6" x14ac:dyDescent="0.35">
      <c r="A1787" s="11">
        <v>50426</v>
      </c>
      <c r="B1787" s="12" t="s">
        <v>7</v>
      </c>
      <c r="C1787" s="13">
        <v>22.1</v>
      </c>
      <c r="D1787" s="14">
        <v>0</v>
      </c>
      <c r="E1787">
        <f t="shared" si="27"/>
        <v>2038</v>
      </c>
      <c r="F1787" s="18">
        <v>1</v>
      </c>
    </row>
    <row r="1788" spans="1:6" x14ac:dyDescent="0.35">
      <c r="A1788" s="7">
        <v>50427</v>
      </c>
      <c r="B1788" s="8" t="s">
        <v>12</v>
      </c>
      <c r="C1788" s="9">
        <v>11</v>
      </c>
      <c r="D1788" s="10">
        <v>0</v>
      </c>
      <c r="E1788">
        <f t="shared" si="27"/>
        <v>2038</v>
      </c>
      <c r="F1788" s="18">
        <v>1</v>
      </c>
    </row>
    <row r="1789" spans="1:6" x14ac:dyDescent="0.35">
      <c r="A1789" s="11">
        <v>50428</v>
      </c>
      <c r="B1789" s="12" t="s">
        <v>19</v>
      </c>
      <c r="C1789" s="13">
        <v>14.7</v>
      </c>
      <c r="D1789" s="14">
        <v>0</v>
      </c>
      <c r="E1789">
        <f t="shared" si="27"/>
        <v>2038</v>
      </c>
      <c r="F1789" s="18">
        <v>1</v>
      </c>
    </row>
    <row r="1790" spans="1:6" x14ac:dyDescent="0.35">
      <c r="A1790" s="7">
        <v>50429</v>
      </c>
      <c r="B1790" s="8" t="s">
        <v>19</v>
      </c>
      <c r="C1790" s="9">
        <v>10.4</v>
      </c>
      <c r="D1790" s="10">
        <v>14.4</v>
      </c>
      <c r="E1790">
        <f t="shared" si="27"/>
        <v>2038</v>
      </c>
      <c r="F1790" s="18">
        <v>1</v>
      </c>
    </row>
    <row r="1791" spans="1:6" x14ac:dyDescent="0.35">
      <c r="A1791" s="11">
        <v>50430</v>
      </c>
      <c r="B1791" s="12" t="s">
        <v>24</v>
      </c>
      <c r="C1791" s="13">
        <v>29.6</v>
      </c>
      <c r="D1791" s="14">
        <v>2.8</v>
      </c>
      <c r="E1791">
        <f t="shared" si="27"/>
        <v>2038</v>
      </c>
      <c r="F1791" s="18">
        <v>1</v>
      </c>
    </row>
    <row r="1792" spans="1:6" x14ac:dyDescent="0.35">
      <c r="A1792" s="7">
        <v>50431</v>
      </c>
      <c r="B1792" s="8" t="s">
        <v>18</v>
      </c>
      <c r="C1792" s="9">
        <v>11.3</v>
      </c>
      <c r="D1792" s="10">
        <v>7.2</v>
      </c>
      <c r="E1792">
        <f t="shared" si="27"/>
        <v>2038</v>
      </c>
      <c r="F1792" s="18">
        <v>1</v>
      </c>
    </row>
    <row r="1793" spans="1:6" x14ac:dyDescent="0.35">
      <c r="A1793" s="11">
        <v>50432</v>
      </c>
      <c r="B1793" s="12" t="s">
        <v>20</v>
      </c>
      <c r="C1793" s="13">
        <v>22.4</v>
      </c>
      <c r="D1793" s="14">
        <v>0</v>
      </c>
      <c r="E1793">
        <f t="shared" si="27"/>
        <v>2038</v>
      </c>
      <c r="F1793" s="18">
        <v>1</v>
      </c>
    </row>
    <row r="1794" spans="1:6" x14ac:dyDescent="0.35">
      <c r="A1794" s="7">
        <v>50433</v>
      </c>
      <c r="B1794" s="8" t="s">
        <v>19</v>
      </c>
      <c r="C1794" s="9">
        <v>19.600000000000001</v>
      </c>
      <c r="D1794" s="10">
        <v>28.7</v>
      </c>
      <c r="E1794">
        <f t="shared" si="27"/>
        <v>2038</v>
      </c>
      <c r="F1794" s="18">
        <v>1</v>
      </c>
    </row>
    <row r="1795" spans="1:6" x14ac:dyDescent="0.35">
      <c r="A1795" s="11">
        <v>50434</v>
      </c>
      <c r="B1795" s="12" t="s">
        <v>6</v>
      </c>
      <c r="C1795" s="13">
        <v>28.5</v>
      </c>
      <c r="D1795" s="14">
        <v>12.9</v>
      </c>
      <c r="E1795">
        <f t="shared" ref="E1795:E1858" si="28">YEAR(A1795)</f>
        <v>2038</v>
      </c>
      <c r="F1795" s="18">
        <v>1</v>
      </c>
    </row>
    <row r="1796" spans="1:6" x14ac:dyDescent="0.35">
      <c r="A1796" s="7">
        <v>50435</v>
      </c>
      <c r="B1796" s="8" t="s">
        <v>24</v>
      </c>
      <c r="C1796" s="9">
        <v>10.9</v>
      </c>
      <c r="D1796" s="10">
        <v>0</v>
      </c>
      <c r="E1796">
        <f t="shared" si="28"/>
        <v>2038</v>
      </c>
      <c r="F1796" s="18">
        <v>1</v>
      </c>
    </row>
    <row r="1797" spans="1:6" x14ac:dyDescent="0.35">
      <c r="A1797" s="11">
        <v>50436</v>
      </c>
      <c r="B1797" s="12" t="s">
        <v>13</v>
      </c>
      <c r="C1797" s="13">
        <v>13.4</v>
      </c>
      <c r="D1797" s="14">
        <v>15.7</v>
      </c>
      <c r="E1797">
        <f t="shared" si="28"/>
        <v>2038</v>
      </c>
      <c r="F1797" s="18">
        <v>1</v>
      </c>
    </row>
    <row r="1798" spans="1:6" x14ac:dyDescent="0.35">
      <c r="A1798" s="7">
        <v>50437</v>
      </c>
      <c r="B1798" s="8" t="s">
        <v>19</v>
      </c>
      <c r="C1798" s="9">
        <v>27.3</v>
      </c>
      <c r="D1798" s="10">
        <v>0</v>
      </c>
      <c r="E1798">
        <f t="shared" si="28"/>
        <v>2038</v>
      </c>
      <c r="F1798" s="18">
        <v>1</v>
      </c>
    </row>
    <row r="1799" spans="1:6" x14ac:dyDescent="0.35">
      <c r="A1799" s="11">
        <v>50438</v>
      </c>
      <c r="B1799" s="12" t="s">
        <v>9</v>
      </c>
      <c r="C1799" s="13">
        <v>23.6</v>
      </c>
      <c r="D1799" s="14">
        <v>0</v>
      </c>
      <c r="E1799">
        <f t="shared" si="28"/>
        <v>2038</v>
      </c>
      <c r="F1799" s="18">
        <v>1</v>
      </c>
    </row>
    <row r="1800" spans="1:6" x14ac:dyDescent="0.35">
      <c r="A1800" s="7">
        <v>50439</v>
      </c>
      <c r="B1800" s="8" t="s">
        <v>7</v>
      </c>
      <c r="C1800" s="9">
        <v>26.5</v>
      </c>
      <c r="D1800" s="10">
        <v>20.3</v>
      </c>
      <c r="E1800">
        <f t="shared" si="28"/>
        <v>2038</v>
      </c>
      <c r="F1800" s="18">
        <v>1</v>
      </c>
    </row>
    <row r="1801" spans="1:6" x14ac:dyDescent="0.35">
      <c r="A1801" s="11">
        <v>50440</v>
      </c>
      <c r="B1801" s="12" t="s">
        <v>9</v>
      </c>
      <c r="C1801" s="13">
        <v>23.6</v>
      </c>
      <c r="D1801" s="14">
        <v>6.5</v>
      </c>
      <c r="E1801">
        <f t="shared" si="28"/>
        <v>2038</v>
      </c>
      <c r="F1801" s="18">
        <v>1</v>
      </c>
    </row>
    <row r="1802" spans="1:6" x14ac:dyDescent="0.35">
      <c r="A1802" s="7">
        <v>50441</v>
      </c>
      <c r="B1802" s="8" t="s">
        <v>11</v>
      </c>
      <c r="C1802" s="9">
        <v>22.4</v>
      </c>
      <c r="D1802" s="10">
        <v>13.3</v>
      </c>
      <c r="E1802">
        <f t="shared" si="28"/>
        <v>2038</v>
      </c>
      <c r="F1802" s="18">
        <v>1</v>
      </c>
    </row>
    <row r="1803" spans="1:6" x14ac:dyDescent="0.35">
      <c r="A1803" s="11">
        <v>50442</v>
      </c>
      <c r="B1803" s="12" t="s">
        <v>18</v>
      </c>
      <c r="C1803" s="13">
        <v>22</v>
      </c>
      <c r="D1803" s="14">
        <v>15.5</v>
      </c>
      <c r="E1803">
        <f t="shared" si="28"/>
        <v>2038</v>
      </c>
      <c r="F1803" s="18">
        <v>1</v>
      </c>
    </row>
    <row r="1804" spans="1:6" x14ac:dyDescent="0.35">
      <c r="A1804" s="7">
        <v>50443</v>
      </c>
      <c r="B1804" s="8" t="s">
        <v>27</v>
      </c>
      <c r="C1804" s="9">
        <v>10.8</v>
      </c>
      <c r="D1804" s="10">
        <v>0.4</v>
      </c>
      <c r="E1804">
        <f t="shared" si="28"/>
        <v>2038</v>
      </c>
      <c r="F1804" s="18">
        <v>1</v>
      </c>
    </row>
    <row r="1805" spans="1:6" x14ac:dyDescent="0.35">
      <c r="A1805" s="11">
        <v>50444</v>
      </c>
      <c r="B1805" s="12" t="s">
        <v>15</v>
      </c>
      <c r="C1805" s="13">
        <v>21.6</v>
      </c>
      <c r="D1805" s="14">
        <v>0</v>
      </c>
      <c r="E1805">
        <f t="shared" si="28"/>
        <v>2038</v>
      </c>
      <c r="F1805" s="18">
        <v>1</v>
      </c>
    </row>
    <row r="1806" spans="1:6" x14ac:dyDescent="0.35">
      <c r="A1806" s="7">
        <v>50445</v>
      </c>
      <c r="B1806" s="8" t="s">
        <v>8</v>
      </c>
      <c r="C1806" s="9">
        <v>10.1</v>
      </c>
      <c r="D1806" s="10">
        <v>0</v>
      </c>
      <c r="E1806">
        <f t="shared" si="28"/>
        <v>2038</v>
      </c>
      <c r="F1806" s="18">
        <v>1</v>
      </c>
    </row>
    <row r="1807" spans="1:6" x14ac:dyDescent="0.35">
      <c r="A1807" s="11">
        <v>50446</v>
      </c>
      <c r="B1807" s="12" t="s">
        <v>11</v>
      </c>
      <c r="C1807" s="13">
        <v>29</v>
      </c>
      <c r="D1807" s="14">
        <v>12.6</v>
      </c>
      <c r="E1807">
        <f t="shared" si="28"/>
        <v>2038</v>
      </c>
      <c r="F1807" s="18">
        <v>1</v>
      </c>
    </row>
    <row r="1808" spans="1:6" x14ac:dyDescent="0.35">
      <c r="A1808" s="7">
        <v>50447</v>
      </c>
      <c r="B1808" s="8" t="s">
        <v>8</v>
      </c>
      <c r="C1808" s="9">
        <v>16.399999999999999</v>
      </c>
      <c r="D1808" s="10">
        <v>3.7</v>
      </c>
      <c r="E1808">
        <f t="shared" si="28"/>
        <v>2038</v>
      </c>
      <c r="F1808" s="18">
        <v>1</v>
      </c>
    </row>
    <row r="1809" spans="1:6" x14ac:dyDescent="0.35">
      <c r="A1809" s="11">
        <v>50448</v>
      </c>
      <c r="B1809" s="12" t="s">
        <v>19</v>
      </c>
      <c r="C1809" s="13">
        <v>13.5</v>
      </c>
      <c r="D1809" s="14">
        <v>38.5</v>
      </c>
      <c r="E1809">
        <f t="shared" si="28"/>
        <v>2038</v>
      </c>
      <c r="F1809" s="18">
        <v>1</v>
      </c>
    </row>
    <row r="1810" spans="1:6" x14ac:dyDescent="0.35">
      <c r="A1810" s="7">
        <v>50449</v>
      </c>
      <c r="B1810" s="8" t="s">
        <v>14</v>
      </c>
      <c r="C1810" s="9">
        <v>18.100000000000001</v>
      </c>
      <c r="D1810" s="10">
        <v>3</v>
      </c>
      <c r="E1810">
        <f t="shared" si="28"/>
        <v>2038</v>
      </c>
      <c r="F1810" s="18">
        <v>1</v>
      </c>
    </row>
    <row r="1811" spans="1:6" x14ac:dyDescent="0.35">
      <c r="A1811" s="11">
        <v>50450</v>
      </c>
      <c r="B1811" s="12" t="s">
        <v>7</v>
      </c>
      <c r="C1811" s="13">
        <v>20.399999999999999</v>
      </c>
      <c r="D1811" s="14">
        <v>11.7</v>
      </c>
      <c r="E1811">
        <f t="shared" si="28"/>
        <v>2038</v>
      </c>
      <c r="F1811" s="18">
        <v>1</v>
      </c>
    </row>
    <row r="1812" spans="1:6" x14ac:dyDescent="0.35">
      <c r="A1812" s="7">
        <v>50451</v>
      </c>
      <c r="B1812" s="8" t="s">
        <v>15</v>
      </c>
      <c r="C1812" s="9">
        <v>29.6</v>
      </c>
      <c r="D1812" s="10">
        <v>0.9</v>
      </c>
      <c r="E1812">
        <f t="shared" si="28"/>
        <v>2038</v>
      </c>
      <c r="F1812" s="18">
        <v>1</v>
      </c>
    </row>
    <row r="1813" spans="1:6" x14ac:dyDescent="0.35">
      <c r="A1813" s="11">
        <v>50452</v>
      </c>
      <c r="B1813" s="12" t="s">
        <v>32</v>
      </c>
      <c r="C1813" s="13">
        <v>11.4</v>
      </c>
      <c r="D1813" s="14">
        <v>0.6</v>
      </c>
      <c r="E1813">
        <f t="shared" si="28"/>
        <v>2038</v>
      </c>
      <c r="F1813" s="18">
        <v>1</v>
      </c>
    </row>
    <row r="1814" spans="1:6" x14ac:dyDescent="0.35">
      <c r="A1814" s="7">
        <v>50453</v>
      </c>
      <c r="B1814" s="8" t="s">
        <v>11</v>
      </c>
      <c r="C1814" s="9">
        <v>28.8</v>
      </c>
      <c r="D1814" s="10">
        <v>14.1</v>
      </c>
      <c r="E1814">
        <f t="shared" si="28"/>
        <v>2038</v>
      </c>
      <c r="F1814" s="18">
        <v>1</v>
      </c>
    </row>
    <row r="1815" spans="1:6" x14ac:dyDescent="0.35">
      <c r="A1815" s="11">
        <v>50454</v>
      </c>
      <c r="B1815" s="12" t="s">
        <v>10</v>
      </c>
      <c r="C1815" s="13">
        <v>11.8</v>
      </c>
      <c r="D1815" s="14">
        <v>42.4</v>
      </c>
      <c r="E1815">
        <f t="shared" si="28"/>
        <v>2038</v>
      </c>
      <c r="F1815" s="18">
        <v>1</v>
      </c>
    </row>
    <row r="1816" spans="1:6" x14ac:dyDescent="0.35">
      <c r="A1816" s="7">
        <v>50455</v>
      </c>
      <c r="B1816" s="8" t="s">
        <v>7</v>
      </c>
      <c r="C1816" s="9">
        <v>11.5</v>
      </c>
      <c r="D1816" s="10">
        <v>10.1</v>
      </c>
      <c r="E1816">
        <f t="shared" si="28"/>
        <v>2038</v>
      </c>
      <c r="F1816" s="18">
        <v>1</v>
      </c>
    </row>
    <row r="1817" spans="1:6" x14ac:dyDescent="0.35">
      <c r="A1817" s="11">
        <v>50456</v>
      </c>
      <c r="B1817" s="12" t="s">
        <v>13</v>
      </c>
      <c r="C1817" s="13">
        <v>13.6</v>
      </c>
      <c r="D1817" s="14">
        <v>8.4</v>
      </c>
      <c r="E1817">
        <f t="shared" si="28"/>
        <v>2038</v>
      </c>
      <c r="F1817" s="18">
        <v>1</v>
      </c>
    </row>
    <row r="1818" spans="1:6" x14ac:dyDescent="0.35">
      <c r="A1818" s="7">
        <v>50457</v>
      </c>
      <c r="B1818" s="8" t="s">
        <v>31</v>
      </c>
      <c r="C1818" s="9">
        <v>14.1</v>
      </c>
      <c r="D1818" s="10">
        <v>0.7</v>
      </c>
      <c r="E1818">
        <f t="shared" si="28"/>
        <v>2038</v>
      </c>
      <c r="F1818" s="18">
        <v>1</v>
      </c>
    </row>
    <row r="1819" spans="1:6" x14ac:dyDescent="0.35">
      <c r="A1819" s="11">
        <v>50458</v>
      </c>
      <c r="B1819" s="12" t="s">
        <v>19</v>
      </c>
      <c r="C1819" s="13">
        <v>19.399999999999999</v>
      </c>
      <c r="D1819" s="14">
        <v>32.700000000000003</v>
      </c>
      <c r="E1819">
        <f t="shared" si="28"/>
        <v>2038</v>
      </c>
      <c r="F1819" s="18">
        <v>1</v>
      </c>
    </row>
    <row r="1820" spans="1:6" x14ac:dyDescent="0.35">
      <c r="A1820" s="7">
        <v>50459</v>
      </c>
      <c r="B1820" s="8" t="s">
        <v>33</v>
      </c>
      <c r="C1820" s="9">
        <v>28.5</v>
      </c>
      <c r="D1820" s="10">
        <v>0</v>
      </c>
      <c r="E1820">
        <f t="shared" si="28"/>
        <v>2038</v>
      </c>
      <c r="F1820" s="18">
        <v>1</v>
      </c>
    </row>
    <row r="1821" spans="1:6" x14ac:dyDescent="0.35">
      <c r="A1821" s="11">
        <v>50460</v>
      </c>
      <c r="B1821" s="12" t="s">
        <v>19</v>
      </c>
      <c r="C1821" s="13">
        <v>23.7</v>
      </c>
      <c r="D1821" s="14">
        <v>12.2</v>
      </c>
      <c r="E1821">
        <f t="shared" si="28"/>
        <v>2038</v>
      </c>
      <c r="F1821" s="18">
        <v>1</v>
      </c>
    </row>
    <row r="1822" spans="1:6" x14ac:dyDescent="0.35">
      <c r="A1822" s="7">
        <v>50461</v>
      </c>
      <c r="B1822" s="8" t="s">
        <v>20</v>
      </c>
      <c r="C1822" s="9">
        <v>21.7</v>
      </c>
      <c r="D1822" s="10">
        <v>0</v>
      </c>
      <c r="E1822">
        <f t="shared" si="28"/>
        <v>2038</v>
      </c>
      <c r="F1822" s="18">
        <v>1</v>
      </c>
    </row>
    <row r="1823" spans="1:6" x14ac:dyDescent="0.35">
      <c r="A1823" s="11">
        <v>50462</v>
      </c>
      <c r="B1823" s="12" t="s">
        <v>6</v>
      </c>
      <c r="C1823" s="13">
        <v>13.3</v>
      </c>
      <c r="D1823" s="14">
        <v>0</v>
      </c>
      <c r="E1823">
        <f t="shared" si="28"/>
        <v>2038</v>
      </c>
      <c r="F1823" s="18">
        <v>1</v>
      </c>
    </row>
    <row r="1824" spans="1:6" x14ac:dyDescent="0.35">
      <c r="A1824" s="7">
        <v>50463</v>
      </c>
      <c r="B1824" s="8" t="s">
        <v>9</v>
      </c>
      <c r="C1824" s="9">
        <v>14.4</v>
      </c>
      <c r="D1824" s="10">
        <v>0</v>
      </c>
      <c r="E1824">
        <f t="shared" si="28"/>
        <v>2038</v>
      </c>
      <c r="F1824" s="18">
        <v>1</v>
      </c>
    </row>
    <row r="1825" spans="1:6" x14ac:dyDescent="0.35">
      <c r="A1825" s="11">
        <v>50464</v>
      </c>
      <c r="B1825" s="12" t="s">
        <v>11</v>
      </c>
      <c r="C1825" s="13">
        <v>28.5</v>
      </c>
      <c r="D1825" s="14">
        <v>21.5</v>
      </c>
      <c r="E1825">
        <f t="shared" si="28"/>
        <v>2038</v>
      </c>
      <c r="F1825" s="18">
        <v>1</v>
      </c>
    </row>
    <row r="1826" spans="1:6" x14ac:dyDescent="0.35">
      <c r="A1826" s="7">
        <v>50465</v>
      </c>
      <c r="B1826" s="8" t="s">
        <v>19</v>
      </c>
      <c r="C1826" s="9">
        <v>20.5</v>
      </c>
      <c r="D1826" s="10">
        <v>0</v>
      </c>
      <c r="E1826">
        <f t="shared" si="28"/>
        <v>2038</v>
      </c>
      <c r="F1826" s="18">
        <v>1</v>
      </c>
    </row>
    <row r="1827" spans="1:6" x14ac:dyDescent="0.35">
      <c r="A1827" s="11">
        <v>50466</v>
      </c>
      <c r="B1827" s="12" t="s">
        <v>10</v>
      </c>
      <c r="C1827" s="13">
        <v>11.4</v>
      </c>
      <c r="D1827" s="14">
        <v>39</v>
      </c>
      <c r="E1827">
        <f t="shared" si="28"/>
        <v>2038</v>
      </c>
      <c r="F1827" s="18">
        <v>1</v>
      </c>
    </row>
    <row r="1828" spans="1:6" x14ac:dyDescent="0.35">
      <c r="A1828" s="7">
        <v>50467</v>
      </c>
      <c r="B1828" s="8" t="s">
        <v>9</v>
      </c>
      <c r="C1828" s="9">
        <v>12.5</v>
      </c>
      <c r="D1828" s="10">
        <v>0</v>
      </c>
      <c r="E1828">
        <f t="shared" si="28"/>
        <v>2038</v>
      </c>
      <c r="F1828" s="18">
        <v>1</v>
      </c>
    </row>
    <row r="1829" spans="1:6" x14ac:dyDescent="0.35">
      <c r="A1829" s="11">
        <v>50468</v>
      </c>
      <c r="B1829" s="12" t="s">
        <v>15</v>
      </c>
      <c r="C1829" s="13">
        <v>16.600000000000001</v>
      </c>
      <c r="D1829" s="14">
        <v>4.5999999999999996</v>
      </c>
      <c r="E1829">
        <f t="shared" si="28"/>
        <v>2038</v>
      </c>
      <c r="F1829" s="18">
        <v>1</v>
      </c>
    </row>
    <row r="1830" spans="1:6" x14ac:dyDescent="0.35">
      <c r="A1830" s="7">
        <v>50469</v>
      </c>
      <c r="B1830" s="8" t="s">
        <v>15</v>
      </c>
      <c r="C1830" s="9">
        <v>10.6</v>
      </c>
      <c r="D1830" s="10">
        <v>11.3</v>
      </c>
      <c r="E1830">
        <f t="shared" si="28"/>
        <v>2038</v>
      </c>
      <c r="F1830" s="18">
        <v>1</v>
      </c>
    </row>
    <row r="1831" spans="1:6" x14ac:dyDescent="0.35">
      <c r="A1831" s="11">
        <v>50470</v>
      </c>
      <c r="B1831" s="12" t="s">
        <v>7</v>
      </c>
      <c r="C1831" s="13">
        <v>27.9</v>
      </c>
      <c r="D1831" s="14">
        <v>16.100000000000001</v>
      </c>
      <c r="E1831">
        <f t="shared" si="28"/>
        <v>2038</v>
      </c>
      <c r="F1831" s="18">
        <v>1</v>
      </c>
    </row>
    <row r="1832" spans="1:6" x14ac:dyDescent="0.35">
      <c r="A1832" s="7">
        <v>50471</v>
      </c>
      <c r="B1832" s="8" t="s">
        <v>10</v>
      </c>
      <c r="C1832" s="9">
        <v>11.1</v>
      </c>
      <c r="D1832" s="10">
        <v>28.2</v>
      </c>
      <c r="E1832">
        <f t="shared" si="28"/>
        <v>2038</v>
      </c>
      <c r="F1832" s="18">
        <v>1</v>
      </c>
    </row>
    <row r="1833" spans="1:6" x14ac:dyDescent="0.35">
      <c r="A1833" s="11">
        <v>50472</v>
      </c>
      <c r="B1833" s="12" t="s">
        <v>7</v>
      </c>
      <c r="C1833" s="13">
        <v>21.5</v>
      </c>
      <c r="D1833" s="14">
        <v>12.8</v>
      </c>
      <c r="E1833">
        <f t="shared" si="28"/>
        <v>2038</v>
      </c>
      <c r="F1833" s="18">
        <v>1</v>
      </c>
    </row>
    <row r="1834" spans="1:6" x14ac:dyDescent="0.35">
      <c r="A1834" s="7">
        <v>50473</v>
      </c>
      <c r="B1834" s="8" t="s">
        <v>6</v>
      </c>
      <c r="C1834" s="9">
        <v>28.4</v>
      </c>
      <c r="D1834" s="10">
        <v>4.5999999999999996</v>
      </c>
      <c r="E1834">
        <f t="shared" si="28"/>
        <v>2038</v>
      </c>
      <c r="F1834" s="18">
        <v>1</v>
      </c>
    </row>
    <row r="1835" spans="1:6" x14ac:dyDescent="0.35">
      <c r="A1835" s="11">
        <v>50474</v>
      </c>
      <c r="B1835" s="12" t="s">
        <v>22</v>
      </c>
      <c r="C1835" s="13">
        <v>18.100000000000001</v>
      </c>
      <c r="D1835" s="14">
        <v>5.9</v>
      </c>
      <c r="E1835">
        <f t="shared" si="28"/>
        <v>2038</v>
      </c>
      <c r="F1835" s="18">
        <v>1</v>
      </c>
    </row>
    <row r="1836" spans="1:6" x14ac:dyDescent="0.35">
      <c r="A1836" s="7">
        <v>50475</v>
      </c>
      <c r="B1836" s="8" t="s">
        <v>20</v>
      </c>
      <c r="C1836" s="9">
        <v>25.3</v>
      </c>
      <c r="D1836" s="10">
        <v>0</v>
      </c>
      <c r="E1836">
        <f t="shared" si="28"/>
        <v>2038</v>
      </c>
      <c r="F1836" s="18">
        <v>1</v>
      </c>
    </row>
    <row r="1837" spans="1:6" x14ac:dyDescent="0.35">
      <c r="A1837" s="11">
        <v>50476</v>
      </c>
      <c r="B1837" s="12" t="s">
        <v>9</v>
      </c>
      <c r="C1837" s="13">
        <v>15.6</v>
      </c>
      <c r="D1837" s="14">
        <v>10.6</v>
      </c>
      <c r="E1837">
        <f t="shared" si="28"/>
        <v>2038</v>
      </c>
      <c r="F1837" s="18">
        <v>1</v>
      </c>
    </row>
    <row r="1838" spans="1:6" x14ac:dyDescent="0.35">
      <c r="A1838" s="7">
        <v>50477</v>
      </c>
      <c r="B1838" s="8" t="s">
        <v>19</v>
      </c>
      <c r="C1838" s="9">
        <v>19.899999999999999</v>
      </c>
      <c r="D1838" s="10">
        <v>0</v>
      </c>
      <c r="E1838">
        <f t="shared" si="28"/>
        <v>2038</v>
      </c>
      <c r="F1838" s="18">
        <v>1</v>
      </c>
    </row>
    <row r="1839" spans="1:6" x14ac:dyDescent="0.35">
      <c r="A1839" s="11">
        <v>50478</v>
      </c>
      <c r="B1839" s="12" t="s">
        <v>7</v>
      </c>
      <c r="C1839" s="13">
        <v>24.7</v>
      </c>
      <c r="D1839" s="14">
        <v>14.7</v>
      </c>
      <c r="E1839">
        <f t="shared" si="28"/>
        <v>2038</v>
      </c>
      <c r="F1839" s="18">
        <v>1</v>
      </c>
    </row>
    <row r="1840" spans="1:6" x14ac:dyDescent="0.35">
      <c r="A1840" s="7">
        <v>50479</v>
      </c>
      <c r="B1840" s="8" t="s">
        <v>23</v>
      </c>
      <c r="C1840" s="9">
        <v>21.9</v>
      </c>
      <c r="D1840" s="10">
        <v>5.6</v>
      </c>
      <c r="E1840">
        <f t="shared" si="28"/>
        <v>2038</v>
      </c>
      <c r="F1840" s="18">
        <v>1</v>
      </c>
    </row>
    <row r="1841" spans="1:6" x14ac:dyDescent="0.35">
      <c r="A1841" s="11">
        <v>50480</v>
      </c>
      <c r="B1841" s="12" t="s">
        <v>14</v>
      </c>
      <c r="C1841" s="13">
        <v>18</v>
      </c>
      <c r="D1841" s="14">
        <v>6.2</v>
      </c>
      <c r="E1841">
        <f t="shared" si="28"/>
        <v>2038</v>
      </c>
      <c r="F1841" s="18">
        <v>1</v>
      </c>
    </row>
    <row r="1842" spans="1:6" x14ac:dyDescent="0.35">
      <c r="A1842" s="7">
        <v>50481</v>
      </c>
      <c r="B1842" s="8" t="s">
        <v>29</v>
      </c>
      <c r="C1842" s="9">
        <v>24.5</v>
      </c>
      <c r="D1842" s="10">
        <v>0.6</v>
      </c>
      <c r="E1842">
        <f t="shared" si="28"/>
        <v>2038</v>
      </c>
      <c r="F1842" s="18">
        <v>1</v>
      </c>
    </row>
    <row r="1843" spans="1:6" x14ac:dyDescent="0.35">
      <c r="A1843" s="11">
        <v>50482</v>
      </c>
      <c r="B1843" s="12" t="s">
        <v>8</v>
      </c>
      <c r="C1843" s="13">
        <v>10.9</v>
      </c>
      <c r="D1843" s="14">
        <v>0</v>
      </c>
      <c r="E1843">
        <f t="shared" si="28"/>
        <v>2038</v>
      </c>
      <c r="F1843" s="18">
        <v>1</v>
      </c>
    </row>
    <row r="1844" spans="1:6" x14ac:dyDescent="0.35">
      <c r="A1844" s="7">
        <v>50483</v>
      </c>
      <c r="B1844" s="8" t="s">
        <v>26</v>
      </c>
      <c r="C1844" s="9">
        <v>11.3</v>
      </c>
      <c r="D1844" s="10">
        <v>2.7</v>
      </c>
      <c r="E1844">
        <f t="shared" si="28"/>
        <v>2038</v>
      </c>
      <c r="F1844" s="18">
        <v>1</v>
      </c>
    </row>
    <row r="1845" spans="1:6" x14ac:dyDescent="0.35">
      <c r="A1845" s="11">
        <v>50484</v>
      </c>
      <c r="B1845" s="12" t="s">
        <v>10</v>
      </c>
      <c r="C1845" s="13">
        <v>13.2</v>
      </c>
      <c r="D1845" s="14">
        <v>30</v>
      </c>
      <c r="E1845">
        <f t="shared" si="28"/>
        <v>2038</v>
      </c>
      <c r="F1845" s="18">
        <v>1</v>
      </c>
    </row>
    <row r="1846" spans="1:6" x14ac:dyDescent="0.35">
      <c r="A1846" s="7">
        <v>50485</v>
      </c>
      <c r="B1846" s="8" t="s">
        <v>8</v>
      </c>
      <c r="C1846" s="9">
        <v>18.7</v>
      </c>
      <c r="D1846" s="10">
        <v>4.7</v>
      </c>
      <c r="E1846">
        <f t="shared" si="28"/>
        <v>2038</v>
      </c>
      <c r="F1846" s="18">
        <v>1</v>
      </c>
    </row>
    <row r="1847" spans="1:6" x14ac:dyDescent="0.35">
      <c r="A1847" s="11">
        <v>50486</v>
      </c>
      <c r="B1847" s="12" t="s">
        <v>8</v>
      </c>
      <c r="C1847" s="13">
        <v>12.1</v>
      </c>
      <c r="D1847" s="14">
        <v>1.5</v>
      </c>
      <c r="E1847">
        <f t="shared" si="28"/>
        <v>2038</v>
      </c>
      <c r="F1847" s="18">
        <v>1</v>
      </c>
    </row>
    <row r="1848" spans="1:6" x14ac:dyDescent="0.35">
      <c r="A1848" s="7">
        <v>50487</v>
      </c>
      <c r="B1848" s="8" t="s">
        <v>15</v>
      </c>
      <c r="C1848" s="9">
        <v>11.9</v>
      </c>
      <c r="D1848" s="10">
        <v>1.3</v>
      </c>
      <c r="E1848">
        <f t="shared" si="28"/>
        <v>2038</v>
      </c>
      <c r="F1848" s="18">
        <v>1</v>
      </c>
    </row>
    <row r="1849" spans="1:6" x14ac:dyDescent="0.35">
      <c r="A1849" s="11">
        <v>50488</v>
      </c>
      <c r="B1849" s="12" t="s">
        <v>26</v>
      </c>
      <c r="C1849" s="13">
        <v>17.7</v>
      </c>
      <c r="D1849" s="14">
        <v>2.6</v>
      </c>
      <c r="E1849">
        <f t="shared" si="28"/>
        <v>2038</v>
      </c>
      <c r="F1849" s="18">
        <v>1</v>
      </c>
    </row>
    <row r="1850" spans="1:6" x14ac:dyDescent="0.35">
      <c r="A1850" s="7">
        <v>50489</v>
      </c>
      <c r="B1850" s="8" t="s">
        <v>21</v>
      </c>
      <c r="C1850" s="9">
        <v>25.9</v>
      </c>
      <c r="D1850" s="10">
        <v>0.8</v>
      </c>
      <c r="E1850">
        <f t="shared" si="28"/>
        <v>2038</v>
      </c>
      <c r="F1850" s="18">
        <v>1</v>
      </c>
    </row>
    <row r="1851" spans="1:6" x14ac:dyDescent="0.35">
      <c r="A1851" s="11">
        <v>50490</v>
      </c>
      <c r="B1851" s="12" t="s">
        <v>6</v>
      </c>
      <c r="C1851" s="13">
        <v>27.7</v>
      </c>
      <c r="D1851" s="14">
        <v>0</v>
      </c>
      <c r="E1851">
        <f t="shared" si="28"/>
        <v>2038</v>
      </c>
      <c r="F1851" s="18">
        <v>1</v>
      </c>
    </row>
    <row r="1852" spans="1:6" x14ac:dyDescent="0.35">
      <c r="A1852" s="7">
        <v>50491</v>
      </c>
      <c r="B1852" s="8" t="s">
        <v>13</v>
      </c>
      <c r="C1852" s="9">
        <v>13.3</v>
      </c>
      <c r="D1852" s="10">
        <v>13.3</v>
      </c>
      <c r="E1852">
        <f t="shared" si="28"/>
        <v>2038</v>
      </c>
      <c r="F1852" s="18">
        <v>1</v>
      </c>
    </row>
    <row r="1853" spans="1:6" x14ac:dyDescent="0.35">
      <c r="A1853" s="11">
        <v>50492</v>
      </c>
      <c r="B1853" s="12" t="s">
        <v>19</v>
      </c>
      <c r="C1853" s="13">
        <v>11.7</v>
      </c>
      <c r="D1853" s="14">
        <v>4.9000000000000004</v>
      </c>
      <c r="E1853">
        <f t="shared" si="28"/>
        <v>2038</v>
      </c>
      <c r="F1853" s="18">
        <v>1</v>
      </c>
    </row>
    <row r="1854" spans="1:6" x14ac:dyDescent="0.35">
      <c r="A1854" s="7">
        <v>50493</v>
      </c>
      <c r="B1854" s="8" t="s">
        <v>26</v>
      </c>
      <c r="C1854" s="9">
        <v>26.5</v>
      </c>
      <c r="D1854" s="10">
        <v>4.5</v>
      </c>
      <c r="E1854">
        <f t="shared" si="28"/>
        <v>2038</v>
      </c>
      <c r="F1854" s="18">
        <v>1</v>
      </c>
    </row>
    <row r="1855" spans="1:6" x14ac:dyDescent="0.35">
      <c r="A1855" s="11">
        <v>50494</v>
      </c>
      <c r="B1855" s="12" t="s">
        <v>27</v>
      </c>
      <c r="C1855" s="13">
        <v>18.7</v>
      </c>
      <c r="D1855" s="14">
        <v>2.2999999999999998</v>
      </c>
      <c r="E1855">
        <f t="shared" si="28"/>
        <v>2038</v>
      </c>
      <c r="F1855" s="18">
        <v>1</v>
      </c>
    </row>
    <row r="1856" spans="1:6" x14ac:dyDescent="0.35">
      <c r="A1856" s="7">
        <v>50495</v>
      </c>
      <c r="B1856" s="8" t="s">
        <v>22</v>
      </c>
      <c r="C1856" s="9">
        <v>11.7</v>
      </c>
      <c r="D1856" s="10">
        <v>6</v>
      </c>
      <c r="E1856">
        <f t="shared" si="28"/>
        <v>2038</v>
      </c>
      <c r="F1856" s="18">
        <v>1</v>
      </c>
    </row>
    <row r="1857" spans="1:6" x14ac:dyDescent="0.35">
      <c r="A1857" s="11">
        <v>50496</v>
      </c>
      <c r="B1857" s="12" t="s">
        <v>19</v>
      </c>
      <c r="C1857" s="13">
        <v>27.5</v>
      </c>
      <c r="D1857" s="14">
        <v>22.6</v>
      </c>
      <c r="E1857">
        <f t="shared" si="28"/>
        <v>2038</v>
      </c>
      <c r="F1857" s="18">
        <v>1</v>
      </c>
    </row>
    <row r="1858" spans="1:6" x14ac:dyDescent="0.35">
      <c r="A1858" s="7">
        <v>50497</v>
      </c>
      <c r="B1858" s="8" t="s">
        <v>27</v>
      </c>
      <c r="C1858" s="9">
        <v>27.4</v>
      </c>
      <c r="D1858" s="10">
        <v>0</v>
      </c>
      <c r="E1858">
        <f t="shared" si="28"/>
        <v>2038</v>
      </c>
      <c r="F1858" s="18">
        <v>1</v>
      </c>
    </row>
    <row r="1859" spans="1:6" x14ac:dyDescent="0.35">
      <c r="A1859" s="11">
        <v>50498</v>
      </c>
      <c r="B1859" s="12" t="s">
        <v>11</v>
      </c>
      <c r="C1859" s="13">
        <v>14.8</v>
      </c>
      <c r="D1859" s="14">
        <v>0</v>
      </c>
      <c r="E1859">
        <f t="shared" ref="E1859:E1922" si="29">YEAR(A1859)</f>
        <v>2038</v>
      </c>
      <c r="F1859" s="18">
        <v>1</v>
      </c>
    </row>
    <row r="1860" spans="1:6" x14ac:dyDescent="0.35">
      <c r="A1860" s="7">
        <v>50499</v>
      </c>
      <c r="B1860" s="8" t="s">
        <v>17</v>
      </c>
      <c r="C1860" s="9">
        <v>26.2</v>
      </c>
      <c r="D1860" s="10">
        <v>0</v>
      </c>
      <c r="E1860">
        <f t="shared" si="29"/>
        <v>2038</v>
      </c>
      <c r="F1860" s="18">
        <v>1</v>
      </c>
    </row>
    <row r="1861" spans="1:6" x14ac:dyDescent="0.35">
      <c r="A1861" s="11">
        <v>50500</v>
      </c>
      <c r="B1861" s="12" t="s">
        <v>15</v>
      </c>
      <c r="C1861" s="13">
        <v>12.9</v>
      </c>
      <c r="D1861" s="14">
        <v>17.899999999999999</v>
      </c>
      <c r="E1861">
        <f t="shared" si="29"/>
        <v>2038</v>
      </c>
      <c r="F1861" s="18">
        <v>1</v>
      </c>
    </row>
    <row r="1862" spans="1:6" x14ac:dyDescent="0.35">
      <c r="A1862" s="7">
        <v>50501</v>
      </c>
      <c r="B1862" s="8" t="s">
        <v>25</v>
      </c>
      <c r="C1862" s="9">
        <v>12.5</v>
      </c>
      <c r="D1862" s="10">
        <v>0</v>
      </c>
      <c r="E1862">
        <f t="shared" si="29"/>
        <v>2038</v>
      </c>
      <c r="F1862" s="18">
        <v>1</v>
      </c>
    </row>
    <row r="1863" spans="1:6" x14ac:dyDescent="0.35">
      <c r="A1863" s="11">
        <v>50502</v>
      </c>
      <c r="B1863" s="12" t="s">
        <v>24</v>
      </c>
      <c r="C1863" s="13">
        <v>12.3</v>
      </c>
      <c r="D1863" s="14">
        <v>0</v>
      </c>
      <c r="E1863">
        <f t="shared" si="29"/>
        <v>2038</v>
      </c>
      <c r="F1863" s="18">
        <v>1</v>
      </c>
    </row>
    <row r="1864" spans="1:6" x14ac:dyDescent="0.35">
      <c r="A1864" s="7">
        <v>50503</v>
      </c>
      <c r="B1864" s="8" t="s">
        <v>5</v>
      </c>
      <c r="C1864" s="9">
        <v>19.399999999999999</v>
      </c>
      <c r="D1864" s="10">
        <v>0</v>
      </c>
      <c r="E1864">
        <f t="shared" si="29"/>
        <v>2038</v>
      </c>
      <c r="F1864" s="18">
        <v>1</v>
      </c>
    </row>
    <row r="1865" spans="1:6" x14ac:dyDescent="0.35">
      <c r="A1865" s="11">
        <v>50504</v>
      </c>
      <c r="B1865" s="12" t="s">
        <v>15</v>
      </c>
      <c r="C1865" s="13">
        <v>20.9</v>
      </c>
      <c r="D1865" s="14">
        <v>0</v>
      </c>
      <c r="E1865">
        <f t="shared" si="29"/>
        <v>2038</v>
      </c>
      <c r="F1865" s="18">
        <v>1</v>
      </c>
    </row>
    <row r="1866" spans="1:6" x14ac:dyDescent="0.35">
      <c r="A1866" s="7">
        <v>50505</v>
      </c>
      <c r="B1866" s="8" t="s">
        <v>9</v>
      </c>
      <c r="C1866" s="9">
        <v>10.4</v>
      </c>
      <c r="D1866" s="10">
        <v>0</v>
      </c>
      <c r="E1866">
        <f t="shared" si="29"/>
        <v>2038</v>
      </c>
      <c r="F1866" s="18">
        <v>1</v>
      </c>
    </row>
    <row r="1867" spans="1:6" x14ac:dyDescent="0.35">
      <c r="A1867" s="11">
        <v>50506</v>
      </c>
      <c r="B1867" s="12" t="s">
        <v>11</v>
      </c>
      <c r="C1867" s="13">
        <v>22.2</v>
      </c>
      <c r="D1867" s="14">
        <v>2.5</v>
      </c>
      <c r="E1867">
        <f t="shared" si="29"/>
        <v>2038</v>
      </c>
      <c r="F1867" s="18">
        <v>1</v>
      </c>
    </row>
    <row r="1868" spans="1:6" x14ac:dyDescent="0.35">
      <c r="A1868" s="7">
        <v>50507</v>
      </c>
      <c r="B1868" s="8" t="s">
        <v>10</v>
      </c>
      <c r="C1868" s="9">
        <v>16.8</v>
      </c>
      <c r="D1868" s="10">
        <v>0</v>
      </c>
      <c r="E1868">
        <f t="shared" si="29"/>
        <v>2038</v>
      </c>
      <c r="F1868" s="18">
        <v>1</v>
      </c>
    </row>
    <row r="1869" spans="1:6" x14ac:dyDescent="0.35">
      <c r="A1869" s="11">
        <v>50508</v>
      </c>
      <c r="B1869" s="12" t="s">
        <v>19</v>
      </c>
      <c r="C1869" s="13">
        <v>21.7</v>
      </c>
      <c r="D1869" s="14">
        <v>33.299999999999997</v>
      </c>
      <c r="E1869">
        <f t="shared" si="29"/>
        <v>2038</v>
      </c>
      <c r="F1869" s="18">
        <v>1</v>
      </c>
    </row>
    <row r="1870" spans="1:6" x14ac:dyDescent="0.35">
      <c r="A1870" s="7">
        <v>50509</v>
      </c>
      <c r="B1870" s="8" t="s">
        <v>11</v>
      </c>
      <c r="C1870" s="9">
        <v>10.199999999999999</v>
      </c>
      <c r="D1870" s="10">
        <v>16.600000000000001</v>
      </c>
      <c r="E1870">
        <f t="shared" si="29"/>
        <v>2038</v>
      </c>
      <c r="F1870" s="18">
        <v>1</v>
      </c>
    </row>
    <row r="1871" spans="1:6" x14ac:dyDescent="0.35">
      <c r="A1871" s="11">
        <v>50510</v>
      </c>
      <c r="B1871" s="12" t="s">
        <v>10</v>
      </c>
      <c r="C1871" s="13">
        <v>16.5</v>
      </c>
      <c r="D1871" s="14">
        <v>0</v>
      </c>
      <c r="E1871">
        <f t="shared" si="29"/>
        <v>2038</v>
      </c>
      <c r="F1871" s="18">
        <v>1</v>
      </c>
    </row>
    <row r="1872" spans="1:6" x14ac:dyDescent="0.35">
      <c r="A1872" s="7">
        <v>50511</v>
      </c>
      <c r="B1872" s="8" t="s">
        <v>16</v>
      </c>
      <c r="C1872" s="9">
        <v>29.1</v>
      </c>
      <c r="D1872" s="10">
        <v>0.5</v>
      </c>
      <c r="E1872">
        <f t="shared" si="29"/>
        <v>2038</v>
      </c>
      <c r="F1872" s="18">
        <v>1</v>
      </c>
    </row>
    <row r="1873" spans="1:6" x14ac:dyDescent="0.35">
      <c r="A1873" s="11">
        <v>50512</v>
      </c>
      <c r="B1873" s="12" t="s">
        <v>11</v>
      </c>
      <c r="C1873" s="13">
        <v>17.8</v>
      </c>
      <c r="D1873" s="14">
        <v>0</v>
      </c>
      <c r="E1873">
        <f t="shared" si="29"/>
        <v>2038</v>
      </c>
      <c r="F1873" s="18">
        <v>1</v>
      </c>
    </row>
    <row r="1874" spans="1:6" x14ac:dyDescent="0.35">
      <c r="A1874" s="7">
        <v>50513</v>
      </c>
      <c r="B1874" s="8" t="s">
        <v>10</v>
      </c>
      <c r="C1874" s="9">
        <v>10</v>
      </c>
      <c r="D1874" s="10">
        <v>0</v>
      </c>
      <c r="E1874">
        <f t="shared" si="29"/>
        <v>2038</v>
      </c>
      <c r="F1874" s="18">
        <v>1</v>
      </c>
    </row>
    <row r="1875" spans="1:6" x14ac:dyDescent="0.35">
      <c r="A1875" s="11">
        <v>50514</v>
      </c>
      <c r="B1875" s="12" t="s">
        <v>9</v>
      </c>
      <c r="C1875" s="13">
        <v>15.5</v>
      </c>
      <c r="D1875" s="14">
        <v>8.6</v>
      </c>
      <c r="E1875">
        <f t="shared" si="29"/>
        <v>2038</v>
      </c>
      <c r="F1875" s="18">
        <v>1</v>
      </c>
    </row>
    <row r="1876" spans="1:6" x14ac:dyDescent="0.35">
      <c r="A1876" s="7">
        <v>50515</v>
      </c>
      <c r="B1876" s="8" t="s">
        <v>10</v>
      </c>
      <c r="C1876" s="9">
        <v>15.3</v>
      </c>
      <c r="D1876" s="10">
        <v>21.4</v>
      </c>
      <c r="E1876">
        <f t="shared" si="29"/>
        <v>2038</v>
      </c>
      <c r="F1876" s="18">
        <v>1</v>
      </c>
    </row>
    <row r="1877" spans="1:6" x14ac:dyDescent="0.35">
      <c r="A1877" s="11">
        <v>50516</v>
      </c>
      <c r="B1877" s="12" t="s">
        <v>12</v>
      </c>
      <c r="C1877" s="13">
        <v>23.7</v>
      </c>
      <c r="D1877" s="14">
        <v>0</v>
      </c>
      <c r="E1877">
        <f t="shared" si="29"/>
        <v>2038</v>
      </c>
      <c r="F1877" s="18">
        <v>1</v>
      </c>
    </row>
    <row r="1878" spans="1:6" x14ac:dyDescent="0.35">
      <c r="A1878" s="7">
        <v>50517</v>
      </c>
      <c r="B1878" s="8" t="s">
        <v>11</v>
      </c>
      <c r="C1878" s="9">
        <v>26.1</v>
      </c>
      <c r="D1878" s="10">
        <v>12.5</v>
      </c>
      <c r="E1878">
        <f t="shared" si="29"/>
        <v>2038</v>
      </c>
      <c r="F1878" s="18">
        <v>1</v>
      </c>
    </row>
    <row r="1879" spans="1:6" x14ac:dyDescent="0.35">
      <c r="A1879" s="11">
        <v>50518</v>
      </c>
      <c r="B1879" s="12" t="s">
        <v>11</v>
      </c>
      <c r="C1879" s="13">
        <v>13.4</v>
      </c>
      <c r="D1879" s="14">
        <v>0</v>
      </c>
      <c r="E1879">
        <f t="shared" si="29"/>
        <v>2038</v>
      </c>
      <c r="F1879" s="18">
        <v>1</v>
      </c>
    </row>
    <row r="1880" spans="1:6" x14ac:dyDescent="0.35">
      <c r="A1880" s="7">
        <v>50519</v>
      </c>
      <c r="B1880" s="8" t="s">
        <v>5</v>
      </c>
      <c r="C1880" s="9">
        <v>17.8</v>
      </c>
      <c r="D1880" s="10">
        <v>3.7</v>
      </c>
      <c r="E1880">
        <f t="shared" si="29"/>
        <v>2038</v>
      </c>
      <c r="F1880" s="18">
        <v>1</v>
      </c>
    </row>
    <row r="1881" spans="1:6" x14ac:dyDescent="0.35">
      <c r="A1881" s="11">
        <v>50520</v>
      </c>
      <c r="B1881" s="12" t="s">
        <v>24</v>
      </c>
      <c r="C1881" s="13">
        <v>13</v>
      </c>
      <c r="D1881" s="14">
        <v>2.7</v>
      </c>
      <c r="E1881">
        <f t="shared" si="29"/>
        <v>2038</v>
      </c>
      <c r="F1881" s="18">
        <v>1</v>
      </c>
    </row>
    <row r="1882" spans="1:6" x14ac:dyDescent="0.35">
      <c r="A1882" s="7">
        <v>50521</v>
      </c>
      <c r="B1882" s="8" t="s">
        <v>7</v>
      </c>
      <c r="C1882" s="9">
        <v>28.2</v>
      </c>
      <c r="D1882" s="10">
        <v>0</v>
      </c>
      <c r="E1882">
        <f t="shared" si="29"/>
        <v>2038</v>
      </c>
      <c r="F1882" s="18">
        <v>1</v>
      </c>
    </row>
    <row r="1883" spans="1:6" x14ac:dyDescent="0.35">
      <c r="A1883" s="11">
        <v>50522</v>
      </c>
      <c r="B1883" s="12" t="s">
        <v>10</v>
      </c>
      <c r="C1883" s="13">
        <v>23</v>
      </c>
      <c r="D1883" s="14">
        <v>0</v>
      </c>
      <c r="E1883">
        <f t="shared" si="29"/>
        <v>2038</v>
      </c>
      <c r="F1883" s="18">
        <v>1</v>
      </c>
    </row>
    <row r="1884" spans="1:6" x14ac:dyDescent="0.35">
      <c r="A1884" s="7">
        <v>50523</v>
      </c>
      <c r="B1884" s="8" t="s">
        <v>7</v>
      </c>
      <c r="C1884" s="9">
        <v>21.5</v>
      </c>
      <c r="D1884" s="10">
        <v>0</v>
      </c>
      <c r="E1884">
        <f t="shared" si="29"/>
        <v>2038</v>
      </c>
      <c r="F1884" s="18">
        <v>1</v>
      </c>
    </row>
    <row r="1885" spans="1:6" x14ac:dyDescent="0.35">
      <c r="A1885" s="11">
        <v>50524</v>
      </c>
      <c r="B1885" s="12" t="s">
        <v>18</v>
      </c>
      <c r="C1885" s="13">
        <v>22.3</v>
      </c>
      <c r="D1885" s="14">
        <v>0</v>
      </c>
      <c r="E1885">
        <f t="shared" si="29"/>
        <v>2038</v>
      </c>
      <c r="F1885" s="18">
        <v>1</v>
      </c>
    </row>
    <row r="1886" spans="1:6" x14ac:dyDescent="0.35">
      <c r="A1886" s="7">
        <v>50525</v>
      </c>
      <c r="B1886" s="8" t="s">
        <v>10</v>
      </c>
      <c r="C1886" s="9">
        <v>28.2</v>
      </c>
      <c r="D1886" s="10">
        <v>0</v>
      </c>
      <c r="E1886">
        <f t="shared" si="29"/>
        <v>2038</v>
      </c>
      <c r="F1886" s="18">
        <v>1</v>
      </c>
    </row>
    <row r="1887" spans="1:6" x14ac:dyDescent="0.35">
      <c r="A1887" s="11">
        <v>50526</v>
      </c>
      <c r="B1887" s="12" t="s">
        <v>24</v>
      </c>
      <c r="C1887" s="13">
        <v>11.9</v>
      </c>
      <c r="D1887" s="14">
        <v>3.4</v>
      </c>
      <c r="E1887">
        <f t="shared" si="29"/>
        <v>2038</v>
      </c>
      <c r="F1887" s="18">
        <v>1</v>
      </c>
    </row>
    <row r="1888" spans="1:6" x14ac:dyDescent="0.35">
      <c r="A1888" s="7">
        <v>50527</v>
      </c>
      <c r="B1888" s="8" t="s">
        <v>18</v>
      </c>
      <c r="C1888" s="9">
        <v>20.9</v>
      </c>
      <c r="D1888" s="10">
        <v>7.5</v>
      </c>
      <c r="E1888">
        <f t="shared" si="29"/>
        <v>2038</v>
      </c>
      <c r="F1888" s="18">
        <v>1</v>
      </c>
    </row>
    <row r="1889" spans="1:6" x14ac:dyDescent="0.35">
      <c r="A1889" s="11">
        <v>50528</v>
      </c>
      <c r="B1889" s="12" t="s">
        <v>32</v>
      </c>
      <c r="C1889" s="13">
        <v>18.399999999999999</v>
      </c>
      <c r="D1889" s="14">
        <v>0.2</v>
      </c>
      <c r="E1889">
        <f t="shared" si="29"/>
        <v>2038</v>
      </c>
      <c r="F1889" s="18">
        <v>1</v>
      </c>
    </row>
    <row r="1890" spans="1:6" x14ac:dyDescent="0.35">
      <c r="A1890" s="7">
        <v>50529</v>
      </c>
      <c r="B1890" s="8" t="s">
        <v>10</v>
      </c>
      <c r="C1890" s="9">
        <v>27.8</v>
      </c>
      <c r="D1890" s="10">
        <v>35.9</v>
      </c>
      <c r="E1890">
        <f t="shared" si="29"/>
        <v>2038</v>
      </c>
      <c r="F1890" s="18">
        <v>1</v>
      </c>
    </row>
    <row r="1891" spans="1:6" x14ac:dyDescent="0.35">
      <c r="A1891" s="11">
        <v>50530</v>
      </c>
      <c r="B1891" s="12" t="s">
        <v>19</v>
      </c>
      <c r="C1891" s="13">
        <v>20.7</v>
      </c>
      <c r="D1891" s="14">
        <v>14.7</v>
      </c>
      <c r="E1891">
        <f t="shared" si="29"/>
        <v>2038</v>
      </c>
      <c r="F1891" s="18">
        <v>1</v>
      </c>
    </row>
    <row r="1892" spans="1:6" x14ac:dyDescent="0.35">
      <c r="A1892" s="7">
        <v>50531</v>
      </c>
      <c r="B1892" s="8" t="s">
        <v>5</v>
      </c>
      <c r="C1892" s="9">
        <v>13</v>
      </c>
      <c r="D1892" s="10">
        <v>0</v>
      </c>
      <c r="E1892">
        <f t="shared" si="29"/>
        <v>2038</v>
      </c>
      <c r="F1892" s="18">
        <v>1</v>
      </c>
    </row>
    <row r="1893" spans="1:6" x14ac:dyDescent="0.35">
      <c r="A1893" s="11">
        <v>50532</v>
      </c>
      <c r="B1893" s="12" t="s">
        <v>19</v>
      </c>
      <c r="C1893" s="13">
        <v>29.4</v>
      </c>
      <c r="D1893" s="14">
        <v>0</v>
      </c>
      <c r="E1893">
        <f t="shared" si="29"/>
        <v>2038</v>
      </c>
      <c r="F1893" s="18">
        <v>1</v>
      </c>
    </row>
    <row r="1894" spans="1:6" x14ac:dyDescent="0.35">
      <c r="A1894" s="7">
        <v>50533</v>
      </c>
      <c r="B1894" s="8" t="s">
        <v>6</v>
      </c>
      <c r="C1894" s="9">
        <v>19.8</v>
      </c>
      <c r="D1894" s="10">
        <v>13.9</v>
      </c>
      <c r="E1894">
        <f t="shared" si="29"/>
        <v>2038</v>
      </c>
      <c r="F1894" s="18">
        <v>1</v>
      </c>
    </row>
    <row r="1895" spans="1:6" x14ac:dyDescent="0.35">
      <c r="A1895" s="11">
        <v>50534</v>
      </c>
      <c r="B1895" s="12" t="s">
        <v>11</v>
      </c>
      <c r="C1895" s="13">
        <v>10.9</v>
      </c>
      <c r="D1895" s="14">
        <v>17</v>
      </c>
      <c r="E1895">
        <f t="shared" si="29"/>
        <v>2038</v>
      </c>
      <c r="F1895" s="18">
        <v>1</v>
      </c>
    </row>
    <row r="1896" spans="1:6" x14ac:dyDescent="0.35">
      <c r="A1896" s="7">
        <v>50535</v>
      </c>
      <c r="B1896" s="8" t="s">
        <v>10</v>
      </c>
      <c r="C1896" s="9">
        <v>27.3</v>
      </c>
      <c r="D1896" s="10">
        <v>15.8</v>
      </c>
      <c r="E1896">
        <f t="shared" si="29"/>
        <v>2038</v>
      </c>
      <c r="F1896" s="18">
        <v>1</v>
      </c>
    </row>
    <row r="1897" spans="1:6" x14ac:dyDescent="0.35">
      <c r="A1897" s="11">
        <v>50536</v>
      </c>
      <c r="B1897" s="12" t="s">
        <v>19</v>
      </c>
      <c r="C1897" s="13">
        <v>16.399999999999999</v>
      </c>
      <c r="D1897" s="14">
        <v>0</v>
      </c>
      <c r="E1897">
        <f t="shared" si="29"/>
        <v>2038</v>
      </c>
      <c r="F1897" s="18">
        <v>1</v>
      </c>
    </row>
    <row r="1898" spans="1:6" x14ac:dyDescent="0.35">
      <c r="A1898" s="7">
        <v>50537</v>
      </c>
      <c r="B1898" s="8" t="s">
        <v>15</v>
      </c>
      <c r="C1898" s="9">
        <v>28</v>
      </c>
      <c r="D1898" s="10">
        <v>9.6999999999999993</v>
      </c>
      <c r="E1898">
        <f t="shared" si="29"/>
        <v>2038</v>
      </c>
      <c r="F1898" s="18">
        <v>1</v>
      </c>
    </row>
    <row r="1899" spans="1:6" x14ac:dyDescent="0.35">
      <c r="A1899" s="11">
        <v>50538</v>
      </c>
      <c r="B1899" s="12" t="s">
        <v>7</v>
      </c>
      <c r="C1899" s="13">
        <v>17.399999999999999</v>
      </c>
      <c r="D1899" s="14">
        <v>6.6</v>
      </c>
      <c r="E1899">
        <f t="shared" si="29"/>
        <v>2038</v>
      </c>
      <c r="F1899" s="18">
        <v>1</v>
      </c>
    </row>
    <row r="1900" spans="1:6" x14ac:dyDescent="0.35">
      <c r="A1900" s="7">
        <v>50539</v>
      </c>
      <c r="B1900" s="8" t="s">
        <v>8</v>
      </c>
      <c r="C1900" s="9">
        <v>25.7</v>
      </c>
      <c r="D1900" s="10">
        <v>0.7</v>
      </c>
      <c r="E1900">
        <f t="shared" si="29"/>
        <v>2038</v>
      </c>
      <c r="F1900" s="18">
        <v>1</v>
      </c>
    </row>
    <row r="1901" spans="1:6" x14ac:dyDescent="0.35">
      <c r="A1901" s="11">
        <v>50540</v>
      </c>
      <c r="B1901" s="12" t="s">
        <v>19</v>
      </c>
      <c r="C1901" s="13">
        <v>20.100000000000001</v>
      </c>
      <c r="D1901" s="14">
        <v>11</v>
      </c>
      <c r="E1901">
        <f t="shared" si="29"/>
        <v>2038</v>
      </c>
      <c r="F1901" s="18">
        <v>1</v>
      </c>
    </row>
    <row r="1902" spans="1:6" x14ac:dyDescent="0.35">
      <c r="A1902" s="7">
        <v>50541</v>
      </c>
      <c r="B1902" s="8" t="s">
        <v>19</v>
      </c>
      <c r="C1902" s="9">
        <v>17.899999999999999</v>
      </c>
      <c r="D1902" s="10">
        <v>0</v>
      </c>
      <c r="E1902">
        <f t="shared" si="29"/>
        <v>2038</v>
      </c>
      <c r="F1902" s="18">
        <v>1</v>
      </c>
    </row>
    <row r="1903" spans="1:6" x14ac:dyDescent="0.35">
      <c r="A1903" s="11">
        <v>50542</v>
      </c>
      <c r="B1903" s="12" t="s">
        <v>11</v>
      </c>
      <c r="C1903" s="13">
        <v>10.7</v>
      </c>
      <c r="D1903" s="14">
        <v>6.4</v>
      </c>
      <c r="E1903">
        <f t="shared" si="29"/>
        <v>2038</v>
      </c>
      <c r="F1903" s="18">
        <v>1</v>
      </c>
    </row>
    <row r="1904" spans="1:6" x14ac:dyDescent="0.35">
      <c r="A1904" s="7">
        <v>50543</v>
      </c>
      <c r="B1904" s="8" t="s">
        <v>9</v>
      </c>
      <c r="C1904" s="9">
        <v>20.399999999999999</v>
      </c>
      <c r="D1904" s="10">
        <v>0</v>
      </c>
      <c r="E1904">
        <f t="shared" si="29"/>
        <v>2038</v>
      </c>
      <c r="F1904" s="18">
        <v>1</v>
      </c>
    </row>
    <row r="1905" spans="1:6" x14ac:dyDescent="0.35">
      <c r="A1905" s="11">
        <v>50544</v>
      </c>
      <c r="B1905" s="12" t="s">
        <v>12</v>
      </c>
      <c r="C1905" s="13">
        <v>25.4</v>
      </c>
      <c r="D1905" s="14">
        <v>1</v>
      </c>
      <c r="E1905">
        <f t="shared" si="29"/>
        <v>2038</v>
      </c>
      <c r="F1905" s="18">
        <v>1</v>
      </c>
    </row>
    <row r="1906" spans="1:6" x14ac:dyDescent="0.35">
      <c r="A1906" s="7">
        <v>50545</v>
      </c>
      <c r="B1906" s="8" t="s">
        <v>8</v>
      </c>
      <c r="C1906" s="9">
        <v>10.9</v>
      </c>
      <c r="D1906" s="10">
        <v>0.2</v>
      </c>
      <c r="E1906">
        <f t="shared" si="29"/>
        <v>2038</v>
      </c>
      <c r="F1906" s="18">
        <v>1</v>
      </c>
    </row>
    <row r="1907" spans="1:6" x14ac:dyDescent="0.35">
      <c r="A1907" s="11">
        <v>50546</v>
      </c>
      <c r="B1907" s="12" t="s">
        <v>27</v>
      </c>
      <c r="C1907" s="13">
        <v>18.5</v>
      </c>
      <c r="D1907" s="14">
        <v>0.5</v>
      </c>
      <c r="E1907">
        <f t="shared" si="29"/>
        <v>2038</v>
      </c>
      <c r="F1907" s="18">
        <v>1</v>
      </c>
    </row>
    <row r="1908" spans="1:6" x14ac:dyDescent="0.35">
      <c r="A1908" s="7">
        <v>50547</v>
      </c>
      <c r="B1908" s="8" t="s">
        <v>10</v>
      </c>
      <c r="C1908" s="9">
        <v>14.8</v>
      </c>
      <c r="D1908" s="10">
        <v>50.3</v>
      </c>
      <c r="E1908">
        <f t="shared" si="29"/>
        <v>2038</v>
      </c>
      <c r="F1908" s="18">
        <v>1</v>
      </c>
    </row>
    <row r="1909" spans="1:6" x14ac:dyDescent="0.35">
      <c r="A1909" s="11">
        <v>50548</v>
      </c>
      <c r="B1909" s="12" t="s">
        <v>18</v>
      </c>
      <c r="C1909" s="13">
        <v>28.5</v>
      </c>
      <c r="D1909" s="14">
        <v>0.7</v>
      </c>
      <c r="E1909">
        <f t="shared" si="29"/>
        <v>2038</v>
      </c>
      <c r="F1909" s="18">
        <v>1</v>
      </c>
    </row>
    <row r="1910" spans="1:6" x14ac:dyDescent="0.35">
      <c r="A1910" s="7">
        <v>50549</v>
      </c>
      <c r="B1910" s="8" t="s">
        <v>31</v>
      </c>
      <c r="C1910" s="9">
        <v>19.399999999999999</v>
      </c>
      <c r="D1910" s="10">
        <v>0</v>
      </c>
      <c r="E1910">
        <f t="shared" si="29"/>
        <v>2038</v>
      </c>
      <c r="F1910" s="18">
        <v>1</v>
      </c>
    </row>
    <row r="1911" spans="1:6" x14ac:dyDescent="0.35">
      <c r="A1911" s="11">
        <v>50550</v>
      </c>
      <c r="B1911" s="12" t="s">
        <v>23</v>
      </c>
      <c r="C1911" s="13">
        <v>20.7</v>
      </c>
      <c r="D1911" s="14">
        <v>4.7</v>
      </c>
      <c r="E1911">
        <f t="shared" si="29"/>
        <v>2038</v>
      </c>
      <c r="F1911" s="18">
        <v>1</v>
      </c>
    </row>
    <row r="1912" spans="1:6" x14ac:dyDescent="0.35">
      <c r="A1912" s="7">
        <v>50551</v>
      </c>
      <c r="B1912" s="8" t="s">
        <v>26</v>
      </c>
      <c r="C1912" s="9">
        <v>25.7</v>
      </c>
      <c r="D1912" s="10">
        <v>0</v>
      </c>
      <c r="E1912">
        <f t="shared" si="29"/>
        <v>2038</v>
      </c>
      <c r="F1912" s="18">
        <v>1</v>
      </c>
    </row>
    <row r="1913" spans="1:6" x14ac:dyDescent="0.35">
      <c r="A1913" s="11">
        <v>50552</v>
      </c>
      <c r="B1913" s="12" t="s">
        <v>19</v>
      </c>
      <c r="C1913" s="13">
        <v>21.4</v>
      </c>
      <c r="D1913" s="14">
        <v>0</v>
      </c>
      <c r="E1913">
        <f t="shared" si="29"/>
        <v>2038</v>
      </c>
      <c r="F1913" s="18">
        <v>1</v>
      </c>
    </row>
    <row r="1914" spans="1:6" x14ac:dyDescent="0.35">
      <c r="A1914" s="7">
        <v>50553</v>
      </c>
      <c r="B1914" s="8" t="s">
        <v>10</v>
      </c>
      <c r="C1914" s="9">
        <v>19.2</v>
      </c>
      <c r="D1914" s="10">
        <v>0</v>
      </c>
      <c r="E1914">
        <f t="shared" si="29"/>
        <v>2038</v>
      </c>
      <c r="F1914" s="18">
        <v>1</v>
      </c>
    </row>
    <row r="1915" spans="1:6" x14ac:dyDescent="0.35">
      <c r="A1915" s="11">
        <v>50554</v>
      </c>
      <c r="B1915" s="12" t="s">
        <v>18</v>
      </c>
      <c r="C1915" s="13">
        <v>19.399999999999999</v>
      </c>
      <c r="D1915" s="14">
        <v>14.2</v>
      </c>
      <c r="E1915">
        <f t="shared" si="29"/>
        <v>2038</v>
      </c>
      <c r="F1915" s="18">
        <v>1</v>
      </c>
    </row>
    <row r="1916" spans="1:6" x14ac:dyDescent="0.35">
      <c r="A1916" s="7">
        <v>50555</v>
      </c>
      <c r="B1916" s="8" t="s">
        <v>19</v>
      </c>
      <c r="C1916" s="9">
        <v>24.2</v>
      </c>
      <c r="D1916" s="10">
        <v>1.9</v>
      </c>
      <c r="E1916">
        <f t="shared" si="29"/>
        <v>2038</v>
      </c>
      <c r="F1916" s="18">
        <v>1</v>
      </c>
    </row>
    <row r="1917" spans="1:6" x14ac:dyDescent="0.35">
      <c r="A1917" s="11">
        <v>50556</v>
      </c>
      <c r="B1917" s="12" t="s">
        <v>7</v>
      </c>
      <c r="C1917" s="13">
        <v>27.7</v>
      </c>
      <c r="D1917" s="14">
        <v>19.5</v>
      </c>
      <c r="E1917">
        <f t="shared" si="29"/>
        <v>2038</v>
      </c>
      <c r="F1917" s="18">
        <v>1</v>
      </c>
    </row>
    <row r="1918" spans="1:6" x14ac:dyDescent="0.35">
      <c r="A1918" s="7">
        <v>50557</v>
      </c>
      <c r="B1918" s="8" t="s">
        <v>5</v>
      </c>
      <c r="C1918" s="9">
        <v>16.899999999999999</v>
      </c>
      <c r="D1918" s="10">
        <v>4.0999999999999996</v>
      </c>
      <c r="E1918">
        <f t="shared" si="29"/>
        <v>2038</v>
      </c>
      <c r="F1918" s="18">
        <v>1</v>
      </c>
    </row>
    <row r="1919" spans="1:6" x14ac:dyDescent="0.35">
      <c r="A1919" s="11">
        <v>50558</v>
      </c>
      <c r="B1919" s="12" t="s">
        <v>19</v>
      </c>
      <c r="C1919" s="13">
        <v>11.8</v>
      </c>
      <c r="D1919" s="14">
        <v>0</v>
      </c>
      <c r="E1919">
        <f t="shared" si="29"/>
        <v>2038</v>
      </c>
      <c r="F1919" s="18">
        <v>1</v>
      </c>
    </row>
    <row r="1920" spans="1:6" x14ac:dyDescent="0.35">
      <c r="A1920" s="7">
        <v>50559</v>
      </c>
      <c r="B1920" s="8" t="s">
        <v>12</v>
      </c>
      <c r="C1920" s="9">
        <v>15.7</v>
      </c>
      <c r="D1920" s="10">
        <v>9.4</v>
      </c>
      <c r="E1920">
        <f t="shared" si="29"/>
        <v>2038</v>
      </c>
      <c r="F1920" s="18">
        <v>1</v>
      </c>
    </row>
    <row r="1921" spans="1:6" x14ac:dyDescent="0.35">
      <c r="A1921" s="11">
        <v>50560</v>
      </c>
      <c r="B1921" s="12" t="s">
        <v>6</v>
      </c>
      <c r="C1921" s="13">
        <v>14.2</v>
      </c>
      <c r="D1921" s="14">
        <v>0</v>
      </c>
      <c r="E1921">
        <f t="shared" si="29"/>
        <v>2038</v>
      </c>
      <c r="F1921" s="18">
        <v>1</v>
      </c>
    </row>
    <row r="1922" spans="1:6" x14ac:dyDescent="0.35">
      <c r="A1922" s="7">
        <v>50561</v>
      </c>
      <c r="B1922" s="8" t="s">
        <v>15</v>
      </c>
      <c r="C1922" s="9">
        <v>18.100000000000001</v>
      </c>
      <c r="D1922" s="10">
        <v>13.1</v>
      </c>
      <c r="E1922">
        <f t="shared" si="29"/>
        <v>2038</v>
      </c>
      <c r="F1922" s="18">
        <v>1</v>
      </c>
    </row>
    <row r="1923" spans="1:6" x14ac:dyDescent="0.35">
      <c r="A1923" s="11">
        <v>50562</v>
      </c>
      <c r="B1923" s="12" t="s">
        <v>19</v>
      </c>
      <c r="C1923" s="13">
        <v>21.9</v>
      </c>
      <c r="D1923" s="14">
        <v>27.5</v>
      </c>
      <c r="E1923">
        <f t="shared" ref="E1923:E1986" si="30">YEAR(A1923)</f>
        <v>2038</v>
      </c>
      <c r="F1923" s="18">
        <v>1</v>
      </c>
    </row>
    <row r="1924" spans="1:6" x14ac:dyDescent="0.35">
      <c r="A1924" s="7">
        <v>50563</v>
      </c>
      <c r="B1924" s="8" t="s">
        <v>10</v>
      </c>
      <c r="C1924" s="9">
        <v>28</v>
      </c>
      <c r="D1924" s="10">
        <v>2.1</v>
      </c>
      <c r="E1924">
        <f t="shared" si="30"/>
        <v>2038</v>
      </c>
      <c r="F1924" s="18">
        <v>1</v>
      </c>
    </row>
    <row r="1925" spans="1:6" x14ac:dyDescent="0.35">
      <c r="A1925" s="11">
        <v>50564</v>
      </c>
      <c r="B1925" s="12" t="s">
        <v>13</v>
      </c>
      <c r="C1925" s="13">
        <v>14.2</v>
      </c>
      <c r="D1925" s="14">
        <v>7</v>
      </c>
      <c r="E1925">
        <f t="shared" si="30"/>
        <v>2038</v>
      </c>
      <c r="F1925" s="18">
        <v>1</v>
      </c>
    </row>
    <row r="1926" spans="1:6" x14ac:dyDescent="0.35">
      <c r="A1926" s="7">
        <v>50565</v>
      </c>
      <c r="B1926" s="8" t="s">
        <v>13</v>
      </c>
      <c r="C1926" s="9">
        <v>11.1</v>
      </c>
      <c r="D1926" s="10">
        <v>0</v>
      </c>
      <c r="E1926">
        <f t="shared" si="30"/>
        <v>2038</v>
      </c>
      <c r="F1926" s="18">
        <v>1</v>
      </c>
    </row>
    <row r="1927" spans="1:6" x14ac:dyDescent="0.35">
      <c r="A1927" s="11">
        <v>50566</v>
      </c>
      <c r="B1927" s="12" t="s">
        <v>14</v>
      </c>
      <c r="C1927" s="13">
        <v>11.8</v>
      </c>
      <c r="D1927" s="14">
        <v>6</v>
      </c>
      <c r="E1927">
        <f t="shared" si="30"/>
        <v>2038</v>
      </c>
      <c r="F1927" s="18">
        <v>1</v>
      </c>
    </row>
    <row r="1928" spans="1:6" x14ac:dyDescent="0.35">
      <c r="A1928" s="7">
        <v>50567</v>
      </c>
      <c r="B1928" s="8" t="s">
        <v>33</v>
      </c>
      <c r="C1928" s="9">
        <v>26.8</v>
      </c>
      <c r="D1928" s="10">
        <v>0.9</v>
      </c>
      <c r="E1928">
        <f t="shared" si="30"/>
        <v>2038</v>
      </c>
      <c r="F1928" s="18">
        <v>1</v>
      </c>
    </row>
    <row r="1929" spans="1:6" x14ac:dyDescent="0.35">
      <c r="A1929" s="11">
        <v>50568</v>
      </c>
      <c r="B1929" s="12" t="s">
        <v>10</v>
      </c>
      <c r="C1929" s="13">
        <v>27.3</v>
      </c>
      <c r="D1929" s="14">
        <v>44.5</v>
      </c>
      <c r="E1929">
        <f t="shared" si="30"/>
        <v>2038</v>
      </c>
      <c r="F1929" s="18">
        <v>1</v>
      </c>
    </row>
    <row r="1930" spans="1:6" x14ac:dyDescent="0.35">
      <c r="A1930" s="7">
        <v>50569</v>
      </c>
      <c r="B1930" s="8" t="s">
        <v>8</v>
      </c>
      <c r="C1930" s="9">
        <v>14.3</v>
      </c>
      <c r="D1930" s="10">
        <v>3.7</v>
      </c>
      <c r="E1930">
        <f t="shared" si="30"/>
        <v>2038</v>
      </c>
      <c r="F1930" s="18">
        <v>1</v>
      </c>
    </row>
    <row r="1931" spans="1:6" x14ac:dyDescent="0.35">
      <c r="A1931" s="11">
        <v>50570</v>
      </c>
      <c r="B1931" s="12" t="s">
        <v>5</v>
      </c>
      <c r="C1931" s="13">
        <v>19.399999999999999</v>
      </c>
      <c r="D1931" s="14">
        <v>0</v>
      </c>
      <c r="E1931">
        <f t="shared" si="30"/>
        <v>2038</v>
      </c>
      <c r="F1931" s="18">
        <v>1</v>
      </c>
    </row>
    <row r="1932" spans="1:6" x14ac:dyDescent="0.35">
      <c r="A1932" s="7">
        <v>50571</v>
      </c>
      <c r="B1932" s="8" t="s">
        <v>19</v>
      </c>
      <c r="C1932" s="9">
        <v>26.5</v>
      </c>
      <c r="D1932" s="10">
        <v>0</v>
      </c>
      <c r="E1932">
        <f t="shared" si="30"/>
        <v>2038</v>
      </c>
      <c r="F1932" s="18">
        <v>1</v>
      </c>
    </row>
    <row r="1933" spans="1:6" x14ac:dyDescent="0.35">
      <c r="A1933" s="11">
        <v>50572</v>
      </c>
      <c r="B1933" s="12" t="s">
        <v>19</v>
      </c>
      <c r="C1933" s="13">
        <v>28.3</v>
      </c>
      <c r="D1933" s="14">
        <v>14.4</v>
      </c>
      <c r="E1933">
        <f t="shared" si="30"/>
        <v>2038</v>
      </c>
      <c r="F1933" s="18">
        <v>1</v>
      </c>
    </row>
    <row r="1934" spans="1:6" x14ac:dyDescent="0.35">
      <c r="A1934" s="7">
        <v>50573</v>
      </c>
      <c r="B1934" s="8" t="s">
        <v>27</v>
      </c>
      <c r="C1934" s="9">
        <v>19.8</v>
      </c>
      <c r="D1934" s="10">
        <v>0</v>
      </c>
      <c r="E1934">
        <f t="shared" si="30"/>
        <v>2038</v>
      </c>
      <c r="F1934" s="18">
        <v>1</v>
      </c>
    </row>
    <row r="1935" spans="1:6" x14ac:dyDescent="0.35">
      <c r="A1935" s="11">
        <v>50574</v>
      </c>
      <c r="B1935" s="12" t="s">
        <v>10</v>
      </c>
      <c r="C1935" s="13">
        <v>16</v>
      </c>
      <c r="D1935" s="14">
        <v>28.7</v>
      </c>
      <c r="E1935">
        <f t="shared" si="30"/>
        <v>2038</v>
      </c>
      <c r="F1935" s="18">
        <v>1</v>
      </c>
    </row>
    <row r="1936" spans="1:6" x14ac:dyDescent="0.35">
      <c r="A1936" s="7">
        <v>50575</v>
      </c>
      <c r="B1936" s="8" t="s">
        <v>19</v>
      </c>
      <c r="C1936" s="9">
        <v>14.5</v>
      </c>
      <c r="D1936" s="10">
        <v>12</v>
      </c>
      <c r="E1936">
        <f t="shared" si="30"/>
        <v>2038</v>
      </c>
      <c r="F1936" s="18">
        <v>1</v>
      </c>
    </row>
    <row r="1937" spans="1:6" x14ac:dyDescent="0.35">
      <c r="A1937" s="11">
        <v>50576</v>
      </c>
      <c r="B1937" s="12" t="s">
        <v>15</v>
      </c>
      <c r="C1937" s="13">
        <v>14.3</v>
      </c>
      <c r="D1937" s="14">
        <v>13</v>
      </c>
      <c r="E1937">
        <f t="shared" si="30"/>
        <v>2038</v>
      </c>
      <c r="F1937" s="18">
        <v>1</v>
      </c>
    </row>
    <row r="1938" spans="1:6" x14ac:dyDescent="0.35">
      <c r="A1938" s="7">
        <v>50577</v>
      </c>
      <c r="B1938" s="8" t="s">
        <v>18</v>
      </c>
      <c r="C1938" s="9">
        <v>12.7</v>
      </c>
      <c r="D1938" s="10">
        <v>10.7</v>
      </c>
      <c r="E1938">
        <f t="shared" si="30"/>
        <v>2038</v>
      </c>
      <c r="F1938" s="18">
        <v>1</v>
      </c>
    </row>
    <row r="1939" spans="1:6" x14ac:dyDescent="0.35">
      <c r="A1939" s="11">
        <v>50578</v>
      </c>
      <c r="B1939" s="12" t="s">
        <v>22</v>
      </c>
      <c r="C1939" s="13">
        <v>12.6</v>
      </c>
      <c r="D1939" s="14">
        <v>0</v>
      </c>
      <c r="E1939">
        <f t="shared" si="30"/>
        <v>2038</v>
      </c>
      <c r="F1939" s="18">
        <v>1</v>
      </c>
    </row>
    <row r="1940" spans="1:6" x14ac:dyDescent="0.35">
      <c r="A1940" s="7">
        <v>50579</v>
      </c>
      <c r="B1940" s="8" t="s">
        <v>26</v>
      </c>
      <c r="C1940" s="9">
        <v>19.899999999999999</v>
      </c>
      <c r="D1940" s="10">
        <v>6.6</v>
      </c>
      <c r="E1940">
        <f t="shared" si="30"/>
        <v>2038</v>
      </c>
      <c r="F1940" s="18">
        <v>1</v>
      </c>
    </row>
    <row r="1941" spans="1:6" x14ac:dyDescent="0.35">
      <c r="A1941" s="11">
        <v>50580</v>
      </c>
      <c r="B1941" s="12" t="s">
        <v>7</v>
      </c>
      <c r="C1941" s="13">
        <v>27.4</v>
      </c>
      <c r="D1941" s="14">
        <v>6.6</v>
      </c>
      <c r="E1941">
        <f t="shared" si="30"/>
        <v>2038</v>
      </c>
      <c r="F1941" s="18">
        <v>1</v>
      </c>
    </row>
    <row r="1942" spans="1:6" x14ac:dyDescent="0.35">
      <c r="A1942" s="7">
        <v>50581</v>
      </c>
      <c r="B1942" s="8" t="s">
        <v>19</v>
      </c>
      <c r="C1942" s="9">
        <v>27.4</v>
      </c>
      <c r="D1942" s="10">
        <v>0</v>
      </c>
      <c r="E1942">
        <f t="shared" si="30"/>
        <v>2038</v>
      </c>
      <c r="F1942" s="18">
        <v>1</v>
      </c>
    </row>
    <row r="1943" spans="1:6" x14ac:dyDescent="0.35">
      <c r="A1943" s="11">
        <v>50582</v>
      </c>
      <c r="B1943" s="12" t="s">
        <v>28</v>
      </c>
      <c r="C1943" s="13">
        <v>11.2</v>
      </c>
      <c r="D1943" s="14">
        <v>0.3</v>
      </c>
      <c r="E1943">
        <f t="shared" si="30"/>
        <v>2038</v>
      </c>
      <c r="F1943" s="18">
        <v>1</v>
      </c>
    </row>
    <row r="1944" spans="1:6" x14ac:dyDescent="0.35">
      <c r="A1944" s="7">
        <v>50583</v>
      </c>
      <c r="B1944" s="8" t="s">
        <v>11</v>
      </c>
      <c r="C1944" s="9">
        <v>19.899999999999999</v>
      </c>
      <c r="D1944" s="10">
        <v>19.399999999999999</v>
      </c>
      <c r="E1944">
        <f t="shared" si="30"/>
        <v>2038</v>
      </c>
      <c r="F1944" s="18">
        <v>1</v>
      </c>
    </row>
    <row r="1945" spans="1:6" x14ac:dyDescent="0.35">
      <c r="A1945" s="11">
        <v>50584</v>
      </c>
      <c r="B1945" s="12" t="s">
        <v>4</v>
      </c>
      <c r="C1945" s="13">
        <v>13</v>
      </c>
      <c r="D1945" s="14">
        <v>0.4</v>
      </c>
      <c r="E1945">
        <f t="shared" si="30"/>
        <v>2038</v>
      </c>
      <c r="F1945" s="18">
        <v>1</v>
      </c>
    </row>
    <row r="1946" spans="1:6" x14ac:dyDescent="0.35">
      <c r="A1946" s="7">
        <v>50585</v>
      </c>
      <c r="B1946" s="8" t="s">
        <v>18</v>
      </c>
      <c r="C1946" s="9">
        <v>25.4</v>
      </c>
      <c r="D1946" s="10">
        <v>12.4</v>
      </c>
      <c r="E1946">
        <f t="shared" si="30"/>
        <v>2038</v>
      </c>
      <c r="F1946" s="18">
        <v>1</v>
      </c>
    </row>
    <row r="1947" spans="1:6" x14ac:dyDescent="0.35">
      <c r="A1947" s="11">
        <v>50586</v>
      </c>
      <c r="B1947" s="12" t="s">
        <v>9</v>
      </c>
      <c r="C1947" s="13">
        <v>23.5</v>
      </c>
      <c r="D1947" s="14">
        <v>0.7</v>
      </c>
      <c r="E1947">
        <f t="shared" si="30"/>
        <v>2038</v>
      </c>
      <c r="F1947" s="18">
        <v>1</v>
      </c>
    </row>
    <row r="1948" spans="1:6" x14ac:dyDescent="0.35">
      <c r="A1948" s="7">
        <v>50587</v>
      </c>
      <c r="B1948" s="8" t="s">
        <v>22</v>
      </c>
      <c r="C1948" s="9">
        <v>16</v>
      </c>
      <c r="D1948" s="10">
        <v>0.1</v>
      </c>
      <c r="E1948">
        <f t="shared" si="30"/>
        <v>2038</v>
      </c>
      <c r="F1948" s="18">
        <v>1</v>
      </c>
    </row>
    <row r="1949" spans="1:6" x14ac:dyDescent="0.35">
      <c r="A1949" s="11">
        <v>50588</v>
      </c>
      <c r="B1949" s="12" t="s">
        <v>6</v>
      </c>
      <c r="C1949" s="13">
        <v>25</v>
      </c>
      <c r="D1949" s="14">
        <v>11.7</v>
      </c>
      <c r="E1949">
        <f t="shared" si="30"/>
        <v>2038</v>
      </c>
      <c r="F1949" s="18">
        <v>1</v>
      </c>
    </row>
    <row r="1950" spans="1:6" x14ac:dyDescent="0.35">
      <c r="A1950" s="7">
        <v>50589</v>
      </c>
      <c r="B1950" s="8" t="s">
        <v>31</v>
      </c>
      <c r="C1950" s="9">
        <v>22.2</v>
      </c>
      <c r="D1950" s="10">
        <v>0.9</v>
      </c>
      <c r="E1950">
        <f t="shared" si="30"/>
        <v>2038</v>
      </c>
      <c r="F1950" s="18">
        <v>1</v>
      </c>
    </row>
    <row r="1951" spans="1:6" x14ac:dyDescent="0.35">
      <c r="A1951" s="11">
        <v>50590</v>
      </c>
      <c r="B1951" s="12" t="s">
        <v>24</v>
      </c>
      <c r="C1951" s="13">
        <v>29.6</v>
      </c>
      <c r="D1951" s="14">
        <v>0</v>
      </c>
      <c r="E1951">
        <f t="shared" si="30"/>
        <v>2038</v>
      </c>
      <c r="F1951" s="18">
        <v>1</v>
      </c>
    </row>
    <row r="1952" spans="1:6" x14ac:dyDescent="0.35">
      <c r="A1952" s="7">
        <v>50591</v>
      </c>
      <c r="B1952" s="8" t="s">
        <v>10</v>
      </c>
      <c r="C1952" s="9">
        <v>10.1</v>
      </c>
      <c r="D1952" s="10">
        <v>0</v>
      </c>
      <c r="E1952">
        <f t="shared" si="30"/>
        <v>2038</v>
      </c>
      <c r="F1952" s="18">
        <v>1</v>
      </c>
    </row>
    <row r="1953" spans="1:6" x14ac:dyDescent="0.35">
      <c r="A1953" s="11">
        <v>50592</v>
      </c>
      <c r="B1953" s="12" t="s">
        <v>9</v>
      </c>
      <c r="C1953" s="13">
        <v>26.3</v>
      </c>
      <c r="D1953" s="14">
        <v>6.7</v>
      </c>
      <c r="E1953">
        <f t="shared" si="30"/>
        <v>2038</v>
      </c>
      <c r="F1953" s="18">
        <v>1</v>
      </c>
    </row>
    <row r="1954" spans="1:6" x14ac:dyDescent="0.35">
      <c r="A1954" s="7">
        <v>50593</v>
      </c>
      <c r="B1954" s="8" t="s">
        <v>10</v>
      </c>
      <c r="C1954" s="9">
        <v>27.3</v>
      </c>
      <c r="D1954" s="10">
        <v>15.3</v>
      </c>
      <c r="E1954">
        <f t="shared" si="30"/>
        <v>2038</v>
      </c>
      <c r="F1954" s="18">
        <v>1</v>
      </c>
    </row>
    <row r="1955" spans="1:6" x14ac:dyDescent="0.35">
      <c r="A1955" s="11">
        <v>50594</v>
      </c>
      <c r="B1955" s="12" t="s">
        <v>11</v>
      </c>
      <c r="C1955" s="13">
        <v>27.8</v>
      </c>
      <c r="D1955" s="14">
        <v>0</v>
      </c>
      <c r="E1955">
        <f t="shared" si="30"/>
        <v>2038</v>
      </c>
      <c r="F1955" s="18">
        <v>1</v>
      </c>
    </row>
    <row r="1956" spans="1:6" x14ac:dyDescent="0.35">
      <c r="A1956" s="7">
        <v>50595</v>
      </c>
      <c r="B1956" s="8" t="s">
        <v>6</v>
      </c>
      <c r="C1956" s="9">
        <v>16.7</v>
      </c>
      <c r="D1956" s="10">
        <v>4.9000000000000004</v>
      </c>
      <c r="E1956">
        <f t="shared" si="30"/>
        <v>2038</v>
      </c>
      <c r="F1956" s="18">
        <v>1</v>
      </c>
    </row>
    <row r="1957" spans="1:6" x14ac:dyDescent="0.35">
      <c r="A1957" s="11">
        <v>50596</v>
      </c>
      <c r="B1957" s="12" t="s">
        <v>15</v>
      </c>
      <c r="C1957" s="13">
        <v>15</v>
      </c>
      <c r="D1957" s="14">
        <v>9.4</v>
      </c>
      <c r="E1957">
        <f t="shared" si="30"/>
        <v>2038</v>
      </c>
      <c r="F1957" s="18">
        <v>1</v>
      </c>
    </row>
    <row r="1958" spans="1:6" x14ac:dyDescent="0.35">
      <c r="A1958" s="7">
        <v>50597</v>
      </c>
      <c r="B1958" s="8" t="s">
        <v>10</v>
      </c>
      <c r="C1958" s="9">
        <v>10.4</v>
      </c>
      <c r="D1958" s="10">
        <v>28.5</v>
      </c>
      <c r="E1958">
        <f t="shared" si="30"/>
        <v>2038</v>
      </c>
      <c r="F1958" s="18">
        <v>1</v>
      </c>
    </row>
    <row r="1959" spans="1:6" x14ac:dyDescent="0.35">
      <c r="A1959" s="11">
        <v>50598</v>
      </c>
      <c r="B1959" s="12" t="s">
        <v>15</v>
      </c>
      <c r="C1959" s="13">
        <v>18.100000000000001</v>
      </c>
      <c r="D1959" s="14">
        <v>9.6</v>
      </c>
      <c r="E1959">
        <f t="shared" si="30"/>
        <v>2038</v>
      </c>
      <c r="F1959" s="18">
        <v>1</v>
      </c>
    </row>
    <row r="1960" spans="1:6" x14ac:dyDescent="0.35">
      <c r="A1960" s="7">
        <v>50599</v>
      </c>
      <c r="B1960" s="8" t="s">
        <v>33</v>
      </c>
      <c r="C1960" s="9">
        <v>26.7</v>
      </c>
      <c r="D1960" s="10">
        <v>1.5</v>
      </c>
      <c r="E1960">
        <f t="shared" si="30"/>
        <v>2038</v>
      </c>
      <c r="F1960" s="18">
        <v>1</v>
      </c>
    </row>
    <row r="1961" spans="1:6" x14ac:dyDescent="0.35">
      <c r="A1961" s="11">
        <v>50600</v>
      </c>
      <c r="B1961" s="12" t="s">
        <v>13</v>
      </c>
      <c r="C1961" s="13">
        <v>22.9</v>
      </c>
      <c r="D1961" s="14">
        <v>8.9</v>
      </c>
      <c r="E1961">
        <f t="shared" si="30"/>
        <v>2038</v>
      </c>
      <c r="F1961" s="18">
        <v>1</v>
      </c>
    </row>
    <row r="1962" spans="1:6" x14ac:dyDescent="0.35">
      <c r="A1962" s="7">
        <v>50601</v>
      </c>
      <c r="B1962" s="8" t="s">
        <v>15</v>
      </c>
      <c r="C1962" s="9">
        <v>29.3</v>
      </c>
      <c r="D1962" s="10">
        <v>0</v>
      </c>
      <c r="E1962">
        <f t="shared" si="30"/>
        <v>2038</v>
      </c>
      <c r="F1962" s="18">
        <v>1</v>
      </c>
    </row>
    <row r="1963" spans="1:6" x14ac:dyDescent="0.35">
      <c r="A1963" s="11">
        <v>50602</v>
      </c>
      <c r="B1963" s="12" t="s">
        <v>7</v>
      </c>
      <c r="C1963" s="13">
        <v>26.4</v>
      </c>
      <c r="D1963" s="14">
        <v>3.2</v>
      </c>
      <c r="E1963">
        <f t="shared" si="30"/>
        <v>2038</v>
      </c>
      <c r="F1963" s="18">
        <v>1</v>
      </c>
    </row>
    <row r="1964" spans="1:6" x14ac:dyDescent="0.35">
      <c r="A1964" s="7">
        <v>50603</v>
      </c>
      <c r="B1964" s="8" t="s">
        <v>18</v>
      </c>
      <c r="C1964" s="9">
        <v>20</v>
      </c>
      <c r="D1964" s="10">
        <v>7.3</v>
      </c>
      <c r="E1964">
        <f t="shared" si="30"/>
        <v>2038</v>
      </c>
      <c r="F1964" s="18">
        <v>1</v>
      </c>
    </row>
    <row r="1965" spans="1:6" x14ac:dyDescent="0.35">
      <c r="A1965" s="11">
        <v>50604</v>
      </c>
      <c r="B1965" s="12" t="s">
        <v>11</v>
      </c>
      <c r="C1965" s="13">
        <v>17.100000000000001</v>
      </c>
      <c r="D1965" s="14">
        <v>0</v>
      </c>
      <c r="E1965">
        <f t="shared" si="30"/>
        <v>2038</v>
      </c>
      <c r="F1965" s="18">
        <v>1</v>
      </c>
    </row>
    <row r="1966" spans="1:6" x14ac:dyDescent="0.35">
      <c r="A1966" s="7">
        <v>50605</v>
      </c>
      <c r="B1966" s="8" t="s">
        <v>5</v>
      </c>
      <c r="C1966" s="9">
        <v>18.8</v>
      </c>
      <c r="D1966" s="10">
        <v>0</v>
      </c>
      <c r="E1966">
        <f t="shared" si="30"/>
        <v>2038</v>
      </c>
      <c r="F1966" s="18">
        <v>1</v>
      </c>
    </row>
    <row r="1967" spans="1:6" x14ac:dyDescent="0.35">
      <c r="A1967" s="11">
        <v>50606</v>
      </c>
      <c r="B1967" s="12" t="s">
        <v>13</v>
      </c>
      <c r="C1967" s="13">
        <v>12.6</v>
      </c>
      <c r="D1967" s="14">
        <v>4.4000000000000004</v>
      </c>
      <c r="E1967">
        <f t="shared" si="30"/>
        <v>2038</v>
      </c>
      <c r="F1967" s="18">
        <v>1</v>
      </c>
    </row>
    <row r="1968" spans="1:6" x14ac:dyDescent="0.35">
      <c r="A1968" s="7">
        <v>50607</v>
      </c>
      <c r="B1968" s="8" t="s">
        <v>22</v>
      </c>
      <c r="C1968" s="9">
        <v>24</v>
      </c>
      <c r="D1968" s="10">
        <v>0</v>
      </c>
      <c r="E1968">
        <f t="shared" si="30"/>
        <v>2038</v>
      </c>
      <c r="F1968" s="18">
        <v>1</v>
      </c>
    </row>
    <row r="1969" spans="1:6" x14ac:dyDescent="0.35">
      <c r="A1969" s="11">
        <v>50608</v>
      </c>
      <c r="B1969" s="12" t="s">
        <v>19</v>
      </c>
      <c r="C1969" s="13">
        <v>13.4</v>
      </c>
      <c r="D1969" s="14">
        <v>35.6</v>
      </c>
      <c r="E1969">
        <f t="shared" si="30"/>
        <v>2038</v>
      </c>
      <c r="F1969" s="18">
        <v>1</v>
      </c>
    </row>
    <row r="1970" spans="1:6" x14ac:dyDescent="0.35">
      <c r="A1970" s="7">
        <v>50609</v>
      </c>
      <c r="B1970" s="8" t="s">
        <v>10</v>
      </c>
      <c r="C1970" s="9">
        <v>25.7</v>
      </c>
      <c r="D1970" s="10">
        <v>21.1</v>
      </c>
      <c r="E1970">
        <f t="shared" si="30"/>
        <v>2038</v>
      </c>
      <c r="F1970" s="18">
        <v>1</v>
      </c>
    </row>
    <row r="1971" spans="1:6" x14ac:dyDescent="0.35">
      <c r="A1971" s="11">
        <v>50610</v>
      </c>
      <c r="B1971" s="12" t="s">
        <v>21</v>
      </c>
      <c r="C1971" s="13">
        <v>24.9</v>
      </c>
      <c r="D1971" s="14">
        <v>2</v>
      </c>
      <c r="E1971">
        <f t="shared" si="30"/>
        <v>2038</v>
      </c>
      <c r="F1971" s="18">
        <v>1</v>
      </c>
    </row>
    <row r="1972" spans="1:6" x14ac:dyDescent="0.35">
      <c r="A1972" s="7">
        <v>50611</v>
      </c>
      <c r="B1972" s="8" t="s">
        <v>11</v>
      </c>
      <c r="C1972" s="9">
        <v>12.5</v>
      </c>
      <c r="D1972" s="10">
        <v>0</v>
      </c>
      <c r="E1972">
        <f t="shared" si="30"/>
        <v>2038</v>
      </c>
      <c r="F1972" s="18">
        <v>1</v>
      </c>
    </row>
    <row r="1973" spans="1:6" x14ac:dyDescent="0.35">
      <c r="A1973" s="11">
        <v>50612</v>
      </c>
      <c r="B1973" s="12" t="s">
        <v>10</v>
      </c>
      <c r="C1973" s="13">
        <v>21.8</v>
      </c>
      <c r="D1973" s="14">
        <v>0</v>
      </c>
      <c r="E1973">
        <f t="shared" si="30"/>
        <v>2038</v>
      </c>
      <c r="F1973" s="18">
        <v>1</v>
      </c>
    </row>
    <row r="1974" spans="1:6" x14ac:dyDescent="0.35">
      <c r="A1974" s="7">
        <v>50613</v>
      </c>
      <c r="B1974" s="8" t="s">
        <v>5</v>
      </c>
      <c r="C1974" s="9">
        <v>15.8</v>
      </c>
      <c r="D1974" s="10">
        <v>6.7</v>
      </c>
      <c r="E1974">
        <f t="shared" si="30"/>
        <v>2038</v>
      </c>
      <c r="F1974" s="18">
        <v>1</v>
      </c>
    </row>
    <row r="1975" spans="1:6" x14ac:dyDescent="0.35">
      <c r="A1975" s="11">
        <v>50614</v>
      </c>
      <c r="B1975" s="12" t="s">
        <v>12</v>
      </c>
      <c r="C1975" s="13">
        <v>13.9</v>
      </c>
      <c r="D1975" s="14">
        <v>0</v>
      </c>
      <c r="E1975">
        <f t="shared" si="30"/>
        <v>2038</v>
      </c>
      <c r="F1975" s="18">
        <v>1</v>
      </c>
    </row>
    <row r="1976" spans="1:6" x14ac:dyDescent="0.35">
      <c r="A1976" s="7">
        <v>50615</v>
      </c>
      <c r="B1976" s="8" t="s">
        <v>20</v>
      </c>
      <c r="C1976" s="9">
        <v>12.2</v>
      </c>
      <c r="D1976" s="10">
        <v>4.4000000000000004</v>
      </c>
      <c r="E1976">
        <f t="shared" si="30"/>
        <v>2038</v>
      </c>
      <c r="F1976" s="18">
        <v>1</v>
      </c>
    </row>
    <row r="1977" spans="1:6" x14ac:dyDescent="0.35">
      <c r="A1977" s="11">
        <v>50616</v>
      </c>
      <c r="B1977" s="12" t="s">
        <v>11</v>
      </c>
      <c r="C1977" s="13">
        <v>12.2</v>
      </c>
      <c r="D1977" s="14">
        <v>0</v>
      </c>
      <c r="E1977">
        <f t="shared" si="30"/>
        <v>2038</v>
      </c>
      <c r="F1977" s="18">
        <v>1</v>
      </c>
    </row>
    <row r="1978" spans="1:6" x14ac:dyDescent="0.35">
      <c r="A1978" s="7">
        <v>50617</v>
      </c>
      <c r="B1978" s="8" t="s">
        <v>19</v>
      </c>
      <c r="C1978" s="9">
        <v>13.7</v>
      </c>
      <c r="D1978" s="10">
        <v>28</v>
      </c>
      <c r="E1978">
        <f t="shared" si="30"/>
        <v>2038</v>
      </c>
      <c r="F1978" s="18">
        <v>1</v>
      </c>
    </row>
    <row r="1979" spans="1:6" x14ac:dyDescent="0.35">
      <c r="A1979" s="11">
        <v>50618</v>
      </c>
      <c r="B1979" s="12" t="s">
        <v>17</v>
      </c>
      <c r="C1979" s="13">
        <v>27.9</v>
      </c>
      <c r="D1979" s="14">
        <v>0</v>
      </c>
      <c r="E1979">
        <f t="shared" si="30"/>
        <v>2038</v>
      </c>
      <c r="F1979" s="18">
        <v>1</v>
      </c>
    </row>
    <row r="1980" spans="1:6" x14ac:dyDescent="0.35">
      <c r="A1980" s="7">
        <v>50619</v>
      </c>
      <c r="B1980" s="8" t="s">
        <v>13</v>
      </c>
      <c r="C1980" s="9">
        <v>25.6</v>
      </c>
      <c r="D1980" s="10">
        <v>1.7</v>
      </c>
      <c r="E1980">
        <f t="shared" si="30"/>
        <v>2038</v>
      </c>
      <c r="F1980" s="18">
        <v>1</v>
      </c>
    </row>
    <row r="1981" spans="1:6" x14ac:dyDescent="0.35">
      <c r="A1981" s="11">
        <v>50620</v>
      </c>
      <c r="B1981" s="12" t="s">
        <v>14</v>
      </c>
      <c r="C1981" s="13">
        <v>11.7</v>
      </c>
      <c r="D1981" s="14">
        <v>4.5999999999999996</v>
      </c>
      <c r="E1981">
        <f t="shared" si="30"/>
        <v>2038</v>
      </c>
      <c r="F1981" s="18">
        <v>1</v>
      </c>
    </row>
    <row r="1982" spans="1:6" x14ac:dyDescent="0.35">
      <c r="A1982" s="7">
        <v>50621</v>
      </c>
      <c r="B1982" s="8" t="s">
        <v>8</v>
      </c>
      <c r="C1982" s="9">
        <v>27.3</v>
      </c>
      <c r="D1982" s="10">
        <v>0</v>
      </c>
      <c r="E1982">
        <f t="shared" si="30"/>
        <v>2038</v>
      </c>
      <c r="F1982" s="18">
        <v>1</v>
      </c>
    </row>
    <row r="1983" spans="1:6" x14ac:dyDescent="0.35">
      <c r="A1983" s="11">
        <v>50622</v>
      </c>
      <c r="B1983" s="12" t="s">
        <v>11</v>
      </c>
      <c r="C1983" s="13">
        <v>25.6</v>
      </c>
      <c r="D1983" s="14">
        <v>18.2</v>
      </c>
      <c r="E1983">
        <f t="shared" si="30"/>
        <v>2038</v>
      </c>
      <c r="F1983" s="18">
        <v>1</v>
      </c>
    </row>
    <row r="1984" spans="1:6" x14ac:dyDescent="0.35">
      <c r="A1984" s="7">
        <v>50623</v>
      </c>
      <c r="B1984" s="8" t="s">
        <v>28</v>
      </c>
      <c r="C1984" s="9">
        <v>23.6</v>
      </c>
      <c r="D1984" s="10">
        <v>0.1</v>
      </c>
      <c r="E1984">
        <f t="shared" si="30"/>
        <v>2038</v>
      </c>
      <c r="F1984" s="18">
        <v>1</v>
      </c>
    </row>
    <row r="1985" spans="1:6" x14ac:dyDescent="0.35">
      <c r="A1985" s="11">
        <v>50624</v>
      </c>
      <c r="B1985" s="12" t="s">
        <v>10</v>
      </c>
      <c r="C1985" s="13">
        <v>14.6</v>
      </c>
      <c r="D1985" s="14">
        <v>0</v>
      </c>
      <c r="E1985">
        <f t="shared" si="30"/>
        <v>2038</v>
      </c>
      <c r="F1985" s="18">
        <v>1</v>
      </c>
    </row>
    <row r="1986" spans="1:6" x14ac:dyDescent="0.35">
      <c r="A1986" s="7">
        <v>50625</v>
      </c>
      <c r="B1986" s="8" t="s">
        <v>9</v>
      </c>
      <c r="C1986" s="9">
        <v>17.399999999999999</v>
      </c>
      <c r="D1986" s="10">
        <v>7.8</v>
      </c>
      <c r="E1986">
        <f t="shared" si="30"/>
        <v>2038</v>
      </c>
      <c r="F1986" s="18">
        <v>1</v>
      </c>
    </row>
    <row r="1987" spans="1:6" x14ac:dyDescent="0.35">
      <c r="A1987" s="11">
        <v>50626</v>
      </c>
      <c r="B1987" s="12" t="s">
        <v>10</v>
      </c>
      <c r="C1987" s="13">
        <v>27.4</v>
      </c>
      <c r="D1987" s="14">
        <v>0</v>
      </c>
      <c r="E1987">
        <f t="shared" ref="E1987:E2050" si="31">YEAR(A1987)</f>
        <v>2038</v>
      </c>
      <c r="F1987" s="18">
        <v>1</v>
      </c>
    </row>
    <row r="1988" spans="1:6" x14ac:dyDescent="0.35">
      <c r="A1988" s="7">
        <v>50627</v>
      </c>
      <c r="B1988" s="8" t="s">
        <v>19</v>
      </c>
      <c r="C1988" s="9">
        <v>15.2</v>
      </c>
      <c r="D1988" s="10">
        <v>5.9</v>
      </c>
      <c r="E1988">
        <f t="shared" si="31"/>
        <v>2038</v>
      </c>
      <c r="F1988" s="18">
        <v>1</v>
      </c>
    </row>
    <row r="1989" spans="1:6" x14ac:dyDescent="0.35">
      <c r="A1989" s="11">
        <v>50628</v>
      </c>
      <c r="B1989" s="12" t="s">
        <v>29</v>
      </c>
      <c r="C1989" s="13">
        <v>11.6</v>
      </c>
      <c r="D1989" s="14">
        <v>0</v>
      </c>
      <c r="E1989">
        <f t="shared" si="31"/>
        <v>2038</v>
      </c>
      <c r="F1989" s="18">
        <v>1</v>
      </c>
    </row>
    <row r="1990" spans="1:6" x14ac:dyDescent="0.35">
      <c r="A1990" s="7">
        <v>50629</v>
      </c>
      <c r="B1990" s="8" t="s">
        <v>26</v>
      </c>
      <c r="C1990" s="9">
        <v>10.8</v>
      </c>
      <c r="D1990" s="10">
        <v>1.6</v>
      </c>
      <c r="E1990">
        <f t="shared" si="31"/>
        <v>2038</v>
      </c>
      <c r="F1990" s="18">
        <v>1</v>
      </c>
    </row>
    <row r="1991" spans="1:6" x14ac:dyDescent="0.35">
      <c r="A1991" s="11">
        <v>50630</v>
      </c>
      <c r="B1991" s="12" t="s">
        <v>22</v>
      </c>
      <c r="C1991" s="13">
        <v>12</v>
      </c>
      <c r="D1991" s="14">
        <v>3.9</v>
      </c>
      <c r="E1991">
        <f t="shared" si="31"/>
        <v>2038</v>
      </c>
      <c r="F1991" s="18">
        <v>1</v>
      </c>
    </row>
    <row r="1992" spans="1:6" x14ac:dyDescent="0.35">
      <c r="A1992" s="7">
        <v>50631</v>
      </c>
      <c r="B1992" s="8" t="s">
        <v>26</v>
      </c>
      <c r="C1992" s="9">
        <v>14</v>
      </c>
      <c r="D1992" s="10">
        <v>5</v>
      </c>
      <c r="E1992">
        <f t="shared" si="31"/>
        <v>2038</v>
      </c>
      <c r="F1992" s="18">
        <v>1</v>
      </c>
    </row>
    <row r="1993" spans="1:6" x14ac:dyDescent="0.35">
      <c r="A1993" s="11">
        <v>50632</v>
      </c>
      <c r="B1993" s="12" t="s">
        <v>19</v>
      </c>
      <c r="C1993" s="13">
        <v>26.4</v>
      </c>
      <c r="D1993" s="14">
        <v>0</v>
      </c>
      <c r="E1993">
        <f t="shared" si="31"/>
        <v>2038</v>
      </c>
      <c r="F1993" s="18">
        <v>1</v>
      </c>
    </row>
    <row r="1994" spans="1:6" x14ac:dyDescent="0.35">
      <c r="A1994" s="7">
        <v>50633</v>
      </c>
      <c r="B1994" s="8" t="s">
        <v>15</v>
      </c>
      <c r="C1994" s="9">
        <v>23</v>
      </c>
      <c r="D1994" s="10">
        <v>20.100000000000001</v>
      </c>
      <c r="E1994">
        <f t="shared" si="31"/>
        <v>2038</v>
      </c>
      <c r="F1994" s="18">
        <v>1</v>
      </c>
    </row>
    <row r="1995" spans="1:6" x14ac:dyDescent="0.35">
      <c r="A1995" s="11">
        <v>50634</v>
      </c>
      <c r="B1995" s="12" t="s">
        <v>8</v>
      </c>
      <c r="C1995" s="13">
        <v>20.5</v>
      </c>
      <c r="D1995" s="14">
        <v>1.1000000000000001</v>
      </c>
      <c r="E1995">
        <f t="shared" si="31"/>
        <v>2038</v>
      </c>
      <c r="F1995" s="18">
        <v>1</v>
      </c>
    </row>
    <row r="1996" spans="1:6" x14ac:dyDescent="0.35">
      <c r="A1996" s="7">
        <v>50635</v>
      </c>
      <c r="B1996" s="8" t="s">
        <v>14</v>
      </c>
      <c r="C1996" s="9">
        <v>15.9</v>
      </c>
      <c r="D1996" s="10">
        <v>3.1</v>
      </c>
      <c r="E1996">
        <f t="shared" si="31"/>
        <v>2038</v>
      </c>
      <c r="F1996" s="18">
        <v>1</v>
      </c>
    </row>
    <row r="1997" spans="1:6" x14ac:dyDescent="0.35">
      <c r="A1997" s="11">
        <v>50636</v>
      </c>
      <c r="B1997" s="12" t="s">
        <v>10</v>
      </c>
      <c r="C1997" s="13">
        <v>20.8</v>
      </c>
      <c r="D1997" s="14">
        <v>6.9</v>
      </c>
      <c r="E1997">
        <f t="shared" si="31"/>
        <v>2038</v>
      </c>
      <c r="F1997" s="18">
        <v>1</v>
      </c>
    </row>
    <row r="1998" spans="1:6" x14ac:dyDescent="0.35">
      <c r="A1998" s="7">
        <v>50637</v>
      </c>
      <c r="B1998" s="8" t="s">
        <v>21</v>
      </c>
      <c r="C1998" s="9">
        <v>12.9</v>
      </c>
      <c r="D1998" s="10">
        <v>1.5</v>
      </c>
      <c r="E1998">
        <f t="shared" si="31"/>
        <v>2038</v>
      </c>
      <c r="F1998" s="18">
        <v>1</v>
      </c>
    </row>
    <row r="1999" spans="1:6" x14ac:dyDescent="0.35">
      <c r="A1999" s="11">
        <v>50638</v>
      </c>
      <c r="B1999" s="12" t="s">
        <v>19</v>
      </c>
      <c r="C1999" s="13">
        <v>11.6</v>
      </c>
      <c r="D1999" s="14">
        <v>15.8</v>
      </c>
      <c r="E1999">
        <f t="shared" si="31"/>
        <v>2038</v>
      </c>
      <c r="F1999" s="18">
        <v>1</v>
      </c>
    </row>
    <row r="2000" spans="1:6" x14ac:dyDescent="0.35">
      <c r="A2000" s="7">
        <v>50639</v>
      </c>
      <c r="B2000" s="8" t="s">
        <v>13</v>
      </c>
      <c r="C2000" s="9">
        <v>25.6</v>
      </c>
      <c r="D2000" s="10">
        <v>0</v>
      </c>
      <c r="E2000">
        <f t="shared" si="31"/>
        <v>2038</v>
      </c>
      <c r="F2000" s="18">
        <v>1</v>
      </c>
    </row>
    <row r="2001" spans="1:6" x14ac:dyDescent="0.35">
      <c r="A2001" s="11">
        <v>50640</v>
      </c>
      <c r="B2001" s="12" t="s">
        <v>7</v>
      </c>
      <c r="C2001" s="13">
        <v>15.7</v>
      </c>
      <c r="D2001" s="14">
        <v>6.7</v>
      </c>
      <c r="E2001">
        <f t="shared" si="31"/>
        <v>2038</v>
      </c>
      <c r="F2001" s="18">
        <v>1</v>
      </c>
    </row>
    <row r="2002" spans="1:6" x14ac:dyDescent="0.35">
      <c r="A2002" s="7">
        <v>50641</v>
      </c>
      <c r="B2002" s="8" t="s">
        <v>14</v>
      </c>
      <c r="C2002" s="9">
        <v>25.5</v>
      </c>
      <c r="D2002" s="10">
        <v>0</v>
      </c>
      <c r="E2002">
        <f t="shared" si="31"/>
        <v>2038</v>
      </c>
      <c r="F2002" s="18">
        <v>1</v>
      </c>
    </row>
    <row r="2003" spans="1:6" x14ac:dyDescent="0.35">
      <c r="A2003" s="11">
        <v>50642</v>
      </c>
      <c r="B2003" s="12" t="s">
        <v>22</v>
      </c>
      <c r="C2003" s="13">
        <v>19.5</v>
      </c>
      <c r="D2003" s="14">
        <v>3.4</v>
      </c>
      <c r="E2003">
        <f t="shared" si="31"/>
        <v>2038</v>
      </c>
      <c r="F2003" s="18">
        <v>1</v>
      </c>
    </row>
    <row r="2004" spans="1:6" x14ac:dyDescent="0.35">
      <c r="A2004" s="7">
        <v>50643</v>
      </c>
      <c r="B2004" s="8" t="s">
        <v>25</v>
      </c>
      <c r="C2004" s="9">
        <v>14.1</v>
      </c>
      <c r="D2004" s="10">
        <v>0</v>
      </c>
      <c r="E2004">
        <f t="shared" si="31"/>
        <v>2038</v>
      </c>
      <c r="F2004" s="18">
        <v>1</v>
      </c>
    </row>
    <row r="2005" spans="1:6" x14ac:dyDescent="0.35">
      <c r="A2005" s="11">
        <v>50644</v>
      </c>
      <c r="B2005" s="12" t="s">
        <v>6</v>
      </c>
      <c r="C2005" s="13">
        <v>26.4</v>
      </c>
      <c r="D2005" s="14">
        <v>0</v>
      </c>
      <c r="E2005">
        <f t="shared" si="31"/>
        <v>2038</v>
      </c>
      <c r="F2005" s="18">
        <v>1</v>
      </c>
    </row>
    <row r="2006" spans="1:6" x14ac:dyDescent="0.35">
      <c r="A2006" s="7">
        <v>50645</v>
      </c>
      <c r="B2006" s="8" t="s">
        <v>15</v>
      </c>
      <c r="C2006" s="9">
        <v>11.7</v>
      </c>
      <c r="D2006" s="10">
        <v>8.4</v>
      </c>
      <c r="E2006">
        <f t="shared" si="31"/>
        <v>2038</v>
      </c>
      <c r="F2006" s="18">
        <v>1</v>
      </c>
    </row>
    <row r="2007" spans="1:6" x14ac:dyDescent="0.35">
      <c r="A2007" s="11">
        <v>50646</v>
      </c>
      <c r="B2007" s="12" t="s">
        <v>25</v>
      </c>
      <c r="C2007" s="13">
        <v>28</v>
      </c>
      <c r="D2007" s="14">
        <v>0</v>
      </c>
      <c r="E2007">
        <f t="shared" si="31"/>
        <v>2038</v>
      </c>
      <c r="F2007" s="18">
        <v>1</v>
      </c>
    </row>
    <row r="2008" spans="1:6" x14ac:dyDescent="0.35">
      <c r="A2008" s="7">
        <v>50647</v>
      </c>
      <c r="B2008" s="8" t="s">
        <v>17</v>
      </c>
      <c r="C2008" s="9">
        <v>13</v>
      </c>
      <c r="D2008" s="10">
        <v>0.1</v>
      </c>
      <c r="E2008">
        <f t="shared" si="31"/>
        <v>2038</v>
      </c>
      <c r="F2008" s="18">
        <v>1</v>
      </c>
    </row>
    <row r="2009" spans="1:6" x14ac:dyDescent="0.35">
      <c r="A2009" s="11">
        <v>50648</v>
      </c>
      <c r="B2009" s="12" t="s">
        <v>11</v>
      </c>
      <c r="C2009" s="13">
        <v>10.8</v>
      </c>
      <c r="D2009" s="14">
        <v>11.3</v>
      </c>
      <c r="E2009">
        <f t="shared" si="31"/>
        <v>2038</v>
      </c>
      <c r="F2009" s="18">
        <v>1</v>
      </c>
    </row>
    <row r="2010" spans="1:6" x14ac:dyDescent="0.35">
      <c r="A2010" s="7">
        <v>50649</v>
      </c>
      <c r="B2010" s="8" t="s">
        <v>11</v>
      </c>
      <c r="C2010" s="9">
        <v>26.4</v>
      </c>
      <c r="D2010" s="10">
        <v>18.7</v>
      </c>
      <c r="E2010">
        <f t="shared" si="31"/>
        <v>2038</v>
      </c>
      <c r="F2010" s="18">
        <v>1</v>
      </c>
    </row>
    <row r="2011" spans="1:6" x14ac:dyDescent="0.35">
      <c r="A2011" s="11">
        <v>50650</v>
      </c>
      <c r="B2011" s="12" t="s">
        <v>19</v>
      </c>
      <c r="C2011" s="13">
        <v>26.7</v>
      </c>
      <c r="D2011" s="14">
        <v>3.9</v>
      </c>
      <c r="E2011">
        <f t="shared" si="31"/>
        <v>2038</v>
      </c>
      <c r="F2011" s="18">
        <v>1</v>
      </c>
    </row>
    <row r="2012" spans="1:6" x14ac:dyDescent="0.35">
      <c r="A2012" s="7">
        <v>50651</v>
      </c>
      <c r="B2012" s="8" t="s">
        <v>11</v>
      </c>
      <c r="C2012" s="9">
        <v>11.7</v>
      </c>
      <c r="D2012" s="10">
        <v>13</v>
      </c>
      <c r="E2012">
        <f t="shared" si="31"/>
        <v>2038</v>
      </c>
      <c r="F2012" s="18">
        <v>1</v>
      </c>
    </row>
    <row r="2013" spans="1:6" x14ac:dyDescent="0.35">
      <c r="A2013" s="11">
        <v>50652</v>
      </c>
      <c r="B2013" s="12" t="s">
        <v>30</v>
      </c>
      <c r="C2013" s="13">
        <v>12</v>
      </c>
      <c r="D2013" s="14">
        <v>0.4</v>
      </c>
      <c r="E2013">
        <f t="shared" si="31"/>
        <v>2038</v>
      </c>
      <c r="F2013" s="18">
        <v>1</v>
      </c>
    </row>
    <row r="2014" spans="1:6" x14ac:dyDescent="0.35">
      <c r="A2014" s="7">
        <v>50653</v>
      </c>
      <c r="B2014" s="8" t="s">
        <v>21</v>
      </c>
      <c r="C2014" s="9">
        <v>24.2</v>
      </c>
      <c r="D2014" s="10">
        <v>0.7</v>
      </c>
      <c r="E2014">
        <f t="shared" si="31"/>
        <v>2038</v>
      </c>
      <c r="F2014" s="18">
        <v>1</v>
      </c>
    </row>
    <row r="2015" spans="1:6" x14ac:dyDescent="0.35">
      <c r="A2015" s="11">
        <v>50654</v>
      </c>
      <c r="B2015" s="12" t="s">
        <v>26</v>
      </c>
      <c r="C2015" s="13">
        <v>27.3</v>
      </c>
      <c r="D2015" s="14">
        <v>3.7</v>
      </c>
      <c r="E2015">
        <f t="shared" si="31"/>
        <v>2038</v>
      </c>
      <c r="F2015" s="18">
        <v>1</v>
      </c>
    </row>
    <row r="2016" spans="1:6" x14ac:dyDescent="0.35">
      <c r="A2016" s="7">
        <v>50655</v>
      </c>
      <c r="B2016" s="8" t="s">
        <v>13</v>
      </c>
      <c r="C2016" s="9">
        <v>10.7</v>
      </c>
      <c r="D2016" s="10">
        <v>0</v>
      </c>
      <c r="E2016">
        <f t="shared" si="31"/>
        <v>2038</v>
      </c>
      <c r="F2016" s="18">
        <v>1</v>
      </c>
    </row>
    <row r="2017" spans="1:6" x14ac:dyDescent="0.35">
      <c r="A2017" s="11">
        <v>50656</v>
      </c>
      <c r="B2017" s="12" t="s">
        <v>8</v>
      </c>
      <c r="C2017" s="13">
        <v>11.1</v>
      </c>
      <c r="D2017" s="14">
        <v>0</v>
      </c>
      <c r="E2017">
        <f t="shared" si="31"/>
        <v>2038</v>
      </c>
      <c r="F2017" s="18">
        <v>1</v>
      </c>
    </row>
    <row r="2018" spans="1:6" x14ac:dyDescent="0.35">
      <c r="A2018" s="7">
        <v>50657</v>
      </c>
      <c r="B2018" s="8" t="s">
        <v>7</v>
      </c>
      <c r="C2018" s="9">
        <v>28.5</v>
      </c>
      <c r="D2018" s="10">
        <v>19.8</v>
      </c>
      <c r="E2018">
        <f t="shared" si="31"/>
        <v>2038</v>
      </c>
      <c r="F2018" s="18">
        <v>1</v>
      </c>
    </row>
    <row r="2019" spans="1:6" x14ac:dyDescent="0.35">
      <c r="A2019" s="11">
        <v>50658</v>
      </c>
      <c r="B2019" s="12" t="s">
        <v>19</v>
      </c>
      <c r="C2019" s="13">
        <v>10.1</v>
      </c>
      <c r="D2019" s="14">
        <v>0</v>
      </c>
      <c r="E2019">
        <f t="shared" si="31"/>
        <v>2038</v>
      </c>
      <c r="F2019" s="18">
        <v>1</v>
      </c>
    </row>
    <row r="2020" spans="1:6" x14ac:dyDescent="0.35">
      <c r="A2020" s="7">
        <v>50659</v>
      </c>
      <c r="B2020" s="8" t="s">
        <v>9</v>
      </c>
      <c r="C2020" s="9">
        <v>20.8</v>
      </c>
      <c r="D2020" s="10">
        <v>11.2</v>
      </c>
      <c r="E2020">
        <f t="shared" si="31"/>
        <v>2038</v>
      </c>
      <c r="F2020" s="18">
        <v>1</v>
      </c>
    </row>
    <row r="2021" spans="1:6" x14ac:dyDescent="0.35">
      <c r="A2021" s="11">
        <v>50660</v>
      </c>
      <c r="B2021" s="12" t="s">
        <v>7</v>
      </c>
      <c r="C2021" s="13">
        <v>16.600000000000001</v>
      </c>
      <c r="D2021" s="14">
        <v>0</v>
      </c>
      <c r="E2021">
        <f t="shared" si="31"/>
        <v>2038</v>
      </c>
      <c r="F2021" s="18">
        <v>1</v>
      </c>
    </row>
    <row r="2022" spans="1:6" x14ac:dyDescent="0.35">
      <c r="A2022" s="7">
        <v>50661</v>
      </c>
      <c r="B2022" s="8" t="s">
        <v>13</v>
      </c>
      <c r="C2022" s="9">
        <v>26.4</v>
      </c>
      <c r="D2022" s="10">
        <v>10</v>
      </c>
      <c r="E2022">
        <f t="shared" si="31"/>
        <v>2038</v>
      </c>
      <c r="F2022" s="18">
        <v>1</v>
      </c>
    </row>
    <row r="2023" spans="1:6" x14ac:dyDescent="0.35">
      <c r="A2023" s="11">
        <v>50662</v>
      </c>
      <c r="B2023" s="12" t="s">
        <v>22</v>
      </c>
      <c r="C2023" s="13">
        <v>15.1</v>
      </c>
      <c r="D2023" s="14">
        <v>0</v>
      </c>
      <c r="E2023">
        <f t="shared" si="31"/>
        <v>2038</v>
      </c>
      <c r="F2023" s="18">
        <v>1</v>
      </c>
    </row>
    <row r="2024" spans="1:6" x14ac:dyDescent="0.35">
      <c r="A2024" s="7">
        <v>50663</v>
      </c>
      <c r="B2024" s="8" t="s">
        <v>6</v>
      </c>
      <c r="C2024" s="9">
        <v>20.9</v>
      </c>
      <c r="D2024" s="10">
        <v>10.1</v>
      </c>
      <c r="E2024">
        <f t="shared" si="31"/>
        <v>2038</v>
      </c>
      <c r="F2024" s="18">
        <v>1</v>
      </c>
    </row>
    <row r="2025" spans="1:6" x14ac:dyDescent="0.35">
      <c r="A2025" s="11">
        <v>50664</v>
      </c>
      <c r="B2025" s="12" t="s">
        <v>13</v>
      </c>
      <c r="C2025" s="13">
        <v>27.3</v>
      </c>
      <c r="D2025" s="14">
        <v>5.3</v>
      </c>
      <c r="E2025">
        <f t="shared" si="31"/>
        <v>2038</v>
      </c>
      <c r="F2025" s="18">
        <v>1</v>
      </c>
    </row>
    <row r="2026" spans="1:6" x14ac:dyDescent="0.35">
      <c r="A2026" s="7">
        <v>50665</v>
      </c>
      <c r="B2026" s="8" t="s">
        <v>6</v>
      </c>
      <c r="C2026" s="9">
        <v>17.600000000000001</v>
      </c>
      <c r="D2026" s="10">
        <v>5.5</v>
      </c>
      <c r="E2026">
        <f t="shared" si="31"/>
        <v>2038</v>
      </c>
      <c r="F2026" s="18">
        <v>1</v>
      </c>
    </row>
    <row r="2027" spans="1:6" x14ac:dyDescent="0.35">
      <c r="A2027" s="11">
        <v>50666</v>
      </c>
      <c r="B2027" s="12" t="s">
        <v>19</v>
      </c>
      <c r="C2027" s="13">
        <v>27.8</v>
      </c>
      <c r="D2027" s="14">
        <v>0</v>
      </c>
      <c r="E2027">
        <f t="shared" si="31"/>
        <v>2038</v>
      </c>
      <c r="F2027" s="18">
        <v>1</v>
      </c>
    </row>
    <row r="2028" spans="1:6" x14ac:dyDescent="0.35">
      <c r="A2028" s="7">
        <v>50667</v>
      </c>
      <c r="B2028" s="8" t="s">
        <v>10</v>
      </c>
      <c r="C2028" s="9">
        <v>25.8</v>
      </c>
      <c r="D2028" s="10">
        <v>12.1</v>
      </c>
      <c r="E2028">
        <f t="shared" si="31"/>
        <v>2038</v>
      </c>
      <c r="F2028" s="18">
        <v>1</v>
      </c>
    </row>
    <row r="2029" spans="1:6" x14ac:dyDescent="0.35">
      <c r="A2029" s="11">
        <v>50668</v>
      </c>
      <c r="B2029" s="12" t="s">
        <v>26</v>
      </c>
      <c r="C2029" s="13">
        <v>18.100000000000001</v>
      </c>
      <c r="D2029" s="14">
        <v>1.1000000000000001</v>
      </c>
      <c r="E2029">
        <f t="shared" si="31"/>
        <v>2038</v>
      </c>
      <c r="F2029" s="18">
        <v>1</v>
      </c>
    </row>
    <row r="2030" spans="1:6" x14ac:dyDescent="0.35">
      <c r="A2030" s="7">
        <v>50669</v>
      </c>
      <c r="B2030" s="8" t="s">
        <v>12</v>
      </c>
      <c r="C2030" s="9">
        <v>21.9</v>
      </c>
      <c r="D2030" s="10">
        <v>7.7</v>
      </c>
      <c r="E2030">
        <f t="shared" si="31"/>
        <v>2038</v>
      </c>
      <c r="F2030" s="18">
        <v>1</v>
      </c>
    </row>
    <row r="2031" spans="1:6" x14ac:dyDescent="0.35">
      <c r="A2031" s="11">
        <v>50670</v>
      </c>
      <c r="B2031" s="12" t="s">
        <v>27</v>
      </c>
      <c r="C2031" s="13">
        <v>23.2</v>
      </c>
      <c r="D2031" s="14">
        <v>5.0999999999999996</v>
      </c>
      <c r="E2031">
        <f t="shared" si="31"/>
        <v>2038</v>
      </c>
      <c r="F2031" s="18">
        <v>1</v>
      </c>
    </row>
    <row r="2032" spans="1:6" x14ac:dyDescent="0.35">
      <c r="A2032" s="7">
        <v>50671</v>
      </c>
      <c r="B2032" s="8" t="s">
        <v>31</v>
      </c>
      <c r="C2032" s="9">
        <v>26.6</v>
      </c>
      <c r="D2032" s="10">
        <v>0.3</v>
      </c>
      <c r="E2032">
        <f t="shared" si="31"/>
        <v>2038</v>
      </c>
      <c r="F2032" s="18">
        <v>1</v>
      </c>
    </row>
    <row r="2033" spans="1:6" x14ac:dyDescent="0.35">
      <c r="A2033" s="11">
        <v>50672</v>
      </c>
      <c r="B2033" s="12" t="s">
        <v>11</v>
      </c>
      <c r="C2033" s="13">
        <v>23.2</v>
      </c>
      <c r="D2033" s="14">
        <v>0</v>
      </c>
      <c r="E2033">
        <f t="shared" si="31"/>
        <v>2038</v>
      </c>
      <c r="F2033" s="18">
        <v>1</v>
      </c>
    </row>
    <row r="2034" spans="1:6" x14ac:dyDescent="0.35">
      <c r="A2034" s="7">
        <v>50673</v>
      </c>
      <c r="B2034" s="8" t="s">
        <v>10</v>
      </c>
      <c r="C2034" s="9">
        <v>11</v>
      </c>
      <c r="D2034" s="10">
        <v>40.9</v>
      </c>
      <c r="E2034">
        <f t="shared" si="31"/>
        <v>2038</v>
      </c>
      <c r="F2034" s="18">
        <v>1</v>
      </c>
    </row>
    <row r="2035" spans="1:6" x14ac:dyDescent="0.35">
      <c r="A2035" s="11">
        <v>50674</v>
      </c>
      <c r="B2035" s="12" t="s">
        <v>23</v>
      </c>
      <c r="C2035" s="13">
        <v>26.8</v>
      </c>
      <c r="D2035" s="14">
        <v>2.2999999999999998</v>
      </c>
      <c r="E2035">
        <f t="shared" si="31"/>
        <v>2038</v>
      </c>
      <c r="F2035" s="18">
        <v>1</v>
      </c>
    </row>
    <row r="2036" spans="1:6" x14ac:dyDescent="0.35">
      <c r="A2036" s="7">
        <v>50675</v>
      </c>
      <c r="B2036" s="8" t="s">
        <v>13</v>
      </c>
      <c r="C2036" s="9">
        <v>22.2</v>
      </c>
      <c r="D2036" s="10">
        <v>0</v>
      </c>
      <c r="E2036">
        <f t="shared" si="31"/>
        <v>2038</v>
      </c>
      <c r="F2036" s="18">
        <v>1</v>
      </c>
    </row>
    <row r="2037" spans="1:6" x14ac:dyDescent="0.35">
      <c r="A2037" s="11">
        <v>50676</v>
      </c>
      <c r="B2037" s="12" t="s">
        <v>18</v>
      </c>
      <c r="C2037" s="13">
        <v>10.199999999999999</v>
      </c>
      <c r="D2037" s="14">
        <v>6.1</v>
      </c>
      <c r="E2037">
        <f t="shared" si="31"/>
        <v>2038</v>
      </c>
      <c r="F2037" s="18">
        <v>1</v>
      </c>
    </row>
    <row r="2038" spans="1:6" x14ac:dyDescent="0.35">
      <c r="A2038" s="7">
        <v>50677</v>
      </c>
      <c r="B2038" s="8" t="s">
        <v>33</v>
      </c>
      <c r="C2038" s="9">
        <v>18.399999999999999</v>
      </c>
      <c r="D2038" s="10">
        <v>1.5</v>
      </c>
      <c r="E2038">
        <f t="shared" si="31"/>
        <v>2038</v>
      </c>
      <c r="F2038" s="18">
        <v>1</v>
      </c>
    </row>
    <row r="2039" spans="1:6" x14ac:dyDescent="0.35">
      <c r="A2039" s="11">
        <v>50678</v>
      </c>
      <c r="B2039" s="12" t="s">
        <v>7</v>
      </c>
      <c r="C2039" s="13">
        <v>29.4</v>
      </c>
      <c r="D2039" s="14">
        <v>22.3</v>
      </c>
      <c r="E2039">
        <f t="shared" si="31"/>
        <v>2038</v>
      </c>
      <c r="F2039" s="18">
        <v>1</v>
      </c>
    </row>
    <row r="2040" spans="1:6" x14ac:dyDescent="0.35">
      <c r="A2040" s="7">
        <v>50679</v>
      </c>
      <c r="B2040" s="8" t="s">
        <v>23</v>
      </c>
      <c r="C2040" s="9">
        <v>23.4</v>
      </c>
      <c r="D2040" s="10">
        <v>0</v>
      </c>
      <c r="E2040">
        <f t="shared" si="31"/>
        <v>2038</v>
      </c>
      <c r="F2040" s="18">
        <v>1</v>
      </c>
    </row>
    <row r="2041" spans="1:6" x14ac:dyDescent="0.35">
      <c r="A2041" s="11">
        <v>50680</v>
      </c>
      <c r="B2041" s="12" t="s">
        <v>5</v>
      </c>
      <c r="C2041" s="13">
        <v>13.6</v>
      </c>
      <c r="D2041" s="14">
        <v>6.1</v>
      </c>
      <c r="E2041">
        <f t="shared" si="31"/>
        <v>2038</v>
      </c>
      <c r="F2041" s="18">
        <v>1</v>
      </c>
    </row>
    <row r="2042" spans="1:6" x14ac:dyDescent="0.35">
      <c r="A2042" s="7">
        <v>50681</v>
      </c>
      <c r="B2042" s="8" t="s">
        <v>7</v>
      </c>
      <c r="C2042" s="9">
        <v>17.7</v>
      </c>
      <c r="D2042" s="10">
        <v>1.4</v>
      </c>
      <c r="E2042">
        <f t="shared" si="31"/>
        <v>2038</v>
      </c>
      <c r="F2042" s="18">
        <v>1</v>
      </c>
    </row>
    <row r="2043" spans="1:6" x14ac:dyDescent="0.35">
      <c r="A2043" s="11">
        <v>50682</v>
      </c>
      <c r="B2043" s="12" t="s">
        <v>23</v>
      </c>
      <c r="C2043" s="13">
        <v>17</v>
      </c>
      <c r="D2043" s="14">
        <v>5.9</v>
      </c>
      <c r="E2043">
        <f t="shared" si="31"/>
        <v>2038</v>
      </c>
      <c r="F2043" s="18">
        <v>1</v>
      </c>
    </row>
    <row r="2044" spans="1:6" x14ac:dyDescent="0.35">
      <c r="A2044" s="7">
        <v>50683</v>
      </c>
      <c r="B2044" s="8" t="s">
        <v>6</v>
      </c>
      <c r="C2044" s="9">
        <v>29.6</v>
      </c>
      <c r="D2044" s="10">
        <v>6.6</v>
      </c>
      <c r="E2044">
        <f t="shared" si="31"/>
        <v>2038</v>
      </c>
      <c r="F2044" s="18">
        <v>1</v>
      </c>
    </row>
    <row r="2045" spans="1:6" x14ac:dyDescent="0.35">
      <c r="A2045" s="11">
        <v>50684</v>
      </c>
      <c r="B2045" s="12" t="s">
        <v>10</v>
      </c>
      <c r="C2045" s="13">
        <v>23.4</v>
      </c>
      <c r="D2045" s="14">
        <v>0</v>
      </c>
      <c r="E2045">
        <f t="shared" si="31"/>
        <v>2038</v>
      </c>
      <c r="F2045" s="18">
        <v>1</v>
      </c>
    </row>
    <row r="2046" spans="1:6" x14ac:dyDescent="0.35">
      <c r="A2046" s="7">
        <v>50685</v>
      </c>
      <c r="B2046" s="8" t="s">
        <v>7</v>
      </c>
      <c r="C2046" s="9">
        <v>21.3</v>
      </c>
      <c r="D2046" s="10">
        <v>22.4</v>
      </c>
      <c r="E2046">
        <f t="shared" si="31"/>
        <v>2038</v>
      </c>
      <c r="F2046" s="18">
        <v>1</v>
      </c>
    </row>
    <row r="2047" spans="1:6" x14ac:dyDescent="0.35">
      <c r="A2047" s="11">
        <v>50686</v>
      </c>
      <c r="B2047" s="12" t="s">
        <v>19</v>
      </c>
      <c r="C2047" s="13">
        <v>18.600000000000001</v>
      </c>
      <c r="D2047" s="14">
        <v>0</v>
      </c>
      <c r="E2047">
        <f t="shared" si="31"/>
        <v>2038</v>
      </c>
      <c r="F2047" s="18">
        <v>1</v>
      </c>
    </row>
    <row r="2048" spans="1:6" x14ac:dyDescent="0.35">
      <c r="A2048" s="7">
        <v>50687</v>
      </c>
      <c r="B2048" s="8" t="s">
        <v>13</v>
      </c>
      <c r="C2048" s="9">
        <v>16.8</v>
      </c>
      <c r="D2048" s="10">
        <v>2.8</v>
      </c>
      <c r="E2048">
        <f t="shared" si="31"/>
        <v>2038</v>
      </c>
      <c r="F2048" s="18">
        <v>1</v>
      </c>
    </row>
    <row r="2049" spans="1:6" x14ac:dyDescent="0.35">
      <c r="A2049" s="11">
        <v>50688</v>
      </c>
      <c r="B2049" s="12" t="s">
        <v>20</v>
      </c>
      <c r="C2049" s="13">
        <v>13.2</v>
      </c>
      <c r="D2049" s="14">
        <v>4</v>
      </c>
      <c r="E2049">
        <f t="shared" si="31"/>
        <v>2038</v>
      </c>
      <c r="F2049" s="18">
        <v>1</v>
      </c>
    </row>
    <row r="2050" spans="1:6" x14ac:dyDescent="0.35">
      <c r="A2050" s="7">
        <v>50689</v>
      </c>
      <c r="B2050" s="8" t="s">
        <v>19</v>
      </c>
      <c r="C2050" s="9">
        <v>29.8</v>
      </c>
      <c r="D2050" s="10">
        <v>24.9</v>
      </c>
      <c r="E2050">
        <f t="shared" si="31"/>
        <v>2038</v>
      </c>
      <c r="F2050" s="18">
        <v>1</v>
      </c>
    </row>
    <row r="2051" spans="1:6" x14ac:dyDescent="0.35">
      <c r="A2051" s="11">
        <v>50690</v>
      </c>
      <c r="B2051" s="12" t="s">
        <v>10</v>
      </c>
      <c r="C2051" s="13">
        <v>10.6</v>
      </c>
      <c r="D2051" s="14">
        <v>31.8</v>
      </c>
      <c r="E2051">
        <f t="shared" ref="E2051:E2073" si="32">YEAR(A2051)</f>
        <v>2038</v>
      </c>
      <c r="F2051" s="18">
        <v>1</v>
      </c>
    </row>
    <row r="2052" spans="1:6" x14ac:dyDescent="0.35">
      <c r="A2052" s="7">
        <v>50691</v>
      </c>
      <c r="B2052" s="8" t="s">
        <v>15</v>
      </c>
      <c r="C2052" s="9">
        <v>11.9</v>
      </c>
      <c r="D2052" s="10">
        <v>12.3</v>
      </c>
      <c r="E2052">
        <f t="shared" si="32"/>
        <v>2038</v>
      </c>
      <c r="F2052" s="18">
        <v>1</v>
      </c>
    </row>
    <row r="2053" spans="1:6" x14ac:dyDescent="0.35">
      <c r="A2053" s="11">
        <v>50692</v>
      </c>
      <c r="B2053" s="12" t="s">
        <v>30</v>
      </c>
      <c r="C2053" s="13">
        <v>26.8</v>
      </c>
      <c r="D2053" s="14">
        <v>0.5</v>
      </c>
      <c r="E2053">
        <f t="shared" si="32"/>
        <v>2038</v>
      </c>
      <c r="F2053" s="18">
        <v>1</v>
      </c>
    </row>
    <row r="2054" spans="1:6" x14ac:dyDescent="0.35">
      <c r="A2054" s="7">
        <v>50693</v>
      </c>
      <c r="B2054" s="8" t="s">
        <v>22</v>
      </c>
      <c r="C2054" s="9">
        <v>29</v>
      </c>
      <c r="D2054" s="10">
        <v>3.5</v>
      </c>
      <c r="E2054">
        <f t="shared" si="32"/>
        <v>2038</v>
      </c>
      <c r="F2054" s="18">
        <v>1</v>
      </c>
    </row>
    <row r="2055" spans="1:6" x14ac:dyDescent="0.35">
      <c r="A2055" s="11">
        <v>50694</v>
      </c>
      <c r="B2055" s="12" t="s">
        <v>20</v>
      </c>
      <c r="C2055" s="13">
        <v>22.9</v>
      </c>
      <c r="D2055" s="14">
        <v>2</v>
      </c>
      <c r="E2055">
        <f t="shared" si="32"/>
        <v>2038</v>
      </c>
      <c r="F2055" s="18">
        <v>1</v>
      </c>
    </row>
    <row r="2056" spans="1:6" x14ac:dyDescent="0.35">
      <c r="A2056" s="7">
        <v>50695</v>
      </c>
      <c r="B2056" s="8" t="s">
        <v>21</v>
      </c>
      <c r="C2056" s="9">
        <v>27.1</v>
      </c>
      <c r="D2056" s="10">
        <v>0</v>
      </c>
      <c r="E2056">
        <f t="shared" si="32"/>
        <v>2038</v>
      </c>
      <c r="F2056" s="18">
        <v>1</v>
      </c>
    </row>
    <row r="2057" spans="1:6" x14ac:dyDescent="0.35">
      <c r="A2057" s="11">
        <v>50696</v>
      </c>
      <c r="B2057" s="12" t="s">
        <v>10</v>
      </c>
      <c r="C2057" s="13">
        <v>11.8</v>
      </c>
      <c r="D2057" s="14">
        <v>49</v>
      </c>
      <c r="E2057">
        <f t="shared" si="32"/>
        <v>2038</v>
      </c>
      <c r="F2057" s="18">
        <v>1</v>
      </c>
    </row>
    <row r="2058" spans="1:6" x14ac:dyDescent="0.35">
      <c r="A2058" s="7">
        <v>50697</v>
      </c>
      <c r="B2058" s="8" t="s">
        <v>6</v>
      </c>
      <c r="C2058" s="9">
        <v>26.6</v>
      </c>
      <c r="D2058" s="10">
        <v>0</v>
      </c>
      <c r="E2058">
        <f t="shared" si="32"/>
        <v>2038</v>
      </c>
      <c r="F2058" s="18">
        <v>1</v>
      </c>
    </row>
    <row r="2059" spans="1:6" x14ac:dyDescent="0.35">
      <c r="A2059" s="11">
        <v>50698</v>
      </c>
      <c r="B2059" s="12" t="s">
        <v>18</v>
      </c>
      <c r="C2059" s="13">
        <v>21.3</v>
      </c>
      <c r="D2059" s="14">
        <v>0</v>
      </c>
      <c r="E2059">
        <f t="shared" si="32"/>
        <v>2038</v>
      </c>
      <c r="F2059" s="18">
        <v>1</v>
      </c>
    </row>
    <row r="2060" spans="1:6" x14ac:dyDescent="0.35">
      <c r="A2060" s="7">
        <v>50699</v>
      </c>
      <c r="B2060" s="8" t="s">
        <v>11</v>
      </c>
      <c r="C2060" s="9">
        <v>23.2</v>
      </c>
      <c r="D2060" s="10">
        <v>0</v>
      </c>
      <c r="E2060">
        <f t="shared" si="32"/>
        <v>2038</v>
      </c>
      <c r="F2060" s="18">
        <v>1</v>
      </c>
    </row>
    <row r="2061" spans="1:6" x14ac:dyDescent="0.35">
      <c r="A2061" s="11">
        <v>50700</v>
      </c>
      <c r="B2061" s="12" t="s">
        <v>10</v>
      </c>
      <c r="C2061" s="13">
        <v>27.3</v>
      </c>
      <c r="D2061" s="14">
        <v>0</v>
      </c>
      <c r="E2061">
        <f t="shared" si="32"/>
        <v>2038</v>
      </c>
      <c r="F2061" s="18">
        <v>1</v>
      </c>
    </row>
    <row r="2062" spans="1:6" x14ac:dyDescent="0.35">
      <c r="A2062" s="7">
        <v>50701</v>
      </c>
      <c r="B2062" s="8" t="s">
        <v>13</v>
      </c>
      <c r="C2062" s="9">
        <v>21.3</v>
      </c>
      <c r="D2062" s="10">
        <v>2.6</v>
      </c>
      <c r="E2062">
        <f t="shared" si="32"/>
        <v>2038</v>
      </c>
      <c r="F2062" s="18">
        <v>1</v>
      </c>
    </row>
    <row r="2063" spans="1:6" x14ac:dyDescent="0.35">
      <c r="A2063" s="11">
        <v>50702</v>
      </c>
      <c r="B2063" s="12" t="s">
        <v>19</v>
      </c>
      <c r="C2063" s="13">
        <v>22.9</v>
      </c>
      <c r="D2063" s="14">
        <v>5.3</v>
      </c>
      <c r="E2063">
        <f t="shared" si="32"/>
        <v>2038</v>
      </c>
      <c r="F2063" s="18">
        <v>1</v>
      </c>
    </row>
    <row r="2064" spans="1:6" x14ac:dyDescent="0.35">
      <c r="A2064" s="7">
        <v>50703</v>
      </c>
      <c r="B2064" s="8" t="s">
        <v>28</v>
      </c>
      <c r="C2064" s="9">
        <v>25</v>
      </c>
      <c r="D2064" s="10">
        <v>0</v>
      </c>
      <c r="E2064">
        <f t="shared" si="32"/>
        <v>2038</v>
      </c>
      <c r="F2064" s="18">
        <v>1</v>
      </c>
    </row>
    <row r="2065" spans="1:6" x14ac:dyDescent="0.35">
      <c r="A2065" s="11">
        <v>50704</v>
      </c>
      <c r="B2065" s="12" t="s">
        <v>24</v>
      </c>
      <c r="C2065" s="13">
        <v>15.9</v>
      </c>
      <c r="D2065" s="14">
        <v>2.5</v>
      </c>
      <c r="E2065">
        <f t="shared" si="32"/>
        <v>2038</v>
      </c>
      <c r="F2065" s="18">
        <v>1</v>
      </c>
    </row>
    <row r="2066" spans="1:6" x14ac:dyDescent="0.35">
      <c r="A2066" s="7">
        <v>50705</v>
      </c>
      <c r="B2066" s="8" t="s">
        <v>22</v>
      </c>
      <c r="C2066" s="9">
        <v>19.2</v>
      </c>
      <c r="D2066" s="10">
        <v>1.3</v>
      </c>
      <c r="E2066">
        <f t="shared" si="32"/>
        <v>2038</v>
      </c>
      <c r="F2066" s="18">
        <v>1</v>
      </c>
    </row>
    <row r="2067" spans="1:6" x14ac:dyDescent="0.35">
      <c r="A2067" s="11">
        <v>50706</v>
      </c>
      <c r="B2067" s="12" t="s">
        <v>7</v>
      </c>
      <c r="C2067" s="13">
        <v>22.5</v>
      </c>
      <c r="D2067" s="14">
        <v>10.9</v>
      </c>
      <c r="E2067">
        <f t="shared" si="32"/>
        <v>2038</v>
      </c>
      <c r="F2067" s="18">
        <v>1</v>
      </c>
    </row>
    <row r="2068" spans="1:6" x14ac:dyDescent="0.35">
      <c r="A2068" s="7">
        <v>50707</v>
      </c>
      <c r="B2068" s="8" t="s">
        <v>13</v>
      </c>
      <c r="C2068" s="9">
        <v>28.7</v>
      </c>
      <c r="D2068" s="10">
        <v>13.3</v>
      </c>
      <c r="E2068">
        <f t="shared" si="32"/>
        <v>2038</v>
      </c>
      <c r="F2068" s="18">
        <v>1</v>
      </c>
    </row>
    <row r="2069" spans="1:6" x14ac:dyDescent="0.35">
      <c r="A2069" s="11">
        <v>50708</v>
      </c>
      <c r="B2069" s="12" t="s">
        <v>19</v>
      </c>
      <c r="C2069" s="13">
        <v>14.6</v>
      </c>
      <c r="D2069" s="14">
        <v>29.3</v>
      </c>
      <c r="E2069">
        <f t="shared" si="32"/>
        <v>2038</v>
      </c>
      <c r="F2069" s="18">
        <v>1</v>
      </c>
    </row>
    <row r="2070" spans="1:6" x14ac:dyDescent="0.35">
      <c r="A2070" s="7">
        <v>50709</v>
      </c>
      <c r="B2070" s="8" t="s">
        <v>18</v>
      </c>
      <c r="C2070" s="9">
        <v>12.1</v>
      </c>
      <c r="D2070" s="10">
        <v>6.5</v>
      </c>
      <c r="E2070">
        <f t="shared" si="32"/>
        <v>2038</v>
      </c>
      <c r="F2070" s="18">
        <v>1</v>
      </c>
    </row>
    <row r="2071" spans="1:6" x14ac:dyDescent="0.35">
      <c r="A2071" s="11">
        <v>50710</v>
      </c>
      <c r="B2071" s="12" t="s">
        <v>19</v>
      </c>
      <c r="C2071" s="13">
        <v>20</v>
      </c>
      <c r="D2071" s="14">
        <v>26.1</v>
      </c>
      <c r="E2071">
        <f t="shared" si="32"/>
        <v>2038</v>
      </c>
      <c r="F2071" s="18">
        <v>1</v>
      </c>
    </row>
    <row r="2072" spans="1:6" x14ac:dyDescent="0.35">
      <c r="A2072" s="7">
        <v>50711</v>
      </c>
      <c r="B2072" s="8" t="s">
        <v>27</v>
      </c>
      <c r="C2072" s="9">
        <v>20.8</v>
      </c>
      <c r="D2072" s="10">
        <v>2.5</v>
      </c>
      <c r="E2072">
        <f t="shared" si="32"/>
        <v>2038</v>
      </c>
      <c r="F2072" s="18">
        <v>1</v>
      </c>
    </row>
    <row r="2073" spans="1:6" x14ac:dyDescent="0.35">
      <c r="A2073" s="15">
        <v>50712</v>
      </c>
      <c r="B2073" s="16" t="s">
        <v>7</v>
      </c>
      <c r="C2073" s="2">
        <v>26.6</v>
      </c>
      <c r="D2073" s="3">
        <v>5.9</v>
      </c>
      <c r="E2073">
        <f t="shared" si="32"/>
        <v>2038</v>
      </c>
      <c r="F2073" s="18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809E-DA4F-4982-80AF-4188B9883AC8}">
  <sheetPr filterMode="1"/>
  <dimension ref="A1:J2073"/>
  <sheetViews>
    <sheetView tabSelected="1" topLeftCell="A768" workbookViewId="0">
      <selection activeCell="A2010" sqref="A2010"/>
    </sheetView>
  </sheetViews>
  <sheetFormatPr defaultRowHeight="14.5" x14ac:dyDescent="0.35"/>
  <cols>
    <col min="1" max="1" width="9.90625" bestFit="1" customWidth="1"/>
    <col min="2" max="2" width="16.1796875" bestFit="1" customWidth="1"/>
    <col min="3" max="3" width="11.1796875" bestFit="1" customWidth="1"/>
    <col min="4" max="4" width="14.7265625" bestFit="1" customWidth="1"/>
    <col min="5" max="5" width="11.1796875" bestFit="1" customWidth="1"/>
    <col min="6" max="6" width="13.08984375" bestFit="1" customWidth="1"/>
    <col min="7" max="7" width="11.7265625" bestFit="1" customWidth="1"/>
  </cols>
  <sheetData>
    <row r="1" spans="1:10" x14ac:dyDescent="0.35">
      <c r="A1" s="4" t="s">
        <v>0</v>
      </c>
      <c r="B1" s="5" t="s">
        <v>1</v>
      </c>
      <c r="C1" s="5" t="s">
        <v>2</v>
      </c>
      <c r="D1" s="6" t="s">
        <v>3</v>
      </c>
      <c r="E1" s="17" t="s">
        <v>34</v>
      </c>
      <c r="F1" s="17" t="s">
        <v>48</v>
      </c>
      <c r="G1" s="17" t="s">
        <v>49</v>
      </c>
    </row>
    <row r="2" spans="1:10" hidden="1" x14ac:dyDescent="0.35">
      <c r="A2" s="7">
        <v>48641</v>
      </c>
      <c r="B2" s="8" t="s">
        <v>4</v>
      </c>
      <c r="C2" s="9">
        <v>27.8</v>
      </c>
      <c r="D2" s="10">
        <v>0.2</v>
      </c>
      <c r="E2">
        <f>IF(D2&gt;=1,C2*D2/100,0)</f>
        <v>0</v>
      </c>
      <c r="F2">
        <f>E2</f>
        <v>0</v>
      </c>
      <c r="G2">
        <f>IF(F2&gt;=100,1,0)</f>
        <v>0</v>
      </c>
    </row>
    <row r="3" spans="1:10" hidden="1" x14ac:dyDescent="0.35">
      <c r="A3" s="11">
        <v>48642</v>
      </c>
      <c r="B3" s="12" t="s">
        <v>5</v>
      </c>
      <c r="C3" s="13">
        <v>11.8</v>
      </c>
      <c r="D3" s="14">
        <v>1.7</v>
      </c>
      <c r="E3">
        <f t="shared" ref="E3:E66" si="0">IF(D3&gt;=1,C3*D3/100,0)</f>
        <v>0.20060000000000003</v>
      </c>
      <c r="F3">
        <f>IF(G2=1,E3+F2-100,F2+E3)</f>
        <v>0.20060000000000003</v>
      </c>
      <c r="G3">
        <f t="shared" ref="G3:G66" si="1">IF(F3&gt;=100,1,0)</f>
        <v>0</v>
      </c>
      <c r="J3">
        <f>SUM(G2:G2073)</f>
        <v>30</v>
      </c>
    </row>
    <row r="4" spans="1:10" hidden="1" x14ac:dyDescent="0.35">
      <c r="A4" s="7">
        <v>48643</v>
      </c>
      <c r="B4" s="8" t="s">
        <v>6</v>
      </c>
      <c r="C4" s="9">
        <v>21</v>
      </c>
      <c r="D4" s="10">
        <v>6</v>
      </c>
      <c r="E4">
        <f t="shared" si="0"/>
        <v>1.26</v>
      </c>
      <c r="F4">
        <f t="shared" ref="F4:F67" si="2">IF(G3=1,E4+F3-100,F3+E4)</f>
        <v>1.4606000000000001</v>
      </c>
      <c r="G4">
        <f t="shared" si="1"/>
        <v>0</v>
      </c>
    </row>
    <row r="5" spans="1:10" hidden="1" x14ac:dyDescent="0.35">
      <c r="A5" s="11">
        <v>48644</v>
      </c>
      <c r="B5" s="12" t="s">
        <v>7</v>
      </c>
      <c r="C5" s="13">
        <v>26.3</v>
      </c>
      <c r="D5" s="14">
        <v>11.4</v>
      </c>
      <c r="E5">
        <f t="shared" si="0"/>
        <v>2.9981999999999998</v>
      </c>
      <c r="F5">
        <f t="shared" si="2"/>
        <v>4.4588000000000001</v>
      </c>
      <c r="G5">
        <f t="shared" si="1"/>
        <v>0</v>
      </c>
    </row>
    <row r="6" spans="1:10" hidden="1" x14ac:dyDescent="0.35">
      <c r="A6" s="7">
        <v>48645</v>
      </c>
      <c r="B6" s="8" t="s">
        <v>8</v>
      </c>
      <c r="C6" s="9">
        <v>28.8</v>
      </c>
      <c r="D6" s="10">
        <v>0</v>
      </c>
      <c r="E6">
        <f t="shared" si="0"/>
        <v>0</v>
      </c>
      <c r="F6">
        <f t="shared" si="2"/>
        <v>4.4588000000000001</v>
      </c>
      <c r="G6">
        <f t="shared" si="1"/>
        <v>0</v>
      </c>
    </row>
    <row r="7" spans="1:10" hidden="1" x14ac:dyDescent="0.35">
      <c r="A7" s="11">
        <v>48646</v>
      </c>
      <c r="B7" s="12" t="s">
        <v>9</v>
      </c>
      <c r="C7" s="13">
        <v>29.2</v>
      </c>
      <c r="D7" s="14">
        <v>0</v>
      </c>
      <c r="E7">
        <f t="shared" si="0"/>
        <v>0</v>
      </c>
      <c r="F7">
        <f t="shared" si="2"/>
        <v>4.4588000000000001</v>
      </c>
      <c r="G7">
        <f t="shared" si="1"/>
        <v>0</v>
      </c>
    </row>
    <row r="8" spans="1:10" hidden="1" x14ac:dyDescent="0.35">
      <c r="A8" s="7">
        <v>48647</v>
      </c>
      <c r="B8" s="8" t="s">
        <v>10</v>
      </c>
      <c r="C8" s="9">
        <v>25.6</v>
      </c>
      <c r="D8" s="10">
        <v>28.7</v>
      </c>
      <c r="E8">
        <f t="shared" si="0"/>
        <v>7.3472</v>
      </c>
      <c r="F8">
        <f t="shared" si="2"/>
        <v>11.806000000000001</v>
      </c>
      <c r="G8">
        <f t="shared" si="1"/>
        <v>0</v>
      </c>
    </row>
    <row r="9" spans="1:10" hidden="1" x14ac:dyDescent="0.35">
      <c r="A9" s="11">
        <v>48648</v>
      </c>
      <c r="B9" s="12" t="s">
        <v>11</v>
      </c>
      <c r="C9" s="13">
        <v>10.1</v>
      </c>
      <c r="D9" s="14">
        <v>7.7</v>
      </c>
      <c r="E9">
        <f t="shared" si="0"/>
        <v>0.77769999999999995</v>
      </c>
      <c r="F9">
        <f t="shared" si="2"/>
        <v>12.5837</v>
      </c>
      <c r="G9">
        <f t="shared" si="1"/>
        <v>0</v>
      </c>
    </row>
    <row r="10" spans="1:10" hidden="1" x14ac:dyDescent="0.35">
      <c r="A10" s="7">
        <v>48649</v>
      </c>
      <c r="B10" s="8" t="s">
        <v>12</v>
      </c>
      <c r="C10" s="9">
        <v>14.6</v>
      </c>
      <c r="D10" s="10">
        <v>0</v>
      </c>
      <c r="E10">
        <f t="shared" si="0"/>
        <v>0</v>
      </c>
      <c r="F10">
        <f t="shared" si="2"/>
        <v>12.5837</v>
      </c>
      <c r="G10">
        <f t="shared" si="1"/>
        <v>0</v>
      </c>
    </row>
    <row r="11" spans="1:10" hidden="1" x14ac:dyDescent="0.35">
      <c r="A11" s="11">
        <v>48650</v>
      </c>
      <c r="B11" s="12" t="s">
        <v>13</v>
      </c>
      <c r="C11" s="13">
        <v>11.5</v>
      </c>
      <c r="D11" s="14">
        <v>1.9</v>
      </c>
      <c r="E11">
        <f t="shared" si="0"/>
        <v>0.21849999999999997</v>
      </c>
      <c r="F11">
        <f t="shared" si="2"/>
        <v>12.802200000000001</v>
      </c>
      <c r="G11">
        <f t="shared" si="1"/>
        <v>0</v>
      </c>
    </row>
    <row r="12" spans="1:10" hidden="1" x14ac:dyDescent="0.35">
      <c r="A12" s="7">
        <v>48651</v>
      </c>
      <c r="B12" s="8" t="s">
        <v>9</v>
      </c>
      <c r="C12" s="9">
        <v>15.2</v>
      </c>
      <c r="D12" s="10">
        <v>0</v>
      </c>
      <c r="E12">
        <f t="shared" si="0"/>
        <v>0</v>
      </c>
      <c r="F12">
        <f t="shared" si="2"/>
        <v>12.802200000000001</v>
      </c>
      <c r="G12">
        <f t="shared" si="1"/>
        <v>0</v>
      </c>
    </row>
    <row r="13" spans="1:10" hidden="1" x14ac:dyDescent="0.35">
      <c r="A13" s="11">
        <v>48652</v>
      </c>
      <c r="B13" s="12" t="s">
        <v>10</v>
      </c>
      <c r="C13" s="13">
        <v>10.199999999999999</v>
      </c>
      <c r="D13" s="14">
        <v>13.3</v>
      </c>
      <c r="E13">
        <f t="shared" si="0"/>
        <v>1.3566</v>
      </c>
      <c r="F13">
        <f t="shared" si="2"/>
        <v>14.158800000000001</v>
      </c>
      <c r="G13">
        <f t="shared" si="1"/>
        <v>0</v>
      </c>
    </row>
    <row r="14" spans="1:10" hidden="1" x14ac:dyDescent="0.35">
      <c r="A14" s="7">
        <v>48653</v>
      </c>
      <c r="B14" s="8" t="s">
        <v>14</v>
      </c>
      <c r="C14" s="9">
        <v>20.399999999999999</v>
      </c>
      <c r="D14" s="10">
        <v>4.5999999999999996</v>
      </c>
      <c r="E14">
        <f t="shared" si="0"/>
        <v>0.9383999999999999</v>
      </c>
      <c r="F14">
        <f t="shared" si="2"/>
        <v>15.097200000000001</v>
      </c>
      <c r="G14">
        <f t="shared" si="1"/>
        <v>0</v>
      </c>
    </row>
    <row r="15" spans="1:10" hidden="1" x14ac:dyDescent="0.35">
      <c r="A15" s="11">
        <v>48654</v>
      </c>
      <c r="B15" s="12" t="s">
        <v>14</v>
      </c>
      <c r="C15" s="13">
        <v>13.6</v>
      </c>
      <c r="D15" s="14">
        <v>8</v>
      </c>
      <c r="E15">
        <f t="shared" si="0"/>
        <v>1.0880000000000001</v>
      </c>
      <c r="F15">
        <f t="shared" si="2"/>
        <v>16.185200000000002</v>
      </c>
      <c r="G15">
        <f t="shared" si="1"/>
        <v>0</v>
      </c>
    </row>
    <row r="16" spans="1:10" hidden="1" x14ac:dyDescent="0.35">
      <c r="A16" s="7">
        <v>48655</v>
      </c>
      <c r="B16" s="8" t="s">
        <v>15</v>
      </c>
      <c r="C16" s="9">
        <v>11</v>
      </c>
      <c r="D16" s="10">
        <v>11.6</v>
      </c>
      <c r="E16">
        <f t="shared" si="0"/>
        <v>1.276</v>
      </c>
      <c r="F16">
        <f t="shared" si="2"/>
        <v>17.461200000000002</v>
      </c>
      <c r="G16">
        <f t="shared" si="1"/>
        <v>0</v>
      </c>
    </row>
    <row r="17" spans="1:7" hidden="1" x14ac:dyDescent="0.35">
      <c r="A17" s="11">
        <v>48656</v>
      </c>
      <c r="B17" s="12" t="s">
        <v>16</v>
      </c>
      <c r="C17" s="13">
        <v>14.1</v>
      </c>
      <c r="D17" s="14">
        <v>0</v>
      </c>
      <c r="E17">
        <f t="shared" si="0"/>
        <v>0</v>
      </c>
      <c r="F17">
        <f t="shared" si="2"/>
        <v>17.461200000000002</v>
      </c>
      <c r="G17">
        <f t="shared" si="1"/>
        <v>0</v>
      </c>
    </row>
    <row r="18" spans="1:7" hidden="1" x14ac:dyDescent="0.35">
      <c r="A18" s="7">
        <v>48657</v>
      </c>
      <c r="B18" s="8" t="s">
        <v>10</v>
      </c>
      <c r="C18" s="9">
        <v>19.2</v>
      </c>
      <c r="D18" s="10">
        <v>0</v>
      </c>
      <c r="E18">
        <f t="shared" si="0"/>
        <v>0</v>
      </c>
      <c r="F18">
        <f t="shared" si="2"/>
        <v>17.461200000000002</v>
      </c>
      <c r="G18">
        <f t="shared" si="1"/>
        <v>0</v>
      </c>
    </row>
    <row r="19" spans="1:7" hidden="1" x14ac:dyDescent="0.35">
      <c r="A19" s="11">
        <v>48658</v>
      </c>
      <c r="B19" s="12" t="s">
        <v>10</v>
      </c>
      <c r="C19" s="13">
        <v>20.7</v>
      </c>
      <c r="D19" s="14">
        <v>0</v>
      </c>
      <c r="E19">
        <f t="shared" si="0"/>
        <v>0</v>
      </c>
      <c r="F19">
        <f t="shared" si="2"/>
        <v>17.461200000000002</v>
      </c>
      <c r="G19">
        <f t="shared" si="1"/>
        <v>0</v>
      </c>
    </row>
    <row r="20" spans="1:7" hidden="1" x14ac:dyDescent="0.35">
      <c r="A20" s="7">
        <v>48659</v>
      </c>
      <c r="B20" s="8" t="s">
        <v>17</v>
      </c>
      <c r="C20" s="9">
        <v>29.5</v>
      </c>
      <c r="D20" s="10">
        <v>2.1</v>
      </c>
      <c r="E20">
        <f t="shared" si="0"/>
        <v>0.61950000000000005</v>
      </c>
      <c r="F20">
        <f t="shared" si="2"/>
        <v>18.0807</v>
      </c>
      <c r="G20">
        <f t="shared" si="1"/>
        <v>0</v>
      </c>
    </row>
    <row r="21" spans="1:7" hidden="1" x14ac:dyDescent="0.35">
      <c r="A21" s="11">
        <v>48660</v>
      </c>
      <c r="B21" s="12" t="s">
        <v>11</v>
      </c>
      <c r="C21" s="13">
        <v>24.4</v>
      </c>
      <c r="D21" s="14">
        <v>10.1</v>
      </c>
      <c r="E21">
        <f t="shared" si="0"/>
        <v>2.4643999999999995</v>
      </c>
      <c r="F21">
        <f t="shared" si="2"/>
        <v>20.545099999999998</v>
      </c>
      <c r="G21">
        <f t="shared" si="1"/>
        <v>0</v>
      </c>
    </row>
    <row r="22" spans="1:7" hidden="1" x14ac:dyDescent="0.35">
      <c r="A22" s="7">
        <v>48661</v>
      </c>
      <c r="B22" s="8" t="s">
        <v>18</v>
      </c>
      <c r="C22" s="9">
        <v>15.6</v>
      </c>
      <c r="D22" s="10">
        <v>6.6</v>
      </c>
      <c r="E22">
        <f t="shared" si="0"/>
        <v>1.0295999999999998</v>
      </c>
      <c r="F22">
        <f t="shared" si="2"/>
        <v>21.574699999999996</v>
      </c>
      <c r="G22">
        <f t="shared" si="1"/>
        <v>0</v>
      </c>
    </row>
    <row r="23" spans="1:7" hidden="1" x14ac:dyDescent="0.35">
      <c r="A23" s="11">
        <v>48662</v>
      </c>
      <c r="B23" s="12" t="s">
        <v>9</v>
      </c>
      <c r="C23" s="13">
        <v>22.7</v>
      </c>
      <c r="D23" s="14">
        <v>2.9</v>
      </c>
      <c r="E23">
        <f t="shared" si="0"/>
        <v>0.6583</v>
      </c>
      <c r="F23">
        <f t="shared" si="2"/>
        <v>22.232999999999997</v>
      </c>
      <c r="G23">
        <f t="shared" si="1"/>
        <v>0</v>
      </c>
    </row>
    <row r="24" spans="1:7" hidden="1" x14ac:dyDescent="0.35">
      <c r="A24" s="7">
        <v>48663</v>
      </c>
      <c r="B24" s="8" t="s">
        <v>15</v>
      </c>
      <c r="C24" s="9">
        <v>15.1</v>
      </c>
      <c r="D24" s="10">
        <v>0</v>
      </c>
      <c r="E24">
        <f t="shared" si="0"/>
        <v>0</v>
      </c>
      <c r="F24">
        <f t="shared" si="2"/>
        <v>22.232999999999997</v>
      </c>
      <c r="G24">
        <f t="shared" si="1"/>
        <v>0</v>
      </c>
    </row>
    <row r="25" spans="1:7" hidden="1" x14ac:dyDescent="0.35">
      <c r="A25" s="11">
        <v>48664</v>
      </c>
      <c r="B25" s="12" t="s">
        <v>19</v>
      </c>
      <c r="C25" s="13">
        <v>14.1</v>
      </c>
      <c r="D25" s="14">
        <v>0.8</v>
      </c>
      <c r="E25">
        <f t="shared" si="0"/>
        <v>0</v>
      </c>
      <c r="F25">
        <f t="shared" si="2"/>
        <v>22.232999999999997</v>
      </c>
      <c r="G25">
        <f t="shared" si="1"/>
        <v>0</v>
      </c>
    </row>
    <row r="26" spans="1:7" hidden="1" x14ac:dyDescent="0.35">
      <c r="A26" s="7">
        <v>48665</v>
      </c>
      <c r="B26" s="8" t="s">
        <v>7</v>
      </c>
      <c r="C26" s="9">
        <v>24.9</v>
      </c>
      <c r="D26" s="10">
        <v>2.2000000000000002</v>
      </c>
      <c r="E26">
        <f t="shared" si="0"/>
        <v>0.54780000000000006</v>
      </c>
      <c r="F26">
        <f t="shared" si="2"/>
        <v>22.780799999999996</v>
      </c>
      <c r="G26">
        <f t="shared" si="1"/>
        <v>0</v>
      </c>
    </row>
    <row r="27" spans="1:7" hidden="1" x14ac:dyDescent="0.35">
      <c r="A27" s="11">
        <v>48666</v>
      </c>
      <c r="B27" s="12" t="s">
        <v>20</v>
      </c>
      <c r="C27" s="13">
        <v>14.8</v>
      </c>
      <c r="D27" s="14">
        <v>0</v>
      </c>
      <c r="E27">
        <f t="shared" si="0"/>
        <v>0</v>
      </c>
      <c r="F27">
        <f t="shared" si="2"/>
        <v>22.780799999999996</v>
      </c>
      <c r="G27">
        <f t="shared" si="1"/>
        <v>0</v>
      </c>
    </row>
    <row r="28" spans="1:7" hidden="1" x14ac:dyDescent="0.35">
      <c r="A28" s="7">
        <v>48667</v>
      </c>
      <c r="B28" s="8" t="s">
        <v>14</v>
      </c>
      <c r="C28" s="9">
        <v>18.8</v>
      </c>
      <c r="D28" s="10">
        <v>0</v>
      </c>
      <c r="E28">
        <f t="shared" si="0"/>
        <v>0</v>
      </c>
      <c r="F28">
        <f t="shared" si="2"/>
        <v>22.780799999999996</v>
      </c>
      <c r="G28">
        <f t="shared" si="1"/>
        <v>0</v>
      </c>
    </row>
    <row r="29" spans="1:7" hidden="1" x14ac:dyDescent="0.35">
      <c r="A29" s="11">
        <v>48668</v>
      </c>
      <c r="B29" s="12" t="s">
        <v>15</v>
      </c>
      <c r="C29" s="13">
        <v>29.3</v>
      </c>
      <c r="D29" s="14">
        <v>8</v>
      </c>
      <c r="E29">
        <f t="shared" si="0"/>
        <v>2.3439999999999999</v>
      </c>
      <c r="F29">
        <f t="shared" si="2"/>
        <v>25.124799999999997</v>
      </c>
      <c r="G29">
        <f t="shared" si="1"/>
        <v>0</v>
      </c>
    </row>
    <row r="30" spans="1:7" hidden="1" x14ac:dyDescent="0.35">
      <c r="A30" s="7">
        <v>48669</v>
      </c>
      <c r="B30" s="8" t="s">
        <v>21</v>
      </c>
      <c r="C30" s="9">
        <v>29.4</v>
      </c>
      <c r="D30" s="10">
        <v>2.4</v>
      </c>
      <c r="E30">
        <f t="shared" si="0"/>
        <v>0.70559999999999989</v>
      </c>
      <c r="F30">
        <f t="shared" si="2"/>
        <v>25.830399999999997</v>
      </c>
      <c r="G30">
        <f t="shared" si="1"/>
        <v>0</v>
      </c>
    </row>
    <row r="31" spans="1:7" hidden="1" x14ac:dyDescent="0.35">
      <c r="A31" s="11">
        <v>48670</v>
      </c>
      <c r="B31" s="12" t="s">
        <v>22</v>
      </c>
      <c r="C31" s="13">
        <v>16.8</v>
      </c>
      <c r="D31" s="14">
        <v>2.9</v>
      </c>
      <c r="E31">
        <f t="shared" si="0"/>
        <v>0.48719999999999997</v>
      </c>
      <c r="F31">
        <f t="shared" si="2"/>
        <v>26.317599999999999</v>
      </c>
      <c r="G31">
        <f t="shared" si="1"/>
        <v>0</v>
      </c>
    </row>
    <row r="32" spans="1:7" hidden="1" x14ac:dyDescent="0.35">
      <c r="A32" s="7">
        <v>48671</v>
      </c>
      <c r="B32" s="8" t="s">
        <v>12</v>
      </c>
      <c r="C32" s="9">
        <v>21.4</v>
      </c>
      <c r="D32" s="10">
        <v>6.3</v>
      </c>
      <c r="E32">
        <f t="shared" si="0"/>
        <v>1.3481999999999998</v>
      </c>
      <c r="F32">
        <f t="shared" si="2"/>
        <v>27.665799999999997</v>
      </c>
      <c r="G32">
        <f t="shared" si="1"/>
        <v>0</v>
      </c>
    </row>
    <row r="33" spans="1:7" hidden="1" x14ac:dyDescent="0.35">
      <c r="A33" s="11">
        <v>48672</v>
      </c>
      <c r="B33" s="12" t="s">
        <v>7</v>
      </c>
      <c r="C33" s="13">
        <v>23.9</v>
      </c>
      <c r="D33" s="14">
        <v>0</v>
      </c>
      <c r="E33">
        <f t="shared" si="0"/>
        <v>0</v>
      </c>
      <c r="F33">
        <f t="shared" si="2"/>
        <v>27.665799999999997</v>
      </c>
      <c r="G33">
        <f t="shared" si="1"/>
        <v>0</v>
      </c>
    </row>
    <row r="34" spans="1:7" hidden="1" x14ac:dyDescent="0.35">
      <c r="A34" s="7">
        <v>48673</v>
      </c>
      <c r="B34" s="8" t="s">
        <v>12</v>
      </c>
      <c r="C34" s="9">
        <v>26.7</v>
      </c>
      <c r="D34" s="10">
        <v>0</v>
      </c>
      <c r="E34">
        <f t="shared" si="0"/>
        <v>0</v>
      </c>
      <c r="F34">
        <f t="shared" si="2"/>
        <v>27.665799999999997</v>
      </c>
      <c r="G34">
        <f t="shared" si="1"/>
        <v>0</v>
      </c>
    </row>
    <row r="35" spans="1:7" hidden="1" x14ac:dyDescent="0.35">
      <c r="A35" s="11">
        <v>48674</v>
      </c>
      <c r="B35" s="12" t="s">
        <v>7</v>
      </c>
      <c r="C35" s="13">
        <v>12.4</v>
      </c>
      <c r="D35" s="14">
        <v>0</v>
      </c>
      <c r="E35">
        <f t="shared" si="0"/>
        <v>0</v>
      </c>
      <c r="F35">
        <f t="shared" si="2"/>
        <v>27.665799999999997</v>
      </c>
      <c r="G35">
        <f t="shared" si="1"/>
        <v>0</v>
      </c>
    </row>
    <row r="36" spans="1:7" hidden="1" x14ac:dyDescent="0.35">
      <c r="A36" s="7">
        <v>48675</v>
      </c>
      <c r="B36" s="8" t="s">
        <v>12</v>
      </c>
      <c r="C36" s="9">
        <v>10.4</v>
      </c>
      <c r="D36" s="10">
        <v>10.7</v>
      </c>
      <c r="E36">
        <f t="shared" si="0"/>
        <v>1.1128</v>
      </c>
      <c r="F36">
        <f t="shared" si="2"/>
        <v>28.778599999999997</v>
      </c>
      <c r="G36">
        <f t="shared" si="1"/>
        <v>0</v>
      </c>
    </row>
    <row r="37" spans="1:7" hidden="1" x14ac:dyDescent="0.35">
      <c r="A37" s="11">
        <v>48676</v>
      </c>
      <c r="B37" s="12" t="s">
        <v>9</v>
      </c>
      <c r="C37" s="13">
        <v>17.899999999999999</v>
      </c>
      <c r="D37" s="14">
        <v>0</v>
      </c>
      <c r="E37">
        <f t="shared" si="0"/>
        <v>0</v>
      </c>
      <c r="F37">
        <f t="shared" si="2"/>
        <v>28.778599999999997</v>
      </c>
      <c r="G37">
        <f t="shared" si="1"/>
        <v>0</v>
      </c>
    </row>
    <row r="38" spans="1:7" hidden="1" x14ac:dyDescent="0.35">
      <c r="A38" s="7">
        <v>48677</v>
      </c>
      <c r="B38" s="8" t="s">
        <v>20</v>
      </c>
      <c r="C38" s="9">
        <v>17.399999999999999</v>
      </c>
      <c r="D38" s="10">
        <v>1.6</v>
      </c>
      <c r="E38">
        <f t="shared" si="0"/>
        <v>0.27839999999999998</v>
      </c>
      <c r="F38">
        <f t="shared" si="2"/>
        <v>29.056999999999999</v>
      </c>
      <c r="G38">
        <f t="shared" si="1"/>
        <v>0</v>
      </c>
    </row>
    <row r="39" spans="1:7" hidden="1" x14ac:dyDescent="0.35">
      <c r="A39" s="11">
        <v>48678</v>
      </c>
      <c r="B39" s="12" t="s">
        <v>11</v>
      </c>
      <c r="C39" s="13">
        <v>29.4</v>
      </c>
      <c r="D39" s="14">
        <v>21.7</v>
      </c>
      <c r="E39">
        <f t="shared" si="0"/>
        <v>6.3797999999999995</v>
      </c>
      <c r="F39">
        <f t="shared" si="2"/>
        <v>35.436799999999998</v>
      </c>
      <c r="G39">
        <f t="shared" si="1"/>
        <v>0</v>
      </c>
    </row>
    <row r="40" spans="1:7" hidden="1" x14ac:dyDescent="0.35">
      <c r="A40" s="7">
        <v>48679</v>
      </c>
      <c r="B40" s="8" t="s">
        <v>19</v>
      </c>
      <c r="C40" s="9">
        <v>22.9</v>
      </c>
      <c r="D40" s="10">
        <v>26.9</v>
      </c>
      <c r="E40">
        <f t="shared" si="0"/>
        <v>6.160099999999999</v>
      </c>
      <c r="F40">
        <f t="shared" si="2"/>
        <v>41.596899999999998</v>
      </c>
      <c r="G40">
        <f t="shared" si="1"/>
        <v>0</v>
      </c>
    </row>
    <row r="41" spans="1:7" hidden="1" x14ac:dyDescent="0.35">
      <c r="A41" s="11">
        <v>48680</v>
      </c>
      <c r="B41" s="12" t="s">
        <v>19</v>
      </c>
      <c r="C41" s="13">
        <v>18.899999999999999</v>
      </c>
      <c r="D41" s="14">
        <v>11.3</v>
      </c>
      <c r="E41">
        <f t="shared" si="0"/>
        <v>2.1356999999999999</v>
      </c>
      <c r="F41">
        <f t="shared" si="2"/>
        <v>43.732599999999998</v>
      </c>
      <c r="G41">
        <f t="shared" si="1"/>
        <v>0</v>
      </c>
    </row>
    <row r="42" spans="1:7" hidden="1" x14ac:dyDescent="0.35">
      <c r="A42" s="7">
        <v>48681</v>
      </c>
      <c r="B42" s="8" t="s">
        <v>5</v>
      </c>
      <c r="C42" s="9">
        <v>23.5</v>
      </c>
      <c r="D42" s="10">
        <v>0</v>
      </c>
      <c r="E42">
        <f t="shared" si="0"/>
        <v>0</v>
      </c>
      <c r="F42">
        <f t="shared" si="2"/>
        <v>43.732599999999998</v>
      </c>
      <c r="G42">
        <f t="shared" si="1"/>
        <v>0</v>
      </c>
    </row>
    <row r="43" spans="1:7" hidden="1" x14ac:dyDescent="0.35">
      <c r="A43" s="11">
        <v>48682</v>
      </c>
      <c r="B43" s="12" t="s">
        <v>18</v>
      </c>
      <c r="C43" s="13">
        <v>13.4</v>
      </c>
      <c r="D43" s="14">
        <v>14.2</v>
      </c>
      <c r="E43">
        <f t="shared" si="0"/>
        <v>1.9028</v>
      </c>
      <c r="F43">
        <f t="shared" si="2"/>
        <v>45.635399999999997</v>
      </c>
      <c r="G43">
        <f t="shared" si="1"/>
        <v>0</v>
      </c>
    </row>
    <row r="44" spans="1:7" hidden="1" x14ac:dyDescent="0.35">
      <c r="A44" s="7">
        <v>48683</v>
      </c>
      <c r="B44" s="8" t="s">
        <v>20</v>
      </c>
      <c r="C44" s="9">
        <v>18.899999999999999</v>
      </c>
      <c r="D44" s="10">
        <v>1.5</v>
      </c>
      <c r="E44">
        <f t="shared" si="0"/>
        <v>0.28349999999999997</v>
      </c>
      <c r="F44">
        <f t="shared" si="2"/>
        <v>45.918899999999994</v>
      </c>
      <c r="G44">
        <f t="shared" si="1"/>
        <v>0</v>
      </c>
    </row>
    <row r="45" spans="1:7" hidden="1" x14ac:dyDescent="0.35">
      <c r="A45" s="11">
        <v>48684</v>
      </c>
      <c r="B45" s="12" t="s">
        <v>17</v>
      </c>
      <c r="C45" s="13">
        <v>13.5</v>
      </c>
      <c r="D45" s="14">
        <v>1.4</v>
      </c>
      <c r="E45">
        <f t="shared" si="0"/>
        <v>0.18899999999999997</v>
      </c>
      <c r="F45">
        <f t="shared" si="2"/>
        <v>46.107899999999994</v>
      </c>
      <c r="G45">
        <f t="shared" si="1"/>
        <v>0</v>
      </c>
    </row>
    <row r="46" spans="1:7" hidden="1" x14ac:dyDescent="0.35">
      <c r="A46" s="7">
        <v>48685</v>
      </c>
      <c r="B46" s="8" t="s">
        <v>5</v>
      </c>
      <c r="C46" s="9">
        <v>17.7</v>
      </c>
      <c r="D46" s="10">
        <v>5.9</v>
      </c>
      <c r="E46">
        <f t="shared" si="0"/>
        <v>1.0443</v>
      </c>
      <c r="F46">
        <f t="shared" si="2"/>
        <v>47.152199999999993</v>
      </c>
      <c r="G46">
        <f t="shared" si="1"/>
        <v>0</v>
      </c>
    </row>
    <row r="47" spans="1:7" hidden="1" x14ac:dyDescent="0.35">
      <c r="A47" s="11">
        <v>48686</v>
      </c>
      <c r="B47" s="12" t="s">
        <v>11</v>
      </c>
      <c r="C47" s="13">
        <v>24.7</v>
      </c>
      <c r="D47" s="14">
        <v>0</v>
      </c>
      <c r="E47">
        <f t="shared" si="0"/>
        <v>0</v>
      </c>
      <c r="F47">
        <f t="shared" si="2"/>
        <v>47.152199999999993</v>
      </c>
      <c r="G47">
        <f t="shared" si="1"/>
        <v>0</v>
      </c>
    </row>
    <row r="48" spans="1:7" hidden="1" x14ac:dyDescent="0.35">
      <c r="A48" s="7">
        <v>48687</v>
      </c>
      <c r="B48" s="8" t="s">
        <v>18</v>
      </c>
      <c r="C48" s="9">
        <v>25.6</v>
      </c>
      <c r="D48" s="10">
        <v>1.9</v>
      </c>
      <c r="E48">
        <f t="shared" si="0"/>
        <v>0.4864</v>
      </c>
      <c r="F48">
        <f t="shared" si="2"/>
        <v>47.638599999999997</v>
      </c>
      <c r="G48">
        <f t="shared" si="1"/>
        <v>0</v>
      </c>
    </row>
    <row r="49" spans="1:7" hidden="1" x14ac:dyDescent="0.35">
      <c r="A49" s="11">
        <v>48688</v>
      </c>
      <c r="B49" s="12" t="s">
        <v>22</v>
      </c>
      <c r="C49" s="13">
        <v>18.399999999999999</v>
      </c>
      <c r="D49" s="14">
        <v>0</v>
      </c>
      <c r="E49">
        <f t="shared" si="0"/>
        <v>0</v>
      </c>
      <c r="F49">
        <f t="shared" si="2"/>
        <v>47.638599999999997</v>
      </c>
      <c r="G49">
        <f t="shared" si="1"/>
        <v>0</v>
      </c>
    </row>
    <row r="50" spans="1:7" hidden="1" x14ac:dyDescent="0.35">
      <c r="A50" s="7">
        <v>48689</v>
      </c>
      <c r="B50" s="8" t="s">
        <v>23</v>
      </c>
      <c r="C50" s="9">
        <v>27</v>
      </c>
      <c r="D50" s="10">
        <v>0</v>
      </c>
      <c r="E50">
        <f t="shared" si="0"/>
        <v>0</v>
      </c>
      <c r="F50">
        <f t="shared" si="2"/>
        <v>47.638599999999997</v>
      </c>
      <c r="G50">
        <f t="shared" si="1"/>
        <v>0</v>
      </c>
    </row>
    <row r="51" spans="1:7" hidden="1" x14ac:dyDescent="0.35">
      <c r="A51" s="11">
        <v>48690</v>
      </c>
      <c r="B51" s="12" t="s">
        <v>10</v>
      </c>
      <c r="C51" s="13">
        <v>16</v>
      </c>
      <c r="D51" s="14">
        <v>0</v>
      </c>
      <c r="E51">
        <f t="shared" si="0"/>
        <v>0</v>
      </c>
      <c r="F51">
        <f t="shared" si="2"/>
        <v>47.638599999999997</v>
      </c>
      <c r="G51">
        <f t="shared" si="1"/>
        <v>0</v>
      </c>
    </row>
    <row r="52" spans="1:7" hidden="1" x14ac:dyDescent="0.35">
      <c r="A52" s="7">
        <v>48691</v>
      </c>
      <c r="B52" s="8" t="s">
        <v>7</v>
      </c>
      <c r="C52" s="9">
        <v>18.600000000000001</v>
      </c>
      <c r="D52" s="10">
        <v>7.4</v>
      </c>
      <c r="E52">
        <f t="shared" si="0"/>
        <v>1.3764000000000001</v>
      </c>
      <c r="F52">
        <f t="shared" si="2"/>
        <v>49.014999999999993</v>
      </c>
      <c r="G52">
        <f t="shared" si="1"/>
        <v>0</v>
      </c>
    </row>
    <row r="53" spans="1:7" hidden="1" x14ac:dyDescent="0.35">
      <c r="A53" s="11">
        <v>48692</v>
      </c>
      <c r="B53" s="12" t="s">
        <v>10</v>
      </c>
      <c r="C53" s="13">
        <v>12.7</v>
      </c>
      <c r="D53" s="14">
        <v>30.8</v>
      </c>
      <c r="E53">
        <f t="shared" si="0"/>
        <v>3.9115999999999995</v>
      </c>
      <c r="F53">
        <f t="shared" si="2"/>
        <v>52.926599999999993</v>
      </c>
      <c r="G53">
        <f t="shared" si="1"/>
        <v>0</v>
      </c>
    </row>
    <row r="54" spans="1:7" hidden="1" x14ac:dyDescent="0.35">
      <c r="A54" s="7">
        <v>48693</v>
      </c>
      <c r="B54" s="8" t="s">
        <v>19</v>
      </c>
      <c r="C54" s="9">
        <v>14.5</v>
      </c>
      <c r="D54" s="10">
        <v>0</v>
      </c>
      <c r="E54">
        <f t="shared" si="0"/>
        <v>0</v>
      </c>
      <c r="F54">
        <f t="shared" si="2"/>
        <v>52.926599999999993</v>
      </c>
      <c r="G54">
        <f t="shared" si="1"/>
        <v>0</v>
      </c>
    </row>
    <row r="55" spans="1:7" hidden="1" x14ac:dyDescent="0.35">
      <c r="A55" s="11">
        <v>48694</v>
      </c>
      <c r="B55" s="12" t="s">
        <v>24</v>
      </c>
      <c r="C55" s="13">
        <v>12.2</v>
      </c>
      <c r="D55" s="14">
        <v>3.5</v>
      </c>
      <c r="E55">
        <f t="shared" si="0"/>
        <v>0.42699999999999994</v>
      </c>
      <c r="F55">
        <f t="shared" si="2"/>
        <v>53.353599999999993</v>
      </c>
      <c r="G55">
        <f t="shared" si="1"/>
        <v>0</v>
      </c>
    </row>
    <row r="56" spans="1:7" hidden="1" x14ac:dyDescent="0.35">
      <c r="A56" s="7">
        <v>48695</v>
      </c>
      <c r="B56" s="8" t="s">
        <v>25</v>
      </c>
      <c r="C56" s="9">
        <v>19.899999999999999</v>
      </c>
      <c r="D56" s="10">
        <v>0</v>
      </c>
      <c r="E56">
        <f t="shared" si="0"/>
        <v>0</v>
      </c>
      <c r="F56">
        <f t="shared" si="2"/>
        <v>53.353599999999993</v>
      </c>
      <c r="G56">
        <f t="shared" si="1"/>
        <v>0</v>
      </c>
    </row>
    <row r="57" spans="1:7" hidden="1" x14ac:dyDescent="0.35">
      <c r="A57" s="11">
        <v>48696</v>
      </c>
      <c r="B57" s="12" t="s">
        <v>26</v>
      </c>
      <c r="C57" s="13">
        <v>28.1</v>
      </c>
      <c r="D57" s="14">
        <v>5.3</v>
      </c>
      <c r="E57">
        <f t="shared" si="0"/>
        <v>1.4893000000000001</v>
      </c>
      <c r="F57">
        <f t="shared" si="2"/>
        <v>54.842899999999993</v>
      </c>
      <c r="G57">
        <f t="shared" si="1"/>
        <v>0</v>
      </c>
    </row>
    <row r="58" spans="1:7" hidden="1" x14ac:dyDescent="0.35">
      <c r="A58" s="7">
        <v>48697</v>
      </c>
      <c r="B58" s="8" t="s">
        <v>10</v>
      </c>
      <c r="C58" s="9">
        <v>27.7</v>
      </c>
      <c r="D58" s="10">
        <v>45.3</v>
      </c>
      <c r="E58">
        <f t="shared" si="0"/>
        <v>12.5481</v>
      </c>
      <c r="F58">
        <f t="shared" si="2"/>
        <v>67.390999999999991</v>
      </c>
      <c r="G58">
        <f t="shared" si="1"/>
        <v>0</v>
      </c>
    </row>
    <row r="59" spans="1:7" hidden="1" x14ac:dyDescent="0.35">
      <c r="A59" s="11">
        <v>48698</v>
      </c>
      <c r="B59" s="12" t="s">
        <v>5</v>
      </c>
      <c r="C59" s="13">
        <v>14.6</v>
      </c>
      <c r="D59" s="14">
        <v>5.2</v>
      </c>
      <c r="E59">
        <f t="shared" si="0"/>
        <v>0.75919999999999999</v>
      </c>
      <c r="F59">
        <f t="shared" si="2"/>
        <v>68.150199999999998</v>
      </c>
      <c r="G59">
        <f t="shared" si="1"/>
        <v>0</v>
      </c>
    </row>
    <row r="60" spans="1:7" hidden="1" x14ac:dyDescent="0.35">
      <c r="A60" s="7">
        <v>48699</v>
      </c>
      <c r="B60" s="8" t="s">
        <v>18</v>
      </c>
      <c r="C60" s="9">
        <v>10.8</v>
      </c>
      <c r="D60" s="10">
        <v>0</v>
      </c>
      <c r="E60">
        <f t="shared" si="0"/>
        <v>0</v>
      </c>
      <c r="F60">
        <f t="shared" si="2"/>
        <v>68.150199999999998</v>
      </c>
      <c r="G60">
        <f t="shared" si="1"/>
        <v>0</v>
      </c>
    </row>
    <row r="61" spans="1:7" hidden="1" x14ac:dyDescent="0.35">
      <c r="A61" s="11">
        <v>48700</v>
      </c>
      <c r="B61" s="12" t="s">
        <v>27</v>
      </c>
      <c r="C61" s="13">
        <v>12.4</v>
      </c>
      <c r="D61" s="14">
        <v>3.2</v>
      </c>
      <c r="E61">
        <f t="shared" si="0"/>
        <v>0.39680000000000004</v>
      </c>
      <c r="F61">
        <f t="shared" si="2"/>
        <v>68.546999999999997</v>
      </c>
      <c r="G61">
        <f t="shared" si="1"/>
        <v>0</v>
      </c>
    </row>
    <row r="62" spans="1:7" hidden="1" x14ac:dyDescent="0.35">
      <c r="A62" s="7">
        <v>48701</v>
      </c>
      <c r="B62" s="8" t="s">
        <v>10</v>
      </c>
      <c r="C62" s="9">
        <v>25.2</v>
      </c>
      <c r="D62" s="10">
        <v>0</v>
      </c>
      <c r="E62">
        <f t="shared" si="0"/>
        <v>0</v>
      </c>
      <c r="F62">
        <f t="shared" si="2"/>
        <v>68.546999999999997</v>
      </c>
      <c r="G62">
        <f t="shared" si="1"/>
        <v>0</v>
      </c>
    </row>
    <row r="63" spans="1:7" hidden="1" x14ac:dyDescent="0.35">
      <c r="A63" s="11">
        <v>48702</v>
      </c>
      <c r="B63" s="12" t="s">
        <v>10</v>
      </c>
      <c r="C63" s="13">
        <v>28.9</v>
      </c>
      <c r="D63" s="14">
        <v>0</v>
      </c>
      <c r="E63">
        <f t="shared" si="0"/>
        <v>0</v>
      </c>
      <c r="F63">
        <f t="shared" si="2"/>
        <v>68.546999999999997</v>
      </c>
      <c r="G63">
        <f t="shared" si="1"/>
        <v>0</v>
      </c>
    </row>
    <row r="64" spans="1:7" hidden="1" x14ac:dyDescent="0.35">
      <c r="A64" s="7">
        <v>48703</v>
      </c>
      <c r="B64" s="8" t="s">
        <v>19</v>
      </c>
      <c r="C64" s="9">
        <v>13.2</v>
      </c>
      <c r="D64" s="10">
        <v>23.3</v>
      </c>
      <c r="E64">
        <f t="shared" si="0"/>
        <v>3.0756000000000001</v>
      </c>
      <c r="F64">
        <f t="shared" si="2"/>
        <v>71.622599999999991</v>
      </c>
      <c r="G64">
        <f t="shared" si="1"/>
        <v>0</v>
      </c>
    </row>
    <row r="65" spans="1:7" hidden="1" x14ac:dyDescent="0.35">
      <c r="A65" s="11">
        <v>48704</v>
      </c>
      <c r="B65" s="12" t="s">
        <v>10</v>
      </c>
      <c r="C65" s="13">
        <v>27.9</v>
      </c>
      <c r="D65" s="14">
        <v>0</v>
      </c>
      <c r="E65">
        <f t="shared" si="0"/>
        <v>0</v>
      </c>
      <c r="F65">
        <f t="shared" si="2"/>
        <v>71.622599999999991</v>
      </c>
      <c r="G65">
        <f t="shared" si="1"/>
        <v>0</v>
      </c>
    </row>
    <row r="66" spans="1:7" hidden="1" x14ac:dyDescent="0.35">
      <c r="A66" s="7">
        <v>48705</v>
      </c>
      <c r="B66" s="8" t="s">
        <v>7</v>
      </c>
      <c r="C66" s="9">
        <v>10.9</v>
      </c>
      <c r="D66" s="10">
        <v>3.5</v>
      </c>
      <c r="E66">
        <f t="shared" si="0"/>
        <v>0.38150000000000001</v>
      </c>
      <c r="F66">
        <f t="shared" si="2"/>
        <v>72.004099999999994</v>
      </c>
      <c r="G66">
        <f t="shared" si="1"/>
        <v>0</v>
      </c>
    </row>
    <row r="67" spans="1:7" hidden="1" x14ac:dyDescent="0.35">
      <c r="A67" s="11">
        <v>48706</v>
      </c>
      <c r="B67" s="12" t="s">
        <v>15</v>
      </c>
      <c r="C67" s="13">
        <v>25.5</v>
      </c>
      <c r="D67" s="14">
        <v>20</v>
      </c>
      <c r="E67">
        <f t="shared" ref="E67:E130" si="3">IF(D67&gt;=1,C67*D67/100,0)</f>
        <v>5.0999999999999996</v>
      </c>
      <c r="F67">
        <f t="shared" si="2"/>
        <v>77.104099999999988</v>
      </c>
      <c r="G67">
        <f t="shared" ref="G67:G130" si="4">IF(F67&gt;=100,1,0)</f>
        <v>0</v>
      </c>
    </row>
    <row r="68" spans="1:7" hidden="1" x14ac:dyDescent="0.35">
      <c r="A68" s="7">
        <v>48707</v>
      </c>
      <c r="B68" s="8" t="s">
        <v>9</v>
      </c>
      <c r="C68" s="9">
        <v>26</v>
      </c>
      <c r="D68" s="10">
        <v>0</v>
      </c>
      <c r="E68">
        <f t="shared" si="3"/>
        <v>0</v>
      </c>
      <c r="F68">
        <f t="shared" ref="F68:F131" si="5">IF(G67=1,E68+F67-100,F67+E68)</f>
        <v>77.104099999999988</v>
      </c>
      <c r="G68">
        <f t="shared" si="4"/>
        <v>0</v>
      </c>
    </row>
    <row r="69" spans="1:7" hidden="1" x14ac:dyDescent="0.35">
      <c r="A69" s="11">
        <v>48708</v>
      </c>
      <c r="B69" s="12" t="s">
        <v>25</v>
      </c>
      <c r="C69" s="13">
        <v>25.8</v>
      </c>
      <c r="D69" s="14">
        <v>0.1</v>
      </c>
      <c r="E69">
        <f t="shared" si="3"/>
        <v>0</v>
      </c>
      <c r="F69">
        <f t="shared" si="5"/>
        <v>77.104099999999988</v>
      </c>
      <c r="G69">
        <f t="shared" si="4"/>
        <v>0</v>
      </c>
    </row>
    <row r="70" spans="1:7" hidden="1" x14ac:dyDescent="0.35">
      <c r="A70" s="7">
        <v>48709</v>
      </c>
      <c r="B70" s="8" t="s">
        <v>14</v>
      </c>
      <c r="C70" s="9">
        <v>17.5</v>
      </c>
      <c r="D70" s="10">
        <v>0.5</v>
      </c>
      <c r="E70">
        <f t="shared" si="3"/>
        <v>0</v>
      </c>
      <c r="F70">
        <f t="shared" si="5"/>
        <v>77.104099999999988</v>
      </c>
      <c r="G70">
        <f t="shared" si="4"/>
        <v>0</v>
      </c>
    </row>
    <row r="71" spans="1:7" hidden="1" x14ac:dyDescent="0.35">
      <c r="A71" s="11">
        <v>48710</v>
      </c>
      <c r="B71" s="12" t="s">
        <v>10</v>
      </c>
      <c r="C71" s="13">
        <v>17.8</v>
      </c>
      <c r="D71" s="14">
        <v>3.3</v>
      </c>
      <c r="E71">
        <f t="shared" si="3"/>
        <v>0.58740000000000003</v>
      </c>
      <c r="F71">
        <f t="shared" si="5"/>
        <v>77.691499999999991</v>
      </c>
      <c r="G71">
        <f t="shared" si="4"/>
        <v>0</v>
      </c>
    </row>
    <row r="72" spans="1:7" hidden="1" x14ac:dyDescent="0.35">
      <c r="A72" s="7">
        <v>48711</v>
      </c>
      <c r="B72" s="8" t="s">
        <v>10</v>
      </c>
      <c r="C72" s="9">
        <v>17.5</v>
      </c>
      <c r="D72" s="10">
        <v>0</v>
      </c>
      <c r="E72">
        <f t="shared" si="3"/>
        <v>0</v>
      </c>
      <c r="F72">
        <f t="shared" si="5"/>
        <v>77.691499999999991</v>
      </c>
      <c r="G72">
        <f t="shared" si="4"/>
        <v>0</v>
      </c>
    </row>
    <row r="73" spans="1:7" hidden="1" x14ac:dyDescent="0.35">
      <c r="A73" s="11">
        <v>48712</v>
      </c>
      <c r="B73" s="12" t="s">
        <v>13</v>
      </c>
      <c r="C73" s="13">
        <v>16.100000000000001</v>
      </c>
      <c r="D73" s="14">
        <v>0</v>
      </c>
      <c r="E73">
        <f t="shared" si="3"/>
        <v>0</v>
      </c>
      <c r="F73">
        <f t="shared" si="5"/>
        <v>77.691499999999991</v>
      </c>
      <c r="G73">
        <f t="shared" si="4"/>
        <v>0</v>
      </c>
    </row>
    <row r="74" spans="1:7" hidden="1" x14ac:dyDescent="0.35">
      <c r="A74" s="7">
        <v>48713</v>
      </c>
      <c r="B74" s="8" t="s">
        <v>5</v>
      </c>
      <c r="C74" s="9">
        <v>11.8</v>
      </c>
      <c r="D74" s="10">
        <v>7</v>
      </c>
      <c r="E74">
        <f t="shared" si="3"/>
        <v>0.82600000000000007</v>
      </c>
      <c r="F74">
        <f t="shared" si="5"/>
        <v>78.517499999999984</v>
      </c>
      <c r="G74">
        <f t="shared" si="4"/>
        <v>0</v>
      </c>
    </row>
    <row r="75" spans="1:7" hidden="1" x14ac:dyDescent="0.35">
      <c r="A75" s="11">
        <v>48714</v>
      </c>
      <c r="B75" s="12" t="s">
        <v>15</v>
      </c>
      <c r="C75" s="13">
        <v>26.2</v>
      </c>
      <c r="D75" s="14">
        <v>0</v>
      </c>
      <c r="E75">
        <f t="shared" si="3"/>
        <v>0</v>
      </c>
      <c r="F75">
        <f t="shared" si="5"/>
        <v>78.517499999999984</v>
      </c>
      <c r="G75">
        <f t="shared" si="4"/>
        <v>0</v>
      </c>
    </row>
    <row r="76" spans="1:7" hidden="1" x14ac:dyDescent="0.35">
      <c r="A76" s="7">
        <v>48715</v>
      </c>
      <c r="B76" s="8" t="s">
        <v>6</v>
      </c>
      <c r="C76" s="9">
        <v>28.8</v>
      </c>
      <c r="D76" s="10">
        <v>2.9</v>
      </c>
      <c r="E76">
        <f t="shared" si="3"/>
        <v>0.83519999999999994</v>
      </c>
      <c r="F76">
        <f t="shared" si="5"/>
        <v>79.352699999999984</v>
      </c>
      <c r="G76">
        <f t="shared" si="4"/>
        <v>0</v>
      </c>
    </row>
    <row r="77" spans="1:7" hidden="1" x14ac:dyDescent="0.35">
      <c r="A77" s="11">
        <v>48716</v>
      </c>
      <c r="B77" s="12" t="s">
        <v>10</v>
      </c>
      <c r="C77" s="13">
        <v>18.7</v>
      </c>
      <c r="D77" s="14">
        <v>0</v>
      </c>
      <c r="E77">
        <f t="shared" si="3"/>
        <v>0</v>
      </c>
      <c r="F77">
        <f t="shared" si="5"/>
        <v>79.352699999999984</v>
      </c>
      <c r="G77">
        <f t="shared" si="4"/>
        <v>0</v>
      </c>
    </row>
    <row r="78" spans="1:7" hidden="1" x14ac:dyDescent="0.35">
      <c r="A78" s="7">
        <v>48717</v>
      </c>
      <c r="B78" s="8" t="s">
        <v>18</v>
      </c>
      <c r="C78" s="9">
        <v>10.3</v>
      </c>
      <c r="D78" s="10">
        <v>9.1999999999999993</v>
      </c>
      <c r="E78">
        <f t="shared" si="3"/>
        <v>0.9476</v>
      </c>
      <c r="F78">
        <f t="shared" si="5"/>
        <v>80.300299999999979</v>
      </c>
      <c r="G78">
        <f t="shared" si="4"/>
        <v>0</v>
      </c>
    </row>
    <row r="79" spans="1:7" hidden="1" x14ac:dyDescent="0.35">
      <c r="A79" s="11">
        <v>48718</v>
      </c>
      <c r="B79" s="12" t="s">
        <v>6</v>
      </c>
      <c r="C79" s="13">
        <v>29.8</v>
      </c>
      <c r="D79" s="14">
        <v>3.4</v>
      </c>
      <c r="E79">
        <f t="shared" si="3"/>
        <v>1.0131999999999999</v>
      </c>
      <c r="F79">
        <f t="shared" si="5"/>
        <v>81.313499999999976</v>
      </c>
      <c r="G79">
        <f t="shared" si="4"/>
        <v>0</v>
      </c>
    </row>
    <row r="80" spans="1:7" hidden="1" x14ac:dyDescent="0.35">
      <c r="A80" s="7">
        <v>48719</v>
      </c>
      <c r="B80" s="8" t="s">
        <v>10</v>
      </c>
      <c r="C80" s="9">
        <v>26.2</v>
      </c>
      <c r="D80" s="10">
        <v>32.299999999999997</v>
      </c>
      <c r="E80">
        <f t="shared" si="3"/>
        <v>8.4625999999999983</v>
      </c>
      <c r="F80">
        <f t="shared" si="5"/>
        <v>89.776099999999971</v>
      </c>
      <c r="G80">
        <f t="shared" si="4"/>
        <v>0</v>
      </c>
    </row>
    <row r="81" spans="1:7" hidden="1" x14ac:dyDescent="0.35">
      <c r="A81" s="11">
        <v>48720</v>
      </c>
      <c r="B81" s="12" t="s">
        <v>19</v>
      </c>
      <c r="C81" s="13">
        <v>13.8</v>
      </c>
      <c r="D81" s="14">
        <v>15.9</v>
      </c>
      <c r="E81">
        <f t="shared" si="3"/>
        <v>2.1942000000000004</v>
      </c>
      <c r="F81">
        <f t="shared" si="5"/>
        <v>91.970299999999966</v>
      </c>
      <c r="G81">
        <f t="shared" si="4"/>
        <v>0</v>
      </c>
    </row>
    <row r="82" spans="1:7" hidden="1" x14ac:dyDescent="0.35">
      <c r="A82" s="7">
        <v>48721</v>
      </c>
      <c r="B82" s="8" t="s">
        <v>19</v>
      </c>
      <c r="C82" s="9">
        <v>22.4</v>
      </c>
      <c r="D82" s="10">
        <v>24.5</v>
      </c>
      <c r="E82">
        <f t="shared" si="3"/>
        <v>5.4879999999999995</v>
      </c>
      <c r="F82">
        <f t="shared" si="5"/>
        <v>97.458299999999966</v>
      </c>
      <c r="G82">
        <f t="shared" si="4"/>
        <v>0</v>
      </c>
    </row>
    <row r="83" spans="1:7" hidden="1" x14ac:dyDescent="0.35">
      <c r="A83" s="11">
        <v>48722</v>
      </c>
      <c r="B83" s="12" t="s">
        <v>19</v>
      </c>
      <c r="C83" s="13">
        <v>24.5</v>
      </c>
      <c r="D83" s="14">
        <v>0.9</v>
      </c>
      <c r="E83">
        <f t="shared" si="3"/>
        <v>0</v>
      </c>
      <c r="F83">
        <f t="shared" si="5"/>
        <v>97.458299999999966</v>
      </c>
      <c r="G83">
        <f t="shared" si="4"/>
        <v>0</v>
      </c>
    </row>
    <row r="84" spans="1:7" hidden="1" x14ac:dyDescent="0.35">
      <c r="A84" s="7">
        <v>48723</v>
      </c>
      <c r="B84" s="8" t="s">
        <v>28</v>
      </c>
      <c r="C84" s="9">
        <v>23.1</v>
      </c>
      <c r="D84" s="10">
        <v>0.3</v>
      </c>
      <c r="E84">
        <f t="shared" si="3"/>
        <v>0</v>
      </c>
      <c r="F84">
        <f t="shared" si="5"/>
        <v>97.458299999999966</v>
      </c>
      <c r="G84">
        <f t="shared" si="4"/>
        <v>0</v>
      </c>
    </row>
    <row r="85" spans="1:7" hidden="1" x14ac:dyDescent="0.35">
      <c r="A85" s="11">
        <v>48724</v>
      </c>
      <c r="B85" s="12" t="s">
        <v>25</v>
      </c>
      <c r="C85" s="13">
        <v>29.8</v>
      </c>
      <c r="D85" s="14">
        <v>0</v>
      </c>
      <c r="E85">
        <f t="shared" si="3"/>
        <v>0</v>
      </c>
      <c r="F85">
        <f t="shared" si="5"/>
        <v>97.458299999999966</v>
      </c>
      <c r="G85">
        <f t="shared" si="4"/>
        <v>0</v>
      </c>
    </row>
    <row r="86" spans="1:7" hidden="1" x14ac:dyDescent="0.35">
      <c r="A86" s="7">
        <v>48725</v>
      </c>
      <c r="B86" s="8" t="s">
        <v>4</v>
      </c>
      <c r="C86" s="9">
        <v>11.2</v>
      </c>
      <c r="D86" s="10">
        <v>0</v>
      </c>
      <c r="E86">
        <f t="shared" si="3"/>
        <v>0</v>
      </c>
      <c r="F86">
        <f t="shared" si="5"/>
        <v>97.458299999999966</v>
      </c>
      <c r="G86">
        <f t="shared" si="4"/>
        <v>0</v>
      </c>
    </row>
    <row r="87" spans="1:7" hidden="1" x14ac:dyDescent="0.35">
      <c r="A87" s="11">
        <v>48726</v>
      </c>
      <c r="B87" s="12" t="s">
        <v>19</v>
      </c>
      <c r="C87" s="13">
        <v>18.7</v>
      </c>
      <c r="D87" s="14">
        <v>0</v>
      </c>
      <c r="E87">
        <f t="shared" si="3"/>
        <v>0</v>
      </c>
      <c r="F87">
        <f t="shared" si="5"/>
        <v>97.458299999999966</v>
      </c>
      <c r="G87">
        <f t="shared" si="4"/>
        <v>0</v>
      </c>
    </row>
    <row r="88" spans="1:7" hidden="1" x14ac:dyDescent="0.35">
      <c r="A88" s="7">
        <v>48727</v>
      </c>
      <c r="B88" s="8" t="s">
        <v>18</v>
      </c>
      <c r="C88" s="9">
        <v>11.4</v>
      </c>
      <c r="D88" s="10">
        <v>8.1</v>
      </c>
      <c r="E88">
        <f t="shared" si="3"/>
        <v>0.9234</v>
      </c>
      <c r="F88">
        <f t="shared" si="5"/>
        <v>98.381699999999967</v>
      </c>
      <c r="G88">
        <f t="shared" si="4"/>
        <v>0</v>
      </c>
    </row>
    <row r="89" spans="1:7" x14ac:dyDescent="0.35">
      <c r="A89" s="11">
        <v>48728</v>
      </c>
      <c r="B89" s="12" t="s">
        <v>13</v>
      </c>
      <c r="C89" s="13">
        <v>21.3</v>
      </c>
      <c r="D89" s="14">
        <v>13.4</v>
      </c>
      <c r="E89">
        <f t="shared" si="3"/>
        <v>2.8542000000000001</v>
      </c>
      <c r="F89">
        <f t="shared" si="5"/>
        <v>101.23589999999997</v>
      </c>
      <c r="G89">
        <f t="shared" si="4"/>
        <v>1</v>
      </c>
    </row>
    <row r="90" spans="1:7" hidden="1" x14ac:dyDescent="0.35">
      <c r="A90" s="7">
        <v>48729</v>
      </c>
      <c r="B90" s="8" t="s">
        <v>5</v>
      </c>
      <c r="C90" s="9">
        <v>24.5</v>
      </c>
      <c r="D90" s="10">
        <v>2.6</v>
      </c>
      <c r="E90">
        <f t="shared" si="3"/>
        <v>0.63700000000000001</v>
      </c>
      <c r="F90">
        <f t="shared" si="5"/>
        <v>1.8728999999999729</v>
      </c>
      <c r="G90">
        <f t="shared" si="4"/>
        <v>0</v>
      </c>
    </row>
    <row r="91" spans="1:7" hidden="1" x14ac:dyDescent="0.35">
      <c r="A91" s="11">
        <v>48730</v>
      </c>
      <c r="B91" s="12" t="s">
        <v>19</v>
      </c>
      <c r="C91" s="13">
        <v>20</v>
      </c>
      <c r="D91" s="14">
        <v>13.2</v>
      </c>
      <c r="E91">
        <f t="shared" si="3"/>
        <v>2.64</v>
      </c>
      <c r="F91">
        <f t="shared" si="5"/>
        <v>4.5128999999999735</v>
      </c>
      <c r="G91">
        <f t="shared" si="4"/>
        <v>0</v>
      </c>
    </row>
    <row r="92" spans="1:7" hidden="1" x14ac:dyDescent="0.35">
      <c r="A92" s="7">
        <v>48731</v>
      </c>
      <c r="B92" s="8" t="s">
        <v>10</v>
      </c>
      <c r="C92" s="9">
        <v>28.4</v>
      </c>
      <c r="D92" s="10">
        <v>12</v>
      </c>
      <c r="E92">
        <f t="shared" si="3"/>
        <v>3.4079999999999995</v>
      </c>
      <c r="F92">
        <f t="shared" si="5"/>
        <v>7.920899999999973</v>
      </c>
      <c r="G92">
        <f t="shared" si="4"/>
        <v>0</v>
      </c>
    </row>
    <row r="93" spans="1:7" hidden="1" x14ac:dyDescent="0.35">
      <c r="A93" s="11">
        <v>48732</v>
      </c>
      <c r="B93" s="12" t="s">
        <v>11</v>
      </c>
      <c r="C93" s="13">
        <v>14.8</v>
      </c>
      <c r="D93" s="14">
        <v>10.1</v>
      </c>
      <c r="E93">
        <f t="shared" si="3"/>
        <v>1.4947999999999999</v>
      </c>
      <c r="F93">
        <f t="shared" si="5"/>
        <v>9.4156999999999726</v>
      </c>
      <c r="G93">
        <f t="shared" si="4"/>
        <v>0</v>
      </c>
    </row>
    <row r="94" spans="1:7" hidden="1" x14ac:dyDescent="0.35">
      <c r="A94" s="7">
        <v>48733</v>
      </c>
      <c r="B94" s="8" t="s">
        <v>29</v>
      </c>
      <c r="C94" s="9">
        <v>27.9</v>
      </c>
      <c r="D94" s="10">
        <v>0.6</v>
      </c>
      <c r="E94">
        <f t="shared" si="3"/>
        <v>0</v>
      </c>
      <c r="F94">
        <f t="shared" si="5"/>
        <v>9.4156999999999726</v>
      </c>
      <c r="G94">
        <f t="shared" si="4"/>
        <v>0</v>
      </c>
    </row>
    <row r="95" spans="1:7" hidden="1" x14ac:dyDescent="0.35">
      <c r="A95" s="11">
        <v>48734</v>
      </c>
      <c r="B95" s="12" t="s">
        <v>12</v>
      </c>
      <c r="C95" s="13">
        <v>19.899999999999999</v>
      </c>
      <c r="D95" s="14">
        <v>9.8000000000000007</v>
      </c>
      <c r="E95">
        <f t="shared" si="3"/>
        <v>1.9502000000000002</v>
      </c>
      <c r="F95">
        <f t="shared" si="5"/>
        <v>11.365899999999973</v>
      </c>
      <c r="G95">
        <f t="shared" si="4"/>
        <v>0</v>
      </c>
    </row>
    <row r="96" spans="1:7" hidden="1" x14ac:dyDescent="0.35">
      <c r="A96" s="7">
        <v>48735</v>
      </c>
      <c r="B96" s="8" t="s">
        <v>19</v>
      </c>
      <c r="C96" s="9">
        <v>22.5</v>
      </c>
      <c r="D96" s="10">
        <v>0</v>
      </c>
      <c r="E96">
        <f t="shared" si="3"/>
        <v>0</v>
      </c>
      <c r="F96">
        <f t="shared" si="5"/>
        <v>11.365899999999973</v>
      </c>
      <c r="G96">
        <f t="shared" si="4"/>
        <v>0</v>
      </c>
    </row>
    <row r="97" spans="1:7" hidden="1" x14ac:dyDescent="0.35">
      <c r="A97" s="11">
        <v>48736</v>
      </c>
      <c r="B97" s="12" t="s">
        <v>8</v>
      </c>
      <c r="C97" s="13">
        <v>21.6</v>
      </c>
      <c r="D97" s="14">
        <v>4.9000000000000004</v>
      </c>
      <c r="E97">
        <f t="shared" si="3"/>
        <v>1.0584000000000002</v>
      </c>
      <c r="F97">
        <f t="shared" si="5"/>
        <v>12.424299999999974</v>
      </c>
      <c r="G97">
        <f t="shared" si="4"/>
        <v>0</v>
      </c>
    </row>
    <row r="98" spans="1:7" hidden="1" x14ac:dyDescent="0.35">
      <c r="A98" s="7">
        <v>48737</v>
      </c>
      <c r="B98" s="8" t="s">
        <v>10</v>
      </c>
      <c r="C98" s="9">
        <v>28.1</v>
      </c>
      <c r="D98" s="10">
        <v>0</v>
      </c>
      <c r="E98">
        <f t="shared" si="3"/>
        <v>0</v>
      </c>
      <c r="F98">
        <f t="shared" si="5"/>
        <v>12.424299999999974</v>
      </c>
      <c r="G98">
        <f t="shared" si="4"/>
        <v>0</v>
      </c>
    </row>
    <row r="99" spans="1:7" hidden="1" x14ac:dyDescent="0.35">
      <c r="A99" s="11">
        <v>48738</v>
      </c>
      <c r="B99" s="12" t="s">
        <v>12</v>
      </c>
      <c r="C99" s="13">
        <v>21.5</v>
      </c>
      <c r="D99" s="14">
        <v>8.6</v>
      </c>
      <c r="E99">
        <f t="shared" si="3"/>
        <v>1.849</v>
      </c>
      <c r="F99">
        <f t="shared" si="5"/>
        <v>14.273299999999974</v>
      </c>
      <c r="G99">
        <f t="shared" si="4"/>
        <v>0</v>
      </c>
    </row>
    <row r="100" spans="1:7" hidden="1" x14ac:dyDescent="0.35">
      <c r="A100" s="7">
        <v>48739</v>
      </c>
      <c r="B100" s="8" t="s">
        <v>14</v>
      </c>
      <c r="C100" s="9">
        <v>22.7</v>
      </c>
      <c r="D100" s="10">
        <v>0.1</v>
      </c>
      <c r="E100">
        <f t="shared" si="3"/>
        <v>0</v>
      </c>
      <c r="F100">
        <f t="shared" si="5"/>
        <v>14.273299999999974</v>
      </c>
      <c r="G100">
        <f t="shared" si="4"/>
        <v>0</v>
      </c>
    </row>
    <row r="101" spans="1:7" hidden="1" x14ac:dyDescent="0.35">
      <c r="A101" s="11">
        <v>48740</v>
      </c>
      <c r="B101" s="12" t="s">
        <v>10</v>
      </c>
      <c r="C101" s="13">
        <v>27.4</v>
      </c>
      <c r="D101" s="14">
        <v>21.8</v>
      </c>
      <c r="E101">
        <f t="shared" si="3"/>
        <v>5.9731999999999994</v>
      </c>
      <c r="F101">
        <f t="shared" si="5"/>
        <v>20.246499999999973</v>
      </c>
      <c r="G101">
        <f t="shared" si="4"/>
        <v>0</v>
      </c>
    </row>
    <row r="102" spans="1:7" hidden="1" x14ac:dyDescent="0.35">
      <c r="A102" s="7">
        <v>48741</v>
      </c>
      <c r="B102" s="8" t="s">
        <v>19</v>
      </c>
      <c r="C102" s="9">
        <v>18.3</v>
      </c>
      <c r="D102" s="10">
        <v>17.3</v>
      </c>
      <c r="E102">
        <f t="shared" si="3"/>
        <v>3.1659000000000002</v>
      </c>
      <c r="F102">
        <f t="shared" si="5"/>
        <v>23.412399999999973</v>
      </c>
      <c r="G102">
        <f t="shared" si="4"/>
        <v>0</v>
      </c>
    </row>
    <row r="103" spans="1:7" hidden="1" x14ac:dyDescent="0.35">
      <c r="A103" s="11">
        <v>48742</v>
      </c>
      <c r="B103" s="12" t="s">
        <v>19</v>
      </c>
      <c r="C103" s="13">
        <v>29</v>
      </c>
      <c r="D103" s="14">
        <v>27.3</v>
      </c>
      <c r="E103">
        <f t="shared" si="3"/>
        <v>7.9170000000000007</v>
      </c>
      <c r="F103">
        <f t="shared" si="5"/>
        <v>31.329399999999975</v>
      </c>
      <c r="G103">
        <f t="shared" si="4"/>
        <v>0</v>
      </c>
    </row>
    <row r="104" spans="1:7" hidden="1" x14ac:dyDescent="0.35">
      <c r="A104" s="7">
        <v>48743</v>
      </c>
      <c r="B104" s="8" t="s">
        <v>18</v>
      </c>
      <c r="C104" s="9">
        <v>18.100000000000001</v>
      </c>
      <c r="D104" s="10">
        <v>0</v>
      </c>
      <c r="E104">
        <f t="shared" si="3"/>
        <v>0</v>
      </c>
      <c r="F104">
        <f t="shared" si="5"/>
        <v>31.329399999999975</v>
      </c>
      <c r="G104">
        <f t="shared" si="4"/>
        <v>0</v>
      </c>
    </row>
    <row r="105" spans="1:7" hidden="1" x14ac:dyDescent="0.35">
      <c r="A105" s="11">
        <v>48744</v>
      </c>
      <c r="B105" s="12" t="s">
        <v>20</v>
      </c>
      <c r="C105" s="13">
        <v>16.399999999999999</v>
      </c>
      <c r="D105" s="14">
        <v>1.1000000000000001</v>
      </c>
      <c r="E105">
        <f t="shared" si="3"/>
        <v>0.1804</v>
      </c>
      <c r="F105">
        <f t="shared" si="5"/>
        <v>31.509799999999974</v>
      </c>
      <c r="G105">
        <f t="shared" si="4"/>
        <v>0</v>
      </c>
    </row>
    <row r="106" spans="1:7" hidden="1" x14ac:dyDescent="0.35">
      <c r="A106" s="7">
        <v>48745</v>
      </c>
      <c r="B106" s="8" t="s">
        <v>6</v>
      </c>
      <c r="C106" s="9">
        <v>21.8</v>
      </c>
      <c r="D106" s="10">
        <v>0</v>
      </c>
      <c r="E106">
        <f t="shared" si="3"/>
        <v>0</v>
      </c>
      <c r="F106">
        <f t="shared" si="5"/>
        <v>31.509799999999974</v>
      </c>
      <c r="G106">
        <f t="shared" si="4"/>
        <v>0</v>
      </c>
    </row>
    <row r="107" spans="1:7" hidden="1" x14ac:dyDescent="0.35">
      <c r="A107" s="11">
        <v>48746</v>
      </c>
      <c r="B107" s="12" t="s">
        <v>29</v>
      </c>
      <c r="C107" s="13">
        <v>27.2</v>
      </c>
      <c r="D107" s="14">
        <v>0</v>
      </c>
      <c r="E107">
        <f t="shared" si="3"/>
        <v>0</v>
      </c>
      <c r="F107">
        <f t="shared" si="5"/>
        <v>31.509799999999974</v>
      </c>
      <c r="G107">
        <f t="shared" si="4"/>
        <v>0</v>
      </c>
    </row>
    <row r="108" spans="1:7" hidden="1" x14ac:dyDescent="0.35">
      <c r="A108" s="7">
        <v>48747</v>
      </c>
      <c r="B108" s="8" t="s">
        <v>22</v>
      </c>
      <c r="C108" s="9">
        <v>21.2</v>
      </c>
      <c r="D108" s="10">
        <v>0</v>
      </c>
      <c r="E108">
        <f t="shared" si="3"/>
        <v>0</v>
      </c>
      <c r="F108">
        <f t="shared" si="5"/>
        <v>31.509799999999974</v>
      </c>
      <c r="G108">
        <f t="shared" si="4"/>
        <v>0</v>
      </c>
    </row>
    <row r="109" spans="1:7" hidden="1" x14ac:dyDescent="0.35">
      <c r="A109" s="11">
        <v>48748</v>
      </c>
      <c r="B109" s="12" t="s">
        <v>19</v>
      </c>
      <c r="C109" s="13">
        <v>17.7</v>
      </c>
      <c r="D109" s="14">
        <v>13.9</v>
      </c>
      <c r="E109">
        <f t="shared" si="3"/>
        <v>2.4603000000000002</v>
      </c>
      <c r="F109">
        <f t="shared" si="5"/>
        <v>33.970099999999974</v>
      </c>
      <c r="G109">
        <f t="shared" si="4"/>
        <v>0</v>
      </c>
    </row>
    <row r="110" spans="1:7" hidden="1" x14ac:dyDescent="0.35">
      <c r="A110" s="7">
        <v>48749</v>
      </c>
      <c r="B110" s="8" t="s">
        <v>22</v>
      </c>
      <c r="C110" s="9">
        <v>10.6</v>
      </c>
      <c r="D110" s="10">
        <v>6.9</v>
      </c>
      <c r="E110">
        <f t="shared" si="3"/>
        <v>0.73140000000000005</v>
      </c>
      <c r="F110">
        <f t="shared" si="5"/>
        <v>34.701499999999974</v>
      </c>
      <c r="G110">
        <f t="shared" si="4"/>
        <v>0</v>
      </c>
    </row>
    <row r="111" spans="1:7" hidden="1" x14ac:dyDescent="0.35">
      <c r="A111" s="11">
        <v>48750</v>
      </c>
      <c r="B111" s="12" t="s">
        <v>27</v>
      </c>
      <c r="C111" s="13">
        <v>10.4</v>
      </c>
      <c r="D111" s="14">
        <v>1.1000000000000001</v>
      </c>
      <c r="E111">
        <f t="shared" si="3"/>
        <v>0.11440000000000002</v>
      </c>
      <c r="F111">
        <f t="shared" si="5"/>
        <v>34.815899999999978</v>
      </c>
      <c r="G111">
        <f t="shared" si="4"/>
        <v>0</v>
      </c>
    </row>
    <row r="112" spans="1:7" hidden="1" x14ac:dyDescent="0.35">
      <c r="A112" s="7">
        <v>48751</v>
      </c>
      <c r="B112" s="8" t="s">
        <v>10</v>
      </c>
      <c r="C112" s="9">
        <v>15.8</v>
      </c>
      <c r="D112" s="10">
        <v>7.1</v>
      </c>
      <c r="E112">
        <f t="shared" si="3"/>
        <v>1.1217999999999999</v>
      </c>
      <c r="F112">
        <f t="shared" si="5"/>
        <v>35.937699999999978</v>
      </c>
      <c r="G112">
        <f t="shared" si="4"/>
        <v>0</v>
      </c>
    </row>
    <row r="113" spans="1:7" hidden="1" x14ac:dyDescent="0.35">
      <c r="A113" s="11">
        <v>48752</v>
      </c>
      <c r="B113" s="12" t="s">
        <v>9</v>
      </c>
      <c r="C113" s="13">
        <v>19.899999999999999</v>
      </c>
      <c r="D113" s="14">
        <v>10.8</v>
      </c>
      <c r="E113">
        <f t="shared" si="3"/>
        <v>2.1492</v>
      </c>
      <c r="F113">
        <f t="shared" si="5"/>
        <v>38.086899999999979</v>
      </c>
      <c r="G113">
        <f t="shared" si="4"/>
        <v>0</v>
      </c>
    </row>
    <row r="114" spans="1:7" hidden="1" x14ac:dyDescent="0.35">
      <c r="A114" s="7">
        <v>48753</v>
      </c>
      <c r="B114" s="8" t="s">
        <v>11</v>
      </c>
      <c r="C114" s="9">
        <v>13</v>
      </c>
      <c r="D114" s="10">
        <v>0</v>
      </c>
      <c r="E114">
        <f t="shared" si="3"/>
        <v>0</v>
      </c>
      <c r="F114">
        <f t="shared" si="5"/>
        <v>38.086899999999979</v>
      </c>
      <c r="G114">
        <f t="shared" si="4"/>
        <v>0</v>
      </c>
    </row>
    <row r="115" spans="1:7" hidden="1" x14ac:dyDescent="0.35">
      <c r="A115" s="11">
        <v>48754</v>
      </c>
      <c r="B115" s="12" t="s">
        <v>7</v>
      </c>
      <c r="C115" s="13">
        <v>28.1</v>
      </c>
      <c r="D115" s="14">
        <v>15</v>
      </c>
      <c r="E115">
        <f t="shared" si="3"/>
        <v>4.2149999999999999</v>
      </c>
      <c r="F115">
        <f t="shared" si="5"/>
        <v>42.301899999999975</v>
      </c>
      <c r="G115">
        <f t="shared" si="4"/>
        <v>0</v>
      </c>
    </row>
    <row r="116" spans="1:7" hidden="1" x14ac:dyDescent="0.35">
      <c r="A116" s="7">
        <v>48755</v>
      </c>
      <c r="B116" s="8" t="s">
        <v>12</v>
      </c>
      <c r="C116" s="9">
        <v>22.5</v>
      </c>
      <c r="D116" s="10">
        <v>8.6</v>
      </c>
      <c r="E116">
        <f t="shared" si="3"/>
        <v>1.9350000000000001</v>
      </c>
      <c r="F116">
        <f t="shared" si="5"/>
        <v>44.236899999999977</v>
      </c>
      <c r="G116">
        <f t="shared" si="4"/>
        <v>0</v>
      </c>
    </row>
    <row r="117" spans="1:7" hidden="1" x14ac:dyDescent="0.35">
      <c r="A117" s="11">
        <v>48756</v>
      </c>
      <c r="B117" s="12" t="s">
        <v>19</v>
      </c>
      <c r="C117" s="13">
        <v>14</v>
      </c>
      <c r="D117" s="14">
        <v>36.1</v>
      </c>
      <c r="E117">
        <f t="shared" si="3"/>
        <v>5.0540000000000003</v>
      </c>
      <c r="F117">
        <f t="shared" si="5"/>
        <v>49.290899999999979</v>
      </c>
      <c r="G117">
        <f t="shared" si="4"/>
        <v>0</v>
      </c>
    </row>
    <row r="118" spans="1:7" hidden="1" x14ac:dyDescent="0.35">
      <c r="A118" s="7">
        <v>48757</v>
      </c>
      <c r="B118" s="8" t="s">
        <v>10</v>
      </c>
      <c r="C118" s="9">
        <v>10.6</v>
      </c>
      <c r="D118" s="10">
        <v>18.399999999999999</v>
      </c>
      <c r="E118">
        <f t="shared" si="3"/>
        <v>1.9503999999999999</v>
      </c>
      <c r="F118">
        <f t="shared" si="5"/>
        <v>51.241299999999981</v>
      </c>
      <c r="G118">
        <f t="shared" si="4"/>
        <v>0</v>
      </c>
    </row>
    <row r="119" spans="1:7" hidden="1" x14ac:dyDescent="0.35">
      <c r="A119" s="11">
        <v>48758</v>
      </c>
      <c r="B119" s="12" t="s">
        <v>23</v>
      </c>
      <c r="C119" s="13">
        <v>22.3</v>
      </c>
      <c r="D119" s="14">
        <v>0</v>
      </c>
      <c r="E119">
        <f t="shared" si="3"/>
        <v>0</v>
      </c>
      <c r="F119">
        <f t="shared" si="5"/>
        <v>51.241299999999981</v>
      </c>
      <c r="G119">
        <f t="shared" si="4"/>
        <v>0</v>
      </c>
    </row>
    <row r="120" spans="1:7" hidden="1" x14ac:dyDescent="0.35">
      <c r="A120" s="7">
        <v>48759</v>
      </c>
      <c r="B120" s="8" t="s">
        <v>19</v>
      </c>
      <c r="C120" s="9">
        <v>14.5</v>
      </c>
      <c r="D120" s="10">
        <v>26</v>
      </c>
      <c r="E120">
        <f t="shared" si="3"/>
        <v>3.77</v>
      </c>
      <c r="F120">
        <f t="shared" si="5"/>
        <v>55.011299999999984</v>
      </c>
      <c r="G120">
        <f t="shared" si="4"/>
        <v>0</v>
      </c>
    </row>
    <row r="121" spans="1:7" hidden="1" x14ac:dyDescent="0.35">
      <c r="A121" s="11">
        <v>48760</v>
      </c>
      <c r="B121" s="12" t="s">
        <v>5</v>
      </c>
      <c r="C121" s="13">
        <v>21</v>
      </c>
      <c r="D121" s="14">
        <v>1.7</v>
      </c>
      <c r="E121">
        <f t="shared" si="3"/>
        <v>0.35699999999999998</v>
      </c>
      <c r="F121">
        <f t="shared" si="5"/>
        <v>55.368299999999984</v>
      </c>
      <c r="G121">
        <f t="shared" si="4"/>
        <v>0</v>
      </c>
    </row>
    <row r="122" spans="1:7" hidden="1" x14ac:dyDescent="0.35">
      <c r="A122" s="7">
        <v>48761</v>
      </c>
      <c r="B122" s="8" t="s">
        <v>4</v>
      </c>
      <c r="C122" s="9">
        <v>17.7</v>
      </c>
      <c r="D122" s="10">
        <v>0.4</v>
      </c>
      <c r="E122">
        <f t="shared" si="3"/>
        <v>0</v>
      </c>
      <c r="F122">
        <f t="shared" si="5"/>
        <v>55.368299999999984</v>
      </c>
      <c r="G122">
        <f t="shared" si="4"/>
        <v>0</v>
      </c>
    </row>
    <row r="123" spans="1:7" hidden="1" x14ac:dyDescent="0.35">
      <c r="A123" s="11">
        <v>48762</v>
      </c>
      <c r="B123" s="12" t="s">
        <v>7</v>
      </c>
      <c r="C123" s="13">
        <v>24.3</v>
      </c>
      <c r="D123" s="14">
        <v>9.6999999999999993</v>
      </c>
      <c r="E123">
        <f t="shared" si="3"/>
        <v>2.3571</v>
      </c>
      <c r="F123">
        <f t="shared" si="5"/>
        <v>57.725399999999986</v>
      </c>
      <c r="G123">
        <f t="shared" si="4"/>
        <v>0</v>
      </c>
    </row>
    <row r="124" spans="1:7" hidden="1" x14ac:dyDescent="0.35">
      <c r="A124" s="7">
        <v>48763</v>
      </c>
      <c r="B124" s="8" t="s">
        <v>15</v>
      </c>
      <c r="C124" s="9">
        <v>18.8</v>
      </c>
      <c r="D124" s="10">
        <v>6.4</v>
      </c>
      <c r="E124">
        <f t="shared" si="3"/>
        <v>1.2032</v>
      </c>
      <c r="F124">
        <f t="shared" si="5"/>
        <v>58.928599999999989</v>
      </c>
      <c r="G124">
        <f t="shared" si="4"/>
        <v>0</v>
      </c>
    </row>
    <row r="125" spans="1:7" hidden="1" x14ac:dyDescent="0.35">
      <c r="A125" s="11">
        <v>48764</v>
      </c>
      <c r="B125" s="12" t="s">
        <v>13</v>
      </c>
      <c r="C125" s="13">
        <v>15.9</v>
      </c>
      <c r="D125" s="14">
        <v>5.2</v>
      </c>
      <c r="E125">
        <f t="shared" si="3"/>
        <v>0.82680000000000009</v>
      </c>
      <c r="F125">
        <f t="shared" si="5"/>
        <v>59.755399999999987</v>
      </c>
      <c r="G125">
        <f t="shared" si="4"/>
        <v>0</v>
      </c>
    </row>
    <row r="126" spans="1:7" hidden="1" x14ac:dyDescent="0.35">
      <c r="A126" s="7">
        <v>48765</v>
      </c>
      <c r="B126" s="8" t="s">
        <v>7</v>
      </c>
      <c r="C126" s="9">
        <v>26.1</v>
      </c>
      <c r="D126" s="10">
        <v>0</v>
      </c>
      <c r="E126">
        <f t="shared" si="3"/>
        <v>0</v>
      </c>
      <c r="F126">
        <f t="shared" si="5"/>
        <v>59.755399999999987</v>
      </c>
      <c r="G126">
        <f t="shared" si="4"/>
        <v>0</v>
      </c>
    </row>
    <row r="127" spans="1:7" hidden="1" x14ac:dyDescent="0.35">
      <c r="A127" s="11">
        <v>48766</v>
      </c>
      <c r="B127" s="12" t="s">
        <v>19</v>
      </c>
      <c r="C127" s="13">
        <v>29.4</v>
      </c>
      <c r="D127" s="14">
        <v>8.8000000000000007</v>
      </c>
      <c r="E127">
        <f t="shared" si="3"/>
        <v>2.5872000000000002</v>
      </c>
      <c r="F127">
        <f t="shared" si="5"/>
        <v>62.34259999999999</v>
      </c>
      <c r="G127">
        <f t="shared" si="4"/>
        <v>0</v>
      </c>
    </row>
    <row r="128" spans="1:7" hidden="1" x14ac:dyDescent="0.35">
      <c r="A128" s="7">
        <v>48767</v>
      </c>
      <c r="B128" s="8" t="s">
        <v>13</v>
      </c>
      <c r="C128" s="9">
        <v>10.5</v>
      </c>
      <c r="D128" s="10">
        <v>14.5</v>
      </c>
      <c r="E128">
        <f t="shared" si="3"/>
        <v>1.5225</v>
      </c>
      <c r="F128">
        <f t="shared" si="5"/>
        <v>63.865099999999991</v>
      </c>
      <c r="G128">
        <f t="shared" si="4"/>
        <v>0</v>
      </c>
    </row>
    <row r="129" spans="1:7" hidden="1" x14ac:dyDescent="0.35">
      <c r="A129" s="11">
        <v>48768</v>
      </c>
      <c r="B129" s="12" t="s">
        <v>30</v>
      </c>
      <c r="C129" s="13">
        <v>18.100000000000001</v>
      </c>
      <c r="D129" s="14">
        <v>0</v>
      </c>
      <c r="E129">
        <f t="shared" si="3"/>
        <v>0</v>
      </c>
      <c r="F129">
        <f t="shared" si="5"/>
        <v>63.865099999999991</v>
      </c>
      <c r="G129">
        <f t="shared" si="4"/>
        <v>0</v>
      </c>
    </row>
    <row r="130" spans="1:7" hidden="1" x14ac:dyDescent="0.35">
      <c r="A130" s="7">
        <v>48769</v>
      </c>
      <c r="B130" s="8" t="s">
        <v>15</v>
      </c>
      <c r="C130" s="9">
        <v>20.6</v>
      </c>
      <c r="D130" s="10">
        <v>0</v>
      </c>
      <c r="E130">
        <f t="shared" si="3"/>
        <v>0</v>
      </c>
      <c r="F130">
        <f t="shared" si="5"/>
        <v>63.865099999999991</v>
      </c>
      <c r="G130">
        <f t="shared" si="4"/>
        <v>0</v>
      </c>
    </row>
    <row r="131" spans="1:7" hidden="1" x14ac:dyDescent="0.35">
      <c r="A131" s="11">
        <v>48770</v>
      </c>
      <c r="B131" s="12" t="s">
        <v>15</v>
      </c>
      <c r="C131" s="13">
        <v>17.100000000000001</v>
      </c>
      <c r="D131" s="14">
        <v>0</v>
      </c>
      <c r="E131">
        <f t="shared" ref="E131:E194" si="6">IF(D131&gt;=1,C131*D131/100,0)</f>
        <v>0</v>
      </c>
      <c r="F131">
        <f t="shared" si="5"/>
        <v>63.865099999999991</v>
      </c>
      <c r="G131">
        <f t="shared" ref="G131:G194" si="7">IF(F131&gt;=100,1,0)</f>
        <v>0</v>
      </c>
    </row>
    <row r="132" spans="1:7" hidden="1" x14ac:dyDescent="0.35">
      <c r="A132" s="7">
        <v>48771</v>
      </c>
      <c r="B132" s="8" t="s">
        <v>22</v>
      </c>
      <c r="C132" s="9">
        <v>17</v>
      </c>
      <c r="D132" s="10">
        <v>0.3</v>
      </c>
      <c r="E132">
        <f t="shared" si="6"/>
        <v>0</v>
      </c>
      <c r="F132">
        <f t="shared" ref="F132:F195" si="8">IF(G131=1,E132+F131-100,F131+E132)</f>
        <v>63.865099999999991</v>
      </c>
      <c r="G132">
        <f t="shared" si="7"/>
        <v>0</v>
      </c>
    </row>
    <row r="133" spans="1:7" hidden="1" x14ac:dyDescent="0.35">
      <c r="A133" s="11">
        <v>48772</v>
      </c>
      <c r="B133" s="12" t="s">
        <v>23</v>
      </c>
      <c r="C133" s="13">
        <v>14.7</v>
      </c>
      <c r="D133" s="14">
        <v>2.2999999999999998</v>
      </c>
      <c r="E133">
        <f t="shared" si="6"/>
        <v>0.33809999999999996</v>
      </c>
      <c r="F133">
        <f t="shared" si="8"/>
        <v>64.203199999999995</v>
      </c>
      <c r="G133">
        <f t="shared" si="7"/>
        <v>0</v>
      </c>
    </row>
    <row r="134" spans="1:7" hidden="1" x14ac:dyDescent="0.35">
      <c r="A134" s="7">
        <v>48773</v>
      </c>
      <c r="B134" s="8" t="s">
        <v>15</v>
      </c>
      <c r="C134" s="9">
        <v>21.7</v>
      </c>
      <c r="D134" s="10">
        <v>0</v>
      </c>
      <c r="E134">
        <f t="shared" si="6"/>
        <v>0</v>
      </c>
      <c r="F134">
        <f t="shared" si="8"/>
        <v>64.203199999999995</v>
      </c>
      <c r="G134">
        <f t="shared" si="7"/>
        <v>0</v>
      </c>
    </row>
    <row r="135" spans="1:7" hidden="1" x14ac:dyDescent="0.35">
      <c r="A135" s="11">
        <v>48774</v>
      </c>
      <c r="B135" s="12" t="s">
        <v>16</v>
      </c>
      <c r="C135" s="13">
        <v>12.5</v>
      </c>
      <c r="D135" s="14">
        <v>0</v>
      </c>
      <c r="E135">
        <f t="shared" si="6"/>
        <v>0</v>
      </c>
      <c r="F135">
        <f t="shared" si="8"/>
        <v>64.203199999999995</v>
      </c>
      <c r="G135">
        <f t="shared" si="7"/>
        <v>0</v>
      </c>
    </row>
    <row r="136" spans="1:7" hidden="1" x14ac:dyDescent="0.35">
      <c r="A136" s="7">
        <v>48775</v>
      </c>
      <c r="B136" s="8" t="s">
        <v>8</v>
      </c>
      <c r="C136" s="9">
        <v>17.8</v>
      </c>
      <c r="D136" s="10">
        <v>4.0999999999999996</v>
      </c>
      <c r="E136">
        <f t="shared" si="6"/>
        <v>0.72979999999999989</v>
      </c>
      <c r="F136">
        <f t="shared" si="8"/>
        <v>64.932999999999993</v>
      </c>
      <c r="G136">
        <f t="shared" si="7"/>
        <v>0</v>
      </c>
    </row>
    <row r="137" spans="1:7" hidden="1" x14ac:dyDescent="0.35">
      <c r="A137" s="11">
        <v>48776</v>
      </c>
      <c r="B137" s="12" t="s">
        <v>10</v>
      </c>
      <c r="C137" s="13">
        <v>28.9</v>
      </c>
      <c r="D137" s="14">
        <v>38.700000000000003</v>
      </c>
      <c r="E137">
        <f t="shared" si="6"/>
        <v>11.1843</v>
      </c>
      <c r="F137">
        <f t="shared" si="8"/>
        <v>76.1173</v>
      </c>
      <c r="G137">
        <f t="shared" si="7"/>
        <v>0</v>
      </c>
    </row>
    <row r="138" spans="1:7" hidden="1" x14ac:dyDescent="0.35">
      <c r="A138" s="7">
        <v>48777</v>
      </c>
      <c r="B138" s="8" t="s">
        <v>11</v>
      </c>
      <c r="C138" s="9">
        <v>21</v>
      </c>
      <c r="D138" s="10">
        <v>3.5</v>
      </c>
      <c r="E138">
        <f t="shared" si="6"/>
        <v>0.73499999999999999</v>
      </c>
      <c r="F138">
        <f t="shared" si="8"/>
        <v>76.8523</v>
      </c>
      <c r="G138">
        <f t="shared" si="7"/>
        <v>0</v>
      </c>
    </row>
    <row r="139" spans="1:7" hidden="1" x14ac:dyDescent="0.35">
      <c r="A139" s="11">
        <v>48778</v>
      </c>
      <c r="B139" s="12" t="s">
        <v>21</v>
      </c>
      <c r="C139" s="13">
        <v>13</v>
      </c>
      <c r="D139" s="14">
        <v>0.1</v>
      </c>
      <c r="E139">
        <f t="shared" si="6"/>
        <v>0</v>
      </c>
      <c r="F139">
        <f t="shared" si="8"/>
        <v>76.8523</v>
      </c>
      <c r="G139">
        <f t="shared" si="7"/>
        <v>0</v>
      </c>
    </row>
    <row r="140" spans="1:7" hidden="1" x14ac:dyDescent="0.35">
      <c r="A140" s="7">
        <v>48779</v>
      </c>
      <c r="B140" s="8" t="s">
        <v>10</v>
      </c>
      <c r="C140" s="9">
        <v>23.1</v>
      </c>
      <c r="D140" s="10">
        <v>0</v>
      </c>
      <c r="E140">
        <f t="shared" si="6"/>
        <v>0</v>
      </c>
      <c r="F140">
        <f t="shared" si="8"/>
        <v>76.8523</v>
      </c>
      <c r="G140">
        <f t="shared" si="7"/>
        <v>0</v>
      </c>
    </row>
    <row r="141" spans="1:7" hidden="1" x14ac:dyDescent="0.35">
      <c r="A141" s="11">
        <v>48780</v>
      </c>
      <c r="B141" s="12" t="s">
        <v>15</v>
      </c>
      <c r="C141" s="13">
        <v>28.5</v>
      </c>
      <c r="D141" s="14">
        <v>0</v>
      </c>
      <c r="E141">
        <f t="shared" si="6"/>
        <v>0</v>
      </c>
      <c r="F141">
        <f t="shared" si="8"/>
        <v>76.8523</v>
      </c>
      <c r="G141">
        <f t="shared" si="7"/>
        <v>0</v>
      </c>
    </row>
    <row r="142" spans="1:7" hidden="1" x14ac:dyDescent="0.35">
      <c r="A142" s="7">
        <v>48781</v>
      </c>
      <c r="B142" s="8" t="s">
        <v>15</v>
      </c>
      <c r="C142" s="9">
        <v>12.8</v>
      </c>
      <c r="D142" s="10">
        <v>0</v>
      </c>
      <c r="E142">
        <f t="shared" si="6"/>
        <v>0</v>
      </c>
      <c r="F142">
        <f t="shared" si="8"/>
        <v>76.8523</v>
      </c>
      <c r="G142">
        <f t="shared" si="7"/>
        <v>0</v>
      </c>
    </row>
    <row r="143" spans="1:7" hidden="1" x14ac:dyDescent="0.35">
      <c r="A143" s="11">
        <v>48782</v>
      </c>
      <c r="B143" s="12" t="s">
        <v>31</v>
      </c>
      <c r="C143" s="13">
        <v>26.8</v>
      </c>
      <c r="D143" s="14">
        <v>0</v>
      </c>
      <c r="E143">
        <f t="shared" si="6"/>
        <v>0</v>
      </c>
      <c r="F143">
        <f t="shared" si="8"/>
        <v>76.8523</v>
      </c>
      <c r="G143">
        <f t="shared" si="7"/>
        <v>0</v>
      </c>
    </row>
    <row r="144" spans="1:7" hidden="1" x14ac:dyDescent="0.35">
      <c r="A144" s="7">
        <v>48783</v>
      </c>
      <c r="B144" s="8" t="s">
        <v>10</v>
      </c>
      <c r="C144" s="9">
        <v>15.1</v>
      </c>
      <c r="D144" s="10">
        <v>24.8</v>
      </c>
      <c r="E144">
        <f t="shared" si="6"/>
        <v>3.7448000000000001</v>
      </c>
      <c r="F144">
        <f t="shared" si="8"/>
        <v>80.597099999999998</v>
      </c>
      <c r="G144">
        <f t="shared" si="7"/>
        <v>0</v>
      </c>
    </row>
    <row r="145" spans="1:7" hidden="1" x14ac:dyDescent="0.35">
      <c r="A145" s="11">
        <v>48784</v>
      </c>
      <c r="B145" s="12" t="s">
        <v>18</v>
      </c>
      <c r="C145" s="13">
        <v>14.4</v>
      </c>
      <c r="D145" s="14">
        <v>13.5</v>
      </c>
      <c r="E145">
        <f t="shared" si="6"/>
        <v>1.944</v>
      </c>
      <c r="F145">
        <f t="shared" si="8"/>
        <v>82.5411</v>
      </c>
      <c r="G145">
        <f t="shared" si="7"/>
        <v>0</v>
      </c>
    </row>
    <row r="146" spans="1:7" hidden="1" x14ac:dyDescent="0.35">
      <c r="A146" s="7">
        <v>48785</v>
      </c>
      <c r="B146" s="8" t="s">
        <v>11</v>
      </c>
      <c r="C146" s="9">
        <v>29.2</v>
      </c>
      <c r="D146" s="10">
        <v>15.7</v>
      </c>
      <c r="E146">
        <f t="shared" si="6"/>
        <v>4.5843999999999996</v>
      </c>
      <c r="F146">
        <f t="shared" si="8"/>
        <v>87.125500000000002</v>
      </c>
      <c r="G146">
        <f t="shared" si="7"/>
        <v>0</v>
      </c>
    </row>
    <row r="147" spans="1:7" x14ac:dyDescent="0.35">
      <c r="A147" s="11">
        <v>48786</v>
      </c>
      <c r="B147" s="12" t="s">
        <v>10</v>
      </c>
      <c r="C147" s="13">
        <v>28.9</v>
      </c>
      <c r="D147" s="14">
        <v>47.2</v>
      </c>
      <c r="E147">
        <f t="shared" si="6"/>
        <v>13.640799999999999</v>
      </c>
      <c r="F147">
        <f t="shared" si="8"/>
        <v>100.7663</v>
      </c>
      <c r="G147">
        <f t="shared" si="7"/>
        <v>1</v>
      </c>
    </row>
    <row r="148" spans="1:7" hidden="1" x14ac:dyDescent="0.35">
      <c r="A148" s="7">
        <v>48787</v>
      </c>
      <c r="B148" s="8" t="s">
        <v>20</v>
      </c>
      <c r="C148" s="9">
        <v>18.399999999999999</v>
      </c>
      <c r="D148" s="10">
        <v>3.9</v>
      </c>
      <c r="E148">
        <f t="shared" si="6"/>
        <v>0.7175999999999999</v>
      </c>
      <c r="F148">
        <f t="shared" si="8"/>
        <v>1.4839000000000055</v>
      </c>
      <c r="G148">
        <f t="shared" si="7"/>
        <v>0</v>
      </c>
    </row>
    <row r="149" spans="1:7" hidden="1" x14ac:dyDescent="0.35">
      <c r="A149" s="11">
        <v>48788</v>
      </c>
      <c r="B149" s="12" t="s">
        <v>17</v>
      </c>
      <c r="C149" s="13">
        <v>26.2</v>
      </c>
      <c r="D149" s="14">
        <v>4</v>
      </c>
      <c r="E149">
        <f t="shared" si="6"/>
        <v>1.048</v>
      </c>
      <c r="F149">
        <f t="shared" si="8"/>
        <v>2.5319000000000056</v>
      </c>
      <c r="G149">
        <f t="shared" si="7"/>
        <v>0</v>
      </c>
    </row>
    <row r="150" spans="1:7" hidden="1" x14ac:dyDescent="0.35">
      <c r="A150" s="7">
        <v>48789</v>
      </c>
      <c r="B150" s="8" t="s">
        <v>10</v>
      </c>
      <c r="C150" s="9">
        <v>14.3</v>
      </c>
      <c r="D150" s="10">
        <v>45.1</v>
      </c>
      <c r="E150">
        <f t="shared" si="6"/>
        <v>6.4493000000000009</v>
      </c>
      <c r="F150">
        <f t="shared" si="8"/>
        <v>8.9812000000000065</v>
      </c>
      <c r="G150">
        <f t="shared" si="7"/>
        <v>0</v>
      </c>
    </row>
    <row r="151" spans="1:7" hidden="1" x14ac:dyDescent="0.35">
      <c r="A151" s="11">
        <v>48790</v>
      </c>
      <c r="B151" s="12" t="s">
        <v>7</v>
      </c>
      <c r="C151" s="13">
        <v>14.5</v>
      </c>
      <c r="D151" s="14">
        <v>0</v>
      </c>
      <c r="E151">
        <f t="shared" si="6"/>
        <v>0</v>
      </c>
      <c r="F151">
        <f t="shared" si="8"/>
        <v>8.9812000000000065</v>
      </c>
      <c r="G151">
        <f t="shared" si="7"/>
        <v>0</v>
      </c>
    </row>
    <row r="152" spans="1:7" hidden="1" x14ac:dyDescent="0.35">
      <c r="A152" s="7">
        <v>48791</v>
      </c>
      <c r="B152" s="8" t="s">
        <v>10</v>
      </c>
      <c r="C152" s="9">
        <v>18.600000000000001</v>
      </c>
      <c r="D152" s="10">
        <v>5.5</v>
      </c>
      <c r="E152">
        <f t="shared" si="6"/>
        <v>1.0230000000000001</v>
      </c>
      <c r="F152">
        <f t="shared" si="8"/>
        <v>10.004200000000006</v>
      </c>
      <c r="G152">
        <f t="shared" si="7"/>
        <v>0</v>
      </c>
    </row>
    <row r="153" spans="1:7" hidden="1" x14ac:dyDescent="0.35">
      <c r="A153" s="11">
        <v>48792</v>
      </c>
      <c r="B153" s="12" t="s">
        <v>7</v>
      </c>
      <c r="C153" s="13">
        <v>26.3</v>
      </c>
      <c r="D153" s="14">
        <v>14.5</v>
      </c>
      <c r="E153">
        <f t="shared" si="6"/>
        <v>3.8135000000000003</v>
      </c>
      <c r="F153">
        <f t="shared" si="8"/>
        <v>13.817700000000006</v>
      </c>
      <c r="G153">
        <f t="shared" si="7"/>
        <v>0</v>
      </c>
    </row>
    <row r="154" spans="1:7" hidden="1" x14ac:dyDescent="0.35">
      <c r="A154" s="7">
        <v>48793</v>
      </c>
      <c r="B154" s="8" t="s">
        <v>32</v>
      </c>
      <c r="C154" s="9">
        <v>25.9</v>
      </c>
      <c r="D154" s="10">
        <v>0.7</v>
      </c>
      <c r="E154">
        <f t="shared" si="6"/>
        <v>0</v>
      </c>
      <c r="F154">
        <f t="shared" si="8"/>
        <v>13.817700000000006</v>
      </c>
      <c r="G154">
        <f t="shared" si="7"/>
        <v>0</v>
      </c>
    </row>
    <row r="155" spans="1:7" hidden="1" x14ac:dyDescent="0.35">
      <c r="A155" s="11">
        <v>48794</v>
      </c>
      <c r="B155" s="12" t="s">
        <v>12</v>
      </c>
      <c r="C155" s="13">
        <v>29.8</v>
      </c>
      <c r="D155" s="14">
        <v>0</v>
      </c>
      <c r="E155">
        <f t="shared" si="6"/>
        <v>0</v>
      </c>
      <c r="F155">
        <f t="shared" si="8"/>
        <v>13.817700000000006</v>
      </c>
      <c r="G155">
        <f t="shared" si="7"/>
        <v>0</v>
      </c>
    </row>
    <row r="156" spans="1:7" hidden="1" x14ac:dyDescent="0.35">
      <c r="A156" s="7">
        <v>48795</v>
      </c>
      <c r="B156" s="8" t="s">
        <v>10</v>
      </c>
      <c r="C156" s="9">
        <v>18.3</v>
      </c>
      <c r="D156" s="10">
        <v>18.7</v>
      </c>
      <c r="E156">
        <f t="shared" si="6"/>
        <v>3.4220999999999999</v>
      </c>
      <c r="F156">
        <f t="shared" si="8"/>
        <v>17.239800000000006</v>
      </c>
      <c r="G156">
        <f t="shared" si="7"/>
        <v>0</v>
      </c>
    </row>
    <row r="157" spans="1:7" hidden="1" x14ac:dyDescent="0.35">
      <c r="A157" s="11">
        <v>48796</v>
      </c>
      <c r="B157" s="12" t="s">
        <v>12</v>
      </c>
      <c r="C157" s="13">
        <v>24.5</v>
      </c>
      <c r="D157" s="14">
        <v>6.7</v>
      </c>
      <c r="E157">
        <f t="shared" si="6"/>
        <v>1.6415</v>
      </c>
      <c r="F157">
        <f t="shared" si="8"/>
        <v>18.881300000000007</v>
      </c>
      <c r="G157">
        <f t="shared" si="7"/>
        <v>0</v>
      </c>
    </row>
    <row r="158" spans="1:7" hidden="1" x14ac:dyDescent="0.35">
      <c r="A158" s="7">
        <v>48797</v>
      </c>
      <c r="B158" s="8" t="s">
        <v>19</v>
      </c>
      <c r="C158" s="9">
        <v>18.7</v>
      </c>
      <c r="D158" s="10">
        <v>0</v>
      </c>
      <c r="E158">
        <f t="shared" si="6"/>
        <v>0</v>
      </c>
      <c r="F158">
        <f t="shared" si="8"/>
        <v>18.881300000000007</v>
      </c>
      <c r="G158">
        <f t="shared" si="7"/>
        <v>0</v>
      </c>
    </row>
    <row r="159" spans="1:7" hidden="1" x14ac:dyDescent="0.35">
      <c r="A159" s="11">
        <v>48798</v>
      </c>
      <c r="B159" s="12" t="s">
        <v>19</v>
      </c>
      <c r="C159" s="13">
        <v>29.2</v>
      </c>
      <c r="D159" s="14">
        <v>34.9</v>
      </c>
      <c r="E159">
        <f t="shared" si="6"/>
        <v>10.190799999999999</v>
      </c>
      <c r="F159">
        <f t="shared" si="8"/>
        <v>29.072100000000006</v>
      </c>
      <c r="G159">
        <f t="shared" si="7"/>
        <v>0</v>
      </c>
    </row>
    <row r="160" spans="1:7" hidden="1" x14ac:dyDescent="0.35">
      <c r="A160" s="7">
        <v>48799</v>
      </c>
      <c r="B160" s="8" t="s">
        <v>9</v>
      </c>
      <c r="C160" s="9">
        <v>21.4</v>
      </c>
      <c r="D160" s="10">
        <v>10.7</v>
      </c>
      <c r="E160">
        <f t="shared" si="6"/>
        <v>2.2897999999999996</v>
      </c>
      <c r="F160">
        <f t="shared" si="8"/>
        <v>31.361900000000006</v>
      </c>
      <c r="G160">
        <f t="shared" si="7"/>
        <v>0</v>
      </c>
    </row>
    <row r="161" spans="1:7" hidden="1" x14ac:dyDescent="0.35">
      <c r="A161" s="11">
        <v>48800</v>
      </c>
      <c r="B161" s="12" t="s">
        <v>15</v>
      </c>
      <c r="C161" s="13">
        <v>25.6</v>
      </c>
      <c r="D161" s="14">
        <v>3.1</v>
      </c>
      <c r="E161">
        <f t="shared" si="6"/>
        <v>0.79360000000000008</v>
      </c>
      <c r="F161">
        <f t="shared" si="8"/>
        <v>32.155500000000004</v>
      </c>
      <c r="G161">
        <f t="shared" si="7"/>
        <v>0</v>
      </c>
    </row>
    <row r="162" spans="1:7" hidden="1" x14ac:dyDescent="0.35">
      <c r="A162" s="7">
        <v>48801</v>
      </c>
      <c r="B162" s="8" t="s">
        <v>15</v>
      </c>
      <c r="C162" s="9">
        <v>15.7</v>
      </c>
      <c r="D162" s="10">
        <v>5.0999999999999996</v>
      </c>
      <c r="E162">
        <f t="shared" si="6"/>
        <v>0.80069999999999997</v>
      </c>
      <c r="F162">
        <f t="shared" si="8"/>
        <v>32.956200000000003</v>
      </c>
      <c r="G162">
        <f t="shared" si="7"/>
        <v>0</v>
      </c>
    </row>
    <row r="163" spans="1:7" hidden="1" x14ac:dyDescent="0.35">
      <c r="A163" s="11">
        <v>48802</v>
      </c>
      <c r="B163" s="12" t="s">
        <v>6</v>
      </c>
      <c r="C163" s="13">
        <v>27.3</v>
      </c>
      <c r="D163" s="14">
        <v>11</v>
      </c>
      <c r="E163">
        <f t="shared" si="6"/>
        <v>3.0030000000000001</v>
      </c>
      <c r="F163">
        <f t="shared" si="8"/>
        <v>35.959200000000003</v>
      </c>
      <c r="G163">
        <f t="shared" si="7"/>
        <v>0</v>
      </c>
    </row>
    <row r="164" spans="1:7" hidden="1" x14ac:dyDescent="0.35">
      <c r="A164" s="7">
        <v>48803</v>
      </c>
      <c r="B164" s="8" t="s">
        <v>25</v>
      </c>
      <c r="C164" s="9">
        <v>28.4</v>
      </c>
      <c r="D164" s="10">
        <v>2.7</v>
      </c>
      <c r="E164">
        <f t="shared" si="6"/>
        <v>0.76680000000000004</v>
      </c>
      <c r="F164">
        <f t="shared" si="8"/>
        <v>36.726000000000006</v>
      </c>
      <c r="G164">
        <f t="shared" si="7"/>
        <v>0</v>
      </c>
    </row>
    <row r="165" spans="1:7" hidden="1" x14ac:dyDescent="0.35">
      <c r="A165" s="11">
        <v>48804</v>
      </c>
      <c r="B165" s="12" t="s">
        <v>11</v>
      </c>
      <c r="C165" s="13">
        <v>22</v>
      </c>
      <c r="D165" s="14">
        <v>3.3</v>
      </c>
      <c r="E165">
        <f t="shared" si="6"/>
        <v>0.72599999999999998</v>
      </c>
      <c r="F165">
        <f t="shared" si="8"/>
        <v>37.452000000000005</v>
      </c>
      <c r="G165">
        <f t="shared" si="7"/>
        <v>0</v>
      </c>
    </row>
    <row r="166" spans="1:7" hidden="1" x14ac:dyDescent="0.35">
      <c r="A166" s="7">
        <v>48805</v>
      </c>
      <c r="B166" s="8" t="s">
        <v>8</v>
      </c>
      <c r="C166" s="9">
        <v>19.399999999999999</v>
      </c>
      <c r="D166" s="10">
        <v>0</v>
      </c>
      <c r="E166">
        <f t="shared" si="6"/>
        <v>0</v>
      </c>
      <c r="F166">
        <f t="shared" si="8"/>
        <v>37.452000000000005</v>
      </c>
      <c r="G166">
        <f t="shared" si="7"/>
        <v>0</v>
      </c>
    </row>
    <row r="167" spans="1:7" hidden="1" x14ac:dyDescent="0.35">
      <c r="A167" s="11">
        <v>48806</v>
      </c>
      <c r="B167" s="12" t="s">
        <v>15</v>
      </c>
      <c r="C167" s="13">
        <v>22.7</v>
      </c>
      <c r="D167" s="14">
        <v>14.8</v>
      </c>
      <c r="E167">
        <f t="shared" si="6"/>
        <v>3.3595999999999999</v>
      </c>
      <c r="F167">
        <f t="shared" si="8"/>
        <v>40.811600000000006</v>
      </c>
      <c r="G167">
        <f t="shared" si="7"/>
        <v>0</v>
      </c>
    </row>
    <row r="168" spans="1:7" hidden="1" x14ac:dyDescent="0.35">
      <c r="A168" s="7">
        <v>48807</v>
      </c>
      <c r="B168" s="8" t="s">
        <v>7</v>
      </c>
      <c r="C168" s="9">
        <v>22.6</v>
      </c>
      <c r="D168" s="10">
        <v>16.5</v>
      </c>
      <c r="E168">
        <f t="shared" si="6"/>
        <v>3.7290000000000005</v>
      </c>
      <c r="F168">
        <f t="shared" si="8"/>
        <v>44.540600000000005</v>
      </c>
      <c r="G168">
        <f t="shared" si="7"/>
        <v>0</v>
      </c>
    </row>
    <row r="169" spans="1:7" hidden="1" x14ac:dyDescent="0.35">
      <c r="A169" s="11">
        <v>48808</v>
      </c>
      <c r="B169" s="12" t="s">
        <v>17</v>
      </c>
      <c r="C169" s="13">
        <v>26.1</v>
      </c>
      <c r="D169" s="14">
        <v>0</v>
      </c>
      <c r="E169">
        <f t="shared" si="6"/>
        <v>0</v>
      </c>
      <c r="F169">
        <f t="shared" si="8"/>
        <v>44.540600000000005</v>
      </c>
      <c r="G169">
        <f t="shared" si="7"/>
        <v>0</v>
      </c>
    </row>
    <row r="170" spans="1:7" hidden="1" x14ac:dyDescent="0.35">
      <c r="A170" s="7">
        <v>48809</v>
      </c>
      <c r="B170" s="8" t="s">
        <v>15</v>
      </c>
      <c r="C170" s="9">
        <v>27.6</v>
      </c>
      <c r="D170" s="10">
        <v>6.7</v>
      </c>
      <c r="E170">
        <f t="shared" si="6"/>
        <v>1.8492000000000002</v>
      </c>
      <c r="F170">
        <f t="shared" si="8"/>
        <v>46.389800000000008</v>
      </c>
      <c r="G170">
        <f t="shared" si="7"/>
        <v>0</v>
      </c>
    </row>
    <row r="171" spans="1:7" hidden="1" x14ac:dyDescent="0.35">
      <c r="A171" s="11">
        <v>48810</v>
      </c>
      <c r="B171" s="12" t="s">
        <v>12</v>
      </c>
      <c r="C171" s="13">
        <v>13.2</v>
      </c>
      <c r="D171" s="14">
        <v>0</v>
      </c>
      <c r="E171">
        <f t="shared" si="6"/>
        <v>0</v>
      </c>
      <c r="F171">
        <f t="shared" si="8"/>
        <v>46.389800000000008</v>
      </c>
      <c r="G171">
        <f t="shared" si="7"/>
        <v>0</v>
      </c>
    </row>
    <row r="172" spans="1:7" hidden="1" x14ac:dyDescent="0.35">
      <c r="A172" s="7">
        <v>48811</v>
      </c>
      <c r="B172" s="8" t="s">
        <v>21</v>
      </c>
      <c r="C172" s="9">
        <v>22</v>
      </c>
      <c r="D172" s="10">
        <v>0</v>
      </c>
      <c r="E172">
        <f t="shared" si="6"/>
        <v>0</v>
      </c>
      <c r="F172">
        <f t="shared" si="8"/>
        <v>46.389800000000008</v>
      </c>
      <c r="G172">
        <f t="shared" si="7"/>
        <v>0</v>
      </c>
    </row>
    <row r="173" spans="1:7" hidden="1" x14ac:dyDescent="0.35">
      <c r="A173" s="11">
        <v>48812</v>
      </c>
      <c r="B173" s="12" t="s">
        <v>9</v>
      </c>
      <c r="C173" s="13">
        <v>10.8</v>
      </c>
      <c r="D173" s="14">
        <v>7.6</v>
      </c>
      <c r="E173">
        <f t="shared" si="6"/>
        <v>0.82079999999999997</v>
      </c>
      <c r="F173">
        <f t="shared" si="8"/>
        <v>47.210600000000007</v>
      </c>
      <c r="G173">
        <f t="shared" si="7"/>
        <v>0</v>
      </c>
    </row>
    <row r="174" spans="1:7" hidden="1" x14ac:dyDescent="0.35">
      <c r="A174" s="7">
        <v>48813</v>
      </c>
      <c r="B174" s="8" t="s">
        <v>10</v>
      </c>
      <c r="C174" s="9">
        <v>15.6</v>
      </c>
      <c r="D174" s="10">
        <v>38.4</v>
      </c>
      <c r="E174">
        <f t="shared" si="6"/>
        <v>5.9903999999999993</v>
      </c>
      <c r="F174">
        <f t="shared" si="8"/>
        <v>53.201000000000008</v>
      </c>
      <c r="G174">
        <f t="shared" si="7"/>
        <v>0</v>
      </c>
    </row>
    <row r="175" spans="1:7" hidden="1" x14ac:dyDescent="0.35">
      <c r="A175" s="11">
        <v>48814</v>
      </c>
      <c r="B175" s="12" t="s">
        <v>26</v>
      </c>
      <c r="C175" s="13">
        <v>11.7</v>
      </c>
      <c r="D175" s="14">
        <v>0.5</v>
      </c>
      <c r="E175">
        <f t="shared" si="6"/>
        <v>0</v>
      </c>
      <c r="F175">
        <f t="shared" si="8"/>
        <v>53.201000000000008</v>
      </c>
      <c r="G175">
        <f t="shared" si="7"/>
        <v>0</v>
      </c>
    </row>
    <row r="176" spans="1:7" hidden="1" x14ac:dyDescent="0.35">
      <c r="A176" s="7">
        <v>48815</v>
      </c>
      <c r="B176" s="8" t="s">
        <v>10</v>
      </c>
      <c r="C176" s="9">
        <v>27.2</v>
      </c>
      <c r="D176" s="10">
        <v>8.3000000000000007</v>
      </c>
      <c r="E176">
        <f t="shared" si="6"/>
        <v>2.2576000000000001</v>
      </c>
      <c r="F176">
        <f t="shared" si="8"/>
        <v>55.458600000000004</v>
      </c>
      <c r="G176">
        <f t="shared" si="7"/>
        <v>0</v>
      </c>
    </row>
    <row r="177" spans="1:7" hidden="1" x14ac:dyDescent="0.35">
      <c r="A177" s="11">
        <v>48816</v>
      </c>
      <c r="B177" s="12" t="s">
        <v>10</v>
      </c>
      <c r="C177" s="13">
        <v>24.7</v>
      </c>
      <c r="D177" s="14">
        <v>28.9</v>
      </c>
      <c r="E177">
        <f t="shared" si="6"/>
        <v>7.1382999999999992</v>
      </c>
      <c r="F177">
        <f t="shared" si="8"/>
        <v>62.596900000000005</v>
      </c>
      <c r="G177">
        <f t="shared" si="7"/>
        <v>0</v>
      </c>
    </row>
    <row r="178" spans="1:7" hidden="1" x14ac:dyDescent="0.35">
      <c r="A178" s="7">
        <v>48817</v>
      </c>
      <c r="B178" s="8" t="s">
        <v>11</v>
      </c>
      <c r="C178" s="9">
        <v>18.2</v>
      </c>
      <c r="D178" s="10">
        <v>12.5</v>
      </c>
      <c r="E178">
        <f t="shared" si="6"/>
        <v>2.2749999999999999</v>
      </c>
      <c r="F178">
        <f t="shared" si="8"/>
        <v>64.871900000000011</v>
      </c>
      <c r="G178">
        <f t="shared" si="7"/>
        <v>0</v>
      </c>
    </row>
    <row r="179" spans="1:7" hidden="1" x14ac:dyDescent="0.35">
      <c r="A179" s="11">
        <v>48818</v>
      </c>
      <c r="B179" s="12" t="s">
        <v>11</v>
      </c>
      <c r="C179" s="13">
        <v>14.6</v>
      </c>
      <c r="D179" s="14">
        <v>17.899999999999999</v>
      </c>
      <c r="E179">
        <f t="shared" si="6"/>
        <v>2.6133999999999999</v>
      </c>
      <c r="F179">
        <f t="shared" si="8"/>
        <v>67.485300000000009</v>
      </c>
      <c r="G179">
        <f t="shared" si="7"/>
        <v>0</v>
      </c>
    </row>
    <row r="180" spans="1:7" hidden="1" x14ac:dyDescent="0.35">
      <c r="A180" s="7">
        <v>48819</v>
      </c>
      <c r="B180" s="8" t="s">
        <v>11</v>
      </c>
      <c r="C180" s="9">
        <v>16.5</v>
      </c>
      <c r="D180" s="10">
        <v>13.9</v>
      </c>
      <c r="E180">
        <f t="shared" si="6"/>
        <v>2.2934999999999999</v>
      </c>
      <c r="F180">
        <f t="shared" si="8"/>
        <v>69.778800000000004</v>
      </c>
      <c r="G180">
        <f t="shared" si="7"/>
        <v>0</v>
      </c>
    </row>
    <row r="181" spans="1:7" hidden="1" x14ac:dyDescent="0.35">
      <c r="A181" s="11">
        <v>48820</v>
      </c>
      <c r="B181" s="12" t="s">
        <v>18</v>
      </c>
      <c r="C181" s="13">
        <v>29.4</v>
      </c>
      <c r="D181" s="14">
        <v>0</v>
      </c>
      <c r="E181">
        <f t="shared" si="6"/>
        <v>0</v>
      </c>
      <c r="F181">
        <f t="shared" si="8"/>
        <v>69.778800000000004</v>
      </c>
      <c r="G181">
        <f t="shared" si="7"/>
        <v>0</v>
      </c>
    </row>
    <row r="182" spans="1:7" hidden="1" x14ac:dyDescent="0.35">
      <c r="A182" s="7">
        <v>48821</v>
      </c>
      <c r="B182" s="8" t="s">
        <v>10</v>
      </c>
      <c r="C182" s="9">
        <v>17.899999999999999</v>
      </c>
      <c r="D182" s="10">
        <v>0</v>
      </c>
      <c r="E182">
        <f t="shared" si="6"/>
        <v>0</v>
      </c>
      <c r="F182">
        <f t="shared" si="8"/>
        <v>69.778800000000004</v>
      </c>
      <c r="G182">
        <f t="shared" si="7"/>
        <v>0</v>
      </c>
    </row>
    <row r="183" spans="1:7" hidden="1" x14ac:dyDescent="0.35">
      <c r="A183" s="11">
        <v>48822</v>
      </c>
      <c r="B183" s="12" t="s">
        <v>17</v>
      </c>
      <c r="C183" s="13">
        <v>29.8</v>
      </c>
      <c r="D183" s="14">
        <v>0</v>
      </c>
      <c r="E183">
        <f t="shared" si="6"/>
        <v>0</v>
      </c>
      <c r="F183">
        <f t="shared" si="8"/>
        <v>69.778800000000004</v>
      </c>
      <c r="G183">
        <f t="shared" si="7"/>
        <v>0</v>
      </c>
    </row>
    <row r="184" spans="1:7" hidden="1" x14ac:dyDescent="0.35">
      <c r="A184" s="7">
        <v>48823</v>
      </c>
      <c r="B184" s="8" t="s">
        <v>4</v>
      </c>
      <c r="C184" s="9">
        <v>18.7</v>
      </c>
      <c r="D184" s="10">
        <v>0</v>
      </c>
      <c r="E184">
        <f t="shared" si="6"/>
        <v>0</v>
      </c>
      <c r="F184">
        <f t="shared" si="8"/>
        <v>69.778800000000004</v>
      </c>
      <c r="G184">
        <f t="shared" si="7"/>
        <v>0</v>
      </c>
    </row>
    <row r="185" spans="1:7" hidden="1" x14ac:dyDescent="0.35">
      <c r="A185" s="11">
        <v>48824</v>
      </c>
      <c r="B185" s="12" t="s">
        <v>12</v>
      </c>
      <c r="C185" s="13">
        <v>24.3</v>
      </c>
      <c r="D185" s="14">
        <v>7.8</v>
      </c>
      <c r="E185">
        <f t="shared" si="6"/>
        <v>1.8954</v>
      </c>
      <c r="F185">
        <f t="shared" si="8"/>
        <v>71.674199999999999</v>
      </c>
      <c r="G185">
        <f t="shared" si="7"/>
        <v>0</v>
      </c>
    </row>
    <row r="186" spans="1:7" hidden="1" x14ac:dyDescent="0.35">
      <c r="A186" s="7">
        <v>48825</v>
      </c>
      <c r="B186" s="8" t="s">
        <v>13</v>
      </c>
      <c r="C186" s="9">
        <v>29.3</v>
      </c>
      <c r="D186" s="10">
        <v>4.5999999999999996</v>
      </c>
      <c r="E186">
        <f t="shared" si="6"/>
        <v>1.3478000000000001</v>
      </c>
      <c r="F186">
        <f t="shared" si="8"/>
        <v>73.022000000000006</v>
      </c>
      <c r="G186">
        <f t="shared" si="7"/>
        <v>0</v>
      </c>
    </row>
    <row r="187" spans="1:7" hidden="1" x14ac:dyDescent="0.35">
      <c r="A187" s="11">
        <v>48826</v>
      </c>
      <c r="B187" s="12" t="s">
        <v>7</v>
      </c>
      <c r="C187" s="13">
        <v>18.399999999999999</v>
      </c>
      <c r="D187" s="14">
        <v>0</v>
      </c>
      <c r="E187">
        <f t="shared" si="6"/>
        <v>0</v>
      </c>
      <c r="F187">
        <f t="shared" si="8"/>
        <v>73.022000000000006</v>
      </c>
      <c r="G187">
        <f t="shared" si="7"/>
        <v>0</v>
      </c>
    </row>
    <row r="188" spans="1:7" hidden="1" x14ac:dyDescent="0.35">
      <c r="A188" s="7">
        <v>48827</v>
      </c>
      <c r="B188" s="8" t="s">
        <v>7</v>
      </c>
      <c r="C188" s="9">
        <v>10.3</v>
      </c>
      <c r="D188" s="10">
        <v>16</v>
      </c>
      <c r="E188">
        <f t="shared" si="6"/>
        <v>1.6480000000000001</v>
      </c>
      <c r="F188">
        <f t="shared" si="8"/>
        <v>74.67</v>
      </c>
      <c r="G188">
        <f t="shared" si="7"/>
        <v>0</v>
      </c>
    </row>
    <row r="189" spans="1:7" hidden="1" x14ac:dyDescent="0.35">
      <c r="A189" s="11">
        <v>48828</v>
      </c>
      <c r="B189" s="12" t="s">
        <v>10</v>
      </c>
      <c r="C189" s="13">
        <v>27.5</v>
      </c>
      <c r="D189" s="14">
        <v>0</v>
      </c>
      <c r="E189">
        <f t="shared" si="6"/>
        <v>0</v>
      </c>
      <c r="F189">
        <f t="shared" si="8"/>
        <v>74.67</v>
      </c>
      <c r="G189">
        <f t="shared" si="7"/>
        <v>0</v>
      </c>
    </row>
    <row r="190" spans="1:7" hidden="1" x14ac:dyDescent="0.35">
      <c r="A190" s="7">
        <v>48829</v>
      </c>
      <c r="B190" s="8" t="s">
        <v>7</v>
      </c>
      <c r="C190" s="9">
        <v>20.6</v>
      </c>
      <c r="D190" s="10">
        <v>15.7</v>
      </c>
      <c r="E190">
        <f t="shared" si="6"/>
        <v>3.2342</v>
      </c>
      <c r="F190">
        <f t="shared" si="8"/>
        <v>77.904200000000003</v>
      </c>
      <c r="G190">
        <f t="shared" si="7"/>
        <v>0</v>
      </c>
    </row>
    <row r="191" spans="1:7" hidden="1" x14ac:dyDescent="0.35">
      <c r="A191" s="11">
        <v>48830</v>
      </c>
      <c r="B191" s="12" t="s">
        <v>11</v>
      </c>
      <c r="C191" s="13">
        <v>21.3</v>
      </c>
      <c r="D191" s="14">
        <v>0</v>
      </c>
      <c r="E191">
        <f t="shared" si="6"/>
        <v>0</v>
      </c>
      <c r="F191">
        <f t="shared" si="8"/>
        <v>77.904200000000003</v>
      </c>
      <c r="G191">
        <f t="shared" si="7"/>
        <v>0</v>
      </c>
    </row>
    <row r="192" spans="1:7" hidden="1" x14ac:dyDescent="0.35">
      <c r="A192" s="7">
        <v>48831</v>
      </c>
      <c r="B192" s="8" t="s">
        <v>19</v>
      </c>
      <c r="C192" s="9">
        <v>26.2</v>
      </c>
      <c r="D192" s="10">
        <v>0</v>
      </c>
      <c r="E192">
        <f t="shared" si="6"/>
        <v>0</v>
      </c>
      <c r="F192">
        <f t="shared" si="8"/>
        <v>77.904200000000003</v>
      </c>
      <c r="G192">
        <f t="shared" si="7"/>
        <v>0</v>
      </c>
    </row>
    <row r="193" spans="1:7" hidden="1" x14ac:dyDescent="0.35">
      <c r="A193" s="11">
        <v>48832</v>
      </c>
      <c r="B193" s="12" t="s">
        <v>10</v>
      </c>
      <c r="C193" s="13">
        <v>23.9</v>
      </c>
      <c r="D193" s="14">
        <v>0</v>
      </c>
      <c r="E193">
        <f t="shared" si="6"/>
        <v>0</v>
      </c>
      <c r="F193">
        <f t="shared" si="8"/>
        <v>77.904200000000003</v>
      </c>
      <c r="G193">
        <f t="shared" si="7"/>
        <v>0</v>
      </c>
    </row>
    <row r="194" spans="1:7" hidden="1" x14ac:dyDescent="0.35">
      <c r="A194" s="7">
        <v>48833</v>
      </c>
      <c r="B194" s="8" t="s">
        <v>27</v>
      </c>
      <c r="C194" s="9">
        <v>26.6</v>
      </c>
      <c r="D194" s="10">
        <v>1.6</v>
      </c>
      <c r="E194">
        <f t="shared" si="6"/>
        <v>0.42560000000000003</v>
      </c>
      <c r="F194">
        <f t="shared" si="8"/>
        <v>78.329800000000006</v>
      </c>
      <c r="G194">
        <f t="shared" si="7"/>
        <v>0</v>
      </c>
    </row>
    <row r="195" spans="1:7" hidden="1" x14ac:dyDescent="0.35">
      <c r="A195" s="11">
        <v>48834</v>
      </c>
      <c r="B195" s="12" t="s">
        <v>10</v>
      </c>
      <c r="C195" s="13">
        <v>18.600000000000001</v>
      </c>
      <c r="D195" s="14">
        <v>20.399999999999999</v>
      </c>
      <c r="E195">
        <f t="shared" ref="E195:E258" si="9">IF(D195&gt;=1,C195*D195/100,0)</f>
        <v>3.7944</v>
      </c>
      <c r="F195">
        <f t="shared" si="8"/>
        <v>82.124200000000002</v>
      </c>
      <c r="G195">
        <f t="shared" ref="G195:G258" si="10">IF(F195&gt;=100,1,0)</f>
        <v>0</v>
      </c>
    </row>
    <row r="196" spans="1:7" hidden="1" x14ac:dyDescent="0.35">
      <c r="A196" s="7">
        <v>48835</v>
      </c>
      <c r="B196" s="8" t="s">
        <v>18</v>
      </c>
      <c r="C196" s="9">
        <v>22.3</v>
      </c>
      <c r="D196" s="10">
        <v>1.7</v>
      </c>
      <c r="E196">
        <f t="shared" si="9"/>
        <v>0.37910000000000005</v>
      </c>
      <c r="F196">
        <f t="shared" ref="F196:F259" si="11">IF(G195=1,E196+F195-100,F195+E196)</f>
        <v>82.503299999999996</v>
      </c>
      <c r="G196">
        <f t="shared" si="10"/>
        <v>0</v>
      </c>
    </row>
    <row r="197" spans="1:7" hidden="1" x14ac:dyDescent="0.35">
      <c r="A197" s="11">
        <v>48836</v>
      </c>
      <c r="B197" s="12" t="s">
        <v>17</v>
      </c>
      <c r="C197" s="13">
        <v>18.399999999999999</v>
      </c>
      <c r="D197" s="14">
        <v>3.9</v>
      </c>
      <c r="E197">
        <f t="shared" si="9"/>
        <v>0.7175999999999999</v>
      </c>
      <c r="F197">
        <f t="shared" si="11"/>
        <v>83.2209</v>
      </c>
      <c r="G197">
        <f t="shared" si="10"/>
        <v>0</v>
      </c>
    </row>
    <row r="198" spans="1:7" hidden="1" x14ac:dyDescent="0.35">
      <c r="A198" s="7">
        <v>48837</v>
      </c>
      <c r="B198" s="8" t="s">
        <v>27</v>
      </c>
      <c r="C198" s="9">
        <v>28</v>
      </c>
      <c r="D198" s="10">
        <v>4.4000000000000004</v>
      </c>
      <c r="E198">
        <f t="shared" si="9"/>
        <v>1.2320000000000002</v>
      </c>
      <c r="F198">
        <f t="shared" si="11"/>
        <v>84.4529</v>
      </c>
      <c r="G198">
        <f t="shared" si="10"/>
        <v>0</v>
      </c>
    </row>
    <row r="199" spans="1:7" hidden="1" x14ac:dyDescent="0.35">
      <c r="A199" s="11">
        <v>48838</v>
      </c>
      <c r="B199" s="12" t="s">
        <v>10</v>
      </c>
      <c r="C199" s="13">
        <v>10.9</v>
      </c>
      <c r="D199" s="14">
        <v>32.9</v>
      </c>
      <c r="E199">
        <f t="shared" si="9"/>
        <v>3.5861000000000001</v>
      </c>
      <c r="F199">
        <f t="shared" si="11"/>
        <v>88.039000000000001</v>
      </c>
      <c r="G199">
        <f t="shared" si="10"/>
        <v>0</v>
      </c>
    </row>
    <row r="200" spans="1:7" hidden="1" x14ac:dyDescent="0.35">
      <c r="A200" s="7">
        <v>48839</v>
      </c>
      <c r="B200" s="8" t="s">
        <v>19</v>
      </c>
      <c r="C200" s="9">
        <v>25.1</v>
      </c>
      <c r="D200" s="10">
        <v>33.299999999999997</v>
      </c>
      <c r="E200">
        <f t="shared" si="9"/>
        <v>8.3582999999999998</v>
      </c>
      <c r="F200">
        <f t="shared" si="11"/>
        <v>96.397300000000001</v>
      </c>
      <c r="G200">
        <f t="shared" si="10"/>
        <v>0</v>
      </c>
    </row>
    <row r="201" spans="1:7" hidden="1" x14ac:dyDescent="0.35">
      <c r="A201" s="11">
        <v>48840</v>
      </c>
      <c r="B201" s="12" t="s">
        <v>28</v>
      </c>
      <c r="C201" s="13">
        <v>10.7</v>
      </c>
      <c r="D201" s="14">
        <v>0.3</v>
      </c>
      <c r="E201">
        <f t="shared" si="9"/>
        <v>0</v>
      </c>
      <c r="F201">
        <f t="shared" si="11"/>
        <v>96.397300000000001</v>
      </c>
      <c r="G201">
        <f t="shared" si="10"/>
        <v>0</v>
      </c>
    </row>
    <row r="202" spans="1:7" x14ac:dyDescent="0.35">
      <c r="A202" s="7">
        <v>48841</v>
      </c>
      <c r="B202" s="8" t="s">
        <v>10</v>
      </c>
      <c r="C202" s="9">
        <v>26.1</v>
      </c>
      <c r="D202" s="10">
        <v>31</v>
      </c>
      <c r="E202">
        <f t="shared" si="9"/>
        <v>8.0910000000000011</v>
      </c>
      <c r="F202">
        <f t="shared" si="11"/>
        <v>104.48830000000001</v>
      </c>
      <c r="G202">
        <f t="shared" si="10"/>
        <v>1</v>
      </c>
    </row>
    <row r="203" spans="1:7" hidden="1" x14ac:dyDescent="0.35">
      <c r="A203" s="11">
        <v>48842</v>
      </c>
      <c r="B203" s="12" t="s">
        <v>11</v>
      </c>
      <c r="C203" s="13">
        <v>15.2</v>
      </c>
      <c r="D203" s="14">
        <v>12.7</v>
      </c>
      <c r="E203">
        <f t="shared" si="9"/>
        <v>1.9303999999999999</v>
      </c>
      <c r="F203">
        <f t="shared" si="11"/>
        <v>6.4187000000000154</v>
      </c>
      <c r="G203">
        <f t="shared" si="10"/>
        <v>0</v>
      </c>
    </row>
    <row r="204" spans="1:7" hidden="1" x14ac:dyDescent="0.35">
      <c r="A204" s="7">
        <v>48843</v>
      </c>
      <c r="B204" s="8" t="s">
        <v>14</v>
      </c>
      <c r="C204" s="9">
        <v>28.8</v>
      </c>
      <c r="D204" s="10">
        <v>4.3</v>
      </c>
      <c r="E204">
        <f t="shared" si="9"/>
        <v>1.2383999999999999</v>
      </c>
      <c r="F204">
        <f t="shared" si="11"/>
        <v>7.6571000000000158</v>
      </c>
      <c r="G204">
        <f t="shared" si="10"/>
        <v>0</v>
      </c>
    </row>
    <row r="205" spans="1:7" hidden="1" x14ac:dyDescent="0.35">
      <c r="A205" s="11">
        <v>48844</v>
      </c>
      <c r="B205" s="12" t="s">
        <v>26</v>
      </c>
      <c r="C205" s="13">
        <v>10.3</v>
      </c>
      <c r="D205" s="14">
        <v>0</v>
      </c>
      <c r="E205">
        <f t="shared" si="9"/>
        <v>0</v>
      </c>
      <c r="F205">
        <f t="shared" si="11"/>
        <v>7.6571000000000158</v>
      </c>
      <c r="G205">
        <f t="shared" si="10"/>
        <v>0</v>
      </c>
    </row>
    <row r="206" spans="1:7" hidden="1" x14ac:dyDescent="0.35">
      <c r="A206" s="7">
        <v>48845</v>
      </c>
      <c r="B206" s="8" t="s">
        <v>6</v>
      </c>
      <c r="C206" s="9">
        <v>14.9</v>
      </c>
      <c r="D206" s="10">
        <v>0.1</v>
      </c>
      <c r="E206">
        <f t="shared" si="9"/>
        <v>0</v>
      </c>
      <c r="F206">
        <f t="shared" si="11"/>
        <v>7.6571000000000158</v>
      </c>
      <c r="G206">
        <f t="shared" si="10"/>
        <v>0</v>
      </c>
    </row>
    <row r="207" spans="1:7" hidden="1" x14ac:dyDescent="0.35">
      <c r="A207" s="11">
        <v>48846</v>
      </c>
      <c r="B207" s="12" t="s">
        <v>10</v>
      </c>
      <c r="C207" s="13">
        <v>11.3</v>
      </c>
      <c r="D207" s="14">
        <v>0</v>
      </c>
      <c r="E207">
        <f t="shared" si="9"/>
        <v>0</v>
      </c>
      <c r="F207">
        <f t="shared" si="11"/>
        <v>7.6571000000000158</v>
      </c>
      <c r="G207">
        <f t="shared" si="10"/>
        <v>0</v>
      </c>
    </row>
    <row r="208" spans="1:7" hidden="1" x14ac:dyDescent="0.35">
      <c r="A208" s="7">
        <v>48847</v>
      </c>
      <c r="B208" s="8" t="s">
        <v>10</v>
      </c>
      <c r="C208" s="9">
        <v>20.8</v>
      </c>
      <c r="D208" s="10">
        <v>34.9</v>
      </c>
      <c r="E208">
        <f t="shared" si="9"/>
        <v>7.2591999999999999</v>
      </c>
      <c r="F208">
        <f t="shared" si="11"/>
        <v>14.916300000000016</v>
      </c>
      <c r="G208">
        <f t="shared" si="10"/>
        <v>0</v>
      </c>
    </row>
    <row r="209" spans="1:7" hidden="1" x14ac:dyDescent="0.35">
      <c r="A209" s="11">
        <v>48848</v>
      </c>
      <c r="B209" s="12" t="s">
        <v>19</v>
      </c>
      <c r="C209" s="13">
        <v>18.2</v>
      </c>
      <c r="D209" s="14">
        <v>0</v>
      </c>
      <c r="E209">
        <f t="shared" si="9"/>
        <v>0</v>
      </c>
      <c r="F209">
        <f t="shared" si="11"/>
        <v>14.916300000000016</v>
      </c>
      <c r="G209">
        <f t="shared" si="10"/>
        <v>0</v>
      </c>
    </row>
    <row r="210" spans="1:7" hidden="1" x14ac:dyDescent="0.35">
      <c r="A210" s="7">
        <v>48849</v>
      </c>
      <c r="B210" s="8" t="s">
        <v>17</v>
      </c>
      <c r="C210" s="9">
        <v>12.7</v>
      </c>
      <c r="D210" s="10">
        <v>5.3</v>
      </c>
      <c r="E210">
        <f t="shared" si="9"/>
        <v>0.67309999999999992</v>
      </c>
      <c r="F210">
        <f t="shared" si="11"/>
        <v>15.589400000000015</v>
      </c>
      <c r="G210">
        <f t="shared" si="10"/>
        <v>0</v>
      </c>
    </row>
    <row r="211" spans="1:7" hidden="1" x14ac:dyDescent="0.35">
      <c r="A211" s="11">
        <v>48850</v>
      </c>
      <c r="B211" s="12" t="s">
        <v>14</v>
      </c>
      <c r="C211" s="13">
        <v>21.4</v>
      </c>
      <c r="D211" s="14">
        <v>8.3000000000000007</v>
      </c>
      <c r="E211">
        <f t="shared" si="9"/>
        <v>1.7762</v>
      </c>
      <c r="F211">
        <f t="shared" si="11"/>
        <v>17.365600000000015</v>
      </c>
      <c r="G211">
        <f t="shared" si="10"/>
        <v>0</v>
      </c>
    </row>
    <row r="212" spans="1:7" hidden="1" x14ac:dyDescent="0.35">
      <c r="A212" s="7">
        <v>48851</v>
      </c>
      <c r="B212" s="8" t="s">
        <v>6</v>
      </c>
      <c r="C212" s="9">
        <v>21.3</v>
      </c>
      <c r="D212" s="10">
        <v>11.8</v>
      </c>
      <c r="E212">
        <f t="shared" si="9"/>
        <v>2.5134000000000003</v>
      </c>
      <c r="F212">
        <f t="shared" si="11"/>
        <v>19.879000000000016</v>
      </c>
      <c r="G212">
        <f t="shared" si="10"/>
        <v>0</v>
      </c>
    </row>
    <row r="213" spans="1:7" hidden="1" x14ac:dyDescent="0.35">
      <c r="A213" s="11">
        <v>48852</v>
      </c>
      <c r="B213" s="12" t="s">
        <v>17</v>
      </c>
      <c r="C213" s="13">
        <v>20.7</v>
      </c>
      <c r="D213" s="14">
        <v>3.9</v>
      </c>
      <c r="E213">
        <f t="shared" si="9"/>
        <v>0.80729999999999991</v>
      </c>
      <c r="F213">
        <f t="shared" si="11"/>
        <v>20.686300000000017</v>
      </c>
      <c r="G213">
        <f t="shared" si="10"/>
        <v>0</v>
      </c>
    </row>
    <row r="214" spans="1:7" hidden="1" x14ac:dyDescent="0.35">
      <c r="A214" s="7">
        <v>48853</v>
      </c>
      <c r="B214" s="8" t="s">
        <v>20</v>
      </c>
      <c r="C214" s="9">
        <v>19.7</v>
      </c>
      <c r="D214" s="10">
        <v>0</v>
      </c>
      <c r="E214">
        <f t="shared" si="9"/>
        <v>0</v>
      </c>
      <c r="F214">
        <f t="shared" si="11"/>
        <v>20.686300000000017</v>
      </c>
      <c r="G214">
        <f t="shared" si="10"/>
        <v>0</v>
      </c>
    </row>
    <row r="215" spans="1:7" hidden="1" x14ac:dyDescent="0.35">
      <c r="A215" s="11">
        <v>48854</v>
      </c>
      <c r="B215" s="12" t="s">
        <v>11</v>
      </c>
      <c r="C215" s="13">
        <v>27.2</v>
      </c>
      <c r="D215" s="14">
        <v>17.600000000000001</v>
      </c>
      <c r="E215">
        <f t="shared" si="9"/>
        <v>4.7872000000000003</v>
      </c>
      <c r="F215">
        <f t="shared" si="11"/>
        <v>25.473500000000016</v>
      </c>
      <c r="G215">
        <f t="shared" si="10"/>
        <v>0</v>
      </c>
    </row>
    <row r="216" spans="1:7" hidden="1" x14ac:dyDescent="0.35">
      <c r="A216" s="7">
        <v>48855</v>
      </c>
      <c r="B216" s="8" t="s">
        <v>25</v>
      </c>
      <c r="C216" s="9">
        <v>16.600000000000001</v>
      </c>
      <c r="D216" s="10">
        <v>1.7</v>
      </c>
      <c r="E216">
        <f t="shared" si="9"/>
        <v>0.28220000000000001</v>
      </c>
      <c r="F216">
        <f t="shared" si="11"/>
        <v>25.755700000000015</v>
      </c>
      <c r="G216">
        <f t="shared" si="10"/>
        <v>0</v>
      </c>
    </row>
    <row r="217" spans="1:7" hidden="1" x14ac:dyDescent="0.35">
      <c r="A217" s="11">
        <v>48856</v>
      </c>
      <c r="B217" s="12" t="s">
        <v>11</v>
      </c>
      <c r="C217" s="13">
        <v>22.3</v>
      </c>
      <c r="D217" s="14">
        <v>0</v>
      </c>
      <c r="E217">
        <f t="shared" si="9"/>
        <v>0</v>
      </c>
      <c r="F217">
        <f t="shared" si="11"/>
        <v>25.755700000000015</v>
      </c>
      <c r="G217">
        <f t="shared" si="10"/>
        <v>0</v>
      </c>
    </row>
    <row r="218" spans="1:7" hidden="1" x14ac:dyDescent="0.35">
      <c r="A218" s="7">
        <v>48857</v>
      </c>
      <c r="B218" s="8" t="s">
        <v>10</v>
      </c>
      <c r="C218" s="9">
        <v>18</v>
      </c>
      <c r="D218" s="10">
        <v>40.799999999999997</v>
      </c>
      <c r="E218">
        <f t="shared" si="9"/>
        <v>7.3439999999999994</v>
      </c>
      <c r="F218">
        <f t="shared" si="11"/>
        <v>33.099700000000013</v>
      </c>
      <c r="G218">
        <f t="shared" si="10"/>
        <v>0</v>
      </c>
    </row>
    <row r="219" spans="1:7" hidden="1" x14ac:dyDescent="0.35">
      <c r="A219" s="11">
        <v>48858</v>
      </c>
      <c r="B219" s="12" t="s">
        <v>24</v>
      </c>
      <c r="C219" s="13">
        <v>21.8</v>
      </c>
      <c r="D219" s="14">
        <v>0</v>
      </c>
      <c r="E219">
        <f t="shared" si="9"/>
        <v>0</v>
      </c>
      <c r="F219">
        <f t="shared" si="11"/>
        <v>33.099700000000013</v>
      </c>
      <c r="G219">
        <f t="shared" si="10"/>
        <v>0</v>
      </c>
    </row>
    <row r="220" spans="1:7" hidden="1" x14ac:dyDescent="0.35">
      <c r="A220" s="7">
        <v>48859</v>
      </c>
      <c r="B220" s="8" t="s">
        <v>6</v>
      </c>
      <c r="C220" s="9">
        <v>22.2</v>
      </c>
      <c r="D220" s="10">
        <v>11.2</v>
      </c>
      <c r="E220">
        <f t="shared" si="9"/>
        <v>2.4863999999999997</v>
      </c>
      <c r="F220">
        <f t="shared" si="11"/>
        <v>35.586100000000016</v>
      </c>
      <c r="G220">
        <f t="shared" si="10"/>
        <v>0</v>
      </c>
    </row>
    <row r="221" spans="1:7" hidden="1" x14ac:dyDescent="0.35">
      <c r="A221" s="11">
        <v>48860</v>
      </c>
      <c r="B221" s="12" t="s">
        <v>6</v>
      </c>
      <c r="C221" s="13">
        <v>20</v>
      </c>
      <c r="D221" s="14">
        <v>0</v>
      </c>
      <c r="E221">
        <f t="shared" si="9"/>
        <v>0</v>
      </c>
      <c r="F221">
        <f t="shared" si="11"/>
        <v>35.586100000000016</v>
      </c>
      <c r="G221">
        <f t="shared" si="10"/>
        <v>0</v>
      </c>
    </row>
    <row r="222" spans="1:7" hidden="1" x14ac:dyDescent="0.35">
      <c r="A222" s="7">
        <v>48861</v>
      </c>
      <c r="B222" s="8" t="s">
        <v>32</v>
      </c>
      <c r="C222" s="9">
        <v>29.4</v>
      </c>
      <c r="D222" s="10">
        <v>0.7</v>
      </c>
      <c r="E222">
        <f t="shared" si="9"/>
        <v>0</v>
      </c>
      <c r="F222">
        <f t="shared" si="11"/>
        <v>35.586100000000016</v>
      </c>
      <c r="G222">
        <f t="shared" si="10"/>
        <v>0</v>
      </c>
    </row>
    <row r="223" spans="1:7" hidden="1" x14ac:dyDescent="0.35">
      <c r="A223" s="11">
        <v>48862</v>
      </c>
      <c r="B223" s="12" t="s">
        <v>10</v>
      </c>
      <c r="C223" s="13">
        <v>23.6</v>
      </c>
      <c r="D223" s="14">
        <v>0</v>
      </c>
      <c r="E223">
        <f t="shared" si="9"/>
        <v>0</v>
      </c>
      <c r="F223">
        <f t="shared" si="11"/>
        <v>35.586100000000016</v>
      </c>
      <c r="G223">
        <f t="shared" si="10"/>
        <v>0</v>
      </c>
    </row>
    <row r="224" spans="1:7" hidden="1" x14ac:dyDescent="0.35">
      <c r="A224" s="7">
        <v>48863</v>
      </c>
      <c r="B224" s="8" t="s">
        <v>7</v>
      </c>
      <c r="C224" s="9">
        <v>16.3</v>
      </c>
      <c r="D224" s="10">
        <v>22</v>
      </c>
      <c r="E224">
        <f t="shared" si="9"/>
        <v>3.5860000000000003</v>
      </c>
      <c r="F224">
        <f t="shared" si="11"/>
        <v>39.172100000000015</v>
      </c>
      <c r="G224">
        <f t="shared" si="10"/>
        <v>0</v>
      </c>
    </row>
    <row r="225" spans="1:7" hidden="1" x14ac:dyDescent="0.35">
      <c r="A225" s="11">
        <v>48864</v>
      </c>
      <c r="B225" s="12" t="s">
        <v>15</v>
      </c>
      <c r="C225" s="13">
        <v>15</v>
      </c>
      <c r="D225" s="14">
        <v>0</v>
      </c>
      <c r="E225">
        <f t="shared" si="9"/>
        <v>0</v>
      </c>
      <c r="F225">
        <f t="shared" si="11"/>
        <v>39.172100000000015</v>
      </c>
      <c r="G225">
        <f t="shared" si="10"/>
        <v>0</v>
      </c>
    </row>
    <row r="226" spans="1:7" hidden="1" x14ac:dyDescent="0.35">
      <c r="A226" s="7">
        <v>48865</v>
      </c>
      <c r="B226" s="8" t="s">
        <v>14</v>
      </c>
      <c r="C226" s="9">
        <v>10.8</v>
      </c>
      <c r="D226" s="10">
        <v>0</v>
      </c>
      <c r="E226">
        <f t="shared" si="9"/>
        <v>0</v>
      </c>
      <c r="F226">
        <f t="shared" si="11"/>
        <v>39.172100000000015</v>
      </c>
      <c r="G226">
        <f t="shared" si="10"/>
        <v>0</v>
      </c>
    </row>
    <row r="227" spans="1:7" hidden="1" x14ac:dyDescent="0.35">
      <c r="A227" s="11">
        <v>48866</v>
      </c>
      <c r="B227" s="12" t="s">
        <v>19</v>
      </c>
      <c r="C227" s="13">
        <v>10.5</v>
      </c>
      <c r="D227" s="14">
        <v>0</v>
      </c>
      <c r="E227">
        <f t="shared" si="9"/>
        <v>0</v>
      </c>
      <c r="F227">
        <f t="shared" si="11"/>
        <v>39.172100000000015</v>
      </c>
      <c r="G227">
        <f t="shared" si="10"/>
        <v>0</v>
      </c>
    </row>
    <row r="228" spans="1:7" hidden="1" x14ac:dyDescent="0.35">
      <c r="A228" s="7">
        <v>48867</v>
      </c>
      <c r="B228" s="8" t="s">
        <v>5</v>
      </c>
      <c r="C228" s="9">
        <v>20.3</v>
      </c>
      <c r="D228" s="10">
        <v>0</v>
      </c>
      <c r="E228">
        <f t="shared" si="9"/>
        <v>0</v>
      </c>
      <c r="F228">
        <f t="shared" si="11"/>
        <v>39.172100000000015</v>
      </c>
      <c r="G228">
        <f t="shared" si="10"/>
        <v>0</v>
      </c>
    </row>
    <row r="229" spans="1:7" hidden="1" x14ac:dyDescent="0.35">
      <c r="A229" s="11">
        <v>48868</v>
      </c>
      <c r="B229" s="12" t="s">
        <v>10</v>
      </c>
      <c r="C229" s="13">
        <v>13.1</v>
      </c>
      <c r="D229" s="14">
        <v>50.4</v>
      </c>
      <c r="E229">
        <f t="shared" si="9"/>
        <v>6.6024000000000003</v>
      </c>
      <c r="F229">
        <f t="shared" si="11"/>
        <v>45.774500000000018</v>
      </c>
      <c r="G229">
        <f t="shared" si="10"/>
        <v>0</v>
      </c>
    </row>
    <row r="230" spans="1:7" hidden="1" x14ac:dyDescent="0.35">
      <c r="A230" s="7">
        <v>48869</v>
      </c>
      <c r="B230" s="8" t="s">
        <v>12</v>
      </c>
      <c r="C230" s="9">
        <v>24.8</v>
      </c>
      <c r="D230" s="10">
        <v>7.9</v>
      </c>
      <c r="E230">
        <f t="shared" si="9"/>
        <v>1.9592000000000001</v>
      </c>
      <c r="F230">
        <f t="shared" si="11"/>
        <v>47.73370000000002</v>
      </c>
      <c r="G230">
        <f t="shared" si="10"/>
        <v>0</v>
      </c>
    </row>
    <row r="231" spans="1:7" hidden="1" x14ac:dyDescent="0.35">
      <c r="A231" s="11">
        <v>48870</v>
      </c>
      <c r="B231" s="12" t="s">
        <v>11</v>
      </c>
      <c r="C231" s="13">
        <v>23.6</v>
      </c>
      <c r="D231" s="14">
        <v>0.8</v>
      </c>
      <c r="E231">
        <f t="shared" si="9"/>
        <v>0</v>
      </c>
      <c r="F231">
        <f t="shared" si="11"/>
        <v>47.73370000000002</v>
      </c>
      <c r="G231">
        <f t="shared" si="10"/>
        <v>0</v>
      </c>
    </row>
    <row r="232" spans="1:7" hidden="1" x14ac:dyDescent="0.35">
      <c r="A232" s="7">
        <v>48871</v>
      </c>
      <c r="B232" s="8" t="s">
        <v>17</v>
      </c>
      <c r="C232" s="9">
        <v>17.899999999999999</v>
      </c>
      <c r="D232" s="10">
        <v>0</v>
      </c>
      <c r="E232">
        <f t="shared" si="9"/>
        <v>0</v>
      </c>
      <c r="F232">
        <f t="shared" si="11"/>
        <v>47.73370000000002</v>
      </c>
      <c r="G232">
        <f t="shared" si="10"/>
        <v>0</v>
      </c>
    </row>
    <row r="233" spans="1:7" hidden="1" x14ac:dyDescent="0.35">
      <c r="A233" s="11">
        <v>48872</v>
      </c>
      <c r="B233" s="12" t="s">
        <v>12</v>
      </c>
      <c r="C233" s="13">
        <v>23.2</v>
      </c>
      <c r="D233" s="14">
        <v>3</v>
      </c>
      <c r="E233">
        <f t="shared" si="9"/>
        <v>0.69599999999999995</v>
      </c>
      <c r="F233">
        <f t="shared" si="11"/>
        <v>48.429700000000018</v>
      </c>
      <c r="G233">
        <f t="shared" si="10"/>
        <v>0</v>
      </c>
    </row>
    <row r="234" spans="1:7" hidden="1" x14ac:dyDescent="0.35">
      <c r="A234" s="7">
        <v>48873</v>
      </c>
      <c r="B234" s="8" t="s">
        <v>8</v>
      </c>
      <c r="C234" s="9">
        <v>21.8</v>
      </c>
      <c r="D234" s="10">
        <v>2</v>
      </c>
      <c r="E234">
        <f t="shared" si="9"/>
        <v>0.436</v>
      </c>
      <c r="F234">
        <f t="shared" si="11"/>
        <v>48.865700000000018</v>
      </c>
      <c r="G234">
        <f t="shared" si="10"/>
        <v>0</v>
      </c>
    </row>
    <row r="235" spans="1:7" hidden="1" x14ac:dyDescent="0.35">
      <c r="A235" s="11">
        <v>48874</v>
      </c>
      <c r="B235" s="12" t="s">
        <v>26</v>
      </c>
      <c r="C235" s="13">
        <v>22.2</v>
      </c>
      <c r="D235" s="14">
        <v>3.1</v>
      </c>
      <c r="E235">
        <f t="shared" si="9"/>
        <v>0.68819999999999992</v>
      </c>
      <c r="F235">
        <f t="shared" si="11"/>
        <v>49.55390000000002</v>
      </c>
      <c r="G235">
        <f t="shared" si="10"/>
        <v>0</v>
      </c>
    </row>
    <row r="236" spans="1:7" hidden="1" x14ac:dyDescent="0.35">
      <c r="A236" s="7">
        <v>48875</v>
      </c>
      <c r="B236" s="8" t="s">
        <v>15</v>
      </c>
      <c r="C236" s="9">
        <v>29</v>
      </c>
      <c r="D236" s="10">
        <v>16.399999999999999</v>
      </c>
      <c r="E236">
        <f t="shared" si="9"/>
        <v>4.7559999999999993</v>
      </c>
      <c r="F236">
        <f t="shared" si="11"/>
        <v>54.30990000000002</v>
      </c>
      <c r="G236">
        <f t="shared" si="10"/>
        <v>0</v>
      </c>
    </row>
    <row r="237" spans="1:7" hidden="1" x14ac:dyDescent="0.35">
      <c r="A237" s="11">
        <v>48876</v>
      </c>
      <c r="B237" s="12" t="s">
        <v>24</v>
      </c>
      <c r="C237" s="13">
        <v>24.6</v>
      </c>
      <c r="D237" s="14">
        <v>1.7</v>
      </c>
      <c r="E237">
        <f t="shared" si="9"/>
        <v>0.41820000000000002</v>
      </c>
      <c r="F237">
        <f t="shared" si="11"/>
        <v>54.728100000000019</v>
      </c>
      <c r="G237">
        <f t="shared" si="10"/>
        <v>0</v>
      </c>
    </row>
    <row r="238" spans="1:7" hidden="1" x14ac:dyDescent="0.35">
      <c r="A238" s="7">
        <v>48877</v>
      </c>
      <c r="B238" s="8" t="s">
        <v>12</v>
      </c>
      <c r="C238" s="9">
        <v>23.4</v>
      </c>
      <c r="D238" s="10">
        <v>0.6</v>
      </c>
      <c r="E238">
        <f t="shared" si="9"/>
        <v>0</v>
      </c>
      <c r="F238">
        <f t="shared" si="11"/>
        <v>54.728100000000019</v>
      </c>
      <c r="G238">
        <f t="shared" si="10"/>
        <v>0</v>
      </c>
    </row>
    <row r="239" spans="1:7" hidden="1" x14ac:dyDescent="0.35">
      <c r="A239" s="11">
        <v>48878</v>
      </c>
      <c r="B239" s="12" t="s">
        <v>15</v>
      </c>
      <c r="C239" s="13">
        <v>21</v>
      </c>
      <c r="D239" s="14">
        <v>0</v>
      </c>
      <c r="E239">
        <f t="shared" si="9"/>
        <v>0</v>
      </c>
      <c r="F239">
        <f t="shared" si="11"/>
        <v>54.728100000000019</v>
      </c>
      <c r="G239">
        <f t="shared" si="10"/>
        <v>0</v>
      </c>
    </row>
    <row r="240" spans="1:7" hidden="1" x14ac:dyDescent="0.35">
      <c r="A240" s="7">
        <v>48879</v>
      </c>
      <c r="B240" s="8" t="s">
        <v>5</v>
      </c>
      <c r="C240" s="9">
        <v>22</v>
      </c>
      <c r="D240" s="10">
        <v>0</v>
      </c>
      <c r="E240">
        <f t="shared" si="9"/>
        <v>0</v>
      </c>
      <c r="F240">
        <f t="shared" si="11"/>
        <v>54.728100000000019</v>
      </c>
      <c r="G240">
        <f t="shared" si="10"/>
        <v>0</v>
      </c>
    </row>
    <row r="241" spans="1:7" hidden="1" x14ac:dyDescent="0.35">
      <c r="A241" s="11">
        <v>48880</v>
      </c>
      <c r="B241" s="12" t="s">
        <v>9</v>
      </c>
      <c r="C241" s="13">
        <v>29.9</v>
      </c>
      <c r="D241" s="14">
        <v>8</v>
      </c>
      <c r="E241">
        <f t="shared" si="9"/>
        <v>2.3919999999999999</v>
      </c>
      <c r="F241">
        <f t="shared" si="11"/>
        <v>57.120100000000022</v>
      </c>
      <c r="G241">
        <f t="shared" si="10"/>
        <v>0</v>
      </c>
    </row>
    <row r="242" spans="1:7" hidden="1" x14ac:dyDescent="0.35">
      <c r="A242" s="7">
        <v>48881</v>
      </c>
      <c r="B242" s="8" t="s">
        <v>7</v>
      </c>
      <c r="C242" s="9">
        <v>27.2</v>
      </c>
      <c r="D242" s="10">
        <v>19.2</v>
      </c>
      <c r="E242">
        <f t="shared" si="9"/>
        <v>5.2224000000000004</v>
      </c>
      <c r="F242">
        <f t="shared" si="11"/>
        <v>62.342500000000022</v>
      </c>
      <c r="G242">
        <f t="shared" si="10"/>
        <v>0</v>
      </c>
    </row>
    <row r="243" spans="1:7" hidden="1" x14ac:dyDescent="0.35">
      <c r="A243" s="11">
        <v>48882</v>
      </c>
      <c r="B243" s="12" t="s">
        <v>19</v>
      </c>
      <c r="C243" s="13">
        <v>10.9</v>
      </c>
      <c r="D243" s="14">
        <v>9</v>
      </c>
      <c r="E243">
        <f t="shared" si="9"/>
        <v>0.98100000000000009</v>
      </c>
      <c r="F243">
        <f t="shared" si="11"/>
        <v>63.323500000000024</v>
      </c>
      <c r="G243">
        <f t="shared" si="10"/>
        <v>0</v>
      </c>
    </row>
    <row r="244" spans="1:7" hidden="1" x14ac:dyDescent="0.35">
      <c r="A244" s="7">
        <v>48883</v>
      </c>
      <c r="B244" s="8" t="s">
        <v>9</v>
      </c>
      <c r="C244" s="9">
        <v>22.6</v>
      </c>
      <c r="D244" s="10">
        <v>5.9</v>
      </c>
      <c r="E244">
        <f t="shared" si="9"/>
        <v>1.3334000000000001</v>
      </c>
      <c r="F244">
        <f t="shared" si="11"/>
        <v>64.656900000000022</v>
      </c>
      <c r="G244">
        <f t="shared" si="10"/>
        <v>0</v>
      </c>
    </row>
    <row r="245" spans="1:7" hidden="1" x14ac:dyDescent="0.35">
      <c r="A245" s="11">
        <v>48884</v>
      </c>
      <c r="B245" s="12" t="s">
        <v>23</v>
      </c>
      <c r="C245" s="13">
        <v>12</v>
      </c>
      <c r="D245" s="14">
        <v>3.9</v>
      </c>
      <c r="E245">
        <f t="shared" si="9"/>
        <v>0.46799999999999997</v>
      </c>
      <c r="F245">
        <f t="shared" si="11"/>
        <v>65.124900000000025</v>
      </c>
      <c r="G245">
        <f t="shared" si="10"/>
        <v>0</v>
      </c>
    </row>
    <row r="246" spans="1:7" hidden="1" x14ac:dyDescent="0.35">
      <c r="A246" s="7">
        <v>48885</v>
      </c>
      <c r="B246" s="8" t="s">
        <v>15</v>
      </c>
      <c r="C246" s="9">
        <v>19.5</v>
      </c>
      <c r="D246" s="10">
        <v>14.2</v>
      </c>
      <c r="E246">
        <f t="shared" si="9"/>
        <v>2.7689999999999997</v>
      </c>
      <c r="F246">
        <f t="shared" si="11"/>
        <v>67.893900000000031</v>
      </c>
      <c r="G246">
        <f t="shared" si="10"/>
        <v>0</v>
      </c>
    </row>
    <row r="247" spans="1:7" hidden="1" x14ac:dyDescent="0.35">
      <c r="A247" s="11">
        <v>48886</v>
      </c>
      <c r="B247" s="12" t="s">
        <v>10</v>
      </c>
      <c r="C247" s="13">
        <v>27</v>
      </c>
      <c r="D247" s="14">
        <v>10.9</v>
      </c>
      <c r="E247">
        <f t="shared" si="9"/>
        <v>2.9430000000000001</v>
      </c>
      <c r="F247">
        <f t="shared" si="11"/>
        <v>70.836900000000028</v>
      </c>
      <c r="G247">
        <f t="shared" si="10"/>
        <v>0</v>
      </c>
    </row>
    <row r="248" spans="1:7" hidden="1" x14ac:dyDescent="0.35">
      <c r="A248" s="7">
        <v>48887</v>
      </c>
      <c r="B248" s="8" t="s">
        <v>22</v>
      </c>
      <c r="C248" s="9">
        <v>10.7</v>
      </c>
      <c r="D248" s="10">
        <v>5.6</v>
      </c>
      <c r="E248">
        <f t="shared" si="9"/>
        <v>0.59919999999999995</v>
      </c>
      <c r="F248">
        <f t="shared" si="11"/>
        <v>71.436100000000025</v>
      </c>
      <c r="G248">
        <f t="shared" si="10"/>
        <v>0</v>
      </c>
    </row>
    <row r="249" spans="1:7" hidden="1" x14ac:dyDescent="0.35">
      <c r="A249" s="11">
        <v>48888</v>
      </c>
      <c r="B249" s="12" t="s">
        <v>19</v>
      </c>
      <c r="C249" s="13">
        <v>29.1</v>
      </c>
      <c r="D249" s="14">
        <v>0</v>
      </c>
      <c r="E249">
        <f t="shared" si="9"/>
        <v>0</v>
      </c>
      <c r="F249">
        <f t="shared" si="11"/>
        <v>71.436100000000025</v>
      </c>
      <c r="G249">
        <f t="shared" si="10"/>
        <v>0</v>
      </c>
    </row>
    <row r="250" spans="1:7" hidden="1" x14ac:dyDescent="0.35">
      <c r="A250" s="7">
        <v>48889</v>
      </c>
      <c r="B250" s="8" t="s">
        <v>27</v>
      </c>
      <c r="C250" s="9">
        <v>25.3</v>
      </c>
      <c r="D250" s="10">
        <v>0</v>
      </c>
      <c r="E250">
        <f t="shared" si="9"/>
        <v>0</v>
      </c>
      <c r="F250">
        <f t="shared" si="11"/>
        <v>71.436100000000025</v>
      </c>
      <c r="G250">
        <f t="shared" si="10"/>
        <v>0</v>
      </c>
    </row>
    <row r="251" spans="1:7" hidden="1" x14ac:dyDescent="0.35">
      <c r="A251" s="11">
        <v>48890</v>
      </c>
      <c r="B251" s="12" t="s">
        <v>6</v>
      </c>
      <c r="C251" s="13">
        <v>13.3</v>
      </c>
      <c r="D251" s="14">
        <v>4.4000000000000004</v>
      </c>
      <c r="E251">
        <f t="shared" si="9"/>
        <v>0.58520000000000005</v>
      </c>
      <c r="F251">
        <f t="shared" si="11"/>
        <v>72.021300000000025</v>
      </c>
      <c r="G251">
        <f t="shared" si="10"/>
        <v>0</v>
      </c>
    </row>
    <row r="252" spans="1:7" hidden="1" x14ac:dyDescent="0.35">
      <c r="A252" s="7">
        <v>48891</v>
      </c>
      <c r="B252" s="8" t="s">
        <v>7</v>
      </c>
      <c r="C252" s="9">
        <v>16.899999999999999</v>
      </c>
      <c r="D252" s="10">
        <v>0</v>
      </c>
      <c r="E252">
        <f t="shared" si="9"/>
        <v>0</v>
      </c>
      <c r="F252">
        <f t="shared" si="11"/>
        <v>72.021300000000025</v>
      </c>
      <c r="G252">
        <f t="shared" si="10"/>
        <v>0</v>
      </c>
    </row>
    <row r="253" spans="1:7" hidden="1" x14ac:dyDescent="0.35">
      <c r="A253" s="11">
        <v>48892</v>
      </c>
      <c r="B253" s="12" t="s">
        <v>15</v>
      </c>
      <c r="C253" s="13">
        <v>26.4</v>
      </c>
      <c r="D253" s="14">
        <v>6.8</v>
      </c>
      <c r="E253">
        <f t="shared" si="9"/>
        <v>1.7951999999999999</v>
      </c>
      <c r="F253">
        <f t="shared" si="11"/>
        <v>73.816500000000019</v>
      </c>
      <c r="G253">
        <f t="shared" si="10"/>
        <v>0</v>
      </c>
    </row>
    <row r="254" spans="1:7" hidden="1" x14ac:dyDescent="0.35">
      <c r="A254" s="7">
        <v>48893</v>
      </c>
      <c r="B254" s="8" t="s">
        <v>14</v>
      </c>
      <c r="C254" s="9">
        <v>29.7</v>
      </c>
      <c r="D254" s="10">
        <v>0</v>
      </c>
      <c r="E254">
        <f t="shared" si="9"/>
        <v>0</v>
      </c>
      <c r="F254">
        <f t="shared" si="11"/>
        <v>73.816500000000019</v>
      </c>
      <c r="G254">
        <f t="shared" si="10"/>
        <v>0</v>
      </c>
    </row>
    <row r="255" spans="1:7" hidden="1" x14ac:dyDescent="0.35">
      <c r="A255" s="11">
        <v>48894</v>
      </c>
      <c r="B255" s="12" t="s">
        <v>7</v>
      </c>
      <c r="C255" s="13">
        <v>17.600000000000001</v>
      </c>
      <c r="D255" s="14">
        <v>8.6999999999999993</v>
      </c>
      <c r="E255">
        <f t="shared" si="9"/>
        <v>1.5312000000000001</v>
      </c>
      <c r="F255">
        <f t="shared" si="11"/>
        <v>75.347700000000017</v>
      </c>
      <c r="G255">
        <f t="shared" si="10"/>
        <v>0</v>
      </c>
    </row>
    <row r="256" spans="1:7" hidden="1" x14ac:dyDescent="0.35">
      <c r="A256" s="7">
        <v>48895</v>
      </c>
      <c r="B256" s="8" t="s">
        <v>17</v>
      </c>
      <c r="C256" s="9">
        <v>13.2</v>
      </c>
      <c r="D256" s="10">
        <v>3.3</v>
      </c>
      <c r="E256">
        <f t="shared" si="9"/>
        <v>0.43559999999999993</v>
      </c>
      <c r="F256">
        <f t="shared" si="11"/>
        <v>75.783300000000011</v>
      </c>
      <c r="G256">
        <f t="shared" si="10"/>
        <v>0</v>
      </c>
    </row>
    <row r="257" spans="1:7" hidden="1" x14ac:dyDescent="0.35">
      <c r="A257" s="11">
        <v>48896</v>
      </c>
      <c r="B257" s="12" t="s">
        <v>15</v>
      </c>
      <c r="C257" s="13">
        <v>21.2</v>
      </c>
      <c r="D257" s="14">
        <v>0</v>
      </c>
      <c r="E257">
        <f t="shared" si="9"/>
        <v>0</v>
      </c>
      <c r="F257">
        <f t="shared" si="11"/>
        <v>75.783300000000011</v>
      </c>
      <c r="G257">
        <f t="shared" si="10"/>
        <v>0</v>
      </c>
    </row>
    <row r="258" spans="1:7" hidden="1" x14ac:dyDescent="0.35">
      <c r="A258" s="7">
        <v>48897</v>
      </c>
      <c r="B258" s="8" t="s">
        <v>15</v>
      </c>
      <c r="C258" s="9">
        <v>23</v>
      </c>
      <c r="D258" s="10">
        <v>7.7</v>
      </c>
      <c r="E258">
        <f t="shared" si="9"/>
        <v>1.7709999999999999</v>
      </c>
      <c r="F258">
        <f t="shared" si="11"/>
        <v>77.554300000000012</v>
      </c>
      <c r="G258">
        <f t="shared" si="10"/>
        <v>0</v>
      </c>
    </row>
    <row r="259" spans="1:7" hidden="1" x14ac:dyDescent="0.35">
      <c r="A259" s="11">
        <v>48898</v>
      </c>
      <c r="B259" s="12" t="s">
        <v>11</v>
      </c>
      <c r="C259" s="13">
        <v>23</v>
      </c>
      <c r="D259" s="14">
        <v>0</v>
      </c>
      <c r="E259">
        <f t="shared" ref="E259:E322" si="12">IF(D259&gt;=1,C259*D259/100,0)</f>
        <v>0</v>
      </c>
      <c r="F259">
        <f t="shared" si="11"/>
        <v>77.554300000000012</v>
      </c>
      <c r="G259">
        <f t="shared" ref="G259:G322" si="13">IF(F259&gt;=100,1,0)</f>
        <v>0</v>
      </c>
    </row>
    <row r="260" spans="1:7" hidden="1" x14ac:dyDescent="0.35">
      <c r="A260" s="7">
        <v>48899</v>
      </c>
      <c r="B260" s="8" t="s">
        <v>11</v>
      </c>
      <c r="C260" s="9">
        <v>23.4</v>
      </c>
      <c r="D260" s="10">
        <v>0</v>
      </c>
      <c r="E260">
        <f t="shared" si="12"/>
        <v>0</v>
      </c>
      <c r="F260">
        <f t="shared" ref="F260:F323" si="14">IF(G259=1,E260+F259-100,F259+E260)</f>
        <v>77.554300000000012</v>
      </c>
      <c r="G260">
        <f t="shared" si="13"/>
        <v>0</v>
      </c>
    </row>
    <row r="261" spans="1:7" hidden="1" x14ac:dyDescent="0.35">
      <c r="A261" s="11">
        <v>48900</v>
      </c>
      <c r="B261" s="12" t="s">
        <v>7</v>
      </c>
      <c r="C261" s="13">
        <v>28.7</v>
      </c>
      <c r="D261" s="14">
        <v>3.3</v>
      </c>
      <c r="E261">
        <f t="shared" si="12"/>
        <v>0.94709999999999994</v>
      </c>
      <c r="F261">
        <f t="shared" si="14"/>
        <v>78.501400000000018</v>
      </c>
      <c r="G261">
        <f t="shared" si="13"/>
        <v>0</v>
      </c>
    </row>
    <row r="262" spans="1:7" hidden="1" x14ac:dyDescent="0.35">
      <c r="A262" s="7">
        <v>48901</v>
      </c>
      <c r="B262" s="8" t="s">
        <v>26</v>
      </c>
      <c r="C262" s="9">
        <v>23.6</v>
      </c>
      <c r="D262" s="10">
        <v>4.3</v>
      </c>
      <c r="E262">
        <f t="shared" si="12"/>
        <v>1.0148000000000001</v>
      </c>
      <c r="F262">
        <f t="shared" si="14"/>
        <v>79.516200000000012</v>
      </c>
      <c r="G262">
        <f t="shared" si="13"/>
        <v>0</v>
      </c>
    </row>
    <row r="263" spans="1:7" hidden="1" x14ac:dyDescent="0.35">
      <c r="A263" s="11">
        <v>48902</v>
      </c>
      <c r="B263" s="12" t="s">
        <v>6</v>
      </c>
      <c r="C263" s="13">
        <v>10.199999999999999</v>
      </c>
      <c r="D263" s="14">
        <v>8.6999999999999993</v>
      </c>
      <c r="E263">
        <f t="shared" si="12"/>
        <v>0.88739999999999986</v>
      </c>
      <c r="F263">
        <f t="shared" si="14"/>
        <v>80.403600000000012</v>
      </c>
      <c r="G263">
        <f t="shared" si="13"/>
        <v>0</v>
      </c>
    </row>
    <row r="264" spans="1:7" hidden="1" x14ac:dyDescent="0.35">
      <c r="A264" s="7">
        <v>48903</v>
      </c>
      <c r="B264" s="8" t="s">
        <v>9</v>
      </c>
      <c r="C264" s="9">
        <v>13.8</v>
      </c>
      <c r="D264" s="10">
        <v>0</v>
      </c>
      <c r="E264">
        <f t="shared" si="12"/>
        <v>0</v>
      </c>
      <c r="F264">
        <f t="shared" si="14"/>
        <v>80.403600000000012</v>
      </c>
      <c r="G264">
        <f t="shared" si="13"/>
        <v>0</v>
      </c>
    </row>
    <row r="265" spans="1:7" hidden="1" x14ac:dyDescent="0.35">
      <c r="A265" s="11">
        <v>48904</v>
      </c>
      <c r="B265" s="12" t="s">
        <v>8</v>
      </c>
      <c r="C265" s="13">
        <v>27.7</v>
      </c>
      <c r="D265" s="14">
        <v>0</v>
      </c>
      <c r="E265">
        <f t="shared" si="12"/>
        <v>0</v>
      </c>
      <c r="F265">
        <f t="shared" si="14"/>
        <v>80.403600000000012</v>
      </c>
      <c r="G265">
        <f t="shared" si="13"/>
        <v>0</v>
      </c>
    </row>
    <row r="266" spans="1:7" hidden="1" x14ac:dyDescent="0.35">
      <c r="A266" s="7">
        <v>48905</v>
      </c>
      <c r="B266" s="8" t="s">
        <v>7</v>
      </c>
      <c r="C266" s="9">
        <v>13.3</v>
      </c>
      <c r="D266" s="10">
        <v>7.2</v>
      </c>
      <c r="E266">
        <f t="shared" si="12"/>
        <v>0.95760000000000001</v>
      </c>
      <c r="F266">
        <f t="shared" si="14"/>
        <v>81.361200000000011</v>
      </c>
      <c r="G266">
        <f t="shared" si="13"/>
        <v>0</v>
      </c>
    </row>
    <row r="267" spans="1:7" hidden="1" x14ac:dyDescent="0.35">
      <c r="A267" s="11">
        <v>48906</v>
      </c>
      <c r="B267" s="12" t="s">
        <v>11</v>
      </c>
      <c r="C267" s="13">
        <v>26</v>
      </c>
      <c r="D267" s="14">
        <v>0.7</v>
      </c>
      <c r="E267">
        <f t="shared" si="12"/>
        <v>0</v>
      </c>
      <c r="F267">
        <f t="shared" si="14"/>
        <v>81.361200000000011</v>
      </c>
      <c r="G267">
        <f t="shared" si="13"/>
        <v>0</v>
      </c>
    </row>
    <row r="268" spans="1:7" hidden="1" x14ac:dyDescent="0.35">
      <c r="A268" s="7">
        <v>48907</v>
      </c>
      <c r="B268" s="8" t="s">
        <v>6</v>
      </c>
      <c r="C268" s="9">
        <v>16.3</v>
      </c>
      <c r="D268" s="10">
        <v>11</v>
      </c>
      <c r="E268">
        <f t="shared" si="12"/>
        <v>1.7930000000000001</v>
      </c>
      <c r="F268">
        <f t="shared" si="14"/>
        <v>83.154200000000017</v>
      </c>
      <c r="G268">
        <f t="shared" si="13"/>
        <v>0</v>
      </c>
    </row>
    <row r="269" spans="1:7" hidden="1" x14ac:dyDescent="0.35">
      <c r="A269" s="11">
        <v>48908</v>
      </c>
      <c r="B269" s="12" t="s">
        <v>15</v>
      </c>
      <c r="C269" s="13">
        <v>23.5</v>
      </c>
      <c r="D269" s="14">
        <v>15.5</v>
      </c>
      <c r="E269">
        <f t="shared" si="12"/>
        <v>3.6425000000000001</v>
      </c>
      <c r="F269">
        <f t="shared" si="14"/>
        <v>86.796700000000016</v>
      </c>
      <c r="G269">
        <f t="shared" si="13"/>
        <v>0</v>
      </c>
    </row>
    <row r="270" spans="1:7" hidden="1" x14ac:dyDescent="0.35">
      <c r="A270" s="7">
        <v>48909</v>
      </c>
      <c r="B270" s="8" t="s">
        <v>27</v>
      </c>
      <c r="C270" s="9">
        <v>15.7</v>
      </c>
      <c r="D270" s="10">
        <v>0</v>
      </c>
      <c r="E270">
        <f t="shared" si="12"/>
        <v>0</v>
      </c>
      <c r="F270">
        <f t="shared" si="14"/>
        <v>86.796700000000016</v>
      </c>
      <c r="G270">
        <f t="shared" si="13"/>
        <v>0</v>
      </c>
    </row>
    <row r="271" spans="1:7" hidden="1" x14ac:dyDescent="0.35">
      <c r="A271" s="11">
        <v>48910</v>
      </c>
      <c r="B271" s="12" t="s">
        <v>26</v>
      </c>
      <c r="C271" s="13">
        <v>26</v>
      </c>
      <c r="D271" s="14">
        <v>6.4</v>
      </c>
      <c r="E271">
        <f t="shared" si="12"/>
        <v>1.6640000000000001</v>
      </c>
      <c r="F271">
        <f t="shared" si="14"/>
        <v>88.460700000000017</v>
      </c>
      <c r="G271">
        <f t="shared" si="13"/>
        <v>0</v>
      </c>
    </row>
    <row r="272" spans="1:7" hidden="1" x14ac:dyDescent="0.35">
      <c r="A272" s="7">
        <v>48911</v>
      </c>
      <c r="B272" s="8" t="s">
        <v>19</v>
      </c>
      <c r="C272" s="9">
        <v>22.7</v>
      </c>
      <c r="D272" s="10">
        <v>0</v>
      </c>
      <c r="E272">
        <f t="shared" si="12"/>
        <v>0</v>
      </c>
      <c r="F272">
        <f t="shared" si="14"/>
        <v>88.460700000000017</v>
      </c>
      <c r="G272">
        <f t="shared" si="13"/>
        <v>0</v>
      </c>
    </row>
    <row r="273" spans="1:7" hidden="1" x14ac:dyDescent="0.35">
      <c r="A273" s="11">
        <v>48912</v>
      </c>
      <c r="B273" s="12" t="s">
        <v>9</v>
      </c>
      <c r="C273" s="13">
        <v>26.2</v>
      </c>
      <c r="D273" s="14">
        <v>5.7</v>
      </c>
      <c r="E273">
        <f t="shared" si="12"/>
        <v>1.4934000000000001</v>
      </c>
      <c r="F273">
        <f t="shared" si="14"/>
        <v>89.954100000000011</v>
      </c>
      <c r="G273">
        <f t="shared" si="13"/>
        <v>0</v>
      </c>
    </row>
    <row r="274" spans="1:7" hidden="1" x14ac:dyDescent="0.35">
      <c r="A274" s="7">
        <v>48913</v>
      </c>
      <c r="B274" s="8" t="s">
        <v>22</v>
      </c>
      <c r="C274" s="9">
        <v>14.1</v>
      </c>
      <c r="D274" s="10">
        <v>0</v>
      </c>
      <c r="E274">
        <f t="shared" si="12"/>
        <v>0</v>
      </c>
      <c r="F274">
        <f t="shared" si="14"/>
        <v>89.954100000000011</v>
      </c>
      <c r="G274">
        <f t="shared" si="13"/>
        <v>0</v>
      </c>
    </row>
    <row r="275" spans="1:7" hidden="1" x14ac:dyDescent="0.35">
      <c r="A275" s="11">
        <v>48914</v>
      </c>
      <c r="B275" s="12" t="s">
        <v>11</v>
      </c>
      <c r="C275" s="13">
        <v>23.6</v>
      </c>
      <c r="D275" s="14">
        <v>19.7</v>
      </c>
      <c r="E275">
        <f t="shared" si="12"/>
        <v>4.6492000000000004</v>
      </c>
      <c r="F275">
        <f t="shared" si="14"/>
        <v>94.603300000000019</v>
      </c>
      <c r="G275">
        <f t="shared" si="13"/>
        <v>0</v>
      </c>
    </row>
    <row r="276" spans="1:7" x14ac:dyDescent="0.35">
      <c r="A276" s="7">
        <v>48915</v>
      </c>
      <c r="B276" s="8" t="s">
        <v>19</v>
      </c>
      <c r="C276" s="9">
        <v>25.2</v>
      </c>
      <c r="D276" s="10">
        <v>37.200000000000003</v>
      </c>
      <c r="E276">
        <f t="shared" si="12"/>
        <v>9.3744000000000014</v>
      </c>
      <c r="F276">
        <f t="shared" si="14"/>
        <v>103.97770000000003</v>
      </c>
      <c r="G276">
        <f t="shared" si="13"/>
        <v>1</v>
      </c>
    </row>
    <row r="277" spans="1:7" hidden="1" x14ac:dyDescent="0.35">
      <c r="A277" s="11">
        <v>48916</v>
      </c>
      <c r="B277" s="12" t="s">
        <v>13</v>
      </c>
      <c r="C277" s="13">
        <v>23</v>
      </c>
      <c r="D277" s="14">
        <v>0</v>
      </c>
      <c r="E277">
        <f t="shared" si="12"/>
        <v>0</v>
      </c>
      <c r="F277">
        <f t="shared" si="14"/>
        <v>3.9777000000000271</v>
      </c>
      <c r="G277">
        <f t="shared" si="13"/>
        <v>0</v>
      </c>
    </row>
    <row r="278" spans="1:7" hidden="1" x14ac:dyDescent="0.35">
      <c r="A278" s="7">
        <v>48917</v>
      </c>
      <c r="B278" s="8" t="s">
        <v>6</v>
      </c>
      <c r="C278" s="9">
        <v>29.7</v>
      </c>
      <c r="D278" s="10">
        <v>6.8</v>
      </c>
      <c r="E278">
        <f t="shared" si="12"/>
        <v>2.0195999999999996</v>
      </c>
      <c r="F278">
        <f t="shared" si="14"/>
        <v>5.9973000000000267</v>
      </c>
      <c r="G278">
        <f t="shared" si="13"/>
        <v>0</v>
      </c>
    </row>
    <row r="279" spans="1:7" hidden="1" x14ac:dyDescent="0.35">
      <c r="A279" s="11">
        <v>48918</v>
      </c>
      <c r="B279" s="12" t="s">
        <v>9</v>
      </c>
      <c r="C279" s="13">
        <v>17.2</v>
      </c>
      <c r="D279" s="14">
        <v>3.5</v>
      </c>
      <c r="E279">
        <f t="shared" si="12"/>
        <v>0.60199999999999998</v>
      </c>
      <c r="F279">
        <f t="shared" si="14"/>
        <v>6.599300000000027</v>
      </c>
      <c r="G279">
        <f t="shared" si="13"/>
        <v>0</v>
      </c>
    </row>
    <row r="280" spans="1:7" hidden="1" x14ac:dyDescent="0.35">
      <c r="A280" s="7">
        <v>48919</v>
      </c>
      <c r="B280" s="8" t="s">
        <v>9</v>
      </c>
      <c r="C280" s="9">
        <v>21.7</v>
      </c>
      <c r="D280" s="10">
        <v>2.5</v>
      </c>
      <c r="E280">
        <f t="shared" si="12"/>
        <v>0.54249999999999998</v>
      </c>
      <c r="F280">
        <f t="shared" si="14"/>
        <v>7.1418000000000266</v>
      </c>
      <c r="G280">
        <f t="shared" si="13"/>
        <v>0</v>
      </c>
    </row>
    <row r="281" spans="1:7" hidden="1" x14ac:dyDescent="0.35">
      <c r="A281" s="11">
        <v>48920</v>
      </c>
      <c r="B281" s="12" t="s">
        <v>11</v>
      </c>
      <c r="C281" s="13">
        <v>25.8</v>
      </c>
      <c r="D281" s="14">
        <v>3.8</v>
      </c>
      <c r="E281">
        <f t="shared" si="12"/>
        <v>0.98039999999999994</v>
      </c>
      <c r="F281">
        <f t="shared" si="14"/>
        <v>8.1222000000000261</v>
      </c>
      <c r="G281">
        <f t="shared" si="13"/>
        <v>0</v>
      </c>
    </row>
    <row r="282" spans="1:7" hidden="1" x14ac:dyDescent="0.35">
      <c r="A282" s="7">
        <v>48921</v>
      </c>
      <c r="B282" s="8" t="s">
        <v>26</v>
      </c>
      <c r="C282" s="9">
        <v>12.9</v>
      </c>
      <c r="D282" s="10">
        <v>1.6</v>
      </c>
      <c r="E282">
        <f t="shared" si="12"/>
        <v>0.2064</v>
      </c>
      <c r="F282">
        <f t="shared" si="14"/>
        <v>8.3286000000000264</v>
      </c>
      <c r="G282">
        <f t="shared" si="13"/>
        <v>0</v>
      </c>
    </row>
    <row r="283" spans="1:7" hidden="1" x14ac:dyDescent="0.35">
      <c r="A283" s="11">
        <v>48922</v>
      </c>
      <c r="B283" s="12" t="s">
        <v>16</v>
      </c>
      <c r="C283" s="13">
        <v>18.2</v>
      </c>
      <c r="D283" s="14">
        <v>0</v>
      </c>
      <c r="E283">
        <f t="shared" si="12"/>
        <v>0</v>
      </c>
      <c r="F283">
        <f t="shared" si="14"/>
        <v>8.3286000000000264</v>
      </c>
      <c r="G283">
        <f t="shared" si="13"/>
        <v>0</v>
      </c>
    </row>
    <row r="284" spans="1:7" hidden="1" x14ac:dyDescent="0.35">
      <c r="A284" s="7">
        <v>48923</v>
      </c>
      <c r="B284" s="8" t="s">
        <v>10</v>
      </c>
      <c r="C284" s="9">
        <v>20</v>
      </c>
      <c r="D284" s="10">
        <v>25.7</v>
      </c>
      <c r="E284">
        <f t="shared" si="12"/>
        <v>5.14</v>
      </c>
      <c r="F284">
        <f t="shared" si="14"/>
        <v>13.468600000000027</v>
      </c>
      <c r="G284">
        <f t="shared" si="13"/>
        <v>0</v>
      </c>
    </row>
    <row r="285" spans="1:7" hidden="1" x14ac:dyDescent="0.35">
      <c r="A285" s="11">
        <v>48924</v>
      </c>
      <c r="B285" s="12" t="s">
        <v>19</v>
      </c>
      <c r="C285" s="13">
        <v>17.100000000000001</v>
      </c>
      <c r="D285" s="14">
        <v>33</v>
      </c>
      <c r="E285">
        <f t="shared" si="12"/>
        <v>5.6430000000000007</v>
      </c>
      <c r="F285">
        <f t="shared" si="14"/>
        <v>19.111600000000028</v>
      </c>
      <c r="G285">
        <f t="shared" si="13"/>
        <v>0</v>
      </c>
    </row>
    <row r="286" spans="1:7" hidden="1" x14ac:dyDescent="0.35">
      <c r="A286" s="7">
        <v>48925</v>
      </c>
      <c r="B286" s="8" t="s">
        <v>5</v>
      </c>
      <c r="C286" s="9">
        <v>23.2</v>
      </c>
      <c r="D286" s="10">
        <v>2.2999999999999998</v>
      </c>
      <c r="E286">
        <f t="shared" si="12"/>
        <v>0.53359999999999996</v>
      </c>
      <c r="F286">
        <f t="shared" si="14"/>
        <v>19.645200000000028</v>
      </c>
      <c r="G286">
        <f t="shared" si="13"/>
        <v>0</v>
      </c>
    </row>
    <row r="287" spans="1:7" hidden="1" x14ac:dyDescent="0.35">
      <c r="A287" s="11">
        <v>48926</v>
      </c>
      <c r="B287" s="12" t="s">
        <v>15</v>
      </c>
      <c r="C287" s="13">
        <v>23.1</v>
      </c>
      <c r="D287" s="14">
        <v>2.2000000000000002</v>
      </c>
      <c r="E287">
        <f t="shared" si="12"/>
        <v>0.5082000000000001</v>
      </c>
      <c r="F287">
        <f t="shared" si="14"/>
        <v>20.153400000000026</v>
      </c>
      <c r="G287">
        <f t="shared" si="13"/>
        <v>0</v>
      </c>
    </row>
    <row r="288" spans="1:7" hidden="1" x14ac:dyDescent="0.35">
      <c r="A288" s="7">
        <v>48927</v>
      </c>
      <c r="B288" s="8" t="s">
        <v>10</v>
      </c>
      <c r="C288" s="9">
        <v>22.4</v>
      </c>
      <c r="D288" s="10">
        <v>33.5</v>
      </c>
      <c r="E288">
        <f t="shared" si="12"/>
        <v>7.5039999999999996</v>
      </c>
      <c r="F288">
        <f t="shared" si="14"/>
        <v>27.657400000000024</v>
      </c>
      <c r="G288">
        <f t="shared" si="13"/>
        <v>0</v>
      </c>
    </row>
    <row r="289" spans="1:7" hidden="1" x14ac:dyDescent="0.35">
      <c r="A289" s="11">
        <v>48928</v>
      </c>
      <c r="B289" s="12" t="s">
        <v>33</v>
      </c>
      <c r="C289" s="13">
        <v>25.4</v>
      </c>
      <c r="D289" s="14">
        <v>0.9</v>
      </c>
      <c r="E289">
        <f t="shared" si="12"/>
        <v>0</v>
      </c>
      <c r="F289">
        <f t="shared" si="14"/>
        <v>27.657400000000024</v>
      </c>
      <c r="G289">
        <f t="shared" si="13"/>
        <v>0</v>
      </c>
    </row>
    <row r="290" spans="1:7" hidden="1" x14ac:dyDescent="0.35">
      <c r="A290" s="7">
        <v>48929</v>
      </c>
      <c r="B290" s="8" t="s">
        <v>10</v>
      </c>
      <c r="C290" s="9">
        <v>15.4</v>
      </c>
      <c r="D290" s="10">
        <v>1.6</v>
      </c>
      <c r="E290">
        <f t="shared" si="12"/>
        <v>0.24640000000000001</v>
      </c>
      <c r="F290">
        <f t="shared" si="14"/>
        <v>27.903800000000025</v>
      </c>
      <c r="G290">
        <f t="shared" si="13"/>
        <v>0</v>
      </c>
    </row>
    <row r="291" spans="1:7" hidden="1" x14ac:dyDescent="0.35">
      <c r="A291" s="11">
        <v>48930</v>
      </c>
      <c r="B291" s="12" t="s">
        <v>25</v>
      </c>
      <c r="C291" s="13">
        <v>23.5</v>
      </c>
      <c r="D291" s="14">
        <v>0.6</v>
      </c>
      <c r="E291">
        <f t="shared" si="12"/>
        <v>0</v>
      </c>
      <c r="F291">
        <f t="shared" si="14"/>
        <v>27.903800000000025</v>
      </c>
      <c r="G291">
        <f t="shared" si="13"/>
        <v>0</v>
      </c>
    </row>
    <row r="292" spans="1:7" hidden="1" x14ac:dyDescent="0.35">
      <c r="A292" s="7">
        <v>48931</v>
      </c>
      <c r="B292" s="8" t="s">
        <v>15</v>
      </c>
      <c r="C292" s="9">
        <v>10.3</v>
      </c>
      <c r="D292" s="10">
        <v>15.4</v>
      </c>
      <c r="E292">
        <f t="shared" si="12"/>
        <v>1.5862000000000001</v>
      </c>
      <c r="F292">
        <f t="shared" si="14"/>
        <v>29.490000000000027</v>
      </c>
      <c r="G292">
        <f t="shared" si="13"/>
        <v>0</v>
      </c>
    </row>
    <row r="293" spans="1:7" hidden="1" x14ac:dyDescent="0.35">
      <c r="A293" s="11">
        <v>48932</v>
      </c>
      <c r="B293" s="12" t="s">
        <v>10</v>
      </c>
      <c r="C293" s="13">
        <v>15.5</v>
      </c>
      <c r="D293" s="14">
        <v>20.2</v>
      </c>
      <c r="E293">
        <f t="shared" si="12"/>
        <v>3.1309999999999998</v>
      </c>
      <c r="F293">
        <f t="shared" si="14"/>
        <v>32.621000000000024</v>
      </c>
      <c r="G293">
        <f t="shared" si="13"/>
        <v>0</v>
      </c>
    </row>
    <row r="294" spans="1:7" hidden="1" x14ac:dyDescent="0.35">
      <c r="A294" s="7">
        <v>48933</v>
      </c>
      <c r="B294" s="8" t="s">
        <v>24</v>
      </c>
      <c r="C294" s="9">
        <v>20.7</v>
      </c>
      <c r="D294" s="10">
        <v>3</v>
      </c>
      <c r="E294">
        <f t="shared" si="12"/>
        <v>0.621</v>
      </c>
      <c r="F294">
        <f t="shared" si="14"/>
        <v>33.242000000000026</v>
      </c>
      <c r="G294">
        <f t="shared" si="13"/>
        <v>0</v>
      </c>
    </row>
    <row r="295" spans="1:7" hidden="1" x14ac:dyDescent="0.35">
      <c r="A295" s="11">
        <v>48934</v>
      </c>
      <c r="B295" s="12" t="s">
        <v>13</v>
      </c>
      <c r="C295" s="13">
        <v>12.7</v>
      </c>
      <c r="D295" s="14">
        <v>14.4</v>
      </c>
      <c r="E295">
        <f t="shared" si="12"/>
        <v>1.8288</v>
      </c>
      <c r="F295">
        <f t="shared" si="14"/>
        <v>35.070800000000027</v>
      </c>
      <c r="G295">
        <f t="shared" si="13"/>
        <v>0</v>
      </c>
    </row>
    <row r="296" spans="1:7" hidden="1" x14ac:dyDescent="0.35">
      <c r="A296" s="7">
        <v>48935</v>
      </c>
      <c r="B296" s="8" t="s">
        <v>23</v>
      </c>
      <c r="C296" s="9">
        <v>22.8</v>
      </c>
      <c r="D296" s="10">
        <v>3.3</v>
      </c>
      <c r="E296">
        <f t="shared" si="12"/>
        <v>0.75239999999999996</v>
      </c>
      <c r="F296">
        <f t="shared" si="14"/>
        <v>35.823200000000028</v>
      </c>
      <c r="G296">
        <f t="shared" si="13"/>
        <v>0</v>
      </c>
    </row>
    <row r="297" spans="1:7" hidden="1" x14ac:dyDescent="0.35">
      <c r="A297" s="11">
        <v>48936</v>
      </c>
      <c r="B297" s="12" t="s">
        <v>30</v>
      </c>
      <c r="C297" s="13">
        <v>20.5</v>
      </c>
      <c r="D297" s="14">
        <v>0</v>
      </c>
      <c r="E297">
        <f t="shared" si="12"/>
        <v>0</v>
      </c>
      <c r="F297">
        <f t="shared" si="14"/>
        <v>35.823200000000028</v>
      </c>
      <c r="G297">
        <f t="shared" si="13"/>
        <v>0</v>
      </c>
    </row>
    <row r="298" spans="1:7" hidden="1" x14ac:dyDescent="0.35">
      <c r="A298" s="7">
        <v>48937</v>
      </c>
      <c r="B298" s="8" t="s">
        <v>22</v>
      </c>
      <c r="C298" s="9">
        <v>13.1</v>
      </c>
      <c r="D298" s="10">
        <v>5.9</v>
      </c>
      <c r="E298">
        <f t="shared" si="12"/>
        <v>0.77290000000000003</v>
      </c>
      <c r="F298">
        <f t="shared" si="14"/>
        <v>36.596100000000028</v>
      </c>
      <c r="G298">
        <f t="shared" si="13"/>
        <v>0</v>
      </c>
    </row>
    <row r="299" spans="1:7" hidden="1" x14ac:dyDescent="0.35">
      <c r="A299" s="11">
        <v>48938</v>
      </c>
      <c r="B299" s="12" t="s">
        <v>21</v>
      </c>
      <c r="C299" s="13">
        <v>29</v>
      </c>
      <c r="D299" s="14">
        <v>1</v>
      </c>
      <c r="E299">
        <f t="shared" si="12"/>
        <v>0.28999999999999998</v>
      </c>
      <c r="F299">
        <f t="shared" si="14"/>
        <v>36.886100000000027</v>
      </c>
      <c r="G299">
        <f t="shared" si="13"/>
        <v>0</v>
      </c>
    </row>
    <row r="300" spans="1:7" hidden="1" x14ac:dyDescent="0.35">
      <c r="A300" s="7">
        <v>48939</v>
      </c>
      <c r="B300" s="8" t="s">
        <v>19</v>
      </c>
      <c r="C300" s="9">
        <v>15.4</v>
      </c>
      <c r="D300" s="10">
        <v>0</v>
      </c>
      <c r="E300">
        <f t="shared" si="12"/>
        <v>0</v>
      </c>
      <c r="F300">
        <f t="shared" si="14"/>
        <v>36.886100000000027</v>
      </c>
      <c r="G300">
        <f t="shared" si="13"/>
        <v>0</v>
      </c>
    </row>
    <row r="301" spans="1:7" hidden="1" x14ac:dyDescent="0.35">
      <c r="A301" s="11">
        <v>48940</v>
      </c>
      <c r="B301" s="12" t="s">
        <v>10</v>
      </c>
      <c r="C301" s="13">
        <v>20.3</v>
      </c>
      <c r="D301" s="14">
        <v>10.7</v>
      </c>
      <c r="E301">
        <f t="shared" si="12"/>
        <v>2.1720999999999999</v>
      </c>
      <c r="F301">
        <f t="shared" si="14"/>
        <v>39.058200000000028</v>
      </c>
      <c r="G301">
        <f t="shared" si="13"/>
        <v>0</v>
      </c>
    </row>
    <row r="302" spans="1:7" hidden="1" x14ac:dyDescent="0.35">
      <c r="A302" s="7">
        <v>48941</v>
      </c>
      <c r="B302" s="8" t="s">
        <v>10</v>
      </c>
      <c r="C302" s="9">
        <v>15</v>
      </c>
      <c r="D302" s="10">
        <v>0</v>
      </c>
      <c r="E302">
        <f t="shared" si="12"/>
        <v>0</v>
      </c>
      <c r="F302">
        <f t="shared" si="14"/>
        <v>39.058200000000028</v>
      </c>
      <c r="G302">
        <f t="shared" si="13"/>
        <v>0</v>
      </c>
    </row>
    <row r="303" spans="1:7" hidden="1" x14ac:dyDescent="0.35">
      <c r="A303" s="11">
        <v>48942</v>
      </c>
      <c r="B303" s="12" t="s">
        <v>18</v>
      </c>
      <c r="C303" s="13">
        <v>16.600000000000001</v>
      </c>
      <c r="D303" s="14">
        <v>0</v>
      </c>
      <c r="E303">
        <f t="shared" si="12"/>
        <v>0</v>
      </c>
      <c r="F303">
        <f t="shared" si="14"/>
        <v>39.058200000000028</v>
      </c>
      <c r="G303">
        <f t="shared" si="13"/>
        <v>0</v>
      </c>
    </row>
    <row r="304" spans="1:7" hidden="1" x14ac:dyDescent="0.35">
      <c r="A304" s="7">
        <v>48943</v>
      </c>
      <c r="B304" s="8" t="s">
        <v>11</v>
      </c>
      <c r="C304" s="9">
        <v>28.6</v>
      </c>
      <c r="D304" s="10">
        <v>0</v>
      </c>
      <c r="E304">
        <f t="shared" si="12"/>
        <v>0</v>
      </c>
      <c r="F304">
        <f t="shared" si="14"/>
        <v>39.058200000000028</v>
      </c>
      <c r="G304">
        <f t="shared" si="13"/>
        <v>0</v>
      </c>
    </row>
    <row r="305" spans="1:7" hidden="1" x14ac:dyDescent="0.35">
      <c r="A305" s="11">
        <v>48944</v>
      </c>
      <c r="B305" s="12" t="s">
        <v>17</v>
      </c>
      <c r="C305" s="13">
        <v>11.4</v>
      </c>
      <c r="D305" s="14">
        <v>3.6</v>
      </c>
      <c r="E305">
        <f t="shared" si="12"/>
        <v>0.41039999999999999</v>
      </c>
      <c r="F305">
        <f t="shared" si="14"/>
        <v>39.468600000000031</v>
      </c>
      <c r="G305">
        <f t="shared" si="13"/>
        <v>0</v>
      </c>
    </row>
    <row r="306" spans="1:7" hidden="1" x14ac:dyDescent="0.35">
      <c r="A306" s="7">
        <v>48945</v>
      </c>
      <c r="B306" s="8" t="s">
        <v>9</v>
      </c>
      <c r="C306" s="9">
        <v>15.5</v>
      </c>
      <c r="D306" s="10">
        <v>1</v>
      </c>
      <c r="E306">
        <f t="shared" si="12"/>
        <v>0.155</v>
      </c>
      <c r="F306">
        <f t="shared" si="14"/>
        <v>39.623600000000032</v>
      </c>
      <c r="G306">
        <f t="shared" si="13"/>
        <v>0</v>
      </c>
    </row>
    <row r="307" spans="1:7" hidden="1" x14ac:dyDescent="0.35">
      <c r="A307" s="11">
        <v>48946</v>
      </c>
      <c r="B307" s="12" t="s">
        <v>6</v>
      </c>
      <c r="C307" s="13">
        <v>18.3</v>
      </c>
      <c r="D307" s="14">
        <v>0.7</v>
      </c>
      <c r="E307">
        <f t="shared" si="12"/>
        <v>0</v>
      </c>
      <c r="F307">
        <f t="shared" si="14"/>
        <v>39.623600000000032</v>
      </c>
      <c r="G307">
        <f t="shared" si="13"/>
        <v>0</v>
      </c>
    </row>
    <row r="308" spans="1:7" hidden="1" x14ac:dyDescent="0.35">
      <c r="A308" s="7">
        <v>48947</v>
      </c>
      <c r="B308" s="8" t="s">
        <v>19</v>
      </c>
      <c r="C308" s="9">
        <v>14.9</v>
      </c>
      <c r="D308" s="10">
        <v>6.1</v>
      </c>
      <c r="E308">
        <f t="shared" si="12"/>
        <v>0.90890000000000004</v>
      </c>
      <c r="F308">
        <f t="shared" si="14"/>
        <v>40.532500000000034</v>
      </c>
      <c r="G308">
        <f t="shared" si="13"/>
        <v>0</v>
      </c>
    </row>
    <row r="309" spans="1:7" hidden="1" x14ac:dyDescent="0.35">
      <c r="A309" s="11">
        <v>48948</v>
      </c>
      <c r="B309" s="12" t="s">
        <v>11</v>
      </c>
      <c r="C309" s="13">
        <v>29.7</v>
      </c>
      <c r="D309" s="14">
        <v>13.3</v>
      </c>
      <c r="E309">
        <f t="shared" si="12"/>
        <v>3.9500999999999999</v>
      </c>
      <c r="F309">
        <f t="shared" si="14"/>
        <v>44.482600000000033</v>
      </c>
      <c r="G309">
        <f t="shared" si="13"/>
        <v>0</v>
      </c>
    </row>
    <row r="310" spans="1:7" hidden="1" x14ac:dyDescent="0.35">
      <c r="A310" s="7">
        <v>48949</v>
      </c>
      <c r="B310" s="8" t="s">
        <v>7</v>
      </c>
      <c r="C310" s="9">
        <v>28.9</v>
      </c>
      <c r="D310" s="10">
        <v>13.8</v>
      </c>
      <c r="E310">
        <f t="shared" si="12"/>
        <v>3.9882</v>
      </c>
      <c r="F310">
        <f t="shared" si="14"/>
        <v>48.470800000000033</v>
      </c>
      <c r="G310">
        <f t="shared" si="13"/>
        <v>0</v>
      </c>
    </row>
    <row r="311" spans="1:7" hidden="1" x14ac:dyDescent="0.35">
      <c r="A311" s="11">
        <v>48950</v>
      </c>
      <c r="B311" s="12" t="s">
        <v>17</v>
      </c>
      <c r="C311" s="13">
        <v>24.3</v>
      </c>
      <c r="D311" s="14">
        <v>0</v>
      </c>
      <c r="E311">
        <f t="shared" si="12"/>
        <v>0</v>
      </c>
      <c r="F311">
        <f t="shared" si="14"/>
        <v>48.470800000000033</v>
      </c>
      <c r="G311">
        <f t="shared" si="13"/>
        <v>0</v>
      </c>
    </row>
    <row r="312" spans="1:7" hidden="1" x14ac:dyDescent="0.35">
      <c r="A312" s="7">
        <v>48951</v>
      </c>
      <c r="B312" s="8" t="s">
        <v>10</v>
      </c>
      <c r="C312" s="9">
        <v>24</v>
      </c>
      <c r="D312" s="10">
        <v>19.7</v>
      </c>
      <c r="E312">
        <f t="shared" si="12"/>
        <v>4.7279999999999998</v>
      </c>
      <c r="F312">
        <f t="shared" si="14"/>
        <v>53.198800000000034</v>
      </c>
      <c r="G312">
        <f t="shared" si="13"/>
        <v>0</v>
      </c>
    </row>
    <row r="313" spans="1:7" hidden="1" x14ac:dyDescent="0.35">
      <c r="A313" s="11">
        <v>48952</v>
      </c>
      <c r="B313" s="12" t="s">
        <v>15</v>
      </c>
      <c r="C313" s="13">
        <v>11.8</v>
      </c>
      <c r="D313" s="14">
        <v>13.3</v>
      </c>
      <c r="E313">
        <f t="shared" si="12"/>
        <v>1.5694000000000004</v>
      </c>
      <c r="F313">
        <f t="shared" si="14"/>
        <v>54.768200000000036</v>
      </c>
      <c r="G313">
        <f t="shared" si="13"/>
        <v>0</v>
      </c>
    </row>
    <row r="314" spans="1:7" hidden="1" x14ac:dyDescent="0.35">
      <c r="A314" s="7">
        <v>48953</v>
      </c>
      <c r="B314" s="8" t="s">
        <v>10</v>
      </c>
      <c r="C314" s="9">
        <v>26.5</v>
      </c>
      <c r="D314" s="10">
        <v>19.7</v>
      </c>
      <c r="E314">
        <f t="shared" si="12"/>
        <v>5.2204999999999995</v>
      </c>
      <c r="F314">
        <f t="shared" si="14"/>
        <v>59.988700000000037</v>
      </c>
      <c r="G314">
        <f t="shared" si="13"/>
        <v>0</v>
      </c>
    </row>
    <row r="315" spans="1:7" hidden="1" x14ac:dyDescent="0.35">
      <c r="A315" s="11">
        <v>48954</v>
      </c>
      <c r="B315" s="12" t="s">
        <v>26</v>
      </c>
      <c r="C315" s="13">
        <v>12.4</v>
      </c>
      <c r="D315" s="14">
        <v>5.0999999999999996</v>
      </c>
      <c r="E315">
        <f t="shared" si="12"/>
        <v>0.63239999999999996</v>
      </c>
      <c r="F315">
        <f t="shared" si="14"/>
        <v>60.621100000000034</v>
      </c>
      <c r="G315">
        <f t="shared" si="13"/>
        <v>0</v>
      </c>
    </row>
    <row r="316" spans="1:7" hidden="1" x14ac:dyDescent="0.35">
      <c r="A316" s="7">
        <v>48955</v>
      </c>
      <c r="B316" s="8" t="s">
        <v>10</v>
      </c>
      <c r="C316" s="9">
        <v>21.9</v>
      </c>
      <c r="D316" s="10">
        <v>6.6</v>
      </c>
      <c r="E316">
        <f t="shared" si="12"/>
        <v>1.4454</v>
      </c>
      <c r="F316">
        <f t="shared" si="14"/>
        <v>62.066500000000033</v>
      </c>
      <c r="G316">
        <f t="shared" si="13"/>
        <v>0</v>
      </c>
    </row>
    <row r="317" spans="1:7" hidden="1" x14ac:dyDescent="0.35">
      <c r="A317" s="11">
        <v>48956</v>
      </c>
      <c r="B317" s="12" t="s">
        <v>10</v>
      </c>
      <c r="C317" s="13">
        <v>20.3</v>
      </c>
      <c r="D317" s="14">
        <v>0</v>
      </c>
      <c r="E317">
        <f t="shared" si="12"/>
        <v>0</v>
      </c>
      <c r="F317">
        <f t="shared" si="14"/>
        <v>62.066500000000033</v>
      </c>
      <c r="G317">
        <f t="shared" si="13"/>
        <v>0</v>
      </c>
    </row>
    <row r="318" spans="1:7" hidden="1" x14ac:dyDescent="0.35">
      <c r="A318" s="7">
        <v>48957</v>
      </c>
      <c r="B318" s="8" t="s">
        <v>32</v>
      </c>
      <c r="C318" s="9">
        <v>27.7</v>
      </c>
      <c r="D318" s="10">
        <v>0.3</v>
      </c>
      <c r="E318">
        <f t="shared" si="12"/>
        <v>0</v>
      </c>
      <c r="F318">
        <f t="shared" si="14"/>
        <v>62.066500000000033</v>
      </c>
      <c r="G318">
        <f t="shared" si="13"/>
        <v>0</v>
      </c>
    </row>
    <row r="319" spans="1:7" hidden="1" x14ac:dyDescent="0.35">
      <c r="A319" s="11">
        <v>48958</v>
      </c>
      <c r="B319" s="12" t="s">
        <v>19</v>
      </c>
      <c r="C319" s="13">
        <v>28.5</v>
      </c>
      <c r="D319" s="14">
        <v>30</v>
      </c>
      <c r="E319">
        <f t="shared" si="12"/>
        <v>8.5500000000000007</v>
      </c>
      <c r="F319">
        <f t="shared" si="14"/>
        <v>70.61650000000003</v>
      </c>
      <c r="G319">
        <f t="shared" si="13"/>
        <v>0</v>
      </c>
    </row>
    <row r="320" spans="1:7" hidden="1" x14ac:dyDescent="0.35">
      <c r="A320" s="7">
        <v>48959</v>
      </c>
      <c r="B320" s="8" t="s">
        <v>21</v>
      </c>
      <c r="C320" s="9">
        <v>28.7</v>
      </c>
      <c r="D320" s="10">
        <v>1.9</v>
      </c>
      <c r="E320">
        <f t="shared" si="12"/>
        <v>0.5452999999999999</v>
      </c>
      <c r="F320">
        <f t="shared" si="14"/>
        <v>71.161800000000028</v>
      </c>
      <c r="G320">
        <f t="shared" si="13"/>
        <v>0</v>
      </c>
    </row>
    <row r="321" spans="1:7" hidden="1" x14ac:dyDescent="0.35">
      <c r="A321" s="11">
        <v>48960</v>
      </c>
      <c r="B321" s="12" t="s">
        <v>4</v>
      </c>
      <c r="C321" s="13">
        <v>10.9</v>
      </c>
      <c r="D321" s="14">
        <v>0</v>
      </c>
      <c r="E321">
        <f t="shared" si="12"/>
        <v>0</v>
      </c>
      <c r="F321">
        <f t="shared" si="14"/>
        <v>71.161800000000028</v>
      </c>
      <c r="G321">
        <f t="shared" si="13"/>
        <v>0</v>
      </c>
    </row>
    <row r="322" spans="1:7" hidden="1" x14ac:dyDescent="0.35">
      <c r="A322" s="7">
        <v>48961</v>
      </c>
      <c r="B322" s="8" t="s">
        <v>9</v>
      </c>
      <c r="C322" s="9">
        <v>13.7</v>
      </c>
      <c r="D322" s="10">
        <v>0</v>
      </c>
      <c r="E322">
        <f t="shared" si="12"/>
        <v>0</v>
      </c>
      <c r="F322">
        <f t="shared" si="14"/>
        <v>71.161800000000028</v>
      </c>
      <c r="G322">
        <f t="shared" si="13"/>
        <v>0</v>
      </c>
    </row>
    <row r="323" spans="1:7" hidden="1" x14ac:dyDescent="0.35">
      <c r="A323" s="11">
        <v>48962</v>
      </c>
      <c r="B323" s="12" t="s">
        <v>11</v>
      </c>
      <c r="C323" s="13">
        <v>28.2</v>
      </c>
      <c r="D323" s="14">
        <v>0</v>
      </c>
      <c r="E323">
        <f t="shared" ref="E323:E386" si="15">IF(D323&gt;=1,C323*D323/100,0)</f>
        <v>0</v>
      </c>
      <c r="F323">
        <f t="shared" si="14"/>
        <v>71.161800000000028</v>
      </c>
      <c r="G323">
        <f t="shared" ref="G323:G386" si="16">IF(F323&gt;=100,1,0)</f>
        <v>0</v>
      </c>
    </row>
    <row r="324" spans="1:7" hidden="1" x14ac:dyDescent="0.35">
      <c r="A324" s="7">
        <v>48963</v>
      </c>
      <c r="B324" s="8" t="s">
        <v>19</v>
      </c>
      <c r="C324" s="9">
        <v>20.100000000000001</v>
      </c>
      <c r="D324" s="10">
        <v>0</v>
      </c>
      <c r="E324">
        <f t="shared" si="15"/>
        <v>0</v>
      </c>
      <c r="F324">
        <f t="shared" ref="F324:F387" si="17">IF(G323=1,E324+F323-100,F323+E324)</f>
        <v>71.161800000000028</v>
      </c>
      <c r="G324">
        <f t="shared" si="16"/>
        <v>0</v>
      </c>
    </row>
    <row r="325" spans="1:7" hidden="1" x14ac:dyDescent="0.35">
      <c r="A325" s="11">
        <v>48964</v>
      </c>
      <c r="B325" s="12" t="s">
        <v>11</v>
      </c>
      <c r="C325" s="13">
        <v>20.6</v>
      </c>
      <c r="D325" s="14">
        <v>0</v>
      </c>
      <c r="E325">
        <f t="shared" si="15"/>
        <v>0</v>
      </c>
      <c r="F325">
        <f t="shared" si="17"/>
        <v>71.161800000000028</v>
      </c>
      <c r="G325">
        <f t="shared" si="16"/>
        <v>0</v>
      </c>
    </row>
    <row r="326" spans="1:7" hidden="1" x14ac:dyDescent="0.35">
      <c r="A326" s="7">
        <v>48965</v>
      </c>
      <c r="B326" s="8" t="s">
        <v>13</v>
      </c>
      <c r="C326" s="9">
        <v>15.5</v>
      </c>
      <c r="D326" s="10">
        <v>16.8</v>
      </c>
      <c r="E326">
        <f t="shared" si="15"/>
        <v>2.6040000000000005</v>
      </c>
      <c r="F326">
        <f t="shared" si="17"/>
        <v>73.765800000000027</v>
      </c>
      <c r="G326">
        <f t="shared" si="16"/>
        <v>0</v>
      </c>
    </row>
    <row r="327" spans="1:7" hidden="1" x14ac:dyDescent="0.35">
      <c r="A327" s="11">
        <v>48966</v>
      </c>
      <c r="B327" s="12" t="s">
        <v>12</v>
      </c>
      <c r="C327" s="13">
        <v>22.2</v>
      </c>
      <c r="D327" s="14">
        <v>2.4</v>
      </c>
      <c r="E327">
        <f t="shared" si="15"/>
        <v>0.53279999999999994</v>
      </c>
      <c r="F327">
        <f t="shared" si="17"/>
        <v>74.298600000000022</v>
      </c>
      <c r="G327">
        <f t="shared" si="16"/>
        <v>0</v>
      </c>
    </row>
    <row r="328" spans="1:7" hidden="1" x14ac:dyDescent="0.35">
      <c r="A328" s="7">
        <v>48967</v>
      </c>
      <c r="B328" s="8" t="s">
        <v>13</v>
      </c>
      <c r="C328" s="9">
        <v>15</v>
      </c>
      <c r="D328" s="10">
        <v>4.0999999999999996</v>
      </c>
      <c r="E328">
        <f t="shared" si="15"/>
        <v>0.61499999999999988</v>
      </c>
      <c r="F328">
        <f t="shared" si="17"/>
        <v>74.913600000000017</v>
      </c>
      <c r="G328">
        <f t="shared" si="16"/>
        <v>0</v>
      </c>
    </row>
    <row r="329" spans="1:7" hidden="1" x14ac:dyDescent="0.35">
      <c r="A329" s="11">
        <v>48968</v>
      </c>
      <c r="B329" s="12" t="s">
        <v>19</v>
      </c>
      <c r="C329" s="13">
        <v>18.399999999999999</v>
      </c>
      <c r="D329" s="14">
        <v>30.4</v>
      </c>
      <c r="E329">
        <f t="shared" si="15"/>
        <v>5.5935999999999986</v>
      </c>
      <c r="F329">
        <f t="shared" si="17"/>
        <v>80.507200000000012</v>
      </c>
      <c r="G329">
        <f t="shared" si="16"/>
        <v>0</v>
      </c>
    </row>
    <row r="330" spans="1:7" hidden="1" x14ac:dyDescent="0.35">
      <c r="A330" s="7">
        <v>48969</v>
      </c>
      <c r="B330" s="8" t="s">
        <v>32</v>
      </c>
      <c r="C330" s="9">
        <v>29.3</v>
      </c>
      <c r="D330" s="10">
        <v>0.4</v>
      </c>
      <c r="E330">
        <f t="shared" si="15"/>
        <v>0</v>
      </c>
      <c r="F330">
        <f t="shared" si="17"/>
        <v>80.507200000000012</v>
      </c>
      <c r="G330">
        <f t="shared" si="16"/>
        <v>0</v>
      </c>
    </row>
    <row r="331" spans="1:7" hidden="1" x14ac:dyDescent="0.35">
      <c r="A331" s="11">
        <v>48970</v>
      </c>
      <c r="B331" s="12" t="s">
        <v>23</v>
      </c>
      <c r="C331" s="13">
        <v>23.9</v>
      </c>
      <c r="D331" s="14">
        <v>3.3</v>
      </c>
      <c r="E331">
        <f t="shared" si="15"/>
        <v>0.78869999999999996</v>
      </c>
      <c r="F331">
        <f t="shared" si="17"/>
        <v>81.295900000000017</v>
      </c>
      <c r="G331">
        <f t="shared" si="16"/>
        <v>0</v>
      </c>
    </row>
    <row r="332" spans="1:7" hidden="1" x14ac:dyDescent="0.35">
      <c r="A332" s="7">
        <v>48971</v>
      </c>
      <c r="B332" s="8" t="s">
        <v>20</v>
      </c>
      <c r="C332" s="9">
        <v>29.8</v>
      </c>
      <c r="D332" s="10">
        <v>3.3</v>
      </c>
      <c r="E332">
        <f t="shared" si="15"/>
        <v>0.98340000000000005</v>
      </c>
      <c r="F332">
        <f t="shared" si="17"/>
        <v>82.279300000000021</v>
      </c>
      <c r="G332">
        <f t="shared" si="16"/>
        <v>0</v>
      </c>
    </row>
    <row r="333" spans="1:7" hidden="1" x14ac:dyDescent="0.35">
      <c r="A333" s="11">
        <v>48972</v>
      </c>
      <c r="B333" s="12" t="s">
        <v>10</v>
      </c>
      <c r="C333" s="13">
        <v>29.1</v>
      </c>
      <c r="D333" s="14">
        <v>23</v>
      </c>
      <c r="E333">
        <f t="shared" si="15"/>
        <v>6.6930000000000005</v>
      </c>
      <c r="F333">
        <f t="shared" si="17"/>
        <v>88.972300000000018</v>
      </c>
      <c r="G333">
        <f t="shared" si="16"/>
        <v>0</v>
      </c>
    </row>
    <row r="334" spans="1:7" hidden="1" x14ac:dyDescent="0.35">
      <c r="A334" s="7">
        <v>48973</v>
      </c>
      <c r="B334" s="8" t="s">
        <v>11</v>
      </c>
      <c r="C334" s="9">
        <v>22.5</v>
      </c>
      <c r="D334" s="10">
        <v>17.2</v>
      </c>
      <c r="E334">
        <f t="shared" si="15"/>
        <v>3.87</v>
      </c>
      <c r="F334">
        <f t="shared" si="17"/>
        <v>92.842300000000023</v>
      </c>
      <c r="G334">
        <f t="shared" si="16"/>
        <v>0</v>
      </c>
    </row>
    <row r="335" spans="1:7" hidden="1" x14ac:dyDescent="0.35">
      <c r="A335" s="11">
        <v>48974</v>
      </c>
      <c r="B335" s="12" t="s">
        <v>19</v>
      </c>
      <c r="C335" s="13">
        <v>15.3</v>
      </c>
      <c r="D335" s="14">
        <v>21.5</v>
      </c>
      <c r="E335">
        <f t="shared" si="15"/>
        <v>3.2894999999999999</v>
      </c>
      <c r="F335">
        <f t="shared" si="17"/>
        <v>96.131800000000027</v>
      </c>
      <c r="G335">
        <f t="shared" si="16"/>
        <v>0</v>
      </c>
    </row>
    <row r="336" spans="1:7" x14ac:dyDescent="0.35">
      <c r="A336" s="7">
        <v>48975</v>
      </c>
      <c r="B336" s="8" t="s">
        <v>10</v>
      </c>
      <c r="C336" s="9">
        <v>13.8</v>
      </c>
      <c r="D336" s="10">
        <v>40.4</v>
      </c>
      <c r="E336">
        <f t="shared" si="15"/>
        <v>5.5751999999999997</v>
      </c>
      <c r="F336">
        <f t="shared" si="17"/>
        <v>101.70700000000002</v>
      </c>
      <c r="G336">
        <f t="shared" si="16"/>
        <v>1</v>
      </c>
    </row>
    <row r="337" spans="1:7" hidden="1" x14ac:dyDescent="0.35">
      <c r="A337" s="11">
        <v>48976</v>
      </c>
      <c r="B337" s="12" t="s">
        <v>7</v>
      </c>
      <c r="C337" s="13">
        <v>12.3</v>
      </c>
      <c r="D337" s="14">
        <v>0</v>
      </c>
      <c r="E337">
        <f t="shared" si="15"/>
        <v>0</v>
      </c>
      <c r="F337">
        <f t="shared" si="17"/>
        <v>1.7070000000000221</v>
      </c>
      <c r="G337">
        <f t="shared" si="16"/>
        <v>0</v>
      </c>
    </row>
    <row r="338" spans="1:7" hidden="1" x14ac:dyDescent="0.35">
      <c r="A338" s="7">
        <v>48977</v>
      </c>
      <c r="B338" s="8" t="s">
        <v>5</v>
      </c>
      <c r="C338" s="9">
        <v>18.5</v>
      </c>
      <c r="D338" s="10">
        <v>4.2</v>
      </c>
      <c r="E338">
        <f t="shared" si="15"/>
        <v>0.77700000000000002</v>
      </c>
      <c r="F338">
        <f t="shared" si="17"/>
        <v>2.4840000000000222</v>
      </c>
      <c r="G338">
        <f t="shared" si="16"/>
        <v>0</v>
      </c>
    </row>
    <row r="339" spans="1:7" hidden="1" x14ac:dyDescent="0.35">
      <c r="A339" s="11">
        <v>48978</v>
      </c>
      <c r="B339" s="12" t="s">
        <v>20</v>
      </c>
      <c r="C339" s="13">
        <v>10.3</v>
      </c>
      <c r="D339" s="14">
        <v>3.2</v>
      </c>
      <c r="E339">
        <f t="shared" si="15"/>
        <v>0.3296</v>
      </c>
      <c r="F339">
        <f t="shared" si="17"/>
        <v>2.8136000000000223</v>
      </c>
      <c r="G339">
        <f t="shared" si="16"/>
        <v>0</v>
      </c>
    </row>
    <row r="340" spans="1:7" hidden="1" x14ac:dyDescent="0.35">
      <c r="A340" s="7">
        <v>48979</v>
      </c>
      <c r="B340" s="8" t="s">
        <v>19</v>
      </c>
      <c r="C340" s="9">
        <v>24.9</v>
      </c>
      <c r="D340" s="10">
        <v>12.1</v>
      </c>
      <c r="E340">
        <f t="shared" si="15"/>
        <v>3.0128999999999997</v>
      </c>
      <c r="F340">
        <f t="shared" si="17"/>
        <v>5.8265000000000224</v>
      </c>
      <c r="G340">
        <f t="shared" si="16"/>
        <v>0</v>
      </c>
    </row>
    <row r="341" spans="1:7" hidden="1" x14ac:dyDescent="0.35">
      <c r="A341" s="11">
        <v>48980</v>
      </c>
      <c r="B341" s="12" t="s">
        <v>10</v>
      </c>
      <c r="C341" s="13">
        <v>26.4</v>
      </c>
      <c r="D341" s="14">
        <v>0</v>
      </c>
      <c r="E341">
        <f t="shared" si="15"/>
        <v>0</v>
      </c>
      <c r="F341">
        <f t="shared" si="17"/>
        <v>5.8265000000000224</v>
      </c>
      <c r="G341">
        <f t="shared" si="16"/>
        <v>0</v>
      </c>
    </row>
    <row r="342" spans="1:7" hidden="1" x14ac:dyDescent="0.35">
      <c r="A342" s="7">
        <v>48981</v>
      </c>
      <c r="B342" s="8" t="s">
        <v>7</v>
      </c>
      <c r="C342" s="9">
        <v>11.8</v>
      </c>
      <c r="D342" s="10">
        <v>0</v>
      </c>
      <c r="E342">
        <f t="shared" si="15"/>
        <v>0</v>
      </c>
      <c r="F342">
        <f t="shared" si="17"/>
        <v>5.8265000000000224</v>
      </c>
      <c r="G342">
        <f t="shared" si="16"/>
        <v>0</v>
      </c>
    </row>
    <row r="343" spans="1:7" hidden="1" x14ac:dyDescent="0.35">
      <c r="A343" s="11">
        <v>48982</v>
      </c>
      <c r="B343" s="12" t="s">
        <v>6</v>
      </c>
      <c r="C343" s="13">
        <v>11</v>
      </c>
      <c r="D343" s="14">
        <v>7.5</v>
      </c>
      <c r="E343">
        <f t="shared" si="15"/>
        <v>0.82499999999999996</v>
      </c>
      <c r="F343">
        <f t="shared" si="17"/>
        <v>6.6515000000000226</v>
      </c>
      <c r="G343">
        <f t="shared" si="16"/>
        <v>0</v>
      </c>
    </row>
    <row r="344" spans="1:7" hidden="1" x14ac:dyDescent="0.35">
      <c r="A344" s="7">
        <v>48983</v>
      </c>
      <c r="B344" s="8" t="s">
        <v>10</v>
      </c>
      <c r="C344" s="9">
        <v>15.4</v>
      </c>
      <c r="D344" s="10">
        <v>5.2</v>
      </c>
      <c r="E344">
        <f t="shared" si="15"/>
        <v>0.80079999999999996</v>
      </c>
      <c r="F344">
        <f t="shared" si="17"/>
        <v>7.4523000000000224</v>
      </c>
      <c r="G344">
        <f t="shared" si="16"/>
        <v>0</v>
      </c>
    </row>
    <row r="345" spans="1:7" hidden="1" x14ac:dyDescent="0.35">
      <c r="A345" s="11">
        <v>48984</v>
      </c>
      <c r="B345" s="12" t="s">
        <v>27</v>
      </c>
      <c r="C345" s="13">
        <v>25.7</v>
      </c>
      <c r="D345" s="14">
        <v>5.8</v>
      </c>
      <c r="E345">
        <f t="shared" si="15"/>
        <v>1.4905999999999999</v>
      </c>
      <c r="F345">
        <f t="shared" si="17"/>
        <v>8.9429000000000229</v>
      </c>
      <c r="G345">
        <f t="shared" si="16"/>
        <v>0</v>
      </c>
    </row>
    <row r="346" spans="1:7" hidden="1" x14ac:dyDescent="0.35">
      <c r="A346" s="7">
        <v>48985</v>
      </c>
      <c r="B346" s="8" t="s">
        <v>13</v>
      </c>
      <c r="C346" s="9">
        <v>14.8</v>
      </c>
      <c r="D346" s="10">
        <v>0</v>
      </c>
      <c r="E346">
        <f t="shared" si="15"/>
        <v>0</v>
      </c>
      <c r="F346">
        <f t="shared" si="17"/>
        <v>8.9429000000000229</v>
      </c>
      <c r="G346">
        <f t="shared" si="16"/>
        <v>0</v>
      </c>
    </row>
    <row r="347" spans="1:7" hidden="1" x14ac:dyDescent="0.35">
      <c r="A347" s="11">
        <v>48986</v>
      </c>
      <c r="B347" s="12" t="s">
        <v>31</v>
      </c>
      <c r="C347" s="13">
        <v>21.5</v>
      </c>
      <c r="D347" s="14">
        <v>0.8</v>
      </c>
      <c r="E347">
        <f t="shared" si="15"/>
        <v>0</v>
      </c>
      <c r="F347">
        <f t="shared" si="17"/>
        <v>8.9429000000000229</v>
      </c>
      <c r="G347">
        <f t="shared" si="16"/>
        <v>0</v>
      </c>
    </row>
    <row r="348" spans="1:7" hidden="1" x14ac:dyDescent="0.35">
      <c r="A348" s="7">
        <v>48987</v>
      </c>
      <c r="B348" s="8" t="s">
        <v>19</v>
      </c>
      <c r="C348" s="9">
        <v>26.2</v>
      </c>
      <c r="D348" s="10">
        <v>8.9</v>
      </c>
      <c r="E348">
        <f t="shared" si="15"/>
        <v>2.3317999999999999</v>
      </c>
      <c r="F348">
        <f t="shared" si="17"/>
        <v>11.274700000000022</v>
      </c>
      <c r="G348">
        <f t="shared" si="16"/>
        <v>0</v>
      </c>
    </row>
    <row r="349" spans="1:7" hidden="1" x14ac:dyDescent="0.35">
      <c r="A349" s="11">
        <v>48988</v>
      </c>
      <c r="B349" s="12" t="s">
        <v>4</v>
      </c>
      <c r="C349" s="13">
        <v>20.6</v>
      </c>
      <c r="D349" s="14">
        <v>0.1</v>
      </c>
      <c r="E349">
        <f t="shared" si="15"/>
        <v>0</v>
      </c>
      <c r="F349">
        <f t="shared" si="17"/>
        <v>11.274700000000022</v>
      </c>
      <c r="G349">
        <f t="shared" si="16"/>
        <v>0</v>
      </c>
    </row>
    <row r="350" spans="1:7" hidden="1" x14ac:dyDescent="0.35">
      <c r="A350" s="7">
        <v>48989</v>
      </c>
      <c r="B350" s="8" t="s">
        <v>10</v>
      </c>
      <c r="C350" s="9">
        <v>14.1</v>
      </c>
      <c r="D350" s="10">
        <v>20.9</v>
      </c>
      <c r="E350">
        <f t="shared" si="15"/>
        <v>2.9468999999999999</v>
      </c>
      <c r="F350">
        <f t="shared" si="17"/>
        <v>14.221600000000022</v>
      </c>
      <c r="G350">
        <f t="shared" si="16"/>
        <v>0</v>
      </c>
    </row>
    <row r="351" spans="1:7" hidden="1" x14ac:dyDescent="0.35">
      <c r="A351" s="11">
        <v>48990</v>
      </c>
      <c r="B351" s="12" t="s">
        <v>24</v>
      </c>
      <c r="C351" s="13">
        <v>20.8</v>
      </c>
      <c r="D351" s="14">
        <v>0.7</v>
      </c>
      <c r="E351">
        <f t="shared" si="15"/>
        <v>0</v>
      </c>
      <c r="F351">
        <f t="shared" si="17"/>
        <v>14.221600000000022</v>
      </c>
      <c r="G351">
        <f t="shared" si="16"/>
        <v>0</v>
      </c>
    </row>
    <row r="352" spans="1:7" hidden="1" x14ac:dyDescent="0.35">
      <c r="A352" s="7">
        <v>48991</v>
      </c>
      <c r="B352" s="8" t="s">
        <v>18</v>
      </c>
      <c r="C352" s="9">
        <v>17.600000000000001</v>
      </c>
      <c r="D352" s="10">
        <v>10.5</v>
      </c>
      <c r="E352">
        <f t="shared" si="15"/>
        <v>1.8480000000000001</v>
      </c>
      <c r="F352">
        <f t="shared" si="17"/>
        <v>16.069600000000023</v>
      </c>
      <c r="G352">
        <f t="shared" si="16"/>
        <v>0</v>
      </c>
    </row>
    <row r="353" spans="1:7" hidden="1" x14ac:dyDescent="0.35">
      <c r="A353" s="11">
        <v>48992</v>
      </c>
      <c r="B353" s="12" t="s">
        <v>10</v>
      </c>
      <c r="C353" s="13">
        <v>16.8</v>
      </c>
      <c r="D353" s="14">
        <v>38.9</v>
      </c>
      <c r="E353">
        <f t="shared" si="15"/>
        <v>6.5351999999999997</v>
      </c>
      <c r="F353">
        <f t="shared" si="17"/>
        <v>22.604800000000022</v>
      </c>
      <c r="G353">
        <f t="shared" si="16"/>
        <v>0</v>
      </c>
    </row>
    <row r="354" spans="1:7" hidden="1" x14ac:dyDescent="0.35">
      <c r="A354" s="7">
        <v>48993</v>
      </c>
      <c r="B354" s="8" t="s">
        <v>4</v>
      </c>
      <c r="C354" s="9">
        <v>23.1</v>
      </c>
      <c r="D354" s="10">
        <v>0</v>
      </c>
      <c r="E354">
        <f t="shared" si="15"/>
        <v>0</v>
      </c>
      <c r="F354">
        <f t="shared" si="17"/>
        <v>22.604800000000022</v>
      </c>
      <c r="G354">
        <f t="shared" si="16"/>
        <v>0</v>
      </c>
    </row>
    <row r="355" spans="1:7" hidden="1" x14ac:dyDescent="0.35">
      <c r="A355" s="11">
        <v>48994</v>
      </c>
      <c r="B355" s="12" t="s">
        <v>27</v>
      </c>
      <c r="C355" s="13">
        <v>16.3</v>
      </c>
      <c r="D355" s="14">
        <v>3.4</v>
      </c>
      <c r="E355">
        <f t="shared" si="15"/>
        <v>0.55420000000000003</v>
      </c>
      <c r="F355">
        <f t="shared" si="17"/>
        <v>23.159000000000024</v>
      </c>
      <c r="G355">
        <f t="shared" si="16"/>
        <v>0</v>
      </c>
    </row>
    <row r="356" spans="1:7" hidden="1" x14ac:dyDescent="0.35">
      <c r="A356" s="7">
        <v>48995</v>
      </c>
      <c r="B356" s="8" t="s">
        <v>7</v>
      </c>
      <c r="C356" s="9">
        <v>15.7</v>
      </c>
      <c r="D356" s="10">
        <v>10.9</v>
      </c>
      <c r="E356">
        <f t="shared" si="15"/>
        <v>1.7113</v>
      </c>
      <c r="F356">
        <f t="shared" si="17"/>
        <v>24.870300000000025</v>
      </c>
      <c r="G356">
        <f t="shared" si="16"/>
        <v>0</v>
      </c>
    </row>
    <row r="357" spans="1:7" hidden="1" x14ac:dyDescent="0.35">
      <c r="A357" s="11">
        <v>48996</v>
      </c>
      <c r="B357" s="12" t="s">
        <v>18</v>
      </c>
      <c r="C357" s="13">
        <v>29.3</v>
      </c>
      <c r="D357" s="14">
        <v>2.1</v>
      </c>
      <c r="E357">
        <f t="shared" si="15"/>
        <v>0.61529999999999996</v>
      </c>
      <c r="F357">
        <f t="shared" si="17"/>
        <v>25.485600000000026</v>
      </c>
      <c r="G357">
        <f t="shared" si="16"/>
        <v>0</v>
      </c>
    </row>
    <row r="358" spans="1:7" hidden="1" x14ac:dyDescent="0.35">
      <c r="A358" s="7">
        <v>48997</v>
      </c>
      <c r="B358" s="8" t="s">
        <v>22</v>
      </c>
      <c r="C358" s="9">
        <v>24</v>
      </c>
      <c r="D358" s="10">
        <v>7.3</v>
      </c>
      <c r="E358">
        <f t="shared" si="15"/>
        <v>1.7519999999999998</v>
      </c>
      <c r="F358">
        <f t="shared" si="17"/>
        <v>27.237600000000025</v>
      </c>
      <c r="G358">
        <f t="shared" si="16"/>
        <v>0</v>
      </c>
    </row>
    <row r="359" spans="1:7" hidden="1" x14ac:dyDescent="0.35">
      <c r="A359" s="11">
        <v>48998</v>
      </c>
      <c r="B359" s="12" t="s">
        <v>6</v>
      </c>
      <c r="C359" s="13">
        <v>27</v>
      </c>
      <c r="D359" s="14">
        <v>0.6</v>
      </c>
      <c r="E359">
        <f t="shared" si="15"/>
        <v>0</v>
      </c>
      <c r="F359">
        <f t="shared" si="17"/>
        <v>27.237600000000025</v>
      </c>
      <c r="G359">
        <f t="shared" si="16"/>
        <v>0</v>
      </c>
    </row>
    <row r="360" spans="1:7" hidden="1" x14ac:dyDescent="0.35">
      <c r="A360" s="7">
        <v>48999</v>
      </c>
      <c r="B360" s="8" t="s">
        <v>10</v>
      </c>
      <c r="C360" s="9">
        <v>26.3</v>
      </c>
      <c r="D360" s="10">
        <v>1.2</v>
      </c>
      <c r="E360">
        <f t="shared" si="15"/>
        <v>0.31559999999999999</v>
      </c>
      <c r="F360">
        <f t="shared" si="17"/>
        <v>27.553200000000025</v>
      </c>
      <c r="G360">
        <f t="shared" si="16"/>
        <v>0</v>
      </c>
    </row>
    <row r="361" spans="1:7" hidden="1" x14ac:dyDescent="0.35">
      <c r="A361" s="11">
        <v>49000</v>
      </c>
      <c r="B361" s="12" t="s">
        <v>15</v>
      </c>
      <c r="C361" s="13">
        <v>26.3</v>
      </c>
      <c r="D361" s="14">
        <v>8.1999999999999993</v>
      </c>
      <c r="E361">
        <f t="shared" si="15"/>
        <v>2.1566000000000001</v>
      </c>
      <c r="F361">
        <f t="shared" si="17"/>
        <v>29.709800000000026</v>
      </c>
      <c r="G361">
        <f t="shared" si="16"/>
        <v>0</v>
      </c>
    </row>
    <row r="362" spans="1:7" hidden="1" x14ac:dyDescent="0.35">
      <c r="A362" s="7">
        <v>49001</v>
      </c>
      <c r="B362" s="8" t="s">
        <v>6</v>
      </c>
      <c r="C362" s="9">
        <v>25.2</v>
      </c>
      <c r="D362" s="10">
        <v>4.7</v>
      </c>
      <c r="E362">
        <f t="shared" si="15"/>
        <v>1.1843999999999999</v>
      </c>
      <c r="F362">
        <f t="shared" si="17"/>
        <v>30.894200000000026</v>
      </c>
      <c r="G362">
        <f t="shared" si="16"/>
        <v>0</v>
      </c>
    </row>
    <row r="363" spans="1:7" hidden="1" x14ac:dyDescent="0.35">
      <c r="A363" s="11">
        <v>49002</v>
      </c>
      <c r="B363" s="12" t="s">
        <v>10</v>
      </c>
      <c r="C363" s="13">
        <v>22.1</v>
      </c>
      <c r="D363" s="14">
        <v>0</v>
      </c>
      <c r="E363">
        <f t="shared" si="15"/>
        <v>0</v>
      </c>
      <c r="F363">
        <f t="shared" si="17"/>
        <v>30.894200000000026</v>
      </c>
      <c r="G363">
        <f t="shared" si="16"/>
        <v>0</v>
      </c>
    </row>
    <row r="364" spans="1:7" hidden="1" x14ac:dyDescent="0.35">
      <c r="A364" s="7">
        <v>49003</v>
      </c>
      <c r="B364" s="8" t="s">
        <v>10</v>
      </c>
      <c r="C364" s="9">
        <v>11.9</v>
      </c>
      <c r="D364" s="10">
        <v>41.6</v>
      </c>
      <c r="E364">
        <f t="shared" si="15"/>
        <v>4.9504000000000001</v>
      </c>
      <c r="F364">
        <f t="shared" si="17"/>
        <v>35.844600000000028</v>
      </c>
      <c r="G364">
        <f t="shared" si="16"/>
        <v>0</v>
      </c>
    </row>
    <row r="365" spans="1:7" hidden="1" x14ac:dyDescent="0.35">
      <c r="A365" s="11">
        <v>49004</v>
      </c>
      <c r="B365" s="12" t="s">
        <v>13</v>
      </c>
      <c r="C365" s="13">
        <v>19.600000000000001</v>
      </c>
      <c r="D365" s="14">
        <v>0</v>
      </c>
      <c r="E365">
        <f t="shared" si="15"/>
        <v>0</v>
      </c>
      <c r="F365">
        <f t="shared" si="17"/>
        <v>35.844600000000028</v>
      </c>
      <c r="G365">
        <f t="shared" si="16"/>
        <v>0</v>
      </c>
    </row>
    <row r="366" spans="1:7" hidden="1" x14ac:dyDescent="0.35">
      <c r="A366" s="7">
        <v>49005</v>
      </c>
      <c r="B366" s="8" t="s">
        <v>27</v>
      </c>
      <c r="C366" s="9">
        <v>15.9</v>
      </c>
      <c r="D366" s="10">
        <v>0</v>
      </c>
      <c r="E366">
        <f t="shared" si="15"/>
        <v>0</v>
      </c>
      <c r="F366">
        <f t="shared" si="17"/>
        <v>35.844600000000028</v>
      </c>
      <c r="G366">
        <f t="shared" si="16"/>
        <v>0</v>
      </c>
    </row>
    <row r="367" spans="1:7" hidden="1" x14ac:dyDescent="0.35">
      <c r="A367" s="11">
        <v>49006</v>
      </c>
      <c r="B367" s="12" t="s">
        <v>12</v>
      </c>
      <c r="C367" s="13">
        <v>24.3</v>
      </c>
      <c r="D367" s="14">
        <v>1.7</v>
      </c>
      <c r="E367">
        <f t="shared" si="15"/>
        <v>0.41310000000000002</v>
      </c>
      <c r="F367">
        <f t="shared" si="17"/>
        <v>36.257700000000028</v>
      </c>
      <c r="G367">
        <f t="shared" si="16"/>
        <v>0</v>
      </c>
    </row>
    <row r="368" spans="1:7" hidden="1" x14ac:dyDescent="0.35">
      <c r="A368" s="7">
        <v>49007</v>
      </c>
      <c r="B368" s="8" t="s">
        <v>14</v>
      </c>
      <c r="C368" s="9">
        <v>20</v>
      </c>
      <c r="D368" s="10">
        <v>0</v>
      </c>
      <c r="E368">
        <f t="shared" si="15"/>
        <v>0</v>
      </c>
      <c r="F368">
        <f t="shared" si="17"/>
        <v>36.257700000000028</v>
      </c>
      <c r="G368">
        <f t="shared" si="16"/>
        <v>0</v>
      </c>
    </row>
    <row r="369" spans="1:7" hidden="1" x14ac:dyDescent="0.35">
      <c r="A369" s="11">
        <v>49008</v>
      </c>
      <c r="B369" s="12" t="s">
        <v>10</v>
      </c>
      <c r="C369" s="13">
        <v>14.2</v>
      </c>
      <c r="D369" s="14">
        <v>32.200000000000003</v>
      </c>
      <c r="E369">
        <f t="shared" si="15"/>
        <v>4.5724</v>
      </c>
      <c r="F369">
        <f t="shared" si="17"/>
        <v>40.83010000000003</v>
      </c>
      <c r="G369">
        <f t="shared" si="16"/>
        <v>0</v>
      </c>
    </row>
    <row r="370" spans="1:7" hidden="1" x14ac:dyDescent="0.35">
      <c r="A370" s="7">
        <v>49009</v>
      </c>
      <c r="B370" s="8" t="s">
        <v>7</v>
      </c>
      <c r="C370" s="9">
        <v>20.5</v>
      </c>
      <c r="D370" s="10">
        <v>18.3</v>
      </c>
      <c r="E370">
        <f t="shared" si="15"/>
        <v>3.7515000000000005</v>
      </c>
      <c r="F370">
        <f t="shared" si="17"/>
        <v>44.58160000000003</v>
      </c>
      <c r="G370">
        <f t="shared" si="16"/>
        <v>0</v>
      </c>
    </row>
    <row r="371" spans="1:7" hidden="1" x14ac:dyDescent="0.35">
      <c r="A371" s="11">
        <v>49010</v>
      </c>
      <c r="B371" s="12" t="s">
        <v>10</v>
      </c>
      <c r="C371" s="13">
        <v>22.4</v>
      </c>
      <c r="D371" s="14">
        <v>0</v>
      </c>
      <c r="E371">
        <f t="shared" si="15"/>
        <v>0</v>
      </c>
      <c r="F371">
        <f t="shared" si="17"/>
        <v>44.58160000000003</v>
      </c>
      <c r="G371">
        <f t="shared" si="16"/>
        <v>0</v>
      </c>
    </row>
    <row r="372" spans="1:7" hidden="1" x14ac:dyDescent="0.35">
      <c r="A372" s="7">
        <v>49011</v>
      </c>
      <c r="B372" s="8" t="s">
        <v>22</v>
      </c>
      <c r="C372" s="9">
        <v>19.100000000000001</v>
      </c>
      <c r="D372" s="10">
        <v>0</v>
      </c>
      <c r="E372">
        <f t="shared" si="15"/>
        <v>0</v>
      </c>
      <c r="F372">
        <f t="shared" si="17"/>
        <v>44.58160000000003</v>
      </c>
      <c r="G372">
        <f t="shared" si="16"/>
        <v>0</v>
      </c>
    </row>
    <row r="373" spans="1:7" hidden="1" x14ac:dyDescent="0.35">
      <c r="A373" s="11">
        <v>49012</v>
      </c>
      <c r="B373" s="12" t="s">
        <v>15</v>
      </c>
      <c r="C373" s="13">
        <v>20.399999999999999</v>
      </c>
      <c r="D373" s="14">
        <v>4.3</v>
      </c>
      <c r="E373">
        <f t="shared" si="15"/>
        <v>0.87719999999999987</v>
      </c>
      <c r="F373">
        <f t="shared" si="17"/>
        <v>45.458800000000032</v>
      </c>
      <c r="G373">
        <f t="shared" si="16"/>
        <v>0</v>
      </c>
    </row>
    <row r="374" spans="1:7" hidden="1" x14ac:dyDescent="0.35">
      <c r="A374" s="7">
        <v>49013</v>
      </c>
      <c r="B374" s="8" t="s">
        <v>19</v>
      </c>
      <c r="C374" s="9">
        <v>29.8</v>
      </c>
      <c r="D374" s="10">
        <v>0</v>
      </c>
      <c r="E374">
        <f t="shared" si="15"/>
        <v>0</v>
      </c>
      <c r="F374">
        <f t="shared" si="17"/>
        <v>45.458800000000032</v>
      </c>
      <c r="G374">
        <f t="shared" si="16"/>
        <v>0</v>
      </c>
    </row>
    <row r="375" spans="1:7" hidden="1" x14ac:dyDescent="0.35">
      <c r="A375" s="11">
        <v>49014</v>
      </c>
      <c r="B375" s="12" t="s">
        <v>33</v>
      </c>
      <c r="C375" s="13">
        <v>13.7</v>
      </c>
      <c r="D375" s="14">
        <v>0.7</v>
      </c>
      <c r="E375">
        <f t="shared" si="15"/>
        <v>0</v>
      </c>
      <c r="F375">
        <f t="shared" si="17"/>
        <v>45.458800000000032</v>
      </c>
      <c r="G375">
        <f t="shared" si="16"/>
        <v>0</v>
      </c>
    </row>
    <row r="376" spans="1:7" hidden="1" x14ac:dyDescent="0.35">
      <c r="A376" s="7">
        <v>49015</v>
      </c>
      <c r="B376" s="8" t="s">
        <v>8</v>
      </c>
      <c r="C376" s="9">
        <v>20.2</v>
      </c>
      <c r="D376" s="10">
        <v>3.7</v>
      </c>
      <c r="E376">
        <f t="shared" si="15"/>
        <v>0.74739999999999995</v>
      </c>
      <c r="F376">
        <f t="shared" si="17"/>
        <v>46.206200000000031</v>
      </c>
      <c r="G376">
        <f t="shared" si="16"/>
        <v>0</v>
      </c>
    </row>
    <row r="377" spans="1:7" hidden="1" x14ac:dyDescent="0.35">
      <c r="A377" s="11">
        <v>49016</v>
      </c>
      <c r="B377" s="12" t="s">
        <v>11</v>
      </c>
      <c r="C377" s="13">
        <v>18.2</v>
      </c>
      <c r="D377" s="14">
        <v>1.6</v>
      </c>
      <c r="E377">
        <f t="shared" si="15"/>
        <v>0.29120000000000001</v>
      </c>
      <c r="F377">
        <f t="shared" si="17"/>
        <v>46.497400000000034</v>
      </c>
      <c r="G377">
        <f t="shared" si="16"/>
        <v>0</v>
      </c>
    </row>
    <row r="378" spans="1:7" hidden="1" x14ac:dyDescent="0.35">
      <c r="A378" s="7">
        <v>49017</v>
      </c>
      <c r="B378" s="8" t="s">
        <v>13</v>
      </c>
      <c r="C378" s="9">
        <v>14.2</v>
      </c>
      <c r="D378" s="10">
        <v>2</v>
      </c>
      <c r="E378">
        <f t="shared" si="15"/>
        <v>0.28399999999999997</v>
      </c>
      <c r="F378">
        <f t="shared" si="17"/>
        <v>46.781400000000033</v>
      </c>
      <c r="G378">
        <f t="shared" si="16"/>
        <v>0</v>
      </c>
    </row>
    <row r="379" spans="1:7" hidden="1" x14ac:dyDescent="0.35">
      <c r="A379" s="11">
        <v>49018</v>
      </c>
      <c r="B379" s="12" t="s">
        <v>15</v>
      </c>
      <c r="C379" s="13">
        <v>11.2</v>
      </c>
      <c r="D379" s="14">
        <v>14.3</v>
      </c>
      <c r="E379">
        <f t="shared" si="15"/>
        <v>1.6015999999999999</v>
      </c>
      <c r="F379">
        <f t="shared" si="17"/>
        <v>48.383000000000031</v>
      </c>
      <c r="G379">
        <f t="shared" si="16"/>
        <v>0</v>
      </c>
    </row>
    <row r="380" spans="1:7" hidden="1" x14ac:dyDescent="0.35">
      <c r="A380" s="7">
        <v>49019</v>
      </c>
      <c r="B380" s="8" t="s">
        <v>32</v>
      </c>
      <c r="C380" s="9">
        <v>13.9</v>
      </c>
      <c r="D380" s="10">
        <v>0.2</v>
      </c>
      <c r="E380">
        <f t="shared" si="15"/>
        <v>0</v>
      </c>
      <c r="F380">
        <f t="shared" si="17"/>
        <v>48.383000000000031</v>
      </c>
      <c r="G380">
        <f t="shared" si="16"/>
        <v>0</v>
      </c>
    </row>
    <row r="381" spans="1:7" hidden="1" x14ac:dyDescent="0.35">
      <c r="A381" s="11">
        <v>49020</v>
      </c>
      <c r="B381" s="12" t="s">
        <v>11</v>
      </c>
      <c r="C381" s="13">
        <v>22.6</v>
      </c>
      <c r="D381" s="14">
        <v>15.1</v>
      </c>
      <c r="E381">
        <f t="shared" si="15"/>
        <v>3.4125999999999999</v>
      </c>
      <c r="F381">
        <f t="shared" si="17"/>
        <v>51.795600000000029</v>
      </c>
      <c r="G381">
        <f t="shared" si="16"/>
        <v>0</v>
      </c>
    </row>
    <row r="382" spans="1:7" hidden="1" x14ac:dyDescent="0.35">
      <c r="A382" s="7">
        <v>49021</v>
      </c>
      <c r="B382" s="8" t="s">
        <v>15</v>
      </c>
      <c r="C382" s="9">
        <v>29.8</v>
      </c>
      <c r="D382" s="10">
        <v>0</v>
      </c>
      <c r="E382">
        <f t="shared" si="15"/>
        <v>0</v>
      </c>
      <c r="F382">
        <f t="shared" si="17"/>
        <v>51.795600000000029</v>
      </c>
      <c r="G382">
        <f t="shared" si="16"/>
        <v>0</v>
      </c>
    </row>
    <row r="383" spans="1:7" hidden="1" x14ac:dyDescent="0.35">
      <c r="A383" s="11">
        <v>49022</v>
      </c>
      <c r="B383" s="12" t="s">
        <v>20</v>
      </c>
      <c r="C383" s="13">
        <v>12.7</v>
      </c>
      <c r="D383" s="14">
        <v>2.6</v>
      </c>
      <c r="E383">
        <f t="shared" si="15"/>
        <v>0.33019999999999994</v>
      </c>
      <c r="F383">
        <f t="shared" si="17"/>
        <v>52.125800000000027</v>
      </c>
      <c r="G383">
        <f t="shared" si="16"/>
        <v>0</v>
      </c>
    </row>
    <row r="384" spans="1:7" hidden="1" x14ac:dyDescent="0.35">
      <c r="A384" s="7">
        <v>49023</v>
      </c>
      <c r="B384" s="8" t="s">
        <v>27</v>
      </c>
      <c r="C384" s="9">
        <v>14.4</v>
      </c>
      <c r="D384" s="10">
        <v>0</v>
      </c>
      <c r="E384">
        <f t="shared" si="15"/>
        <v>0</v>
      </c>
      <c r="F384">
        <f t="shared" si="17"/>
        <v>52.125800000000027</v>
      </c>
      <c r="G384">
        <f t="shared" si="16"/>
        <v>0</v>
      </c>
    </row>
    <row r="385" spans="1:7" hidden="1" x14ac:dyDescent="0.35">
      <c r="A385" s="11">
        <v>49024</v>
      </c>
      <c r="B385" s="12" t="s">
        <v>33</v>
      </c>
      <c r="C385" s="13">
        <v>18.399999999999999</v>
      </c>
      <c r="D385" s="14">
        <v>0.2</v>
      </c>
      <c r="E385">
        <f t="shared" si="15"/>
        <v>0</v>
      </c>
      <c r="F385">
        <f t="shared" si="17"/>
        <v>52.125800000000027</v>
      </c>
      <c r="G385">
        <f t="shared" si="16"/>
        <v>0</v>
      </c>
    </row>
    <row r="386" spans="1:7" hidden="1" x14ac:dyDescent="0.35">
      <c r="A386" s="7">
        <v>49025</v>
      </c>
      <c r="B386" s="8" t="s">
        <v>9</v>
      </c>
      <c r="C386" s="9">
        <v>27.2</v>
      </c>
      <c r="D386" s="10">
        <v>9.6</v>
      </c>
      <c r="E386">
        <f t="shared" si="15"/>
        <v>2.6112000000000002</v>
      </c>
      <c r="F386">
        <f t="shared" si="17"/>
        <v>54.737000000000023</v>
      </c>
      <c r="G386">
        <f t="shared" si="16"/>
        <v>0</v>
      </c>
    </row>
    <row r="387" spans="1:7" hidden="1" x14ac:dyDescent="0.35">
      <c r="A387" s="11">
        <v>49026</v>
      </c>
      <c r="B387" s="12" t="s">
        <v>22</v>
      </c>
      <c r="C387" s="13">
        <v>12.5</v>
      </c>
      <c r="D387" s="14">
        <v>8.8000000000000007</v>
      </c>
      <c r="E387">
        <f t="shared" ref="E387:E450" si="18">IF(D387&gt;=1,C387*D387/100,0)</f>
        <v>1.1000000000000001</v>
      </c>
      <c r="F387">
        <f t="shared" si="17"/>
        <v>55.837000000000025</v>
      </c>
      <c r="G387">
        <f t="shared" ref="G387:G450" si="19">IF(F387&gt;=100,1,0)</f>
        <v>0</v>
      </c>
    </row>
    <row r="388" spans="1:7" hidden="1" x14ac:dyDescent="0.35">
      <c r="A388" s="7">
        <v>49027</v>
      </c>
      <c r="B388" s="8" t="s">
        <v>26</v>
      </c>
      <c r="C388" s="9">
        <v>22.6</v>
      </c>
      <c r="D388" s="10">
        <v>3.5</v>
      </c>
      <c r="E388">
        <f t="shared" si="18"/>
        <v>0.79100000000000004</v>
      </c>
      <c r="F388">
        <f t="shared" ref="F388:F451" si="20">IF(G387=1,E388+F387-100,F387+E388)</f>
        <v>56.628000000000021</v>
      </c>
      <c r="G388">
        <f t="shared" si="19"/>
        <v>0</v>
      </c>
    </row>
    <row r="389" spans="1:7" hidden="1" x14ac:dyDescent="0.35">
      <c r="A389" s="11">
        <v>49028</v>
      </c>
      <c r="B389" s="12" t="s">
        <v>7</v>
      </c>
      <c r="C389" s="13">
        <v>21.8</v>
      </c>
      <c r="D389" s="14">
        <v>6.5</v>
      </c>
      <c r="E389">
        <f t="shared" si="18"/>
        <v>1.4170000000000003</v>
      </c>
      <c r="F389">
        <f t="shared" si="20"/>
        <v>58.045000000000023</v>
      </c>
      <c r="G389">
        <f t="shared" si="19"/>
        <v>0</v>
      </c>
    </row>
    <row r="390" spans="1:7" hidden="1" x14ac:dyDescent="0.35">
      <c r="A390" s="7">
        <v>49029</v>
      </c>
      <c r="B390" s="8" t="s">
        <v>23</v>
      </c>
      <c r="C390" s="9">
        <v>17.2</v>
      </c>
      <c r="D390" s="10">
        <v>0</v>
      </c>
      <c r="E390">
        <f t="shared" si="18"/>
        <v>0</v>
      </c>
      <c r="F390">
        <f t="shared" si="20"/>
        <v>58.045000000000023</v>
      </c>
      <c r="G390">
        <f t="shared" si="19"/>
        <v>0</v>
      </c>
    </row>
    <row r="391" spans="1:7" hidden="1" x14ac:dyDescent="0.35">
      <c r="A391" s="11">
        <v>49030</v>
      </c>
      <c r="B391" s="12" t="s">
        <v>13</v>
      </c>
      <c r="C391" s="13">
        <v>13.4</v>
      </c>
      <c r="D391" s="14">
        <v>14.1</v>
      </c>
      <c r="E391">
        <f t="shared" si="18"/>
        <v>1.8894</v>
      </c>
      <c r="F391">
        <f t="shared" si="20"/>
        <v>59.934400000000025</v>
      </c>
      <c r="G391">
        <f t="shared" si="19"/>
        <v>0</v>
      </c>
    </row>
    <row r="392" spans="1:7" hidden="1" x14ac:dyDescent="0.35">
      <c r="A392" s="7">
        <v>49031</v>
      </c>
      <c r="B392" s="8" t="s">
        <v>9</v>
      </c>
      <c r="C392" s="9">
        <v>13.8</v>
      </c>
      <c r="D392" s="10">
        <v>9.9</v>
      </c>
      <c r="E392">
        <f t="shared" si="18"/>
        <v>1.3662000000000001</v>
      </c>
      <c r="F392">
        <f t="shared" si="20"/>
        <v>61.300600000000024</v>
      </c>
      <c r="G392">
        <f t="shared" si="19"/>
        <v>0</v>
      </c>
    </row>
    <row r="393" spans="1:7" hidden="1" x14ac:dyDescent="0.35">
      <c r="A393" s="11">
        <v>49032</v>
      </c>
      <c r="B393" s="12" t="s">
        <v>24</v>
      </c>
      <c r="C393" s="13">
        <v>10.6</v>
      </c>
      <c r="D393" s="14">
        <v>1.2</v>
      </c>
      <c r="E393">
        <f t="shared" si="18"/>
        <v>0.12719999999999998</v>
      </c>
      <c r="F393">
        <f t="shared" si="20"/>
        <v>61.427800000000026</v>
      </c>
      <c r="G393">
        <f t="shared" si="19"/>
        <v>0</v>
      </c>
    </row>
    <row r="394" spans="1:7" hidden="1" x14ac:dyDescent="0.35">
      <c r="A394" s="7">
        <v>49033</v>
      </c>
      <c r="B394" s="8" t="s">
        <v>16</v>
      </c>
      <c r="C394" s="9">
        <v>28.8</v>
      </c>
      <c r="D394" s="10">
        <v>0.1</v>
      </c>
      <c r="E394">
        <f t="shared" si="18"/>
        <v>0</v>
      </c>
      <c r="F394">
        <f t="shared" si="20"/>
        <v>61.427800000000026</v>
      </c>
      <c r="G394">
        <f t="shared" si="19"/>
        <v>0</v>
      </c>
    </row>
    <row r="395" spans="1:7" hidden="1" x14ac:dyDescent="0.35">
      <c r="A395" s="11">
        <v>49034</v>
      </c>
      <c r="B395" s="12" t="s">
        <v>28</v>
      </c>
      <c r="C395" s="13">
        <v>16.899999999999999</v>
      </c>
      <c r="D395" s="14">
        <v>0.7</v>
      </c>
      <c r="E395">
        <f t="shared" si="18"/>
        <v>0</v>
      </c>
      <c r="F395">
        <f t="shared" si="20"/>
        <v>61.427800000000026</v>
      </c>
      <c r="G395">
        <f t="shared" si="19"/>
        <v>0</v>
      </c>
    </row>
    <row r="396" spans="1:7" hidden="1" x14ac:dyDescent="0.35">
      <c r="A396" s="7">
        <v>49035</v>
      </c>
      <c r="B396" s="8" t="s">
        <v>18</v>
      </c>
      <c r="C396" s="9">
        <v>11.2</v>
      </c>
      <c r="D396" s="10">
        <v>4.8</v>
      </c>
      <c r="E396">
        <f t="shared" si="18"/>
        <v>0.53759999999999997</v>
      </c>
      <c r="F396">
        <f t="shared" si="20"/>
        <v>61.965400000000024</v>
      </c>
      <c r="G396">
        <f t="shared" si="19"/>
        <v>0</v>
      </c>
    </row>
    <row r="397" spans="1:7" hidden="1" x14ac:dyDescent="0.35">
      <c r="A397" s="11">
        <v>49036</v>
      </c>
      <c r="B397" s="12" t="s">
        <v>10</v>
      </c>
      <c r="C397" s="13">
        <v>13.9</v>
      </c>
      <c r="D397" s="14">
        <v>23</v>
      </c>
      <c r="E397">
        <f t="shared" si="18"/>
        <v>3.1970000000000001</v>
      </c>
      <c r="F397">
        <f t="shared" si="20"/>
        <v>65.162400000000019</v>
      </c>
      <c r="G397">
        <f t="shared" si="19"/>
        <v>0</v>
      </c>
    </row>
    <row r="398" spans="1:7" hidden="1" x14ac:dyDescent="0.35">
      <c r="A398" s="7">
        <v>49037</v>
      </c>
      <c r="B398" s="8" t="s">
        <v>11</v>
      </c>
      <c r="C398" s="9">
        <v>25.3</v>
      </c>
      <c r="D398" s="10">
        <v>21.9</v>
      </c>
      <c r="E398">
        <f t="shared" si="18"/>
        <v>5.5406999999999993</v>
      </c>
      <c r="F398">
        <f t="shared" si="20"/>
        <v>70.70310000000002</v>
      </c>
      <c r="G398">
        <f t="shared" si="19"/>
        <v>0</v>
      </c>
    </row>
    <row r="399" spans="1:7" hidden="1" x14ac:dyDescent="0.35">
      <c r="A399" s="11">
        <v>49038</v>
      </c>
      <c r="B399" s="12" t="s">
        <v>10</v>
      </c>
      <c r="C399" s="13">
        <v>14.7</v>
      </c>
      <c r="D399" s="14">
        <v>0</v>
      </c>
      <c r="E399">
        <f t="shared" si="18"/>
        <v>0</v>
      </c>
      <c r="F399">
        <f t="shared" si="20"/>
        <v>70.70310000000002</v>
      </c>
      <c r="G399">
        <f t="shared" si="19"/>
        <v>0</v>
      </c>
    </row>
    <row r="400" spans="1:7" hidden="1" x14ac:dyDescent="0.35">
      <c r="A400" s="7">
        <v>49039</v>
      </c>
      <c r="B400" s="8" t="s">
        <v>12</v>
      </c>
      <c r="C400" s="9">
        <v>20.3</v>
      </c>
      <c r="D400" s="10">
        <v>5.3</v>
      </c>
      <c r="E400">
        <f t="shared" si="18"/>
        <v>1.0759000000000001</v>
      </c>
      <c r="F400">
        <f t="shared" si="20"/>
        <v>71.779000000000025</v>
      </c>
      <c r="G400">
        <f t="shared" si="19"/>
        <v>0</v>
      </c>
    </row>
    <row r="401" spans="1:7" hidden="1" x14ac:dyDescent="0.35">
      <c r="A401" s="11">
        <v>49040</v>
      </c>
      <c r="B401" s="12" t="s">
        <v>15</v>
      </c>
      <c r="C401" s="13">
        <v>25</v>
      </c>
      <c r="D401" s="14">
        <v>3.8</v>
      </c>
      <c r="E401">
        <f t="shared" si="18"/>
        <v>0.95</v>
      </c>
      <c r="F401">
        <f t="shared" si="20"/>
        <v>72.729000000000028</v>
      </c>
      <c r="G401">
        <f t="shared" si="19"/>
        <v>0</v>
      </c>
    </row>
    <row r="402" spans="1:7" hidden="1" x14ac:dyDescent="0.35">
      <c r="A402" s="7">
        <v>49041</v>
      </c>
      <c r="B402" s="8" t="s">
        <v>18</v>
      </c>
      <c r="C402" s="9">
        <v>19.600000000000001</v>
      </c>
      <c r="D402" s="10">
        <v>0.6</v>
      </c>
      <c r="E402">
        <f t="shared" si="18"/>
        <v>0</v>
      </c>
      <c r="F402">
        <f t="shared" si="20"/>
        <v>72.729000000000028</v>
      </c>
      <c r="G402">
        <f t="shared" si="19"/>
        <v>0</v>
      </c>
    </row>
    <row r="403" spans="1:7" hidden="1" x14ac:dyDescent="0.35">
      <c r="A403" s="11">
        <v>49042</v>
      </c>
      <c r="B403" s="12" t="s">
        <v>12</v>
      </c>
      <c r="C403" s="13">
        <v>10.8</v>
      </c>
      <c r="D403" s="14">
        <v>0</v>
      </c>
      <c r="E403">
        <f t="shared" si="18"/>
        <v>0</v>
      </c>
      <c r="F403">
        <f t="shared" si="20"/>
        <v>72.729000000000028</v>
      </c>
      <c r="G403">
        <f t="shared" si="19"/>
        <v>0</v>
      </c>
    </row>
    <row r="404" spans="1:7" hidden="1" x14ac:dyDescent="0.35">
      <c r="A404" s="7">
        <v>49043</v>
      </c>
      <c r="B404" s="8" t="s">
        <v>21</v>
      </c>
      <c r="C404" s="9">
        <v>17.100000000000001</v>
      </c>
      <c r="D404" s="10">
        <v>0.7</v>
      </c>
      <c r="E404">
        <f t="shared" si="18"/>
        <v>0</v>
      </c>
      <c r="F404">
        <f t="shared" si="20"/>
        <v>72.729000000000028</v>
      </c>
      <c r="G404">
        <f t="shared" si="19"/>
        <v>0</v>
      </c>
    </row>
    <row r="405" spans="1:7" hidden="1" x14ac:dyDescent="0.35">
      <c r="A405" s="11">
        <v>49044</v>
      </c>
      <c r="B405" s="12" t="s">
        <v>14</v>
      </c>
      <c r="C405" s="13">
        <v>15.1</v>
      </c>
      <c r="D405" s="14">
        <v>0</v>
      </c>
      <c r="E405">
        <f t="shared" si="18"/>
        <v>0</v>
      </c>
      <c r="F405">
        <f t="shared" si="20"/>
        <v>72.729000000000028</v>
      </c>
      <c r="G405">
        <f t="shared" si="19"/>
        <v>0</v>
      </c>
    </row>
    <row r="406" spans="1:7" hidden="1" x14ac:dyDescent="0.35">
      <c r="A406" s="7">
        <v>49045</v>
      </c>
      <c r="B406" s="8" t="s">
        <v>18</v>
      </c>
      <c r="C406" s="9">
        <v>26.4</v>
      </c>
      <c r="D406" s="10">
        <v>1.9</v>
      </c>
      <c r="E406">
        <f t="shared" si="18"/>
        <v>0.50159999999999993</v>
      </c>
      <c r="F406">
        <f t="shared" si="20"/>
        <v>73.230600000000024</v>
      </c>
      <c r="G406">
        <f t="shared" si="19"/>
        <v>0</v>
      </c>
    </row>
    <row r="407" spans="1:7" hidden="1" x14ac:dyDescent="0.35">
      <c r="A407" s="11">
        <v>49046</v>
      </c>
      <c r="B407" s="12" t="s">
        <v>10</v>
      </c>
      <c r="C407" s="13">
        <v>11.6</v>
      </c>
      <c r="D407" s="14">
        <v>14.4</v>
      </c>
      <c r="E407">
        <f t="shared" si="18"/>
        <v>1.6703999999999999</v>
      </c>
      <c r="F407">
        <f t="shared" si="20"/>
        <v>74.901000000000025</v>
      </c>
      <c r="G407">
        <f t="shared" si="19"/>
        <v>0</v>
      </c>
    </row>
    <row r="408" spans="1:7" hidden="1" x14ac:dyDescent="0.35">
      <c r="A408" s="7">
        <v>49047</v>
      </c>
      <c r="B408" s="8" t="s">
        <v>10</v>
      </c>
      <c r="C408" s="9">
        <v>16.600000000000001</v>
      </c>
      <c r="D408" s="10">
        <v>40.6</v>
      </c>
      <c r="E408">
        <f t="shared" si="18"/>
        <v>6.7396000000000003</v>
      </c>
      <c r="F408">
        <f t="shared" si="20"/>
        <v>81.64060000000002</v>
      </c>
      <c r="G408">
        <f t="shared" si="19"/>
        <v>0</v>
      </c>
    </row>
    <row r="409" spans="1:7" hidden="1" x14ac:dyDescent="0.35">
      <c r="A409" s="11">
        <v>49048</v>
      </c>
      <c r="B409" s="12" t="s">
        <v>19</v>
      </c>
      <c r="C409" s="13">
        <v>19.5</v>
      </c>
      <c r="D409" s="14">
        <v>24.9</v>
      </c>
      <c r="E409">
        <f t="shared" si="18"/>
        <v>4.8554999999999993</v>
      </c>
      <c r="F409">
        <f t="shared" si="20"/>
        <v>86.496100000000013</v>
      </c>
      <c r="G409">
        <f t="shared" si="19"/>
        <v>0</v>
      </c>
    </row>
    <row r="410" spans="1:7" hidden="1" x14ac:dyDescent="0.35">
      <c r="A410" s="7">
        <v>49049</v>
      </c>
      <c r="B410" s="8" t="s">
        <v>17</v>
      </c>
      <c r="C410" s="9">
        <v>24.9</v>
      </c>
      <c r="D410" s="10">
        <v>6.5</v>
      </c>
      <c r="E410">
        <f t="shared" si="18"/>
        <v>1.6185</v>
      </c>
      <c r="F410">
        <f t="shared" si="20"/>
        <v>88.11460000000001</v>
      </c>
      <c r="G410">
        <f t="shared" si="19"/>
        <v>0</v>
      </c>
    </row>
    <row r="411" spans="1:7" hidden="1" x14ac:dyDescent="0.35">
      <c r="A411" s="11">
        <v>49050</v>
      </c>
      <c r="B411" s="12" t="s">
        <v>23</v>
      </c>
      <c r="C411" s="13">
        <v>19.3</v>
      </c>
      <c r="D411" s="14">
        <v>0.8</v>
      </c>
      <c r="E411">
        <f t="shared" si="18"/>
        <v>0</v>
      </c>
      <c r="F411">
        <f t="shared" si="20"/>
        <v>88.11460000000001</v>
      </c>
      <c r="G411">
        <f t="shared" si="19"/>
        <v>0</v>
      </c>
    </row>
    <row r="412" spans="1:7" hidden="1" x14ac:dyDescent="0.35">
      <c r="A412" s="7">
        <v>49051</v>
      </c>
      <c r="B412" s="8" t="s">
        <v>17</v>
      </c>
      <c r="C412" s="9">
        <v>26.2</v>
      </c>
      <c r="D412" s="10">
        <v>2.8</v>
      </c>
      <c r="E412">
        <f t="shared" si="18"/>
        <v>0.73360000000000003</v>
      </c>
      <c r="F412">
        <f t="shared" si="20"/>
        <v>88.848200000000006</v>
      </c>
      <c r="G412">
        <f t="shared" si="19"/>
        <v>0</v>
      </c>
    </row>
    <row r="413" spans="1:7" hidden="1" x14ac:dyDescent="0.35">
      <c r="A413" s="11">
        <v>49052</v>
      </c>
      <c r="B413" s="12" t="s">
        <v>7</v>
      </c>
      <c r="C413" s="13">
        <v>28.1</v>
      </c>
      <c r="D413" s="14">
        <v>0.6</v>
      </c>
      <c r="E413">
        <f t="shared" si="18"/>
        <v>0</v>
      </c>
      <c r="F413">
        <f t="shared" si="20"/>
        <v>88.848200000000006</v>
      </c>
      <c r="G413">
        <f t="shared" si="19"/>
        <v>0</v>
      </c>
    </row>
    <row r="414" spans="1:7" hidden="1" x14ac:dyDescent="0.35">
      <c r="A414" s="7">
        <v>49053</v>
      </c>
      <c r="B414" s="8" t="s">
        <v>14</v>
      </c>
      <c r="C414" s="9">
        <v>17</v>
      </c>
      <c r="D414" s="10">
        <v>4.8</v>
      </c>
      <c r="E414">
        <f t="shared" si="18"/>
        <v>0.81599999999999995</v>
      </c>
      <c r="F414">
        <f t="shared" si="20"/>
        <v>89.664200000000008</v>
      </c>
      <c r="G414">
        <f t="shared" si="19"/>
        <v>0</v>
      </c>
    </row>
    <row r="415" spans="1:7" hidden="1" x14ac:dyDescent="0.35">
      <c r="A415" s="11">
        <v>49054</v>
      </c>
      <c r="B415" s="12" t="s">
        <v>17</v>
      </c>
      <c r="C415" s="13">
        <v>28.5</v>
      </c>
      <c r="D415" s="14">
        <v>7.1</v>
      </c>
      <c r="E415">
        <f t="shared" si="18"/>
        <v>2.0234999999999999</v>
      </c>
      <c r="F415">
        <f t="shared" si="20"/>
        <v>91.687700000000007</v>
      </c>
      <c r="G415">
        <f t="shared" si="19"/>
        <v>0</v>
      </c>
    </row>
    <row r="416" spans="1:7" hidden="1" x14ac:dyDescent="0.35">
      <c r="A416" s="7">
        <v>49055</v>
      </c>
      <c r="B416" s="8" t="s">
        <v>5</v>
      </c>
      <c r="C416" s="9">
        <v>14.2</v>
      </c>
      <c r="D416" s="10">
        <v>2.1</v>
      </c>
      <c r="E416">
        <f t="shared" si="18"/>
        <v>0.29820000000000002</v>
      </c>
      <c r="F416">
        <f t="shared" si="20"/>
        <v>91.985900000000001</v>
      </c>
      <c r="G416">
        <f t="shared" si="19"/>
        <v>0</v>
      </c>
    </row>
    <row r="417" spans="1:7" hidden="1" x14ac:dyDescent="0.35">
      <c r="A417" s="11">
        <v>49056</v>
      </c>
      <c r="B417" s="12" t="s">
        <v>7</v>
      </c>
      <c r="C417" s="13">
        <v>24.9</v>
      </c>
      <c r="D417" s="14">
        <v>8.3000000000000007</v>
      </c>
      <c r="E417">
        <f t="shared" si="18"/>
        <v>2.0667</v>
      </c>
      <c r="F417">
        <f t="shared" si="20"/>
        <v>94.052599999999998</v>
      </c>
      <c r="G417">
        <f t="shared" si="19"/>
        <v>0</v>
      </c>
    </row>
    <row r="418" spans="1:7" hidden="1" x14ac:dyDescent="0.35">
      <c r="A418" s="7">
        <v>49057</v>
      </c>
      <c r="B418" s="8" t="s">
        <v>17</v>
      </c>
      <c r="C418" s="9">
        <v>19.100000000000001</v>
      </c>
      <c r="D418" s="10">
        <v>3.4</v>
      </c>
      <c r="E418">
        <f t="shared" si="18"/>
        <v>0.64939999999999998</v>
      </c>
      <c r="F418">
        <f t="shared" si="20"/>
        <v>94.701999999999998</v>
      </c>
      <c r="G418">
        <f t="shared" si="19"/>
        <v>0</v>
      </c>
    </row>
    <row r="419" spans="1:7" hidden="1" x14ac:dyDescent="0.35">
      <c r="A419" s="11">
        <v>49058</v>
      </c>
      <c r="B419" s="12" t="s">
        <v>10</v>
      </c>
      <c r="C419" s="13">
        <v>14.9</v>
      </c>
      <c r="D419" s="14">
        <v>23.1</v>
      </c>
      <c r="E419">
        <f t="shared" si="18"/>
        <v>3.4419000000000004</v>
      </c>
      <c r="F419">
        <f t="shared" si="20"/>
        <v>98.143900000000002</v>
      </c>
      <c r="G419">
        <f t="shared" si="19"/>
        <v>0</v>
      </c>
    </row>
    <row r="420" spans="1:7" hidden="1" x14ac:dyDescent="0.35">
      <c r="A420" s="7">
        <v>49059</v>
      </c>
      <c r="B420" s="8" t="s">
        <v>27</v>
      </c>
      <c r="C420" s="9">
        <v>16.899999999999999</v>
      </c>
      <c r="D420" s="10">
        <v>6.8</v>
      </c>
      <c r="E420">
        <f t="shared" si="18"/>
        <v>1.1491999999999998</v>
      </c>
      <c r="F420">
        <f t="shared" si="20"/>
        <v>99.293099999999995</v>
      </c>
      <c r="G420">
        <f t="shared" si="19"/>
        <v>0</v>
      </c>
    </row>
    <row r="421" spans="1:7" x14ac:dyDescent="0.35">
      <c r="A421" s="11">
        <v>49060</v>
      </c>
      <c r="B421" s="12" t="s">
        <v>12</v>
      </c>
      <c r="C421" s="13">
        <v>15.9</v>
      </c>
      <c r="D421" s="14">
        <v>6.8</v>
      </c>
      <c r="E421">
        <f t="shared" si="18"/>
        <v>1.0811999999999999</v>
      </c>
      <c r="F421">
        <f t="shared" si="20"/>
        <v>100.37429999999999</v>
      </c>
      <c r="G421">
        <f t="shared" si="19"/>
        <v>1</v>
      </c>
    </row>
    <row r="422" spans="1:7" hidden="1" x14ac:dyDescent="0.35">
      <c r="A422" s="7">
        <v>49061</v>
      </c>
      <c r="B422" s="8" t="s">
        <v>29</v>
      </c>
      <c r="C422" s="9">
        <v>26.3</v>
      </c>
      <c r="D422" s="10">
        <v>0.7</v>
      </c>
      <c r="E422">
        <f t="shared" si="18"/>
        <v>0</v>
      </c>
      <c r="F422">
        <f t="shared" si="20"/>
        <v>0.37429999999999097</v>
      </c>
      <c r="G422">
        <f t="shared" si="19"/>
        <v>0</v>
      </c>
    </row>
    <row r="423" spans="1:7" hidden="1" x14ac:dyDescent="0.35">
      <c r="A423" s="11">
        <v>49062</v>
      </c>
      <c r="B423" s="12" t="s">
        <v>10</v>
      </c>
      <c r="C423" s="13">
        <v>12.2</v>
      </c>
      <c r="D423" s="14">
        <v>0</v>
      </c>
      <c r="E423">
        <f t="shared" si="18"/>
        <v>0</v>
      </c>
      <c r="F423">
        <f t="shared" si="20"/>
        <v>0.37429999999999097</v>
      </c>
      <c r="G423">
        <f t="shared" si="19"/>
        <v>0</v>
      </c>
    </row>
    <row r="424" spans="1:7" hidden="1" x14ac:dyDescent="0.35">
      <c r="A424" s="7">
        <v>49063</v>
      </c>
      <c r="B424" s="8" t="s">
        <v>7</v>
      </c>
      <c r="C424" s="9">
        <v>27.5</v>
      </c>
      <c r="D424" s="10">
        <v>0</v>
      </c>
      <c r="E424">
        <f t="shared" si="18"/>
        <v>0</v>
      </c>
      <c r="F424">
        <f t="shared" si="20"/>
        <v>0.37429999999999097</v>
      </c>
      <c r="G424">
        <f t="shared" si="19"/>
        <v>0</v>
      </c>
    </row>
    <row r="425" spans="1:7" hidden="1" x14ac:dyDescent="0.35">
      <c r="A425" s="11">
        <v>49064</v>
      </c>
      <c r="B425" s="12" t="s">
        <v>21</v>
      </c>
      <c r="C425" s="13">
        <v>23</v>
      </c>
      <c r="D425" s="14">
        <v>0</v>
      </c>
      <c r="E425">
        <f t="shared" si="18"/>
        <v>0</v>
      </c>
      <c r="F425">
        <f t="shared" si="20"/>
        <v>0.37429999999999097</v>
      </c>
      <c r="G425">
        <f t="shared" si="19"/>
        <v>0</v>
      </c>
    </row>
    <row r="426" spans="1:7" hidden="1" x14ac:dyDescent="0.35">
      <c r="A426" s="7">
        <v>49065</v>
      </c>
      <c r="B426" s="8" t="s">
        <v>19</v>
      </c>
      <c r="C426" s="9">
        <v>17.899999999999999</v>
      </c>
      <c r="D426" s="10">
        <v>36.799999999999997</v>
      </c>
      <c r="E426">
        <f t="shared" si="18"/>
        <v>6.5871999999999993</v>
      </c>
      <c r="F426">
        <f t="shared" si="20"/>
        <v>6.9614999999999903</v>
      </c>
      <c r="G426">
        <f t="shared" si="19"/>
        <v>0</v>
      </c>
    </row>
    <row r="427" spans="1:7" hidden="1" x14ac:dyDescent="0.35">
      <c r="A427" s="11">
        <v>49066</v>
      </c>
      <c r="B427" s="12" t="s">
        <v>19</v>
      </c>
      <c r="C427" s="13">
        <v>27.3</v>
      </c>
      <c r="D427" s="14">
        <v>0</v>
      </c>
      <c r="E427">
        <f t="shared" si="18"/>
        <v>0</v>
      </c>
      <c r="F427">
        <f t="shared" si="20"/>
        <v>6.9614999999999903</v>
      </c>
      <c r="G427">
        <f t="shared" si="19"/>
        <v>0</v>
      </c>
    </row>
    <row r="428" spans="1:7" hidden="1" x14ac:dyDescent="0.35">
      <c r="A428" s="7">
        <v>49067</v>
      </c>
      <c r="B428" s="8" t="s">
        <v>4</v>
      </c>
      <c r="C428" s="9">
        <v>19.3</v>
      </c>
      <c r="D428" s="10">
        <v>0.4</v>
      </c>
      <c r="E428">
        <f t="shared" si="18"/>
        <v>0</v>
      </c>
      <c r="F428">
        <f t="shared" si="20"/>
        <v>6.9614999999999903</v>
      </c>
      <c r="G428">
        <f t="shared" si="19"/>
        <v>0</v>
      </c>
    </row>
    <row r="429" spans="1:7" hidden="1" x14ac:dyDescent="0.35">
      <c r="A429" s="11">
        <v>49068</v>
      </c>
      <c r="B429" s="12" t="s">
        <v>14</v>
      </c>
      <c r="C429" s="13">
        <v>25.5</v>
      </c>
      <c r="D429" s="14">
        <v>0</v>
      </c>
      <c r="E429">
        <f t="shared" si="18"/>
        <v>0</v>
      </c>
      <c r="F429">
        <f t="shared" si="20"/>
        <v>6.9614999999999903</v>
      </c>
      <c r="G429">
        <f t="shared" si="19"/>
        <v>0</v>
      </c>
    </row>
    <row r="430" spans="1:7" hidden="1" x14ac:dyDescent="0.35">
      <c r="A430" s="7">
        <v>49069</v>
      </c>
      <c r="B430" s="8" t="s">
        <v>6</v>
      </c>
      <c r="C430" s="9">
        <v>13.7</v>
      </c>
      <c r="D430" s="10">
        <v>11.7</v>
      </c>
      <c r="E430">
        <f t="shared" si="18"/>
        <v>1.6029</v>
      </c>
      <c r="F430">
        <f t="shared" si="20"/>
        <v>8.5643999999999902</v>
      </c>
      <c r="G430">
        <f t="shared" si="19"/>
        <v>0</v>
      </c>
    </row>
    <row r="431" spans="1:7" hidden="1" x14ac:dyDescent="0.35">
      <c r="A431" s="11">
        <v>49070</v>
      </c>
      <c r="B431" s="12" t="s">
        <v>19</v>
      </c>
      <c r="C431" s="13">
        <v>18.399999999999999</v>
      </c>
      <c r="D431" s="14">
        <v>0</v>
      </c>
      <c r="E431">
        <f t="shared" si="18"/>
        <v>0</v>
      </c>
      <c r="F431">
        <f t="shared" si="20"/>
        <v>8.5643999999999902</v>
      </c>
      <c r="G431">
        <f t="shared" si="19"/>
        <v>0</v>
      </c>
    </row>
    <row r="432" spans="1:7" hidden="1" x14ac:dyDescent="0.35">
      <c r="A432" s="7">
        <v>49071</v>
      </c>
      <c r="B432" s="8" t="s">
        <v>18</v>
      </c>
      <c r="C432" s="9">
        <v>11.1</v>
      </c>
      <c r="D432" s="10">
        <v>0</v>
      </c>
      <c r="E432">
        <f t="shared" si="18"/>
        <v>0</v>
      </c>
      <c r="F432">
        <f t="shared" si="20"/>
        <v>8.5643999999999902</v>
      </c>
      <c r="G432">
        <f t="shared" si="19"/>
        <v>0</v>
      </c>
    </row>
    <row r="433" spans="1:7" hidden="1" x14ac:dyDescent="0.35">
      <c r="A433" s="11">
        <v>49072</v>
      </c>
      <c r="B433" s="12" t="s">
        <v>12</v>
      </c>
      <c r="C433" s="13">
        <v>28</v>
      </c>
      <c r="D433" s="14">
        <v>0</v>
      </c>
      <c r="E433">
        <f t="shared" si="18"/>
        <v>0</v>
      </c>
      <c r="F433">
        <f t="shared" si="20"/>
        <v>8.5643999999999902</v>
      </c>
      <c r="G433">
        <f t="shared" si="19"/>
        <v>0</v>
      </c>
    </row>
    <row r="434" spans="1:7" hidden="1" x14ac:dyDescent="0.35">
      <c r="A434" s="7">
        <v>49073</v>
      </c>
      <c r="B434" s="8" t="s">
        <v>6</v>
      </c>
      <c r="C434" s="9">
        <v>16.2</v>
      </c>
      <c r="D434" s="10">
        <v>13.7</v>
      </c>
      <c r="E434">
        <f t="shared" si="18"/>
        <v>2.2193999999999998</v>
      </c>
      <c r="F434">
        <f t="shared" si="20"/>
        <v>10.783799999999991</v>
      </c>
      <c r="G434">
        <f t="shared" si="19"/>
        <v>0</v>
      </c>
    </row>
    <row r="435" spans="1:7" hidden="1" x14ac:dyDescent="0.35">
      <c r="A435" s="11">
        <v>49074</v>
      </c>
      <c r="B435" s="12" t="s">
        <v>19</v>
      </c>
      <c r="C435" s="13">
        <v>12.1</v>
      </c>
      <c r="D435" s="14">
        <v>37.200000000000003</v>
      </c>
      <c r="E435">
        <f t="shared" si="18"/>
        <v>4.5011999999999999</v>
      </c>
      <c r="F435">
        <f t="shared" si="20"/>
        <v>15.284999999999989</v>
      </c>
      <c r="G435">
        <f t="shared" si="19"/>
        <v>0</v>
      </c>
    </row>
    <row r="436" spans="1:7" hidden="1" x14ac:dyDescent="0.35">
      <c r="A436" s="7">
        <v>49075</v>
      </c>
      <c r="B436" s="8" t="s">
        <v>20</v>
      </c>
      <c r="C436" s="9">
        <v>21.4</v>
      </c>
      <c r="D436" s="10">
        <v>3.1</v>
      </c>
      <c r="E436">
        <f t="shared" si="18"/>
        <v>0.66339999999999999</v>
      </c>
      <c r="F436">
        <f t="shared" si="20"/>
        <v>15.948399999999989</v>
      </c>
      <c r="G436">
        <f t="shared" si="19"/>
        <v>0</v>
      </c>
    </row>
    <row r="437" spans="1:7" hidden="1" x14ac:dyDescent="0.35">
      <c r="A437" s="11">
        <v>49076</v>
      </c>
      <c r="B437" s="12" t="s">
        <v>10</v>
      </c>
      <c r="C437" s="13">
        <v>11.2</v>
      </c>
      <c r="D437" s="14">
        <v>0</v>
      </c>
      <c r="E437">
        <f t="shared" si="18"/>
        <v>0</v>
      </c>
      <c r="F437">
        <f t="shared" si="20"/>
        <v>15.948399999999989</v>
      </c>
      <c r="G437">
        <f t="shared" si="19"/>
        <v>0</v>
      </c>
    </row>
    <row r="438" spans="1:7" hidden="1" x14ac:dyDescent="0.35">
      <c r="A438" s="7">
        <v>49077</v>
      </c>
      <c r="B438" s="8" t="s">
        <v>28</v>
      </c>
      <c r="C438" s="9">
        <v>18.399999999999999</v>
      </c>
      <c r="D438" s="10">
        <v>0.2</v>
      </c>
      <c r="E438">
        <f t="shared" si="18"/>
        <v>0</v>
      </c>
      <c r="F438">
        <f t="shared" si="20"/>
        <v>15.948399999999989</v>
      </c>
      <c r="G438">
        <f t="shared" si="19"/>
        <v>0</v>
      </c>
    </row>
    <row r="439" spans="1:7" hidden="1" x14ac:dyDescent="0.35">
      <c r="A439" s="11">
        <v>49078</v>
      </c>
      <c r="B439" s="12" t="s">
        <v>12</v>
      </c>
      <c r="C439" s="13">
        <v>13.7</v>
      </c>
      <c r="D439" s="14">
        <v>0</v>
      </c>
      <c r="E439">
        <f t="shared" si="18"/>
        <v>0</v>
      </c>
      <c r="F439">
        <f t="shared" si="20"/>
        <v>15.948399999999989</v>
      </c>
      <c r="G439">
        <f t="shared" si="19"/>
        <v>0</v>
      </c>
    </row>
    <row r="440" spans="1:7" hidden="1" x14ac:dyDescent="0.35">
      <c r="A440" s="7">
        <v>49079</v>
      </c>
      <c r="B440" s="8" t="s">
        <v>19</v>
      </c>
      <c r="C440" s="9">
        <v>10.4</v>
      </c>
      <c r="D440" s="10">
        <v>15.6</v>
      </c>
      <c r="E440">
        <f t="shared" si="18"/>
        <v>1.6224000000000001</v>
      </c>
      <c r="F440">
        <f t="shared" si="20"/>
        <v>17.570799999999988</v>
      </c>
      <c r="G440">
        <f t="shared" si="19"/>
        <v>0</v>
      </c>
    </row>
    <row r="441" spans="1:7" hidden="1" x14ac:dyDescent="0.35">
      <c r="A441" s="11">
        <v>49080</v>
      </c>
      <c r="B441" s="12" t="s">
        <v>31</v>
      </c>
      <c r="C441" s="13">
        <v>21.8</v>
      </c>
      <c r="D441" s="14">
        <v>0</v>
      </c>
      <c r="E441">
        <f t="shared" si="18"/>
        <v>0</v>
      </c>
      <c r="F441">
        <f t="shared" si="20"/>
        <v>17.570799999999988</v>
      </c>
      <c r="G441">
        <f t="shared" si="19"/>
        <v>0</v>
      </c>
    </row>
    <row r="442" spans="1:7" hidden="1" x14ac:dyDescent="0.35">
      <c r="A442" s="7">
        <v>49081</v>
      </c>
      <c r="B442" s="8" t="s">
        <v>7</v>
      </c>
      <c r="C442" s="9">
        <v>11</v>
      </c>
      <c r="D442" s="10">
        <v>0.4</v>
      </c>
      <c r="E442">
        <f t="shared" si="18"/>
        <v>0</v>
      </c>
      <c r="F442">
        <f t="shared" si="20"/>
        <v>17.570799999999988</v>
      </c>
      <c r="G442">
        <f t="shared" si="19"/>
        <v>0</v>
      </c>
    </row>
    <row r="443" spans="1:7" hidden="1" x14ac:dyDescent="0.35">
      <c r="A443" s="11">
        <v>49082</v>
      </c>
      <c r="B443" s="12" t="s">
        <v>10</v>
      </c>
      <c r="C443" s="13">
        <v>19</v>
      </c>
      <c r="D443" s="14">
        <v>21.9</v>
      </c>
      <c r="E443">
        <f t="shared" si="18"/>
        <v>4.1609999999999996</v>
      </c>
      <c r="F443">
        <f t="shared" si="20"/>
        <v>21.731799999999986</v>
      </c>
      <c r="G443">
        <f t="shared" si="19"/>
        <v>0</v>
      </c>
    </row>
    <row r="444" spans="1:7" hidden="1" x14ac:dyDescent="0.35">
      <c r="A444" s="7">
        <v>49083</v>
      </c>
      <c r="B444" s="8" t="s">
        <v>10</v>
      </c>
      <c r="C444" s="9">
        <v>12.5</v>
      </c>
      <c r="D444" s="10">
        <v>0</v>
      </c>
      <c r="E444">
        <f t="shared" si="18"/>
        <v>0</v>
      </c>
      <c r="F444">
        <f t="shared" si="20"/>
        <v>21.731799999999986</v>
      </c>
      <c r="G444">
        <f t="shared" si="19"/>
        <v>0</v>
      </c>
    </row>
    <row r="445" spans="1:7" hidden="1" x14ac:dyDescent="0.35">
      <c r="A445" s="11">
        <v>49084</v>
      </c>
      <c r="B445" s="12" t="s">
        <v>15</v>
      </c>
      <c r="C445" s="13">
        <v>13.6</v>
      </c>
      <c r="D445" s="14">
        <v>12.6</v>
      </c>
      <c r="E445">
        <f t="shared" si="18"/>
        <v>1.7135999999999998</v>
      </c>
      <c r="F445">
        <f t="shared" si="20"/>
        <v>23.445399999999985</v>
      </c>
      <c r="G445">
        <f t="shared" si="19"/>
        <v>0</v>
      </c>
    </row>
    <row r="446" spans="1:7" hidden="1" x14ac:dyDescent="0.35">
      <c r="A446" s="7">
        <v>49085</v>
      </c>
      <c r="B446" s="8" t="s">
        <v>10</v>
      </c>
      <c r="C446" s="9">
        <v>20.2</v>
      </c>
      <c r="D446" s="10">
        <v>17.899999999999999</v>
      </c>
      <c r="E446">
        <f t="shared" si="18"/>
        <v>3.6157999999999997</v>
      </c>
      <c r="F446">
        <f t="shared" si="20"/>
        <v>27.061199999999985</v>
      </c>
      <c r="G446">
        <f t="shared" si="19"/>
        <v>0</v>
      </c>
    </row>
    <row r="447" spans="1:7" hidden="1" x14ac:dyDescent="0.35">
      <c r="A447" s="11">
        <v>49086</v>
      </c>
      <c r="B447" s="12" t="s">
        <v>10</v>
      </c>
      <c r="C447" s="13">
        <v>28.7</v>
      </c>
      <c r="D447" s="14">
        <v>0</v>
      </c>
      <c r="E447">
        <f t="shared" si="18"/>
        <v>0</v>
      </c>
      <c r="F447">
        <f t="shared" si="20"/>
        <v>27.061199999999985</v>
      </c>
      <c r="G447">
        <f t="shared" si="19"/>
        <v>0</v>
      </c>
    </row>
    <row r="448" spans="1:7" hidden="1" x14ac:dyDescent="0.35">
      <c r="A448" s="7">
        <v>49087</v>
      </c>
      <c r="B448" s="8" t="s">
        <v>20</v>
      </c>
      <c r="C448" s="9">
        <v>13.4</v>
      </c>
      <c r="D448" s="10">
        <v>4.8</v>
      </c>
      <c r="E448">
        <f t="shared" si="18"/>
        <v>0.64319999999999988</v>
      </c>
      <c r="F448">
        <f t="shared" si="20"/>
        <v>27.704399999999985</v>
      </c>
      <c r="G448">
        <f t="shared" si="19"/>
        <v>0</v>
      </c>
    </row>
    <row r="449" spans="1:7" hidden="1" x14ac:dyDescent="0.35">
      <c r="A449" s="11">
        <v>49088</v>
      </c>
      <c r="B449" s="12" t="s">
        <v>15</v>
      </c>
      <c r="C449" s="13">
        <v>12</v>
      </c>
      <c r="D449" s="14">
        <v>8.9</v>
      </c>
      <c r="E449">
        <f t="shared" si="18"/>
        <v>1.0680000000000001</v>
      </c>
      <c r="F449">
        <f t="shared" si="20"/>
        <v>28.772399999999987</v>
      </c>
      <c r="G449">
        <f t="shared" si="19"/>
        <v>0</v>
      </c>
    </row>
    <row r="450" spans="1:7" hidden="1" x14ac:dyDescent="0.35">
      <c r="A450" s="7">
        <v>49089</v>
      </c>
      <c r="B450" s="8" t="s">
        <v>11</v>
      </c>
      <c r="C450" s="9">
        <v>28.9</v>
      </c>
      <c r="D450" s="10">
        <v>13.9</v>
      </c>
      <c r="E450">
        <f t="shared" si="18"/>
        <v>4.0171000000000001</v>
      </c>
      <c r="F450">
        <f t="shared" si="20"/>
        <v>32.78949999999999</v>
      </c>
      <c r="G450">
        <f t="shared" si="19"/>
        <v>0</v>
      </c>
    </row>
    <row r="451" spans="1:7" hidden="1" x14ac:dyDescent="0.35">
      <c r="A451" s="11">
        <v>49090</v>
      </c>
      <c r="B451" s="12" t="s">
        <v>22</v>
      </c>
      <c r="C451" s="13">
        <v>25.2</v>
      </c>
      <c r="D451" s="14">
        <v>0</v>
      </c>
      <c r="E451">
        <f t="shared" ref="E451:E514" si="21">IF(D451&gt;=1,C451*D451/100,0)</f>
        <v>0</v>
      </c>
      <c r="F451">
        <f t="shared" si="20"/>
        <v>32.78949999999999</v>
      </c>
      <c r="G451">
        <f t="shared" ref="G451:G514" si="22">IF(F451&gt;=100,1,0)</f>
        <v>0</v>
      </c>
    </row>
    <row r="452" spans="1:7" hidden="1" x14ac:dyDescent="0.35">
      <c r="A452" s="7">
        <v>49091</v>
      </c>
      <c r="B452" s="8" t="s">
        <v>11</v>
      </c>
      <c r="C452" s="9">
        <v>18.600000000000001</v>
      </c>
      <c r="D452" s="10">
        <v>1.8</v>
      </c>
      <c r="E452">
        <f t="shared" si="21"/>
        <v>0.33480000000000004</v>
      </c>
      <c r="F452">
        <f t="shared" ref="F452:F515" si="23">IF(G451=1,E452+F451-100,F451+E452)</f>
        <v>33.124299999999991</v>
      </c>
      <c r="G452">
        <f t="shared" si="22"/>
        <v>0</v>
      </c>
    </row>
    <row r="453" spans="1:7" hidden="1" x14ac:dyDescent="0.35">
      <c r="A453" s="11">
        <v>49092</v>
      </c>
      <c r="B453" s="12" t="s">
        <v>26</v>
      </c>
      <c r="C453" s="13">
        <v>20</v>
      </c>
      <c r="D453" s="14">
        <v>2.4</v>
      </c>
      <c r="E453">
        <f t="shared" si="21"/>
        <v>0.48</v>
      </c>
      <c r="F453">
        <f t="shared" si="23"/>
        <v>33.604299999999988</v>
      </c>
      <c r="G453">
        <f t="shared" si="22"/>
        <v>0</v>
      </c>
    </row>
    <row r="454" spans="1:7" hidden="1" x14ac:dyDescent="0.35">
      <c r="A454" s="7">
        <v>49093</v>
      </c>
      <c r="B454" s="8" t="s">
        <v>9</v>
      </c>
      <c r="C454" s="9">
        <v>14.3</v>
      </c>
      <c r="D454" s="10">
        <v>3.9</v>
      </c>
      <c r="E454">
        <f t="shared" si="21"/>
        <v>0.55770000000000008</v>
      </c>
      <c r="F454">
        <f t="shared" si="23"/>
        <v>34.161999999999985</v>
      </c>
      <c r="G454">
        <f t="shared" si="22"/>
        <v>0</v>
      </c>
    </row>
    <row r="455" spans="1:7" hidden="1" x14ac:dyDescent="0.35">
      <c r="A455" s="11">
        <v>49094</v>
      </c>
      <c r="B455" s="12" t="s">
        <v>10</v>
      </c>
      <c r="C455" s="13">
        <v>28.8</v>
      </c>
      <c r="D455" s="14">
        <v>25.1</v>
      </c>
      <c r="E455">
        <f t="shared" si="21"/>
        <v>7.2288000000000014</v>
      </c>
      <c r="F455">
        <f t="shared" si="23"/>
        <v>41.390799999999984</v>
      </c>
      <c r="G455">
        <f t="shared" si="22"/>
        <v>0</v>
      </c>
    </row>
    <row r="456" spans="1:7" hidden="1" x14ac:dyDescent="0.35">
      <c r="A456" s="7">
        <v>49095</v>
      </c>
      <c r="B456" s="8" t="s">
        <v>19</v>
      </c>
      <c r="C456" s="9">
        <v>26.8</v>
      </c>
      <c r="D456" s="10">
        <v>10.8</v>
      </c>
      <c r="E456">
        <f t="shared" si="21"/>
        <v>2.8944000000000005</v>
      </c>
      <c r="F456">
        <f t="shared" si="23"/>
        <v>44.285199999999982</v>
      </c>
      <c r="G456">
        <f t="shared" si="22"/>
        <v>0</v>
      </c>
    </row>
    <row r="457" spans="1:7" hidden="1" x14ac:dyDescent="0.35">
      <c r="A457" s="11">
        <v>49096</v>
      </c>
      <c r="B457" s="12" t="s">
        <v>19</v>
      </c>
      <c r="C457" s="13">
        <v>20.399999999999999</v>
      </c>
      <c r="D457" s="14">
        <v>0</v>
      </c>
      <c r="E457">
        <f t="shared" si="21"/>
        <v>0</v>
      </c>
      <c r="F457">
        <f t="shared" si="23"/>
        <v>44.285199999999982</v>
      </c>
      <c r="G457">
        <f t="shared" si="22"/>
        <v>0</v>
      </c>
    </row>
    <row r="458" spans="1:7" hidden="1" x14ac:dyDescent="0.35">
      <c r="A458" s="7">
        <v>49097</v>
      </c>
      <c r="B458" s="8" t="s">
        <v>22</v>
      </c>
      <c r="C458" s="9">
        <v>14.1</v>
      </c>
      <c r="D458" s="10">
        <v>4.5</v>
      </c>
      <c r="E458">
        <f t="shared" si="21"/>
        <v>0.63449999999999995</v>
      </c>
      <c r="F458">
        <f t="shared" si="23"/>
        <v>44.919699999999985</v>
      </c>
      <c r="G458">
        <f t="shared" si="22"/>
        <v>0</v>
      </c>
    </row>
    <row r="459" spans="1:7" hidden="1" x14ac:dyDescent="0.35">
      <c r="A459" s="11">
        <v>49098</v>
      </c>
      <c r="B459" s="12" t="s">
        <v>14</v>
      </c>
      <c r="C459" s="13">
        <v>28.1</v>
      </c>
      <c r="D459" s="14">
        <v>6.3</v>
      </c>
      <c r="E459">
        <f t="shared" si="21"/>
        <v>1.7703</v>
      </c>
      <c r="F459">
        <f t="shared" si="23"/>
        <v>46.689999999999984</v>
      </c>
      <c r="G459">
        <f t="shared" si="22"/>
        <v>0</v>
      </c>
    </row>
    <row r="460" spans="1:7" hidden="1" x14ac:dyDescent="0.35">
      <c r="A460" s="7">
        <v>49099</v>
      </c>
      <c r="B460" s="8" t="s">
        <v>13</v>
      </c>
      <c r="C460" s="9">
        <v>15.7</v>
      </c>
      <c r="D460" s="10">
        <v>11.5</v>
      </c>
      <c r="E460">
        <f t="shared" si="21"/>
        <v>1.8054999999999999</v>
      </c>
      <c r="F460">
        <f t="shared" si="23"/>
        <v>48.495499999999986</v>
      </c>
      <c r="G460">
        <f t="shared" si="22"/>
        <v>0</v>
      </c>
    </row>
    <row r="461" spans="1:7" hidden="1" x14ac:dyDescent="0.35">
      <c r="A461" s="11">
        <v>49100</v>
      </c>
      <c r="B461" s="12" t="s">
        <v>29</v>
      </c>
      <c r="C461" s="13">
        <v>27.7</v>
      </c>
      <c r="D461" s="14">
        <v>0.6</v>
      </c>
      <c r="E461">
        <f t="shared" si="21"/>
        <v>0</v>
      </c>
      <c r="F461">
        <f t="shared" si="23"/>
        <v>48.495499999999986</v>
      </c>
      <c r="G461">
        <f t="shared" si="22"/>
        <v>0</v>
      </c>
    </row>
    <row r="462" spans="1:7" hidden="1" x14ac:dyDescent="0.35">
      <c r="A462" s="7">
        <v>49101</v>
      </c>
      <c r="B462" s="8" t="s">
        <v>7</v>
      </c>
      <c r="C462" s="9">
        <v>22.9</v>
      </c>
      <c r="D462" s="10">
        <v>22.6</v>
      </c>
      <c r="E462">
        <f t="shared" si="21"/>
        <v>5.1753999999999998</v>
      </c>
      <c r="F462">
        <f t="shared" si="23"/>
        <v>53.670899999999989</v>
      </c>
      <c r="G462">
        <f t="shared" si="22"/>
        <v>0</v>
      </c>
    </row>
    <row r="463" spans="1:7" hidden="1" x14ac:dyDescent="0.35">
      <c r="A463" s="11">
        <v>49102</v>
      </c>
      <c r="B463" s="12" t="s">
        <v>13</v>
      </c>
      <c r="C463" s="13">
        <v>10.3</v>
      </c>
      <c r="D463" s="14">
        <v>0</v>
      </c>
      <c r="E463">
        <f t="shared" si="21"/>
        <v>0</v>
      </c>
      <c r="F463">
        <f t="shared" si="23"/>
        <v>53.670899999999989</v>
      </c>
      <c r="G463">
        <f t="shared" si="22"/>
        <v>0</v>
      </c>
    </row>
    <row r="464" spans="1:7" hidden="1" x14ac:dyDescent="0.35">
      <c r="A464" s="7">
        <v>49103</v>
      </c>
      <c r="B464" s="8" t="s">
        <v>23</v>
      </c>
      <c r="C464" s="9">
        <v>28.4</v>
      </c>
      <c r="D464" s="10">
        <v>4</v>
      </c>
      <c r="E464">
        <f t="shared" si="21"/>
        <v>1.1359999999999999</v>
      </c>
      <c r="F464">
        <f t="shared" si="23"/>
        <v>54.806899999999992</v>
      </c>
      <c r="G464">
        <f t="shared" si="22"/>
        <v>0</v>
      </c>
    </row>
    <row r="465" spans="1:7" hidden="1" x14ac:dyDescent="0.35">
      <c r="A465" s="11">
        <v>49104</v>
      </c>
      <c r="B465" s="12" t="s">
        <v>18</v>
      </c>
      <c r="C465" s="13">
        <v>18.7</v>
      </c>
      <c r="D465" s="14">
        <v>15</v>
      </c>
      <c r="E465">
        <f t="shared" si="21"/>
        <v>2.8050000000000002</v>
      </c>
      <c r="F465">
        <f t="shared" si="23"/>
        <v>57.611899999999991</v>
      </c>
      <c r="G465">
        <f t="shared" si="22"/>
        <v>0</v>
      </c>
    </row>
    <row r="466" spans="1:7" hidden="1" x14ac:dyDescent="0.35">
      <c r="A466" s="7">
        <v>49105</v>
      </c>
      <c r="B466" s="8" t="s">
        <v>19</v>
      </c>
      <c r="C466" s="9">
        <v>13.7</v>
      </c>
      <c r="D466" s="10">
        <v>9.4</v>
      </c>
      <c r="E466">
        <f t="shared" si="21"/>
        <v>1.2878000000000001</v>
      </c>
      <c r="F466">
        <f t="shared" si="23"/>
        <v>58.899699999999989</v>
      </c>
      <c r="G466">
        <f t="shared" si="22"/>
        <v>0</v>
      </c>
    </row>
    <row r="467" spans="1:7" hidden="1" x14ac:dyDescent="0.35">
      <c r="A467" s="11">
        <v>49106</v>
      </c>
      <c r="B467" s="12" t="s">
        <v>14</v>
      </c>
      <c r="C467" s="13">
        <v>16.3</v>
      </c>
      <c r="D467" s="14">
        <v>3.6</v>
      </c>
      <c r="E467">
        <f t="shared" si="21"/>
        <v>0.5868000000000001</v>
      </c>
      <c r="F467">
        <f t="shared" si="23"/>
        <v>59.486499999999985</v>
      </c>
      <c r="G467">
        <f t="shared" si="22"/>
        <v>0</v>
      </c>
    </row>
    <row r="468" spans="1:7" hidden="1" x14ac:dyDescent="0.35">
      <c r="A468" s="7">
        <v>49107</v>
      </c>
      <c r="B468" s="8" t="s">
        <v>27</v>
      </c>
      <c r="C468" s="9">
        <v>14</v>
      </c>
      <c r="D468" s="10">
        <v>0</v>
      </c>
      <c r="E468">
        <f t="shared" si="21"/>
        <v>0</v>
      </c>
      <c r="F468">
        <f t="shared" si="23"/>
        <v>59.486499999999985</v>
      </c>
      <c r="G468">
        <f t="shared" si="22"/>
        <v>0</v>
      </c>
    </row>
    <row r="469" spans="1:7" hidden="1" x14ac:dyDescent="0.35">
      <c r="A469" s="11">
        <v>49108</v>
      </c>
      <c r="B469" s="12" t="s">
        <v>15</v>
      </c>
      <c r="C469" s="13">
        <v>26</v>
      </c>
      <c r="D469" s="14">
        <v>5.5</v>
      </c>
      <c r="E469">
        <f t="shared" si="21"/>
        <v>1.43</v>
      </c>
      <c r="F469">
        <f t="shared" si="23"/>
        <v>60.916499999999985</v>
      </c>
      <c r="G469">
        <f t="shared" si="22"/>
        <v>0</v>
      </c>
    </row>
    <row r="470" spans="1:7" hidden="1" x14ac:dyDescent="0.35">
      <c r="A470" s="7">
        <v>49109</v>
      </c>
      <c r="B470" s="8" t="s">
        <v>19</v>
      </c>
      <c r="C470" s="9">
        <v>27</v>
      </c>
      <c r="D470" s="10">
        <v>38.6</v>
      </c>
      <c r="E470">
        <f t="shared" si="21"/>
        <v>10.422000000000001</v>
      </c>
      <c r="F470">
        <f t="shared" si="23"/>
        <v>71.338499999999982</v>
      </c>
      <c r="G470">
        <f t="shared" si="22"/>
        <v>0</v>
      </c>
    </row>
    <row r="471" spans="1:7" hidden="1" x14ac:dyDescent="0.35">
      <c r="A471" s="11">
        <v>49110</v>
      </c>
      <c r="B471" s="12" t="s">
        <v>10</v>
      </c>
      <c r="C471" s="13">
        <v>26.6</v>
      </c>
      <c r="D471" s="14">
        <v>49.7</v>
      </c>
      <c r="E471">
        <f t="shared" si="21"/>
        <v>13.220200000000002</v>
      </c>
      <c r="F471">
        <f t="shared" si="23"/>
        <v>84.558699999999988</v>
      </c>
      <c r="G471">
        <f t="shared" si="22"/>
        <v>0</v>
      </c>
    </row>
    <row r="472" spans="1:7" hidden="1" x14ac:dyDescent="0.35">
      <c r="A472" s="7">
        <v>49111</v>
      </c>
      <c r="B472" s="8" t="s">
        <v>19</v>
      </c>
      <c r="C472" s="9">
        <v>20.9</v>
      </c>
      <c r="D472" s="10">
        <v>30</v>
      </c>
      <c r="E472">
        <f t="shared" si="21"/>
        <v>6.27</v>
      </c>
      <c r="F472">
        <f t="shared" si="23"/>
        <v>90.828699999999984</v>
      </c>
      <c r="G472">
        <f t="shared" si="22"/>
        <v>0</v>
      </c>
    </row>
    <row r="473" spans="1:7" hidden="1" x14ac:dyDescent="0.35">
      <c r="A473" s="11">
        <v>49112</v>
      </c>
      <c r="B473" s="12" t="s">
        <v>22</v>
      </c>
      <c r="C473" s="13">
        <v>28.5</v>
      </c>
      <c r="D473" s="14">
        <v>5.3</v>
      </c>
      <c r="E473">
        <f t="shared" si="21"/>
        <v>1.5104999999999997</v>
      </c>
      <c r="F473">
        <f t="shared" si="23"/>
        <v>92.339199999999977</v>
      </c>
      <c r="G473">
        <f t="shared" si="22"/>
        <v>0</v>
      </c>
    </row>
    <row r="474" spans="1:7" hidden="1" x14ac:dyDescent="0.35">
      <c r="A474" s="7">
        <v>49113</v>
      </c>
      <c r="B474" s="8" t="s">
        <v>5</v>
      </c>
      <c r="C474" s="9">
        <v>10.4</v>
      </c>
      <c r="D474" s="10">
        <v>0</v>
      </c>
      <c r="E474">
        <f t="shared" si="21"/>
        <v>0</v>
      </c>
      <c r="F474">
        <f t="shared" si="23"/>
        <v>92.339199999999977</v>
      </c>
      <c r="G474">
        <f t="shared" si="22"/>
        <v>0</v>
      </c>
    </row>
    <row r="475" spans="1:7" hidden="1" x14ac:dyDescent="0.35">
      <c r="A475" s="11">
        <v>49114</v>
      </c>
      <c r="B475" s="12" t="s">
        <v>18</v>
      </c>
      <c r="C475" s="13">
        <v>25.9</v>
      </c>
      <c r="D475" s="14">
        <v>9.1999999999999993</v>
      </c>
      <c r="E475">
        <f t="shared" si="21"/>
        <v>2.3827999999999996</v>
      </c>
      <c r="F475">
        <f t="shared" si="23"/>
        <v>94.72199999999998</v>
      </c>
      <c r="G475">
        <f t="shared" si="22"/>
        <v>0</v>
      </c>
    </row>
    <row r="476" spans="1:7" hidden="1" x14ac:dyDescent="0.35">
      <c r="A476" s="7">
        <v>49115</v>
      </c>
      <c r="B476" s="8" t="s">
        <v>11</v>
      </c>
      <c r="C476" s="9">
        <v>24.6</v>
      </c>
      <c r="D476" s="10">
        <v>11</v>
      </c>
      <c r="E476">
        <f t="shared" si="21"/>
        <v>2.7060000000000004</v>
      </c>
      <c r="F476">
        <f t="shared" si="23"/>
        <v>97.427999999999983</v>
      </c>
      <c r="G476">
        <f t="shared" si="22"/>
        <v>0</v>
      </c>
    </row>
    <row r="477" spans="1:7" hidden="1" x14ac:dyDescent="0.35">
      <c r="A477" s="11">
        <v>49116</v>
      </c>
      <c r="B477" s="12" t="s">
        <v>16</v>
      </c>
      <c r="C477" s="13">
        <v>22</v>
      </c>
      <c r="D477" s="14">
        <v>0</v>
      </c>
      <c r="E477">
        <f t="shared" si="21"/>
        <v>0</v>
      </c>
      <c r="F477">
        <f t="shared" si="23"/>
        <v>97.427999999999983</v>
      </c>
      <c r="G477">
        <f t="shared" si="22"/>
        <v>0</v>
      </c>
    </row>
    <row r="478" spans="1:7" hidden="1" x14ac:dyDescent="0.35">
      <c r="A478" s="7">
        <v>49117</v>
      </c>
      <c r="B478" s="8" t="s">
        <v>8</v>
      </c>
      <c r="C478" s="9">
        <v>16.8</v>
      </c>
      <c r="D478" s="10">
        <v>2.4</v>
      </c>
      <c r="E478">
        <f t="shared" si="21"/>
        <v>0.4032</v>
      </c>
      <c r="F478">
        <f t="shared" si="23"/>
        <v>97.831199999999981</v>
      </c>
      <c r="G478">
        <f t="shared" si="22"/>
        <v>0</v>
      </c>
    </row>
    <row r="479" spans="1:7" x14ac:dyDescent="0.35">
      <c r="A479" s="11">
        <v>49118</v>
      </c>
      <c r="B479" s="12" t="s">
        <v>10</v>
      </c>
      <c r="C479" s="13">
        <v>21.7</v>
      </c>
      <c r="D479" s="14">
        <v>44.1</v>
      </c>
      <c r="E479">
        <f t="shared" si="21"/>
        <v>9.569700000000001</v>
      </c>
      <c r="F479">
        <f t="shared" si="23"/>
        <v>107.40089999999998</v>
      </c>
      <c r="G479">
        <f t="shared" si="22"/>
        <v>1</v>
      </c>
    </row>
    <row r="480" spans="1:7" hidden="1" x14ac:dyDescent="0.35">
      <c r="A480" s="7">
        <v>49119</v>
      </c>
      <c r="B480" s="8" t="s">
        <v>12</v>
      </c>
      <c r="C480" s="9">
        <v>28.9</v>
      </c>
      <c r="D480" s="10">
        <v>0</v>
      </c>
      <c r="E480">
        <f t="shared" si="21"/>
        <v>0</v>
      </c>
      <c r="F480">
        <f t="shared" si="23"/>
        <v>7.4008999999999787</v>
      </c>
      <c r="G480">
        <f t="shared" si="22"/>
        <v>0</v>
      </c>
    </row>
    <row r="481" spans="1:7" hidden="1" x14ac:dyDescent="0.35">
      <c r="A481" s="11">
        <v>49120</v>
      </c>
      <c r="B481" s="12" t="s">
        <v>13</v>
      </c>
      <c r="C481" s="13">
        <v>26.6</v>
      </c>
      <c r="D481" s="14">
        <v>0.4</v>
      </c>
      <c r="E481">
        <f t="shared" si="21"/>
        <v>0</v>
      </c>
      <c r="F481">
        <f t="shared" si="23"/>
        <v>7.4008999999999787</v>
      </c>
      <c r="G481">
        <f t="shared" si="22"/>
        <v>0</v>
      </c>
    </row>
    <row r="482" spans="1:7" hidden="1" x14ac:dyDescent="0.35">
      <c r="A482" s="7">
        <v>49121</v>
      </c>
      <c r="B482" s="8" t="s">
        <v>15</v>
      </c>
      <c r="C482" s="9">
        <v>28</v>
      </c>
      <c r="D482" s="10">
        <v>16.7</v>
      </c>
      <c r="E482">
        <f t="shared" si="21"/>
        <v>4.6759999999999993</v>
      </c>
      <c r="F482">
        <f t="shared" si="23"/>
        <v>12.076899999999977</v>
      </c>
      <c r="G482">
        <f t="shared" si="22"/>
        <v>0</v>
      </c>
    </row>
    <row r="483" spans="1:7" hidden="1" x14ac:dyDescent="0.35">
      <c r="A483" s="11">
        <v>49122</v>
      </c>
      <c r="B483" s="12" t="s">
        <v>17</v>
      </c>
      <c r="C483" s="13">
        <v>27.5</v>
      </c>
      <c r="D483" s="14">
        <v>0</v>
      </c>
      <c r="E483">
        <f t="shared" si="21"/>
        <v>0</v>
      </c>
      <c r="F483">
        <f t="shared" si="23"/>
        <v>12.076899999999977</v>
      </c>
      <c r="G483">
        <f t="shared" si="22"/>
        <v>0</v>
      </c>
    </row>
    <row r="484" spans="1:7" hidden="1" x14ac:dyDescent="0.35">
      <c r="A484" s="7">
        <v>49123</v>
      </c>
      <c r="B484" s="8" t="s">
        <v>22</v>
      </c>
      <c r="C484" s="9">
        <v>18.2</v>
      </c>
      <c r="D484" s="10">
        <v>0</v>
      </c>
      <c r="E484">
        <f t="shared" si="21"/>
        <v>0</v>
      </c>
      <c r="F484">
        <f t="shared" si="23"/>
        <v>12.076899999999977</v>
      </c>
      <c r="G484">
        <f t="shared" si="22"/>
        <v>0</v>
      </c>
    </row>
    <row r="485" spans="1:7" hidden="1" x14ac:dyDescent="0.35">
      <c r="A485" s="11">
        <v>49124</v>
      </c>
      <c r="B485" s="12" t="s">
        <v>18</v>
      </c>
      <c r="C485" s="13">
        <v>25.1</v>
      </c>
      <c r="D485" s="14">
        <v>0</v>
      </c>
      <c r="E485">
        <f t="shared" si="21"/>
        <v>0</v>
      </c>
      <c r="F485">
        <f t="shared" si="23"/>
        <v>12.076899999999977</v>
      </c>
      <c r="G485">
        <f t="shared" si="22"/>
        <v>0</v>
      </c>
    </row>
    <row r="486" spans="1:7" hidden="1" x14ac:dyDescent="0.35">
      <c r="A486" s="7">
        <v>49125</v>
      </c>
      <c r="B486" s="8" t="s">
        <v>4</v>
      </c>
      <c r="C486" s="9">
        <v>10.1</v>
      </c>
      <c r="D486" s="10">
        <v>0.2</v>
      </c>
      <c r="E486">
        <f t="shared" si="21"/>
        <v>0</v>
      </c>
      <c r="F486">
        <f t="shared" si="23"/>
        <v>12.076899999999977</v>
      </c>
      <c r="G486">
        <f t="shared" si="22"/>
        <v>0</v>
      </c>
    </row>
    <row r="487" spans="1:7" hidden="1" x14ac:dyDescent="0.35">
      <c r="A487" s="11">
        <v>49126</v>
      </c>
      <c r="B487" s="12" t="s">
        <v>15</v>
      </c>
      <c r="C487" s="13">
        <v>13.1</v>
      </c>
      <c r="D487" s="14">
        <v>7.9</v>
      </c>
      <c r="E487">
        <f t="shared" si="21"/>
        <v>1.0348999999999999</v>
      </c>
      <c r="F487">
        <f t="shared" si="23"/>
        <v>13.111799999999977</v>
      </c>
      <c r="G487">
        <f t="shared" si="22"/>
        <v>0</v>
      </c>
    </row>
    <row r="488" spans="1:7" hidden="1" x14ac:dyDescent="0.35">
      <c r="A488" s="7">
        <v>49127</v>
      </c>
      <c r="B488" s="8" t="s">
        <v>9</v>
      </c>
      <c r="C488" s="9">
        <v>22.9</v>
      </c>
      <c r="D488" s="10">
        <v>0</v>
      </c>
      <c r="E488">
        <f t="shared" si="21"/>
        <v>0</v>
      </c>
      <c r="F488">
        <f t="shared" si="23"/>
        <v>13.111799999999977</v>
      </c>
      <c r="G488">
        <f t="shared" si="22"/>
        <v>0</v>
      </c>
    </row>
    <row r="489" spans="1:7" hidden="1" x14ac:dyDescent="0.35">
      <c r="A489" s="11">
        <v>49128</v>
      </c>
      <c r="B489" s="12" t="s">
        <v>9</v>
      </c>
      <c r="C489" s="13">
        <v>26.3</v>
      </c>
      <c r="D489" s="14">
        <v>4</v>
      </c>
      <c r="E489">
        <f t="shared" si="21"/>
        <v>1.052</v>
      </c>
      <c r="F489">
        <f t="shared" si="23"/>
        <v>14.163799999999977</v>
      </c>
      <c r="G489">
        <f t="shared" si="22"/>
        <v>0</v>
      </c>
    </row>
    <row r="490" spans="1:7" hidden="1" x14ac:dyDescent="0.35">
      <c r="A490" s="7">
        <v>49129</v>
      </c>
      <c r="B490" s="8" t="s">
        <v>19</v>
      </c>
      <c r="C490" s="9">
        <v>11.3</v>
      </c>
      <c r="D490" s="10">
        <v>19.8</v>
      </c>
      <c r="E490">
        <f t="shared" si="21"/>
        <v>2.2374000000000001</v>
      </c>
      <c r="F490">
        <f t="shared" si="23"/>
        <v>16.401199999999978</v>
      </c>
      <c r="G490">
        <f t="shared" si="22"/>
        <v>0</v>
      </c>
    </row>
    <row r="491" spans="1:7" hidden="1" x14ac:dyDescent="0.35">
      <c r="A491" s="11">
        <v>49130</v>
      </c>
      <c r="B491" s="12" t="s">
        <v>10</v>
      </c>
      <c r="C491" s="13">
        <v>30</v>
      </c>
      <c r="D491" s="14">
        <v>0</v>
      </c>
      <c r="E491">
        <f t="shared" si="21"/>
        <v>0</v>
      </c>
      <c r="F491">
        <f t="shared" si="23"/>
        <v>16.401199999999978</v>
      </c>
      <c r="G491">
        <f t="shared" si="22"/>
        <v>0</v>
      </c>
    </row>
    <row r="492" spans="1:7" hidden="1" x14ac:dyDescent="0.35">
      <c r="A492" s="7">
        <v>49131</v>
      </c>
      <c r="B492" s="8" t="s">
        <v>22</v>
      </c>
      <c r="C492" s="9">
        <v>20.399999999999999</v>
      </c>
      <c r="D492" s="10">
        <v>0</v>
      </c>
      <c r="E492">
        <f t="shared" si="21"/>
        <v>0</v>
      </c>
      <c r="F492">
        <f t="shared" si="23"/>
        <v>16.401199999999978</v>
      </c>
      <c r="G492">
        <f t="shared" si="22"/>
        <v>0</v>
      </c>
    </row>
    <row r="493" spans="1:7" hidden="1" x14ac:dyDescent="0.35">
      <c r="A493" s="11">
        <v>49132</v>
      </c>
      <c r="B493" s="12" t="s">
        <v>7</v>
      </c>
      <c r="C493" s="13">
        <v>24.5</v>
      </c>
      <c r="D493" s="14">
        <v>8.6999999999999993</v>
      </c>
      <c r="E493">
        <f t="shared" si="21"/>
        <v>2.1315</v>
      </c>
      <c r="F493">
        <f t="shared" si="23"/>
        <v>18.532699999999977</v>
      </c>
      <c r="G493">
        <f t="shared" si="22"/>
        <v>0</v>
      </c>
    </row>
    <row r="494" spans="1:7" hidden="1" x14ac:dyDescent="0.35">
      <c r="A494" s="7">
        <v>49133</v>
      </c>
      <c r="B494" s="8" t="s">
        <v>11</v>
      </c>
      <c r="C494" s="9">
        <v>17</v>
      </c>
      <c r="D494" s="10">
        <v>2.7</v>
      </c>
      <c r="E494">
        <f t="shared" si="21"/>
        <v>0.45900000000000007</v>
      </c>
      <c r="F494">
        <f t="shared" si="23"/>
        <v>18.991699999999977</v>
      </c>
      <c r="G494">
        <f t="shared" si="22"/>
        <v>0</v>
      </c>
    </row>
    <row r="495" spans="1:7" hidden="1" x14ac:dyDescent="0.35">
      <c r="A495" s="11">
        <v>49134</v>
      </c>
      <c r="B495" s="12" t="s">
        <v>19</v>
      </c>
      <c r="C495" s="13">
        <v>21</v>
      </c>
      <c r="D495" s="14">
        <v>5.6</v>
      </c>
      <c r="E495">
        <f t="shared" si="21"/>
        <v>1.1759999999999999</v>
      </c>
      <c r="F495">
        <f t="shared" si="23"/>
        <v>20.167699999999975</v>
      </c>
      <c r="G495">
        <f t="shared" si="22"/>
        <v>0</v>
      </c>
    </row>
    <row r="496" spans="1:7" hidden="1" x14ac:dyDescent="0.35">
      <c r="A496" s="7">
        <v>49135</v>
      </c>
      <c r="B496" s="8" t="s">
        <v>19</v>
      </c>
      <c r="C496" s="9">
        <v>20.7</v>
      </c>
      <c r="D496" s="10">
        <v>0</v>
      </c>
      <c r="E496">
        <f t="shared" si="21"/>
        <v>0</v>
      </c>
      <c r="F496">
        <f t="shared" si="23"/>
        <v>20.167699999999975</v>
      </c>
      <c r="G496">
        <f t="shared" si="22"/>
        <v>0</v>
      </c>
    </row>
    <row r="497" spans="1:7" hidden="1" x14ac:dyDescent="0.35">
      <c r="A497" s="11">
        <v>49136</v>
      </c>
      <c r="B497" s="12" t="s">
        <v>12</v>
      </c>
      <c r="C497" s="13">
        <v>26.7</v>
      </c>
      <c r="D497" s="14">
        <v>9.8000000000000007</v>
      </c>
      <c r="E497">
        <f t="shared" si="21"/>
        <v>2.6166</v>
      </c>
      <c r="F497">
        <f t="shared" si="23"/>
        <v>22.784299999999973</v>
      </c>
      <c r="G497">
        <f t="shared" si="22"/>
        <v>0</v>
      </c>
    </row>
    <row r="498" spans="1:7" hidden="1" x14ac:dyDescent="0.35">
      <c r="A498" s="7">
        <v>49137</v>
      </c>
      <c r="B498" s="8" t="s">
        <v>30</v>
      </c>
      <c r="C498" s="9">
        <v>10.199999999999999</v>
      </c>
      <c r="D498" s="10">
        <v>0.1</v>
      </c>
      <c r="E498">
        <f t="shared" si="21"/>
        <v>0</v>
      </c>
      <c r="F498">
        <f t="shared" si="23"/>
        <v>22.784299999999973</v>
      </c>
      <c r="G498">
        <f t="shared" si="22"/>
        <v>0</v>
      </c>
    </row>
    <row r="499" spans="1:7" hidden="1" x14ac:dyDescent="0.35">
      <c r="A499" s="11">
        <v>49138</v>
      </c>
      <c r="B499" s="12" t="s">
        <v>10</v>
      </c>
      <c r="C499" s="13">
        <v>15.7</v>
      </c>
      <c r="D499" s="14">
        <v>5.8</v>
      </c>
      <c r="E499">
        <f t="shared" si="21"/>
        <v>0.91059999999999985</v>
      </c>
      <c r="F499">
        <f t="shared" si="23"/>
        <v>23.694899999999972</v>
      </c>
      <c r="G499">
        <f t="shared" si="22"/>
        <v>0</v>
      </c>
    </row>
    <row r="500" spans="1:7" hidden="1" x14ac:dyDescent="0.35">
      <c r="A500" s="7">
        <v>49139</v>
      </c>
      <c r="B500" s="8" t="s">
        <v>33</v>
      </c>
      <c r="C500" s="9">
        <v>15.9</v>
      </c>
      <c r="D500" s="10">
        <v>2.2000000000000002</v>
      </c>
      <c r="E500">
        <f t="shared" si="21"/>
        <v>0.34980000000000006</v>
      </c>
      <c r="F500">
        <f t="shared" si="23"/>
        <v>24.04469999999997</v>
      </c>
      <c r="G500">
        <f t="shared" si="22"/>
        <v>0</v>
      </c>
    </row>
    <row r="501" spans="1:7" hidden="1" x14ac:dyDescent="0.35">
      <c r="A501" s="11">
        <v>49140</v>
      </c>
      <c r="B501" s="12" t="s">
        <v>19</v>
      </c>
      <c r="C501" s="13">
        <v>21</v>
      </c>
      <c r="D501" s="14">
        <v>13.1</v>
      </c>
      <c r="E501">
        <f t="shared" si="21"/>
        <v>2.7509999999999994</v>
      </c>
      <c r="F501">
        <f t="shared" si="23"/>
        <v>26.795699999999968</v>
      </c>
      <c r="G501">
        <f t="shared" si="22"/>
        <v>0</v>
      </c>
    </row>
    <row r="502" spans="1:7" hidden="1" x14ac:dyDescent="0.35">
      <c r="A502" s="7">
        <v>49141</v>
      </c>
      <c r="B502" s="8" t="s">
        <v>9</v>
      </c>
      <c r="C502" s="9">
        <v>10.9</v>
      </c>
      <c r="D502" s="10">
        <v>8.1</v>
      </c>
      <c r="E502">
        <f t="shared" si="21"/>
        <v>0.88289999999999991</v>
      </c>
      <c r="F502">
        <f t="shared" si="23"/>
        <v>27.678599999999967</v>
      </c>
      <c r="G502">
        <f t="shared" si="22"/>
        <v>0</v>
      </c>
    </row>
    <row r="503" spans="1:7" hidden="1" x14ac:dyDescent="0.35">
      <c r="A503" s="11">
        <v>49142</v>
      </c>
      <c r="B503" s="12" t="s">
        <v>22</v>
      </c>
      <c r="C503" s="13">
        <v>20.9</v>
      </c>
      <c r="D503" s="14">
        <v>5.9</v>
      </c>
      <c r="E503">
        <f t="shared" si="21"/>
        <v>1.2331000000000001</v>
      </c>
      <c r="F503">
        <f t="shared" si="23"/>
        <v>28.911699999999968</v>
      </c>
      <c r="G503">
        <f t="shared" si="22"/>
        <v>0</v>
      </c>
    </row>
    <row r="504" spans="1:7" hidden="1" x14ac:dyDescent="0.35">
      <c r="A504" s="7">
        <v>49143</v>
      </c>
      <c r="B504" s="8" t="s">
        <v>19</v>
      </c>
      <c r="C504" s="9">
        <v>21.8</v>
      </c>
      <c r="D504" s="10">
        <v>15.9</v>
      </c>
      <c r="E504">
        <f t="shared" si="21"/>
        <v>3.4662000000000002</v>
      </c>
      <c r="F504">
        <f t="shared" si="23"/>
        <v>32.377899999999968</v>
      </c>
      <c r="G504">
        <f t="shared" si="22"/>
        <v>0</v>
      </c>
    </row>
    <row r="505" spans="1:7" hidden="1" x14ac:dyDescent="0.35">
      <c r="A505" s="11">
        <v>49144</v>
      </c>
      <c r="B505" s="12" t="s">
        <v>15</v>
      </c>
      <c r="C505" s="13">
        <v>11.9</v>
      </c>
      <c r="D505" s="14">
        <v>18.100000000000001</v>
      </c>
      <c r="E505">
        <f t="shared" si="21"/>
        <v>2.1539000000000001</v>
      </c>
      <c r="F505">
        <f t="shared" si="23"/>
        <v>34.531799999999969</v>
      </c>
      <c r="G505">
        <f t="shared" si="22"/>
        <v>0</v>
      </c>
    </row>
    <row r="506" spans="1:7" hidden="1" x14ac:dyDescent="0.35">
      <c r="A506" s="7">
        <v>49145</v>
      </c>
      <c r="B506" s="8" t="s">
        <v>13</v>
      </c>
      <c r="C506" s="9">
        <v>12.9</v>
      </c>
      <c r="D506" s="10">
        <v>0</v>
      </c>
      <c r="E506">
        <f t="shared" si="21"/>
        <v>0</v>
      </c>
      <c r="F506">
        <f t="shared" si="23"/>
        <v>34.531799999999969</v>
      </c>
      <c r="G506">
        <f t="shared" si="22"/>
        <v>0</v>
      </c>
    </row>
    <row r="507" spans="1:7" hidden="1" x14ac:dyDescent="0.35">
      <c r="A507" s="11">
        <v>49146</v>
      </c>
      <c r="B507" s="12" t="s">
        <v>19</v>
      </c>
      <c r="C507" s="13">
        <v>14.9</v>
      </c>
      <c r="D507" s="14">
        <v>4.8</v>
      </c>
      <c r="E507">
        <f t="shared" si="21"/>
        <v>0.71519999999999995</v>
      </c>
      <c r="F507">
        <f t="shared" si="23"/>
        <v>35.246999999999971</v>
      </c>
      <c r="G507">
        <f t="shared" si="22"/>
        <v>0</v>
      </c>
    </row>
    <row r="508" spans="1:7" hidden="1" x14ac:dyDescent="0.35">
      <c r="A508" s="7">
        <v>49147</v>
      </c>
      <c r="B508" s="8" t="s">
        <v>10</v>
      </c>
      <c r="C508" s="9">
        <v>29.5</v>
      </c>
      <c r="D508" s="10">
        <v>0</v>
      </c>
      <c r="E508">
        <f t="shared" si="21"/>
        <v>0</v>
      </c>
      <c r="F508">
        <f t="shared" si="23"/>
        <v>35.246999999999971</v>
      </c>
      <c r="G508">
        <f t="shared" si="22"/>
        <v>0</v>
      </c>
    </row>
    <row r="509" spans="1:7" hidden="1" x14ac:dyDescent="0.35">
      <c r="A509" s="11">
        <v>49148</v>
      </c>
      <c r="B509" s="12" t="s">
        <v>19</v>
      </c>
      <c r="C509" s="13">
        <v>18.100000000000001</v>
      </c>
      <c r="D509" s="14">
        <v>0</v>
      </c>
      <c r="E509">
        <f t="shared" si="21"/>
        <v>0</v>
      </c>
      <c r="F509">
        <f t="shared" si="23"/>
        <v>35.246999999999971</v>
      </c>
      <c r="G509">
        <f t="shared" si="22"/>
        <v>0</v>
      </c>
    </row>
    <row r="510" spans="1:7" hidden="1" x14ac:dyDescent="0.35">
      <c r="A510" s="7">
        <v>49149</v>
      </c>
      <c r="B510" s="8" t="s">
        <v>6</v>
      </c>
      <c r="C510" s="9">
        <v>10.8</v>
      </c>
      <c r="D510" s="10">
        <v>11.8</v>
      </c>
      <c r="E510">
        <f t="shared" si="21"/>
        <v>1.2744000000000002</v>
      </c>
      <c r="F510">
        <f t="shared" si="23"/>
        <v>36.521399999999971</v>
      </c>
      <c r="G510">
        <f t="shared" si="22"/>
        <v>0</v>
      </c>
    </row>
    <row r="511" spans="1:7" hidden="1" x14ac:dyDescent="0.35">
      <c r="A511" s="11">
        <v>49150</v>
      </c>
      <c r="B511" s="12" t="s">
        <v>9</v>
      </c>
      <c r="C511" s="13">
        <v>13.5</v>
      </c>
      <c r="D511" s="14">
        <v>5.4</v>
      </c>
      <c r="E511">
        <f t="shared" si="21"/>
        <v>0.72900000000000009</v>
      </c>
      <c r="F511">
        <f t="shared" si="23"/>
        <v>37.250399999999971</v>
      </c>
      <c r="G511">
        <f t="shared" si="22"/>
        <v>0</v>
      </c>
    </row>
    <row r="512" spans="1:7" hidden="1" x14ac:dyDescent="0.35">
      <c r="A512" s="7">
        <v>49151</v>
      </c>
      <c r="B512" s="8" t="s">
        <v>22</v>
      </c>
      <c r="C512" s="9">
        <v>15.9</v>
      </c>
      <c r="D512" s="10">
        <v>0</v>
      </c>
      <c r="E512">
        <f t="shared" si="21"/>
        <v>0</v>
      </c>
      <c r="F512">
        <f t="shared" si="23"/>
        <v>37.250399999999971</v>
      </c>
      <c r="G512">
        <f t="shared" si="22"/>
        <v>0</v>
      </c>
    </row>
    <row r="513" spans="1:7" hidden="1" x14ac:dyDescent="0.35">
      <c r="A513" s="11">
        <v>49152</v>
      </c>
      <c r="B513" s="12" t="s">
        <v>26</v>
      </c>
      <c r="C513" s="13">
        <v>23.1</v>
      </c>
      <c r="D513" s="14">
        <v>0</v>
      </c>
      <c r="E513">
        <f t="shared" si="21"/>
        <v>0</v>
      </c>
      <c r="F513">
        <f t="shared" si="23"/>
        <v>37.250399999999971</v>
      </c>
      <c r="G513">
        <f t="shared" si="22"/>
        <v>0</v>
      </c>
    </row>
    <row r="514" spans="1:7" hidden="1" x14ac:dyDescent="0.35">
      <c r="A514" s="7">
        <v>49153</v>
      </c>
      <c r="B514" s="8" t="s">
        <v>16</v>
      </c>
      <c r="C514" s="9">
        <v>26.7</v>
      </c>
      <c r="D514" s="10">
        <v>0</v>
      </c>
      <c r="E514">
        <f t="shared" si="21"/>
        <v>0</v>
      </c>
      <c r="F514">
        <f t="shared" si="23"/>
        <v>37.250399999999971</v>
      </c>
      <c r="G514">
        <f t="shared" si="22"/>
        <v>0</v>
      </c>
    </row>
    <row r="515" spans="1:7" hidden="1" x14ac:dyDescent="0.35">
      <c r="A515" s="11">
        <v>49154</v>
      </c>
      <c r="B515" s="12" t="s">
        <v>10</v>
      </c>
      <c r="C515" s="13">
        <v>26</v>
      </c>
      <c r="D515" s="14">
        <v>29.1</v>
      </c>
      <c r="E515">
        <f t="shared" ref="E515:E578" si="24">IF(D515&gt;=1,C515*D515/100,0)</f>
        <v>7.5659999999999998</v>
      </c>
      <c r="F515">
        <f t="shared" si="23"/>
        <v>44.816399999999973</v>
      </c>
      <c r="G515">
        <f t="shared" ref="G515:G578" si="25">IF(F515&gt;=100,1,0)</f>
        <v>0</v>
      </c>
    </row>
    <row r="516" spans="1:7" hidden="1" x14ac:dyDescent="0.35">
      <c r="A516" s="7">
        <v>49155</v>
      </c>
      <c r="B516" s="8" t="s">
        <v>18</v>
      </c>
      <c r="C516" s="9">
        <v>23.6</v>
      </c>
      <c r="D516" s="10">
        <v>9.1</v>
      </c>
      <c r="E516">
        <f t="shared" si="24"/>
        <v>2.1475999999999997</v>
      </c>
      <c r="F516">
        <f t="shared" ref="F516:F579" si="26">IF(G515=1,E516+F515-100,F515+E516)</f>
        <v>46.96399999999997</v>
      </c>
      <c r="G516">
        <f t="shared" si="25"/>
        <v>0</v>
      </c>
    </row>
    <row r="517" spans="1:7" hidden="1" x14ac:dyDescent="0.35">
      <c r="A517" s="11">
        <v>49156</v>
      </c>
      <c r="B517" s="12" t="s">
        <v>26</v>
      </c>
      <c r="C517" s="13">
        <v>29.8</v>
      </c>
      <c r="D517" s="14">
        <v>5.7</v>
      </c>
      <c r="E517">
        <f t="shared" si="24"/>
        <v>1.6986000000000001</v>
      </c>
      <c r="F517">
        <f t="shared" si="26"/>
        <v>48.662599999999969</v>
      </c>
      <c r="G517">
        <f t="shared" si="25"/>
        <v>0</v>
      </c>
    </row>
    <row r="518" spans="1:7" hidden="1" x14ac:dyDescent="0.35">
      <c r="A518" s="7">
        <v>49157</v>
      </c>
      <c r="B518" s="8" t="s">
        <v>19</v>
      </c>
      <c r="C518" s="9">
        <v>18.600000000000001</v>
      </c>
      <c r="D518" s="10">
        <v>0</v>
      </c>
      <c r="E518">
        <f t="shared" si="24"/>
        <v>0</v>
      </c>
      <c r="F518">
        <f t="shared" si="26"/>
        <v>48.662599999999969</v>
      </c>
      <c r="G518">
        <f t="shared" si="25"/>
        <v>0</v>
      </c>
    </row>
    <row r="519" spans="1:7" hidden="1" x14ac:dyDescent="0.35">
      <c r="A519" s="11">
        <v>49158</v>
      </c>
      <c r="B519" s="12" t="s">
        <v>15</v>
      </c>
      <c r="C519" s="13">
        <v>17.600000000000001</v>
      </c>
      <c r="D519" s="14">
        <v>2.4</v>
      </c>
      <c r="E519">
        <f t="shared" si="24"/>
        <v>0.4224</v>
      </c>
      <c r="F519">
        <f t="shared" si="26"/>
        <v>49.084999999999972</v>
      </c>
      <c r="G519">
        <f t="shared" si="25"/>
        <v>0</v>
      </c>
    </row>
    <row r="520" spans="1:7" hidden="1" x14ac:dyDescent="0.35">
      <c r="A520" s="7">
        <v>49159</v>
      </c>
      <c r="B520" s="8" t="s">
        <v>15</v>
      </c>
      <c r="C520" s="9">
        <v>12.6</v>
      </c>
      <c r="D520" s="10">
        <v>9.1999999999999993</v>
      </c>
      <c r="E520">
        <f t="shared" si="24"/>
        <v>1.1591999999999998</v>
      </c>
      <c r="F520">
        <f t="shared" si="26"/>
        <v>50.244199999999971</v>
      </c>
      <c r="G520">
        <f t="shared" si="25"/>
        <v>0</v>
      </c>
    </row>
    <row r="521" spans="1:7" hidden="1" x14ac:dyDescent="0.35">
      <c r="A521" s="11">
        <v>49160</v>
      </c>
      <c r="B521" s="12" t="s">
        <v>17</v>
      </c>
      <c r="C521" s="13">
        <v>25.4</v>
      </c>
      <c r="D521" s="14">
        <v>5.4</v>
      </c>
      <c r="E521">
        <f t="shared" si="24"/>
        <v>1.3715999999999999</v>
      </c>
      <c r="F521">
        <f t="shared" si="26"/>
        <v>51.615799999999972</v>
      </c>
      <c r="G521">
        <f t="shared" si="25"/>
        <v>0</v>
      </c>
    </row>
    <row r="522" spans="1:7" hidden="1" x14ac:dyDescent="0.35">
      <c r="A522" s="7">
        <v>49161</v>
      </c>
      <c r="B522" s="8" t="s">
        <v>20</v>
      </c>
      <c r="C522" s="9">
        <v>12.8</v>
      </c>
      <c r="D522" s="10">
        <v>3.6</v>
      </c>
      <c r="E522">
        <f t="shared" si="24"/>
        <v>0.46080000000000004</v>
      </c>
      <c r="F522">
        <f t="shared" si="26"/>
        <v>52.076599999999971</v>
      </c>
      <c r="G522">
        <f t="shared" si="25"/>
        <v>0</v>
      </c>
    </row>
    <row r="523" spans="1:7" hidden="1" x14ac:dyDescent="0.35">
      <c r="A523" s="11">
        <v>49162</v>
      </c>
      <c r="B523" s="12" t="s">
        <v>11</v>
      </c>
      <c r="C523" s="13">
        <v>18.7</v>
      </c>
      <c r="D523" s="14">
        <v>0</v>
      </c>
      <c r="E523">
        <f t="shared" si="24"/>
        <v>0</v>
      </c>
      <c r="F523">
        <f t="shared" si="26"/>
        <v>52.076599999999971</v>
      </c>
      <c r="G523">
        <f t="shared" si="25"/>
        <v>0</v>
      </c>
    </row>
    <row r="524" spans="1:7" hidden="1" x14ac:dyDescent="0.35">
      <c r="A524" s="7">
        <v>49163</v>
      </c>
      <c r="B524" s="8" t="s">
        <v>33</v>
      </c>
      <c r="C524" s="9">
        <v>22.3</v>
      </c>
      <c r="D524" s="10">
        <v>0</v>
      </c>
      <c r="E524">
        <f t="shared" si="24"/>
        <v>0</v>
      </c>
      <c r="F524">
        <f t="shared" si="26"/>
        <v>52.076599999999971</v>
      </c>
      <c r="G524">
        <f t="shared" si="25"/>
        <v>0</v>
      </c>
    </row>
    <row r="525" spans="1:7" hidden="1" x14ac:dyDescent="0.35">
      <c r="A525" s="11">
        <v>49164</v>
      </c>
      <c r="B525" s="12" t="s">
        <v>18</v>
      </c>
      <c r="C525" s="13">
        <v>26.4</v>
      </c>
      <c r="D525" s="14">
        <v>0.5</v>
      </c>
      <c r="E525">
        <f t="shared" si="24"/>
        <v>0</v>
      </c>
      <c r="F525">
        <f t="shared" si="26"/>
        <v>52.076599999999971</v>
      </c>
      <c r="G525">
        <f t="shared" si="25"/>
        <v>0</v>
      </c>
    </row>
    <row r="526" spans="1:7" hidden="1" x14ac:dyDescent="0.35">
      <c r="A526" s="7">
        <v>49165</v>
      </c>
      <c r="B526" s="8" t="s">
        <v>7</v>
      </c>
      <c r="C526" s="9">
        <v>28.5</v>
      </c>
      <c r="D526" s="10">
        <v>3.2</v>
      </c>
      <c r="E526">
        <f t="shared" si="24"/>
        <v>0.91200000000000003</v>
      </c>
      <c r="F526">
        <f t="shared" si="26"/>
        <v>52.98859999999997</v>
      </c>
      <c r="G526">
        <f t="shared" si="25"/>
        <v>0</v>
      </c>
    </row>
    <row r="527" spans="1:7" hidden="1" x14ac:dyDescent="0.35">
      <c r="A527" s="11">
        <v>49166</v>
      </c>
      <c r="B527" s="12" t="s">
        <v>17</v>
      </c>
      <c r="C527" s="13">
        <v>16.8</v>
      </c>
      <c r="D527" s="14">
        <v>5.5</v>
      </c>
      <c r="E527">
        <f t="shared" si="24"/>
        <v>0.92400000000000004</v>
      </c>
      <c r="F527">
        <f t="shared" si="26"/>
        <v>53.912599999999969</v>
      </c>
      <c r="G527">
        <f t="shared" si="25"/>
        <v>0</v>
      </c>
    </row>
    <row r="528" spans="1:7" hidden="1" x14ac:dyDescent="0.35">
      <c r="A528" s="7">
        <v>49167</v>
      </c>
      <c r="B528" s="8" t="s">
        <v>27</v>
      </c>
      <c r="C528" s="9">
        <v>24.7</v>
      </c>
      <c r="D528" s="10">
        <v>0.8</v>
      </c>
      <c r="E528">
        <f t="shared" si="24"/>
        <v>0</v>
      </c>
      <c r="F528">
        <f t="shared" si="26"/>
        <v>53.912599999999969</v>
      </c>
      <c r="G528">
        <f t="shared" si="25"/>
        <v>0</v>
      </c>
    </row>
    <row r="529" spans="1:7" hidden="1" x14ac:dyDescent="0.35">
      <c r="A529" s="11">
        <v>49168</v>
      </c>
      <c r="B529" s="12" t="s">
        <v>9</v>
      </c>
      <c r="C529" s="13">
        <v>29.6</v>
      </c>
      <c r="D529" s="14">
        <v>0</v>
      </c>
      <c r="E529">
        <f t="shared" si="24"/>
        <v>0</v>
      </c>
      <c r="F529">
        <f t="shared" si="26"/>
        <v>53.912599999999969</v>
      </c>
      <c r="G529">
        <f t="shared" si="25"/>
        <v>0</v>
      </c>
    </row>
    <row r="530" spans="1:7" hidden="1" x14ac:dyDescent="0.35">
      <c r="A530" s="7">
        <v>49169</v>
      </c>
      <c r="B530" s="8" t="s">
        <v>10</v>
      </c>
      <c r="C530" s="9">
        <v>23.3</v>
      </c>
      <c r="D530" s="10">
        <v>29.4</v>
      </c>
      <c r="E530">
        <f t="shared" si="24"/>
        <v>6.8502000000000001</v>
      </c>
      <c r="F530">
        <f t="shared" si="26"/>
        <v>60.76279999999997</v>
      </c>
      <c r="G530">
        <f t="shared" si="25"/>
        <v>0</v>
      </c>
    </row>
    <row r="531" spans="1:7" hidden="1" x14ac:dyDescent="0.35">
      <c r="A531" s="11">
        <v>49170</v>
      </c>
      <c r="B531" s="12" t="s">
        <v>9</v>
      </c>
      <c r="C531" s="13">
        <v>28.8</v>
      </c>
      <c r="D531" s="14">
        <v>11.5</v>
      </c>
      <c r="E531">
        <f t="shared" si="24"/>
        <v>3.3119999999999998</v>
      </c>
      <c r="F531">
        <f t="shared" si="26"/>
        <v>64.074799999999968</v>
      </c>
      <c r="G531">
        <f t="shared" si="25"/>
        <v>0</v>
      </c>
    </row>
    <row r="532" spans="1:7" hidden="1" x14ac:dyDescent="0.35">
      <c r="A532" s="7">
        <v>49171</v>
      </c>
      <c r="B532" s="8" t="s">
        <v>9</v>
      </c>
      <c r="C532" s="9">
        <v>26.5</v>
      </c>
      <c r="D532" s="10">
        <v>0</v>
      </c>
      <c r="E532">
        <f t="shared" si="24"/>
        <v>0</v>
      </c>
      <c r="F532">
        <f t="shared" si="26"/>
        <v>64.074799999999968</v>
      </c>
      <c r="G532">
        <f t="shared" si="25"/>
        <v>0</v>
      </c>
    </row>
    <row r="533" spans="1:7" hidden="1" x14ac:dyDescent="0.35">
      <c r="A533" s="11">
        <v>49172</v>
      </c>
      <c r="B533" s="12" t="s">
        <v>23</v>
      </c>
      <c r="C533" s="13">
        <v>17.100000000000001</v>
      </c>
      <c r="D533" s="14">
        <v>3.6</v>
      </c>
      <c r="E533">
        <f t="shared" si="24"/>
        <v>0.61560000000000015</v>
      </c>
      <c r="F533">
        <f t="shared" si="26"/>
        <v>64.690399999999968</v>
      </c>
      <c r="G533">
        <f t="shared" si="25"/>
        <v>0</v>
      </c>
    </row>
    <row r="534" spans="1:7" hidden="1" x14ac:dyDescent="0.35">
      <c r="A534" s="7">
        <v>49173</v>
      </c>
      <c r="B534" s="8" t="s">
        <v>9</v>
      </c>
      <c r="C534" s="9">
        <v>17.8</v>
      </c>
      <c r="D534" s="10">
        <v>7</v>
      </c>
      <c r="E534">
        <f t="shared" si="24"/>
        <v>1.246</v>
      </c>
      <c r="F534">
        <f t="shared" si="26"/>
        <v>65.936399999999963</v>
      </c>
      <c r="G534">
        <f t="shared" si="25"/>
        <v>0</v>
      </c>
    </row>
    <row r="535" spans="1:7" hidden="1" x14ac:dyDescent="0.35">
      <c r="A535" s="11">
        <v>49174</v>
      </c>
      <c r="B535" s="12" t="s">
        <v>27</v>
      </c>
      <c r="C535" s="13">
        <v>24.7</v>
      </c>
      <c r="D535" s="14">
        <v>1.5</v>
      </c>
      <c r="E535">
        <f t="shared" si="24"/>
        <v>0.3705</v>
      </c>
      <c r="F535">
        <f t="shared" si="26"/>
        <v>66.30689999999997</v>
      </c>
      <c r="G535">
        <f t="shared" si="25"/>
        <v>0</v>
      </c>
    </row>
    <row r="536" spans="1:7" hidden="1" x14ac:dyDescent="0.35">
      <c r="A536" s="7">
        <v>49175</v>
      </c>
      <c r="B536" s="8" t="s">
        <v>19</v>
      </c>
      <c r="C536" s="9">
        <v>25.1</v>
      </c>
      <c r="D536" s="10">
        <v>0</v>
      </c>
      <c r="E536">
        <f t="shared" si="24"/>
        <v>0</v>
      </c>
      <c r="F536">
        <f t="shared" si="26"/>
        <v>66.30689999999997</v>
      </c>
      <c r="G536">
        <f t="shared" si="25"/>
        <v>0</v>
      </c>
    </row>
    <row r="537" spans="1:7" hidden="1" x14ac:dyDescent="0.35">
      <c r="A537" s="11">
        <v>49176</v>
      </c>
      <c r="B537" s="12" t="s">
        <v>32</v>
      </c>
      <c r="C537" s="13">
        <v>27</v>
      </c>
      <c r="D537" s="14">
        <v>0</v>
      </c>
      <c r="E537">
        <f t="shared" si="24"/>
        <v>0</v>
      </c>
      <c r="F537">
        <f t="shared" si="26"/>
        <v>66.30689999999997</v>
      </c>
      <c r="G537">
        <f t="shared" si="25"/>
        <v>0</v>
      </c>
    </row>
    <row r="538" spans="1:7" hidden="1" x14ac:dyDescent="0.35">
      <c r="A538" s="7">
        <v>49177</v>
      </c>
      <c r="B538" s="8" t="s">
        <v>18</v>
      </c>
      <c r="C538" s="9">
        <v>18.2</v>
      </c>
      <c r="D538" s="10">
        <v>13.9</v>
      </c>
      <c r="E538">
        <f t="shared" si="24"/>
        <v>2.5297999999999998</v>
      </c>
      <c r="F538">
        <f t="shared" si="26"/>
        <v>68.836699999999965</v>
      </c>
      <c r="G538">
        <f t="shared" si="25"/>
        <v>0</v>
      </c>
    </row>
    <row r="539" spans="1:7" hidden="1" x14ac:dyDescent="0.35">
      <c r="A539" s="11">
        <v>49178</v>
      </c>
      <c r="B539" s="12" t="s">
        <v>15</v>
      </c>
      <c r="C539" s="13">
        <v>10.8</v>
      </c>
      <c r="D539" s="14">
        <v>7.9</v>
      </c>
      <c r="E539">
        <f t="shared" si="24"/>
        <v>0.85320000000000007</v>
      </c>
      <c r="F539">
        <f t="shared" si="26"/>
        <v>69.689899999999966</v>
      </c>
      <c r="G539">
        <f t="shared" si="25"/>
        <v>0</v>
      </c>
    </row>
    <row r="540" spans="1:7" hidden="1" x14ac:dyDescent="0.35">
      <c r="A540" s="7">
        <v>49179</v>
      </c>
      <c r="B540" s="8" t="s">
        <v>7</v>
      </c>
      <c r="C540" s="9">
        <v>27.9</v>
      </c>
      <c r="D540" s="10">
        <v>9.9</v>
      </c>
      <c r="E540">
        <f t="shared" si="24"/>
        <v>2.7620999999999998</v>
      </c>
      <c r="F540">
        <f t="shared" si="26"/>
        <v>72.45199999999997</v>
      </c>
      <c r="G540">
        <f t="shared" si="25"/>
        <v>0</v>
      </c>
    </row>
    <row r="541" spans="1:7" hidden="1" x14ac:dyDescent="0.35">
      <c r="A541" s="11">
        <v>49180</v>
      </c>
      <c r="B541" s="12" t="s">
        <v>24</v>
      </c>
      <c r="C541" s="13">
        <v>14.1</v>
      </c>
      <c r="D541" s="14">
        <v>0.7</v>
      </c>
      <c r="E541">
        <f t="shared" si="24"/>
        <v>0</v>
      </c>
      <c r="F541">
        <f t="shared" si="26"/>
        <v>72.45199999999997</v>
      </c>
      <c r="G541">
        <f t="shared" si="25"/>
        <v>0</v>
      </c>
    </row>
    <row r="542" spans="1:7" hidden="1" x14ac:dyDescent="0.35">
      <c r="A542" s="7">
        <v>49181</v>
      </c>
      <c r="B542" s="8" t="s">
        <v>18</v>
      </c>
      <c r="C542" s="9">
        <v>17.5</v>
      </c>
      <c r="D542" s="10">
        <v>3.2</v>
      </c>
      <c r="E542">
        <f t="shared" si="24"/>
        <v>0.56000000000000005</v>
      </c>
      <c r="F542">
        <f t="shared" si="26"/>
        <v>73.011999999999972</v>
      </c>
      <c r="G542">
        <f t="shared" si="25"/>
        <v>0</v>
      </c>
    </row>
    <row r="543" spans="1:7" hidden="1" x14ac:dyDescent="0.35">
      <c r="A543" s="11">
        <v>49182</v>
      </c>
      <c r="B543" s="12" t="s">
        <v>10</v>
      </c>
      <c r="C543" s="13">
        <v>14.3</v>
      </c>
      <c r="D543" s="14">
        <v>0</v>
      </c>
      <c r="E543">
        <f t="shared" si="24"/>
        <v>0</v>
      </c>
      <c r="F543">
        <f t="shared" si="26"/>
        <v>73.011999999999972</v>
      </c>
      <c r="G543">
        <f t="shared" si="25"/>
        <v>0</v>
      </c>
    </row>
    <row r="544" spans="1:7" hidden="1" x14ac:dyDescent="0.35">
      <c r="A544" s="7">
        <v>49183</v>
      </c>
      <c r="B544" s="8" t="s">
        <v>20</v>
      </c>
      <c r="C544" s="9">
        <v>15.4</v>
      </c>
      <c r="D544" s="10">
        <v>0</v>
      </c>
      <c r="E544">
        <f t="shared" si="24"/>
        <v>0</v>
      </c>
      <c r="F544">
        <f t="shared" si="26"/>
        <v>73.011999999999972</v>
      </c>
      <c r="G544">
        <f t="shared" si="25"/>
        <v>0</v>
      </c>
    </row>
    <row r="545" spans="1:7" hidden="1" x14ac:dyDescent="0.35">
      <c r="A545" s="11">
        <v>49184</v>
      </c>
      <c r="B545" s="12" t="s">
        <v>19</v>
      </c>
      <c r="C545" s="13">
        <v>17.5</v>
      </c>
      <c r="D545" s="14">
        <v>0</v>
      </c>
      <c r="E545">
        <f t="shared" si="24"/>
        <v>0</v>
      </c>
      <c r="F545">
        <f t="shared" si="26"/>
        <v>73.011999999999972</v>
      </c>
      <c r="G545">
        <f t="shared" si="25"/>
        <v>0</v>
      </c>
    </row>
    <row r="546" spans="1:7" hidden="1" x14ac:dyDescent="0.35">
      <c r="A546" s="7">
        <v>49185</v>
      </c>
      <c r="B546" s="8" t="s">
        <v>13</v>
      </c>
      <c r="C546" s="9">
        <v>11.6</v>
      </c>
      <c r="D546" s="10">
        <v>4.0999999999999996</v>
      </c>
      <c r="E546">
        <f t="shared" si="24"/>
        <v>0.47559999999999997</v>
      </c>
      <c r="F546">
        <f t="shared" si="26"/>
        <v>73.487599999999972</v>
      </c>
      <c r="G546">
        <f t="shared" si="25"/>
        <v>0</v>
      </c>
    </row>
    <row r="547" spans="1:7" hidden="1" x14ac:dyDescent="0.35">
      <c r="A547" s="11">
        <v>49186</v>
      </c>
      <c r="B547" s="12" t="s">
        <v>9</v>
      </c>
      <c r="C547" s="13">
        <v>27.9</v>
      </c>
      <c r="D547" s="14">
        <v>10.3</v>
      </c>
      <c r="E547">
        <f t="shared" si="24"/>
        <v>2.8736999999999999</v>
      </c>
      <c r="F547">
        <f t="shared" si="26"/>
        <v>76.361299999999972</v>
      </c>
      <c r="G547">
        <f t="shared" si="25"/>
        <v>0</v>
      </c>
    </row>
    <row r="548" spans="1:7" hidden="1" x14ac:dyDescent="0.35">
      <c r="A548" s="7">
        <v>49187</v>
      </c>
      <c r="B548" s="8" t="s">
        <v>19</v>
      </c>
      <c r="C548" s="9">
        <v>11.8</v>
      </c>
      <c r="D548" s="10">
        <v>20.2</v>
      </c>
      <c r="E548">
        <f t="shared" si="24"/>
        <v>2.3835999999999999</v>
      </c>
      <c r="F548">
        <f t="shared" si="26"/>
        <v>78.744899999999973</v>
      </c>
      <c r="G548">
        <f t="shared" si="25"/>
        <v>0</v>
      </c>
    </row>
    <row r="549" spans="1:7" hidden="1" x14ac:dyDescent="0.35">
      <c r="A549" s="11">
        <v>49188</v>
      </c>
      <c r="B549" s="12" t="s">
        <v>7</v>
      </c>
      <c r="C549" s="13">
        <v>12</v>
      </c>
      <c r="D549" s="14">
        <v>8.5</v>
      </c>
      <c r="E549">
        <f t="shared" si="24"/>
        <v>1.02</v>
      </c>
      <c r="F549">
        <f t="shared" si="26"/>
        <v>79.764899999999969</v>
      </c>
      <c r="G549">
        <f t="shared" si="25"/>
        <v>0</v>
      </c>
    </row>
    <row r="550" spans="1:7" hidden="1" x14ac:dyDescent="0.35">
      <c r="A550" s="7">
        <v>49189</v>
      </c>
      <c r="B550" s="8" t="s">
        <v>10</v>
      </c>
      <c r="C550" s="9">
        <v>11.8</v>
      </c>
      <c r="D550" s="10">
        <v>7.8</v>
      </c>
      <c r="E550">
        <f t="shared" si="24"/>
        <v>0.92040000000000011</v>
      </c>
      <c r="F550">
        <f t="shared" si="26"/>
        <v>80.68529999999997</v>
      </c>
      <c r="G550">
        <f t="shared" si="25"/>
        <v>0</v>
      </c>
    </row>
    <row r="551" spans="1:7" hidden="1" x14ac:dyDescent="0.35">
      <c r="A551" s="11">
        <v>49190</v>
      </c>
      <c r="B551" s="12" t="s">
        <v>17</v>
      </c>
      <c r="C551" s="13">
        <v>22.2</v>
      </c>
      <c r="D551" s="14">
        <v>0</v>
      </c>
      <c r="E551">
        <f t="shared" si="24"/>
        <v>0</v>
      </c>
      <c r="F551">
        <f t="shared" si="26"/>
        <v>80.68529999999997</v>
      </c>
      <c r="G551">
        <f t="shared" si="25"/>
        <v>0</v>
      </c>
    </row>
    <row r="552" spans="1:7" hidden="1" x14ac:dyDescent="0.35">
      <c r="A552" s="7">
        <v>49191</v>
      </c>
      <c r="B552" s="8" t="s">
        <v>7</v>
      </c>
      <c r="C552" s="9">
        <v>13.3</v>
      </c>
      <c r="D552" s="10">
        <v>3.8</v>
      </c>
      <c r="E552">
        <f t="shared" si="24"/>
        <v>0.50539999999999996</v>
      </c>
      <c r="F552">
        <f t="shared" si="26"/>
        <v>81.190699999999964</v>
      </c>
      <c r="G552">
        <f t="shared" si="25"/>
        <v>0</v>
      </c>
    </row>
    <row r="553" spans="1:7" hidden="1" x14ac:dyDescent="0.35">
      <c r="A553" s="11">
        <v>49192</v>
      </c>
      <c r="B553" s="12" t="s">
        <v>13</v>
      </c>
      <c r="C553" s="13">
        <v>24.6</v>
      </c>
      <c r="D553" s="14">
        <v>2.1</v>
      </c>
      <c r="E553">
        <f t="shared" si="24"/>
        <v>0.51660000000000006</v>
      </c>
      <c r="F553">
        <f t="shared" si="26"/>
        <v>81.707299999999961</v>
      </c>
      <c r="G553">
        <f t="shared" si="25"/>
        <v>0</v>
      </c>
    </row>
    <row r="554" spans="1:7" hidden="1" x14ac:dyDescent="0.35">
      <c r="A554" s="7">
        <v>49193</v>
      </c>
      <c r="B554" s="8" t="s">
        <v>19</v>
      </c>
      <c r="C554" s="9">
        <v>15.7</v>
      </c>
      <c r="D554" s="10">
        <v>0</v>
      </c>
      <c r="E554">
        <f t="shared" si="24"/>
        <v>0</v>
      </c>
      <c r="F554">
        <f t="shared" si="26"/>
        <v>81.707299999999961</v>
      </c>
      <c r="G554">
        <f t="shared" si="25"/>
        <v>0</v>
      </c>
    </row>
    <row r="555" spans="1:7" hidden="1" x14ac:dyDescent="0.35">
      <c r="A555" s="11">
        <v>49194</v>
      </c>
      <c r="B555" s="12" t="s">
        <v>18</v>
      </c>
      <c r="C555" s="13">
        <v>26.7</v>
      </c>
      <c r="D555" s="14">
        <v>16.2</v>
      </c>
      <c r="E555">
        <f t="shared" si="24"/>
        <v>4.3253999999999992</v>
      </c>
      <c r="F555">
        <f t="shared" si="26"/>
        <v>86.032699999999963</v>
      </c>
      <c r="G555">
        <f t="shared" si="25"/>
        <v>0</v>
      </c>
    </row>
    <row r="556" spans="1:7" hidden="1" x14ac:dyDescent="0.35">
      <c r="A556" s="7">
        <v>49195</v>
      </c>
      <c r="B556" s="8" t="s">
        <v>15</v>
      </c>
      <c r="C556" s="9">
        <v>28.1</v>
      </c>
      <c r="D556" s="10">
        <v>1.1000000000000001</v>
      </c>
      <c r="E556">
        <f t="shared" si="24"/>
        <v>0.30910000000000004</v>
      </c>
      <c r="F556">
        <f t="shared" si="26"/>
        <v>86.341799999999964</v>
      </c>
      <c r="G556">
        <f t="shared" si="25"/>
        <v>0</v>
      </c>
    </row>
    <row r="557" spans="1:7" hidden="1" x14ac:dyDescent="0.35">
      <c r="A557" s="11">
        <v>49196</v>
      </c>
      <c r="B557" s="12" t="s">
        <v>10</v>
      </c>
      <c r="C557" s="13">
        <v>29.1</v>
      </c>
      <c r="D557" s="14">
        <v>3</v>
      </c>
      <c r="E557">
        <f t="shared" si="24"/>
        <v>0.87300000000000011</v>
      </c>
      <c r="F557">
        <f t="shared" si="26"/>
        <v>87.214799999999968</v>
      </c>
      <c r="G557">
        <f t="shared" si="25"/>
        <v>0</v>
      </c>
    </row>
    <row r="558" spans="1:7" hidden="1" x14ac:dyDescent="0.35">
      <c r="A558" s="7">
        <v>49197</v>
      </c>
      <c r="B558" s="8" t="s">
        <v>7</v>
      </c>
      <c r="C558" s="9">
        <v>26.2</v>
      </c>
      <c r="D558" s="10">
        <v>0</v>
      </c>
      <c r="E558">
        <f t="shared" si="24"/>
        <v>0</v>
      </c>
      <c r="F558">
        <f t="shared" si="26"/>
        <v>87.214799999999968</v>
      </c>
      <c r="G558">
        <f t="shared" si="25"/>
        <v>0</v>
      </c>
    </row>
    <row r="559" spans="1:7" hidden="1" x14ac:dyDescent="0.35">
      <c r="A559" s="11">
        <v>49198</v>
      </c>
      <c r="B559" s="12" t="s">
        <v>31</v>
      </c>
      <c r="C559" s="13">
        <v>23.3</v>
      </c>
      <c r="D559" s="14">
        <v>0</v>
      </c>
      <c r="E559">
        <f t="shared" si="24"/>
        <v>0</v>
      </c>
      <c r="F559">
        <f t="shared" si="26"/>
        <v>87.214799999999968</v>
      </c>
      <c r="G559">
        <f t="shared" si="25"/>
        <v>0</v>
      </c>
    </row>
    <row r="560" spans="1:7" hidden="1" x14ac:dyDescent="0.35">
      <c r="A560" s="7">
        <v>49199</v>
      </c>
      <c r="B560" s="8" t="s">
        <v>19</v>
      </c>
      <c r="C560" s="9">
        <v>21.7</v>
      </c>
      <c r="D560" s="10">
        <v>10.4</v>
      </c>
      <c r="E560">
        <f t="shared" si="24"/>
        <v>2.2568000000000001</v>
      </c>
      <c r="F560">
        <f t="shared" si="26"/>
        <v>89.471599999999967</v>
      </c>
      <c r="G560">
        <f t="shared" si="25"/>
        <v>0</v>
      </c>
    </row>
    <row r="561" spans="1:7" hidden="1" x14ac:dyDescent="0.35">
      <c r="A561" s="11">
        <v>49200</v>
      </c>
      <c r="B561" s="12" t="s">
        <v>18</v>
      </c>
      <c r="C561" s="13">
        <v>18.8</v>
      </c>
      <c r="D561" s="14">
        <v>15.6</v>
      </c>
      <c r="E561">
        <f t="shared" si="24"/>
        <v>2.9328000000000003</v>
      </c>
      <c r="F561">
        <f t="shared" si="26"/>
        <v>92.404399999999967</v>
      </c>
      <c r="G561">
        <f t="shared" si="25"/>
        <v>0</v>
      </c>
    </row>
    <row r="562" spans="1:7" hidden="1" x14ac:dyDescent="0.35">
      <c r="A562" s="7">
        <v>49201</v>
      </c>
      <c r="B562" s="8" t="s">
        <v>15</v>
      </c>
      <c r="C562" s="9">
        <v>25.4</v>
      </c>
      <c r="D562" s="10">
        <v>7.4</v>
      </c>
      <c r="E562">
        <f t="shared" si="24"/>
        <v>1.8796000000000002</v>
      </c>
      <c r="F562">
        <f t="shared" si="26"/>
        <v>94.283999999999963</v>
      </c>
      <c r="G562">
        <f t="shared" si="25"/>
        <v>0</v>
      </c>
    </row>
    <row r="563" spans="1:7" hidden="1" x14ac:dyDescent="0.35">
      <c r="A563" s="11">
        <v>49202</v>
      </c>
      <c r="B563" s="12" t="s">
        <v>11</v>
      </c>
      <c r="C563" s="13">
        <v>21.1</v>
      </c>
      <c r="D563" s="14">
        <v>1</v>
      </c>
      <c r="E563">
        <f t="shared" si="24"/>
        <v>0.21100000000000002</v>
      </c>
      <c r="F563">
        <f t="shared" si="26"/>
        <v>94.494999999999962</v>
      </c>
      <c r="G563">
        <f t="shared" si="25"/>
        <v>0</v>
      </c>
    </row>
    <row r="564" spans="1:7" hidden="1" x14ac:dyDescent="0.35">
      <c r="A564" s="7">
        <v>49203</v>
      </c>
      <c r="B564" s="8" t="s">
        <v>11</v>
      </c>
      <c r="C564" s="9">
        <v>25.1</v>
      </c>
      <c r="D564" s="10">
        <v>20</v>
      </c>
      <c r="E564">
        <f t="shared" si="24"/>
        <v>5.0199999999999996</v>
      </c>
      <c r="F564">
        <f t="shared" si="26"/>
        <v>99.514999999999958</v>
      </c>
      <c r="G564">
        <f t="shared" si="25"/>
        <v>0</v>
      </c>
    </row>
    <row r="565" spans="1:7" hidden="1" x14ac:dyDescent="0.35">
      <c r="A565" s="11">
        <v>49204</v>
      </c>
      <c r="B565" s="12" t="s">
        <v>7</v>
      </c>
      <c r="C565" s="13">
        <v>17.600000000000001</v>
      </c>
      <c r="D565" s="14">
        <v>0</v>
      </c>
      <c r="E565">
        <f t="shared" si="24"/>
        <v>0</v>
      </c>
      <c r="F565">
        <f t="shared" si="26"/>
        <v>99.514999999999958</v>
      </c>
      <c r="G565">
        <f t="shared" si="25"/>
        <v>0</v>
      </c>
    </row>
    <row r="566" spans="1:7" x14ac:dyDescent="0.35">
      <c r="A566" s="7">
        <v>49205</v>
      </c>
      <c r="B566" s="8" t="s">
        <v>15</v>
      </c>
      <c r="C566" s="9">
        <v>21.2</v>
      </c>
      <c r="D566" s="10">
        <v>3.4</v>
      </c>
      <c r="E566">
        <f t="shared" si="24"/>
        <v>0.7208</v>
      </c>
      <c r="F566">
        <f t="shared" si="26"/>
        <v>100.23579999999995</v>
      </c>
      <c r="G566">
        <f t="shared" si="25"/>
        <v>1</v>
      </c>
    </row>
    <row r="567" spans="1:7" hidden="1" x14ac:dyDescent="0.35">
      <c r="A567" s="11">
        <v>49206</v>
      </c>
      <c r="B567" s="12" t="s">
        <v>7</v>
      </c>
      <c r="C567" s="13">
        <v>26.4</v>
      </c>
      <c r="D567" s="14">
        <v>14.7</v>
      </c>
      <c r="E567">
        <f t="shared" si="24"/>
        <v>3.8807999999999998</v>
      </c>
      <c r="F567">
        <f t="shared" si="26"/>
        <v>4.1165999999999485</v>
      </c>
      <c r="G567">
        <f t="shared" si="25"/>
        <v>0</v>
      </c>
    </row>
    <row r="568" spans="1:7" hidden="1" x14ac:dyDescent="0.35">
      <c r="A568" s="7">
        <v>49207</v>
      </c>
      <c r="B568" s="8" t="s">
        <v>5</v>
      </c>
      <c r="C568" s="9">
        <v>13.5</v>
      </c>
      <c r="D568" s="10">
        <v>0</v>
      </c>
      <c r="E568">
        <f t="shared" si="24"/>
        <v>0</v>
      </c>
      <c r="F568">
        <f t="shared" si="26"/>
        <v>4.1165999999999485</v>
      </c>
      <c r="G568">
        <f t="shared" si="25"/>
        <v>0</v>
      </c>
    </row>
    <row r="569" spans="1:7" hidden="1" x14ac:dyDescent="0.35">
      <c r="A569" s="11">
        <v>49208</v>
      </c>
      <c r="B569" s="12" t="s">
        <v>22</v>
      </c>
      <c r="C569" s="13">
        <v>25.1</v>
      </c>
      <c r="D569" s="14">
        <v>0</v>
      </c>
      <c r="E569">
        <f t="shared" si="24"/>
        <v>0</v>
      </c>
      <c r="F569">
        <f t="shared" si="26"/>
        <v>4.1165999999999485</v>
      </c>
      <c r="G569">
        <f t="shared" si="25"/>
        <v>0</v>
      </c>
    </row>
    <row r="570" spans="1:7" hidden="1" x14ac:dyDescent="0.35">
      <c r="A570" s="7">
        <v>49209</v>
      </c>
      <c r="B570" s="8" t="s">
        <v>11</v>
      </c>
      <c r="C570" s="9">
        <v>10.4</v>
      </c>
      <c r="D570" s="10">
        <v>11</v>
      </c>
      <c r="E570">
        <f t="shared" si="24"/>
        <v>1.1440000000000001</v>
      </c>
      <c r="F570">
        <f t="shared" si="26"/>
        <v>5.2605999999999487</v>
      </c>
      <c r="G570">
        <f t="shared" si="25"/>
        <v>0</v>
      </c>
    </row>
    <row r="571" spans="1:7" hidden="1" x14ac:dyDescent="0.35">
      <c r="A571" s="11">
        <v>49210</v>
      </c>
      <c r="B571" s="12" t="s">
        <v>15</v>
      </c>
      <c r="C571" s="13">
        <v>24.3</v>
      </c>
      <c r="D571" s="14">
        <v>4.9000000000000004</v>
      </c>
      <c r="E571">
        <f t="shared" si="24"/>
        <v>1.1907000000000001</v>
      </c>
      <c r="F571">
        <f t="shared" si="26"/>
        <v>6.4512999999999483</v>
      </c>
      <c r="G571">
        <f t="shared" si="25"/>
        <v>0</v>
      </c>
    </row>
    <row r="572" spans="1:7" hidden="1" x14ac:dyDescent="0.35">
      <c r="A572" s="7">
        <v>49211</v>
      </c>
      <c r="B572" s="8" t="s">
        <v>12</v>
      </c>
      <c r="C572" s="9">
        <v>18.7</v>
      </c>
      <c r="D572" s="10">
        <v>6.2</v>
      </c>
      <c r="E572">
        <f t="shared" si="24"/>
        <v>1.1594</v>
      </c>
      <c r="F572">
        <f t="shared" si="26"/>
        <v>7.6106999999999481</v>
      </c>
      <c r="G572">
        <f t="shared" si="25"/>
        <v>0</v>
      </c>
    </row>
    <row r="573" spans="1:7" hidden="1" x14ac:dyDescent="0.35">
      <c r="A573" s="11">
        <v>49212</v>
      </c>
      <c r="B573" s="12" t="s">
        <v>33</v>
      </c>
      <c r="C573" s="13">
        <v>14.1</v>
      </c>
      <c r="D573" s="14">
        <v>0</v>
      </c>
      <c r="E573">
        <f t="shared" si="24"/>
        <v>0</v>
      </c>
      <c r="F573">
        <f t="shared" si="26"/>
        <v>7.6106999999999481</v>
      </c>
      <c r="G573">
        <f t="shared" si="25"/>
        <v>0</v>
      </c>
    </row>
    <row r="574" spans="1:7" hidden="1" x14ac:dyDescent="0.35">
      <c r="A574" s="7">
        <v>49213</v>
      </c>
      <c r="B574" s="8" t="s">
        <v>23</v>
      </c>
      <c r="C574" s="9">
        <v>24.2</v>
      </c>
      <c r="D574" s="10">
        <v>0</v>
      </c>
      <c r="E574">
        <f t="shared" si="24"/>
        <v>0</v>
      </c>
      <c r="F574">
        <f t="shared" si="26"/>
        <v>7.6106999999999481</v>
      </c>
      <c r="G574">
        <f t="shared" si="25"/>
        <v>0</v>
      </c>
    </row>
    <row r="575" spans="1:7" hidden="1" x14ac:dyDescent="0.35">
      <c r="A575" s="11">
        <v>49214</v>
      </c>
      <c r="B575" s="12" t="s">
        <v>22</v>
      </c>
      <c r="C575" s="13">
        <v>26.4</v>
      </c>
      <c r="D575" s="14">
        <v>0</v>
      </c>
      <c r="E575">
        <f t="shared" si="24"/>
        <v>0</v>
      </c>
      <c r="F575">
        <f t="shared" si="26"/>
        <v>7.6106999999999481</v>
      </c>
      <c r="G575">
        <f t="shared" si="25"/>
        <v>0</v>
      </c>
    </row>
    <row r="576" spans="1:7" hidden="1" x14ac:dyDescent="0.35">
      <c r="A576" s="7">
        <v>49215</v>
      </c>
      <c r="B576" s="8" t="s">
        <v>10</v>
      </c>
      <c r="C576" s="9">
        <v>24.5</v>
      </c>
      <c r="D576" s="10">
        <v>4</v>
      </c>
      <c r="E576">
        <f t="shared" si="24"/>
        <v>0.98</v>
      </c>
      <c r="F576">
        <f t="shared" si="26"/>
        <v>8.5906999999999485</v>
      </c>
      <c r="G576">
        <f t="shared" si="25"/>
        <v>0</v>
      </c>
    </row>
    <row r="577" spans="1:7" hidden="1" x14ac:dyDescent="0.35">
      <c r="A577" s="11">
        <v>49216</v>
      </c>
      <c r="B577" s="12" t="s">
        <v>14</v>
      </c>
      <c r="C577" s="13">
        <v>25.5</v>
      </c>
      <c r="D577" s="14">
        <v>2.9</v>
      </c>
      <c r="E577">
        <f t="shared" si="24"/>
        <v>0.73950000000000005</v>
      </c>
      <c r="F577">
        <f t="shared" si="26"/>
        <v>9.3301999999999481</v>
      </c>
      <c r="G577">
        <f t="shared" si="25"/>
        <v>0</v>
      </c>
    </row>
    <row r="578" spans="1:7" hidden="1" x14ac:dyDescent="0.35">
      <c r="A578" s="7">
        <v>49217</v>
      </c>
      <c r="B578" s="8" t="s">
        <v>11</v>
      </c>
      <c r="C578" s="9">
        <v>11.8</v>
      </c>
      <c r="D578" s="10">
        <v>13.5</v>
      </c>
      <c r="E578">
        <f t="shared" si="24"/>
        <v>1.5930000000000002</v>
      </c>
      <c r="F578">
        <f t="shared" si="26"/>
        <v>10.923199999999948</v>
      </c>
      <c r="G578">
        <f t="shared" si="25"/>
        <v>0</v>
      </c>
    </row>
    <row r="579" spans="1:7" hidden="1" x14ac:dyDescent="0.35">
      <c r="A579" s="11">
        <v>49218</v>
      </c>
      <c r="B579" s="12" t="s">
        <v>22</v>
      </c>
      <c r="C579" s="13">
        <v>14.3</v>
      </c>
      <c r="D579" s="14">
        <v>5.4</v>
      </c>
      <c r="E579">
        <f t="shared" ref="E579:E642" si="27">IF(D579&gt;=1,C579*D579/100,0)</f>
        <v>0.77220000000000011</v>
      </c>
      <c r="F579">
        <f t="shared" si="26"/>
        <v>11.695399999999948</v>
      </c>
      <c r="G579">
        <f t="shared" ref="G579:G642" si="28">IF(F579&gt;=100,1,0)</f>
        <v>0</v>
      </c>
    </row>
    <row r="580" spans="1:7" hidden="1" x14ac:dyDescent="0.35">
      <c r="A580" s="7">
        <v>49219</v>
      </c>
      <c r="B580" s="8" t="s">
        <v>9</v>
      </c>
      <c r="C580" s="9">
        <v>12.4</v>
      </c>
      <c r="D580" s="10">
        <v>1.2</v>
      </c>
      <c r="E580">
        <f t="shared" si="27"/>
        <v>0.14879999999999999</v>
      </c>
      <c r="F580">
        <f t="shared" ref="F580:F643" si="29">IF(G579=1,E580+F579-100,F579+E580)</f>
        <v>11.844199999999947</v>
      </c>
      <c r="G580">
        <f t="shared" si="28"/>
        <v>0</v>
      </c>
    </row>
    <row r="581" spans="1:7" hidden="1" x14ac:dyDescent="0.35">
      <c r="A581" s="11">
        <v>49220</v>
      </c>
      <c r="B581" s="12" t="s">
        <v>19</v>
      </c>
      <c r="C581" s="13">
        <v>29.3</v>
      </c>
      <c r="D581" s="14">
        <v>19.8</v>
      </c>
      <c r="E581">
        <f t="shared" si="27"/>
        <v>5.8014000000000001</v>
      </c>
      <c r="F581">
        <f t="shared" si="29"/>
        <v>17.645599999999948</v>
      </c>
      <c r="G581">
        <f t="shared" si="28"/>
        <v>0</v>
      </c>
    </row>
    <row r="582" spans="1:7" hidden="1" x14ac:dyDescent="0.35">
      <c r="A582" s="7">
        <v>49221</v>
      </c>
      <c r="B582" s="8" t="s">
        <v>7</v>
      </c>
      <c r="C582" s="9">
        <v>29.4</v>
      </c>
      <c r="D582" s="10">
        <v>0</v>
      </c>
      <c r="E582">
        <f t="shared" si="27"/>
        <v>0</v>
      </c>
      <c r="F582">
        <f t="shared" si="29"/>
        <v>17.645599999999948</v>
      </c>
      <c r="G582">
        <f t="shared" si="28"/>
        <v>0</v>
      </c>
    </row>
    <row r="583" spans="1:7" hidden="1" x14ac:dyDescent="0.35">
      <c r="A583" s="11">
        <v>49222</v>
      </c>
      <c r="B583" s="12" t="s">
        <v>13</v>
      </c>
      <c r="C583" s="13">
        <v>29.8</v>
      </c>
      <c r="D583" s="14">
        <v>16</v>
      </c>
      <c r="E583">
        <f t="shared" si="27"/>
        <v>4.7679999999999998</v>
      </c>
      <c r="F583">
        <f t="shared" si="29"/>
        <v>22.413599999999949</v>
      </c>
      <c r="G583">
        <f t="shared" si="28"/>
        <v>0</v>
      </c>
    </row>
    <row r="584" spans="1:7" hidden="1" x14ac:dyDescent="0.35">
      <c r="A584" s="7">
        <v>49223</v>
      </c>
      <c r="B584" s="8" t="s">
        <v>19</v>
      </c>
      <c r="C584" s="9">
        <v>29.9</v>
      </c>
      <c r="D584" s="10">
        <v>13.3</v>
      </c>
      <c r="E584">
        <f t="shared" si="27"/>
        <v>3.9767000000000001</v>
      </c>
      <c r="F584">
        <f t="shared" si="29"/>
        <v>26.39029999999995</v>
      </c>
      <c r="G584">
        <f t="shared" si="28"/>
        <v>0</v>
      </c>
    </row>
    <row r="585" spans="1:7" hidden="1" x14ac:dyDescent="0.35">
      <c r="A585" s="11">
        <v>49224</v>
      </c>
      <c r="B585" s="12" t="s">
        <v>9</v>
      </c>
      <c r="C585" s="13">
        <v>11.6</v>
      </c>
      <c r="D585" s="14">
        <v>9.6999999999999993</v>
      </c>
      <c r="E585">
        <f t="shared" si="27"/>
        <v>1.1251999999999998</v>
      </c>
      <c r="F585">
        <f t="shared" si="29"/>
        <v>27.51549999999995</v>
      </c>
      <c r="G585">
        <f t="shared" si="28"/>
        <v>0</v>
      </c>
    </row>
    <row r="586" spans="1:7" hidden="1" x14ac:dyDescent="0.35">
      <c r="A586" s="7">
        <v>49225</v>
      </c>
      <c r="B586" s="8" t="s">
        <v>11</v>
      </c>
      <c r="C586" s="9">
        <v>10.199999999999999</v>
      </c>
      <c r="D586" s="10">
        <v>0</v>
      </c>
      <c r="E586">
        <f t="shared" si="27"/>
        <v>0</v>
      </c>
      <c r="F586">
        <f t="shared" si="29"/>
        <v>27.51549999999995</v>
      </c>
      <c r="G586">
        <f t="shared" si="28"/>
        <v>0</v>
      </c>
    </row>
    <row r="587" spans="1:7" hidden="1" x14ac:dyDescent="0.35">
      <c r="A587" s="11">
        <v>49226</v>
      </c>
      <c r="B587" s="12" t="s">
        <v>9</v>
      </c>
      <c r="C587" s="13">
        <v>10.7</v>
      </c>
      <c r="D587" s="14">
        <v>11.9</v>
      </c>
      <c r="E587">
        <f t="shared" si="27"/>
        <v>1.2732999999999999</v>
      </c>
      <c r="F587">
        <f t="shared" si="29"/>
        <v>28.788799999999949</v>
      </c>
      <c r="G587">
        <f t="shared" si="28"/>
        <v>0</v>
      </c>
    </row>
    <row r="588" spans="1:7" hidden="1" x14ac:dyDescent="0.35">
      <c r="A588" s="7">
        <v>49227</v>
      </c>
      <c r="B588" s="8" t="s">
        <v>30</v>
      </c>
      <c r="C588" s="9">
        <v>11.7</v>
      </c>
      <c r="D588" s="10">
        <v>0.1</v>
      </c>
      <c r="E588">
        <f t="shared" si="27"/>
        <v>0</v>
      </c>
      <c r="F588">
        <f t="shared" si="29"/>
        <v>28.788799999999949</v>
      </c>
      <c r="G588">
        <f t="shared" si="28"/>
        <v>0</v>
      </c>
    </row>
    <row r="589" spans="1:7" hidden="1" x14ac:dyDescent="0.35">
      <c r="A589" s="11">
        <v>49228</v>
      </c>
      <c r="B589" s="12" t="s">
        <v>18</v>
      </c>
      <c r="C589" s="13">
        <v>29.4</v>
      </c>
      <c r="D589" s="14">
        <v>9.6</v>
      </c>
      <c r="E589">
        <f t="shared" si="27"/>
        <v>2.8223999999999996</v>
      </c>
      <c r="F589">
        <f t="shared" si="29"/>
        <v>31.611199999999947</v>
      </c>
      <c r="G589">
        <f t="shared" si="28"/>
        <v>0</v>
      </c>
    </row>
    <row r="590" spans="1:7" hidden="1" x14ac:dyDescent="0.35">
      <c r="A590" s="7">
        <v>49229</v>
      </c>
      <c r="B590" s="8" t="s">
        <v>20</v>
      </c>
      <c r="C590" s="9">
        <v>29.1</v>
      </c>
      <c r="D590" s="10">
        <v>2.6</v>
      </c>
      <c r="E590">
        <f t="shared" si="27"/>
        <v>0.75660000000000016</v>
      </c>
      <c r="F590">
        <f t="shared" si="29"/>
        <v>32.367799999999946</v>
      </c>
      <c r="G590">
        <f t="shared" si="28"/>
        <v>0</v>
      </c>
    </row>
    <row r="591" spans="1:7" hidden="1" x14ac:dyDescent="0.35">
      <c r="A591" s="11">
        <v>49230</v>
      </c>
      <c r="B591" s="12" t="s">
        <v>10</v>
      </c>
      <c r="C591" s="13">
        <v>20.5</v>
      </c>
      <c r="D591" s="14">
        <v>30.1</v>
      </c>
      <c r="E591">
        <f t="shared" si="27"/>
        <v>6.1705000000000005</v>
      </c>
      <c r="F591">
        <f t="shared" si="29"/>
        <v>38.53829999999995</v>
      </c>
      <c r="G591">
        <f t="shared" si="28"/>
        <v>0</v>
      </c>
    </row>
    <row r="592" spans="1:7" hidden="1" x14ac:dyDescent="0.35">
      <c r="A592" s="7">
        <v>49231</v>
      </c>
      <c r="B592" s="8" t="s">
        <v>7</v>
      </c>
      <c r="C592" s="9">
        <v>26.2</v>
      </c>
      <c r="D592" s="10">
        <v>19</v>
      </c>
      <c r="E592">
        <f t="shared" si="27"/>
        <v>4.9779999999999998</v>
      </c>
      <c r="F592">
        <f t="shared" si="29"/>
        <v>43.516299999999951</v>
      </c>
      <c r="G592">
        <f t="shared" si="28"/>
        <v>0</v>
      </c>
    </row>
    <row r="593" spans="1:7" hidden="1" x14ac:dyDescent="0.35">
      <c r="A593" s="11">
        <v>49232</v>
      </c>
      <c r="B593" s="12" t="s">
        <v>15</v>
      </c>
      <c r="C593" s="13">
        <v>22.6</v>
      </c>
      <c r="D593" s="14">
        <v>0</v>
      </c>
      <c r="E593">
        <f t="shared" si="27"/>
        <v>0</v>
      </c>
      <c r="F593">
        <f t="shared" si="29"/>
        <v>43.516299999999951</v>
      </c>
      <c r="G593">
        <f t="shared" si="28"/>
        <v>0</v>
      </c>
    </row>
    <row r="594" spans="1:7" hidden="1" x14ac:dyDescent="0.35">
      <c r="A594" s="7">
        <v>49233</v>
      </c>
      <c r="B594" s="8" t="s">
        <v>14</v>
      </c>
      <c r="C594" s="9">
        <v>17.7</v>
      </c>
      <c r="D594" s="10">
        <v>0</v>
      </c>
      <c r="E594">
        <f t="shared" si="27"/>
        <v>0</v>
      </c>
      <c r="F594">
        <f t="shared" si="29"/>
        <v>43.516299999999951</v>
      </c>
      <c r="G594">
        <f t="shared" si="28"/>
        <v>0</v>
      </c>
    </row>
    <row r="595" spans="1:7" hidden="1" x14ac:dyDescent="0.35">
      <c r="A595" s="11">
        <v>49234</v>
      </c>
      <c r="B595" s="12" t="s">
        <v>19</v>
      </c>
      <c r="C595" s="13">
        <v>21.2</v>
      </c>
      <c r="D595" s="14">
        <v>0</v>
      </c>
      <c r="E595">
        <f t="shared" si="27"/>
        <v>0</v>
      </c>
      <c r="F595">
        <f t="shared" si="29"/>
        <v>43.516299999999951</v>
      </c>
      <c r="G595">
        <f t="shared" si="28"/>
        <v>0</v>
      </c>
    </row>
    <row r="596" spans="1:7" hidden="1" x14ac:dyDescent="0.35">
      <c r="A596" s="7">
        <v>49235</v>
      </c>
      <c r="B596" s="8" t="s">
        <v>33</v>
      </c>
      <c r="C596" s="9">
        <v>10.3</v>
      </c>
      <c r="D596" s="10">
        <v>0.2</v>
      </c>
      <c r="E596">
        <f t="shared" si="27"/>
        <v>0</v>
      </c>
      <c r="F596">
        <f t="shared" si="29"/>
        <v>43.516299999999951</v>
      </c>
      <c r="G596">
        <f t="shared" si="28"/>
        <v>0</v>
      </c>
    </row>
    <row r="597" spans="1:7" hidden="1" x14ac:dyDescent="0.35">
      <c r="A597" s="11">
        <v>49236</v>
      </c>
      <c r="B597" s="12" t="s">
        <v>25</v>
      </c>
      <c r="C597" s="13">
        <v>10.1</v>
      </c>
      <c r="D597" s="14">
        <v>2.1</v>
      </c>
      <c r="E597">
        <f t="shared" si="27"/>
        <v>0.21210000000000001</v>
      </c>
      <c r="F597">
        <f t="shared" si="29"/>
        <v>43.728399999999951</v>
      </c>
      <c r="G597">
        <f t="shared" si="28"/>
        <v>0</v>
      </c>
    </row>
    <row r="598" spans="1:7" hidden="1" x14ac:dyDescent="0.35">
      <c r="A598" s="7">
        <v>49237</v>
      </c>
      <c r="B598" s="8" t="s">
        <v>8</v>
      </c>
      <c r="C598" s="9">
        <v>23.4</v>
      </c>
      <c r="D598" s="10">
        <v>3.9</v>
      </c>
      <c r="E598">
        <f t="shared" si="27"/>
        <v>0.91259999999999986</v>
      </c>
      <c r="F598">
        <f t="shared" si="29"/>
        <v>44.640999999999948</v>
      </c>
      <c r="G598">
        <f t="shared" si="28"/>
        <v>0</v>
      </c>
    </row>
    <row r="599" spans="1:7" hidden="1" x14ac:dyDescent="0.35">
      <c r="A599" s="11">
        <v>49238</v>
      </c>
      <c r="B599" s="12" t="s">
        <v>31</v>
      </c>
      <c r="C599" s="13">
        <v>11.7</v>
      </c>
      <c r="D599" s="14">
        <v>0</v>
      </c>
      <c r="E599">
        <f t="shared" si="27"/>
        <v>0</v>
      </c>
      <c r="F599">
        <f t="shared" si="29"/>
        <v>44.640999999999948</v>
      </c>
      <c r="G599">
        <f t="shared" si="28"/>
        <v>0</v>
      </c>
    </row>
    <row r="600" spans="1:7" hidden="1" x14ac:dyDescent="0.35">
      <c r="A600" s="7">
        <v>49239</v>
      </c>
      <c r="B600" s="8" t="s">
        <v>5</v>
      </c>
      <c r="C600" s="9">
        <v>26</v>
      </c>
      <c r="D600" s="10">
        <v>2.1</v>
      </c>
      <c r="E600">
        <f t="shared" si="27"/>
        <v>0.54600000000000004</v>
      </c>
      <c r="F600">
        <f t="shared" si="29"/>
        <v>45.186999999999948</v>
      </c>
      <c r="G600">
        <f t="shared" si="28"/>
        <v>0</v>
      </c>
    </row>
    <row r="601" spans="1:7" hidden="1" x14ac:dyDescent="0.35">
      <c r="A601" s="11">
        <v>49240</v>
      </c>
      <c r="B601" s="12" t="s">
        <v>30</v>
      </c>
      <c r="C601" s="13">
        <v>29.5</v>
      </c>
      <c r="D601" s="14">
        <v>0.4</v>
      </c>
      <c r="E601">
        <f t="shared" si="27"/>
        <v>0</v>
      </c>
      <c r="F601">
        <f t="shared" si="29"/>
        <v>45.186999999999948</v>
      </c>
      <c r="G601">
        <f t="shared" si="28"/>
        <v>0</v>
      </c>
    </row>
    <row r="602" spans="1:7" hidden="1" x14ac:dyDescent="0.35">
      <c r="A602" s="7">
        <v>49241</v>
      </c>
      <c r="B602" s="8" t="s">
        <v>14</v>
      </c>
      <c r="C602" s="9">
        <v>13</v>
      </c>
      <c r="D602" s="10">
        <v>4.4000000000000004</v>
      </c>
      <c r="E602">
        <f t="shared" si="27"/>
        <v>0.57200000000000006</v>
      </c>
      <c r="F602">
        <f t="shared" si="29"/>
        <v>45.758999999999951</v>
      </c>
      <c r="G602">
        <f t="shared" si="28"/>
        <v>0</v>
      </c>
    </row>
    <row r="603" spans="1:7" hidden="1" x14ac:dyDescent="0.35">
      <c r="A603" s="11">
        <v>49242</v>
      </c>
      <c r="B603" s="12" t="s">
        <v>9</v>
      </c>
      <c r="C603" s="13">
        <v>17.100000000000001</v>
      </c>
      <c r="D603" s="14">
        <v>3.8</v>
      </c>
      <c r="E603">
        <f t="shared" si="27"/>
        <v>0.64980000000000004</v>
      </c>
      <c r="F603">
        <f t="shared" si="29"/>
        <v>46.40879999999995</v>
      </c>
      <c r="G603">
        <f t="shared" si="28"/>
        <v>0</v>
      </c>
    </row>
    <row r="604" spans="1:7" hidden="1" x14ac:dyDescent="0.35">
      <c r="A604" s="7">
        <v>49243</v>
      </c>
      <c r="B604" s="8" t="s">
        <v>27</v>
      </c>
      <c r="C604" s="9">
        <v>12.6</v>
      </c>
      <c r="D604" s="10">
        <v>0.2</v>
      </c>
      <c r="E604">
        <f t="shared" si="27"/>
        <v>0</v>
      </c>
      <c r="F604">
        <f t="shared" si="29"/>
        <v>46.40879999999995</v>
      </c>
      <c r="G604">
        <f t="shared" si="28"/>
        <v>0</v>
      </c>
    </row>
    <row r="605" spans="1:7" hidden="1" x14ac:dyDescent="0.35">
      <c r="A605" s="11">
        <v>49244</v>
      </c>
      <c r="B605" s="12" t="s">
        <v>10</v>
      </c>
      <c r="C605" s="13">
        <v>23.6</v>
      </c>
      <c r="D605" s="14">
        <v>24.1</v>
      </c>
      <c r="E605">
        <f t="shared" si="27"/>
        <v>5.6876000000000007</v>
      </c>
      <c r="F605">
        <f t="shared" si="29"/>
        <v>52.096399999999953</v>
      </c>
      <c r="G605">
        <f t="shared" si="28"/>
        <v>0</v>
      </c>
    </row>
    <row r="606" spans="1:7" hidden="1" x14ac:dyDescent="0.35">
      <c r="A606" s="7">
        <v>49245</v>
      </c>
      <c r="B606" s="8" t="s">
        <v>11</v>
      </c>
      <c r="C606" s="9">
        <v>14.9</v>
      </c>
      <c r="D606" s="10">
        <v>14.2</v>
      </c>
      <c r="E606">
        <f t="shared" si="27"/>
        <v>2.1157999999999997</v>
      </c>
      <c r="F606">
        <f t="shared" si="29"/>
        <v>54.212199999999953</v>
      </c>
      <c r="G606">
        <f t="shared" si="28"/>
        <v>0</v>
      </c>
    </row>
    <row r="607" spans="1:7" hidden="1" x14ac:dyDescent="0.35">
      <c r="A607" s="11">
        <v>49246</v>
      </c>
      <c r="B607" s="12" t="s">
        <v>12</v>
      </c>
      <c r="C607" s="13">
        <v>17</v>
      </c>
      <c r="D607" s="14">
        <v>0</v>
      </c>
      <c r="E607">
        <f t="shared" si="27"/>
        <v>0</v>
      </c>
      <c r="F607">
        <f t="shared" si="29"/>
        <v>54.212199999999953</v>
      </c>
      <c r="G607">
        <f t="shared" si="28"/>
        <v>0</v>
      </c>
    </row>
    <row r="608" spans="1:7" hidden="1" x14ac:dyDescent="0.35">
      <c r="A608" s="7">
        <v>49247</v>
      </c>
      <c r="B608" s="8" t="s">
        <v>11</v>
      </c>
      <c r="C608" s="9">
        <v>12.8</v>
      </c>
      <c r="D608" s="10">
        <v>0</v>
      </c>
      <c r="E608">
        <f t="shared" si="27"/>
        <v>0</v>
      </c>
      <c r="F608">
        <f t="shared" si="29"/>
        <v>54.212199999999953</v>
      </c>
      <c r="G608">
        <f t="shared" si="28"/>
        <v>0</v>
      </c>
    </row>
    <row r="609" spans="1:7" hidden="1" x14ac:dyDescent="0.35">
      <c r="A609" s="11">
        <v>49248</v>
      </c>
      <c r="B609" s="12" t="s">
        <v>13</v>
      </c>
      <c r="C609" s="13">
        <v>17.5</v>
      </c>
      <c r="D609" s="14">
        <v>0</v>
      </c>
      <c r="E609">
        <f t="shared" si="27"/>
        <v>0</v>
      </c>
      <c r="F609">
        <f t="shared" si="29"/>
        <v>54.212199999999953</v>
      </c>
      <c r="G609">
        <f t="shared" si="28"/>
        <v>0</v>
      </c>
    </row>
    <row r="610" spans="1:7" hidden="1" x14ac:dyDescent="0.35">
      <c r="A610" s="7">
        <v>49249</v>
      </c>
      <c r="B610" s="8" t="s">
        <v>10</v>
      </c>
      <c r="C610" s="9">
        <v>13.9</v>
      </c>
      <c r="D610" s="10">
        <v>15.3</v>
      </c>
      <c r="E610">
        <f t="shared" si="27"/>
        <v>2.1267</v>
      </c>
      <c r="F610">
        <f t="shared" si="29"/>
        <v>56.338899999999953</v>
      </c>
      <c r="G610">
        <f t="shared" si="28"/>
        <v>0</v>
      </c>
    </row>
    <row r="611" spans="1:7" hidden="1" x14ac:dyDescent="0.35">
      <c r="A611" s="11">
        <v>49250</v>
      </c>
      <c r="B611" s="12" t="s">
        <v>19</v>
      </c>
      <c r="C611" s="13">
        <v>25.9</v>
      </c>
      <c r="D611" s="14">
        <v>14.5</v>
      </c>
      <c r="E611">
        <f t="shared" si="27"/>
        <v>3.7554999999999996</v>
      </c>
      <c r="F611">
        <f t="shared" si="29"/>
        <v>60.094399999999951</v>
      </c>
      <c r="G611">
        <f t="shared" si="28"/>
        <v>0</v>
      </c>
    </row>
    <row r="612" spans="1:7" hidden="1" x14ac:dyDescent="0.35">
      <c r="A612" s="7">
        <v>49251</v>
      </c>
      <c r="B612" s="8" t="s">
        <v>17</v>
      </c>
      <c r="C612" s="9">
        <v>12.1</v>
      </c>
      <c r="D612" s="10">
        <v>0</v>
      </c>
      <c r="E612">
        <f t="shared" si="27"/>
        <v>0</v>
      </c>
      <c r="F612">
        <f t="shared" si="29"/>
        <v>60.094399999999951</v>
      </c>
      <c r="G612">
        <f t="shared" si="28"/>
        <v>0</v>
      </c>
    </row>
    <row r="613" spans="1:7" hidden="1" x14ac:dyDescent="0.35">
      <c r="A613" s="11">
        <v>49252</v>
      </c>
      <c r="B613" s="12" t="s">
        <v>7</v>
      </c>
      <c r="C613" s="13">
        <v>25.8</v>
      </c>
      <c r="D613" s="14">
        <v>12.3</v>
      </c>
      <c r="E613">
        <f t="shared" si="27"/>
        <v>3.1734000000000004</v>
      </c>
      <c r="F613">
        <f t="shared" si="29"/>
        <v>63.267799999999951</v>
      </c>
      <c r="G613">
        <f t="shared" si="28"/>
        <v>0</v>
      </c>
    </row>
    <row r="614" spans="1:7" hidden="1" x14ac:dyDescent="0.35">
      <c r="A614" s="7">
        <v>49253</v>
      </c>
      <c r="B614" s="8" t="s">
        <v>9</v>
      </c>
      <c r="C614" s="9">
        <v>29.1</v>
      </c>
      <c r="D614" s="10">
        <v>0</v>
      </c>
      <c r="E614">
        <f t="shared" si="27"/>
        <v>0</v>
      </c>
      <c r="F614">
        <f t="shared" si="29"/>
        <v>63.267799999999951</v>
      </c>
      <c r="G614">
        <f t="shared" si="28"/>
        <v>0</v>
      </c>
    </row>
    <row r="615" spans="1:7" hidden="1" x14ac:dyDescent="0.35">
      <c r="A615" s="11">
        <v>49254</v>
      </c>
      <c r="B615" s="12" t="s">
        <v>10</v>
      </c>
      <c r="C615" s="13">
        <v>13.2</v>
      </c>
      <c r="D615" s="14">
        <v>0</v>
      </c>
      <c r="E615">
        <f t="shared" si="27"/>
        <v>0</v>
      </c>
      <c r="F615">
        <f t="shared" si="29"/>
        <v>63.267799999999951</v>
      </c>
      <c r="G615">
        <f t="shared" si="28"/>
        <v>0</v>
      </c>
    </row>
    <row r="616" spans="1:7" hidden="1" x14ac:dyDescent="0.35">
      <c r="A616" s="7">
        <v>49255</v>
      </c>
      <c r="B616" s="8" t="s">
        <v>7</v>
      </c>
      <c r="C616" s="9">
        <v>29.4</v>
      </c>
      <c r="D616" s="10">
        <v>12.8</v>
      </c>
      <c r="E616">
        <f t="shared" si="27"/>
        <v>3.7631999999999999</v>
      </c>
      <c r="F616">
        <f t="shared" si="29"/>
        <v>67.030999999999949</v>
      </c>
      <c r="G616">
        <f t="shared" si="28"/>
        <v>0</v>
      </c>
    </row>
    <row r="617" spans="1:7" hidden="1" x14ac:dyDescent="0.35">
      <c r="A617" s="11">
        <v>49256</v>
      </c>
      <c r="B617" s="12" t="s">
        <v>15</v>
      </c>
      <c r="C617" s="13">
        <v>21</v>
      </c>
      <c r="D617" s="14">
        <v>0</v>
      </c>
      <c r="E617">
        <f t="shared" si="27"/>
        <v>0</v>
      </c>
      <c r="F617">
        <f t="shared" si="29"/>
        <v>67.030999999999949</v>
      </c>
      <c r="G617">
        <f t="shared" si="28"/>
        <v>0</v>
      </c>
    </row>
    <row r="618" spans="1:7" hidden="1" x14ac:dyDescent="0.35">
      <c r="A618" s="7">
        <v>49257</v>
      </c>
      <c r="B618" s="8" t="s">
        <v>6</v>
      </c>
      <c r="C618" s="9">
        <v>22.7</v>
      </c>
      <c r="D618" s="10">
        <v>12.4</v>
      </c>
      <c r="E618">
        <f t="shared" si="27"/>
        <v>2.8148</v>
      </c>
      <c r="F618">
        <f t="shared" si="29"/>
        <v>69.845799999999954</v>
      </c>
      <c r="G618">
        <f t="shared" si="28"/>
        <v>0</v>
      </c>
    </row>
    <row r="619" spans="1:7" hidden="1" x14ac:dyDescent="0.35">
      <c r="A619" s="11">
        <v>49258</v>
      </c>
      <c r="B619" s="12" t="s">
        <v>10</v>
      </c>
      <c r="C619" s="13">
        <v>25.1</v>
      </c>
      <c r="D619" s="14">
        <v>43.4</v>
      </c>
      <c r="E619">
        <f t="shared" si="27"/>
        <v>10.8934</v>
      </c>
      <c r="F619">
        <f t="shared" si="29"/>
        <v>80.739199999999954</v>
      </c>
      <c r="G619">
        <f t="shared" si="28"/>
        <v>0</v>
      </c>
    </row>
    <row r="620" spans="1:7" hidden="1" x14ac:dyDescent="0.35">
      <c r="A620" s="7">
        <v>49259</v>
      </c>
      <c r="B620" s="8" t="s">
        <v>10</v>
      </c>
      <c r="C620" s="9">
        <v>26.8</v>
      </c>
      <c r="D620" s="10">
        <v>26.9</v>
      </c>
      <c r="E620">
        <f t="shared" si="27"/>
        <v>7.2091999999999992</v>
      </c>
      <c r="F620">
        <f t="shared" si="29"/>
        <v>87.94839999999995</v>
      </c>
      <c r="G620">
        <f t="shared" si="28"/>
        <v>0</v>
      </c>
    </row>
    <row r="621" spans="1:7" hidden="1" x14ac:dyDescent="0.35">
      <c r="A621" s="11">
        <v>49260</v>
      </c>
      <c r="B621" s="12" t="s">
        <v>29</v>
      </c>
      <c r="C621" s="13">
        <v>15.9</v>
      </c>
      <c r="D621" s="14">
        <v>0.5</v>
      </c>
      <c r="E621">
        <f t="shared" si="27"/>
        <v>0</v>
      </c>
      <c r="F621">
        <f t="shared" si="29"/>
        <v>87.94839999999995</v>
      </c>
      <c r="G621">
        <f t="shared" si="28"/>
        <v>0</v>
      </c>
    </row>
    <row r="622" spans="1:7" hidden="1" x14ac:dyDescent="0.35">
      <c r="A622" s="7">
        <v>49261</v>
      </c>
      <c r="B622" s="8" t="s">
        <v>18</v>
      </c>
      <c r="C622" s="9">
        <v>27.6</v>
      </c>
      <c r="D622" s="10">
        <v>0</v>
      </c>
      <c r="E622">
        <f t="shared" si="27"/>
        <v>0</v>
      </c>
      <c r="F622">
        <f t="shared" si="29"/>
        <v>87.94839999999995</v>
      </c>
      <c r="G622">
        <f t="shared" si="28"/>
        <v>0</v>
      </c>
    </row>
    <row r="623" spans="1:7" hidden="1" x14ac:dyDescent="0.35">
      <c r="A623" s="11">
        <v>49262</v>
      </c>
      <c r="B623" s="12" t="s">
        <v>25</v>
      </c>
      <c r="C623" s="13">
        <v>20.8</v>
      </c>
      <c r="D623" s="14">
        <v>0</v>
      </c>
      <c r="E623">
        <f t="shared" si="27"/>
        <v>0</v>
      </c>
      <c r="F623">
        <f t="shared" si="29"/>
        <v>87.94839999999995</v>
      </c>
      <c r="G623">
        <f t="shared" si="28"/>
        <v>0</v>
      </c>
    </row>
    <row r="624" spans="1:7" hidden="1" x14ac:dyDescent="0.35">
      <c r="A624" s="7">
        <v>49263</v>
      </c>
      <c r="B624" s="8" t="s">
        <v>6</v>
      </c>
      <c r="C624" s="9">
        <v>23.9</v>
      </c>
      <c r="D624" s="10">
        <v>9.9</v>
      </c>
      <c r="E624">
        <f t="shared" si="27"/>
        <v>2.3660999999999999</v>
      </c>
      <c r="F624">
        <f t="shared" si="29"/>
        <v>90.314499999999953</v>
      </c>
      <c r="G624">
        <f t="shared" si="28"/>
        <v>0</v>
      </c>
    </row>
    <row r="625" spans="1:7" hidden="1" x14ac:dyDescent="0.35">
      <c r="A625" s="11">
        <v>49264</v>
      </c>
      <c r="B625" s="12" t="s">
        <v>27</v>
      </c>
      <c r="C625" s="13">
        <v>24.8</v>
      </c>
      <c r="D625" s="14">
        <v>4.7</v>
      </c>
      <c r="E625">
        <f t="shared" si="27"/>
        <v>1.1656</v>
      </c>
      <c r="F625">
        <f t="shared" si="29"/>
        <v>91.48009999999995</v>
      </c>
      <c r="G625">
        <f t="shared" si="28"/>
        <v>0</v>
      </c>
    </row>
    <row r="626" spans="1:7" hidden="1" x14ac:dyDescent="0.35">
      <c r="A626" s="7">
        <v>49265</v>
      </c>
      <c r="B626" s="8" t="s">
        <v>19</v>
      </c>
      <c r="C626" s="9">
        <v>16.3</v>
      </c>
      <c r="D626" s="10">
        <v>0</v>
      </c>
      <c r="E626">
        <f t="shared" si="27"/>
        <v>0</v>
      </c>
      <c r="F626">
        <f t="shared" si="29"/>
        <v>91.48009999999995</v>
      </c>
      <c r="G626">
        <f t="shared" si="28"/>
        <v>0</v>
      </c>
    </row>
    <row r="627" spans="1:7" hidden="1" x14ac:dyDescent="0.35">
      <c r="A627" s="11">
        <v>49266</v>
      </c>
      <c r="B627" s="12" t="s">
        <v>18</v>
      </c>
      <c r="C627" s="13">
        <v>20.100000000000001</v>
      </c>
      <c r="D627" s="14">
        <v>0</v>
      </c>
      <c r="E627">
        <f t="shared" si="27"/>
        <v>0</v>
      </c>
      <c r="F627">
        <f t="shared" si="29"/>
        <v>91.48009999999995</v>
      </c>
      <c r="G627">
        <f t="shared" si="28"/>
        <v>0</v>
      </c>
    </row>
    <row r="628" spans="1:7" hidden="1" x14ac:dyDescent="0.35">
      <c r="A628" s="7">
        <v>49267</v>
      </c>
      <c r="B628" s="8" t="s">
        <v>22</v>
      </c>
      <c r="C628" s="9">
        <v>25.9</v>
      </c>
      <c r="D628" s="10">
        <v>8.9</v>
      </c>
      <c r="E628">
        <f t="shared" si="27"/>
        <v>2.3050999999999999</v>
      </c>
      <c r="F628">
        <f t="shared" si="29"/>
        <v>93.785199999999946</v>
      </c>
      <c r="G628">
        <f t="shared" si="28"/>
        <v>0</v>
      </c>
    </row>
    <row r="629" spans="1:7" hidden="1" x14ac:dyDescent="0.35">
      <c r="A629" s="11">
        <v>49268</v>
      </c>
      <c r="B629" s="12" t="s">
        <v>19</v>
      </c>
      <c r="C629" s="13">
        <v>27.3</v>
      </c>
      <c r="D629" s="14">
        <v>15.8</v>
      </c>
      <c r="E629">
        <f t="shared" si="27"/>
        <v>4.3134000000000006</v>
      </c>
      <c r="F629">
        <f t="shared" si="29"/>
        <v>98.098599999999948</v>
      </c>
      <c r="G629">
        <f t="shared" si="28"/>
        <v>0</v>
      </c>
    </row>
    <row r="630" spans="1:7" hidden="1" x14ac:dyDescent="0.35">
      <c r="A630" s="7">
        <v>49269</v>
      </c>
      <c r="B630" s="8" t="s">
        <v>6</v>
      </c>
      <c r="C630" s="9">
        <v>19.100000000000001</v>
      </c>
      <c r="D630" s="10">
        <v>6.3</v>
      </c>
      <c r="E630">
        <f t="shared" si="27"/>
        <v>1.2033</v>
      </c>
      <c r="F630">
        <f t="shared" si="29"/>
        <v>99.301899999999947</v>
      </c>
      <c r="G630">
        <f t="shared" si="28"/>
        <v>0</v>
      </c>
    </row>
    <row r="631" spans="1:7" hidden="1" x14ac:dyDescent="0.35">
      <c r="A631" s="11">
        <v>49270</v>
      </c>
      <c r="B631" s="12" t="s">
        <v>10</v>
      </c>
      <c r="C631" s="13">
        <v>16.899999999999999</v>
      </c>
      <c r="D631" s="14">
        <v>0</v>
      </c>
      <c r="E631">
        <f t="shared" si="27"/>
        <v>0</v>
      </c>
      <c r="F631">
        <f t="shared" si="29"/>
        <v>99.301899999999947</v>
      </c>
      <c r="G631">
        <f t="shared" si="28"/>
        <v>0</v>
      </c>
    </row>
    <row r="632" spans="1:7" x14ac:dyDescent="0.35">
      <c r="A632" s="7">
        <v>49271</v>
      </c>
      <c r="B632" s="8" t="s">
        <v>7</v>
      </c>
      <c r="C632" s="9">
        <v>13.4</v>
      </c>
      <c r="D632" s="10">
        <v>20.100000000000001</v>
      </c>
      <c r="E632">
        <f t="shared" si="27"/>
        <v>2.6934000000000005</v>
      </c>
      <c r="F632">
        <f t="shared" si="29"/>
        <v>101.99529999999994</v>
      </c>
      <c r="G632">
        <f t="shared" si="28"/>
        <v>1</v>
      </c>
    </row>
    <row r="633" spans="1:7" hidden="1" x14ac:dyDescent="0.35">
      <c r="A633" s="11">
        <v>49272</v>
      </c>
      <c r="B633" s="12" t="s">
        <v>24</v>
      </c>
      <c r="C633" s="13">
        <v>24.8</v>
      </c>
      <c r="D633" s="14">
        <v>0.4</v>
      </c>
      <c r="E633">
        <f t="shared" si="27"/>
        <v>0</v>
      </c>
      <c r="F633">
        <f t="shared" si="29"/>
        <v>1.9952999999999435</v>
      </c>
      <c r="G633">
        <f t="shared" si="28"/>
        <v>0</v>
      </c>
    </row>
    <row r="634" spans="1:7" hidden="1" x14ac:dyDescent="0.35">
      <c r="A634" s="7">
        <v>49273</v>
      </c>
      <c r="B634" s="8" t="s">
        <v>17</v>
      </c>
      <c r="C634" s="9">
        <v>28.4</v>
      </c>
      <c r="D634" s="10">
        <v>1.6</v>
      </c>
      <c r="E634">
        <f t="shared" si="27"/>
        <v>0.45439999999999997</v>
      </c>
      <c r="F634">
        <f t="shared" si="29"/>
        <v>2.4496999999999436</v>
      </c>
      <c r="G634">
        <f t="shared" si="28"/>
        <v>0</v>
      </c>
    </row>
    <row r="635" spans="1:7" hidden="1" x14ac:dyDescent="0.35">
      <c r="A635" s="11">
        <v>49274</v>
      </c>
      <c r="B635" s="12" t="s">
        <v>23</v>
      </c>
      <c r="C635" s="13">
        <v>25.3</v>
      </c>
      <c r="D635" s="14">
        <v>1.8</v>
      </c>
      <c r="E635">
        <f t="shared" si="27"/>
        <v>0.45539999999999997</v>
      </c>
      <c r="F635">
        <f t="shared" si="29"/>
        <v>2.9050999999999436</v>
      </c>
      <c r="G635">
        <f t="shared" si="28"/>
        <v>0</v>
      </c>
    </row>
    <row r="636" spans="1:7" hidden="1" x14ac:dyDescent="0.35">
      <c r="A636" s="7">
        <v>49275</v>
      </c>
      <c r="B636" s="8" t="s">
        <v>18</v>
      </c>
      <c r="C636" s="9">
        <v>25.9</v>
      </c>
      <c r="D636" s="10">
        <v>1.6</v>
      </c>
      <c r="E636">
        <f t="shared" si="27"/>
        <v>0.41439999999999999</v>
      </c>
      <c r="F636">
        <f t="shared" si="29"/>
        <v>3.3194999999999437</v>
      </c>
      <c r="G636">
        <f t="shared" si="28"/>
        <v>0</v>
      </c>
    </row>
    <row r="637" spans="1:7" hidden="1" x14ac:dyDescent="0.35">
      <c r="A637" s="11">
        <v>49276</v>
      </c>
      <c r="B637" s="12" t="s">
        <v>6</v>
      </c>
      <c r="C637" s="13">
        <v>12.2</v>
      </c>
      <c r="D637" s="14">
        <v>0.8</v>
      </c>
      <c r="E637">
        <f t="shared" si="27"/>
        <v>0</v>
      </c>
      <c r="F637">
        <f t="shared" si="29"/>
        <v>3.3194999999999437</v>
      </c>
      <c r="G637">
        <f t="shared" si="28"/>
        <v>0</v>
      </c>
    </row>
    <row r="638" spans="1:7" hidden="1" x14ac:dyDescent="0.35">
      <c r="A638" s="7">
        <v>49277</v>
      </c>
      <c r="B638" s="8" t="s">
        <v>33</v>
      </c>
      <c r="C638" s="9">
        <v>22.8</v>
      </c>
      <c r="D638" s="10">
        <v>2.2999999999999998</v>
      </c>
      <c r="E638">
        <f t="shared" si="27"/>
        <v>0.52439999999999998</v>
      </c>
      <c r="F638">
        <f t="shared" si="29"/>
        <v>3.8438999999999437</v>
      </c>
      <c r="G638">
        <f t="shared" si="28"/>
        <v>0</v>
      </c>
    </row>
    <row r="639" spans="1:7" hidden="1" x14ac:dyDescent="0.35">
      <c r="A639" s="11">
        <v>49278</v>
      </c>
      <c r="B639" s="12" t="s">
        <v>19</v>
      </c>
      <c r="C639" s="13">
        <v>12.7</v>
      </c>
      <c r="D639" s="14">
        <v>0</v>
      </c>
      <c r="E639">
        <f t="shared" si="27"/>
        <v>0</v>
      </c>
      <c r="F639">
        <f t="shared" si="29"/>
        <v>3.8438999999999437</v>
      </c>
      <c r="G639">
        <f t="shared" si="28"/>
        <v>0</v>
      </c>
    </row>
    <row r="640" spans="1:7" hidden="1" x14ac:dyDescent="0.35">
      <c r="A640" s="7">
        <v>49279</v>
      </c>
      <c r="B640" s="8" t="s">
        <v>26</v>
      </c>
      <c r="C640" s="9">
        <v>13</v>
      </c>
      <c r="D640" s="10">
        <v>5.0999999999999996</v>
      </c>
      <c r="E640">
        <f t="shared" si="27"/>
        <v>0.66299999999999992</v>
      </c>
      <c r="F640">
        <f t="shared" si="29"/>
        <v>4.506899999999944</v>
      </c>
      <c r="G640">
        <f t="shared" si="28"/>
        <v>0</v>
      </c>
    </row>
    <row r="641" spans="1:7" hidden="1" x14ac:dyDescent="0.35">
      <c r="A641" s="11">
        <v>49280</v>
      </c>
      <c r="B641" s="12" t="s">
        <v>10</v>
      </c>
      <c r="C641" s="13">
        <v>13.5</v>
      </c>
      <c r="D641" s="14">
        <v>4.9000000000000004</v>
      </c>
      <c r="E641">
        <f t="shared" si="27"/>
        <v>0.66150000000000009</v>
      </c>
      <c r="F641">
        <f t="shared" si="29"/>
        <v>5.1683999999999441</v>
      </c>
      <c r="G641">
        <f t="shared" si="28"/>
        <v>0</v>
      </c>
    </row>
    <row r="642" spans="1:7" hidden="1" x14ac:dyDescent="0.35">
      <c r="A642" s="7">
        <v>49281</v>
      </c>
      <c r="B642" s="8" t="s">
        <v>13</v>
      </c>
      <c r="C642" s="9">
        <v>17.8</v>
      </c>
      <c r="D642" s="10">
        <v>5</v>
      </c>
      <c r="E642">
        <f t="shared" si="27"/>
        <v>0.89</v>
      </c>
      <c r="F642">
        <f t="shared" si="29"/>
        <v>6.0583999999999438</v>
      </c>
      <c r="G642">
        <f t="shared" si="28"/>
        <v>0</v>
      </c>
    </row>
    <row r="643" spans="1:7" hidden="1" x14ac:dyDescent="0.35">
      <c r="A643" s="11">
        <v>49282</v>
      </c>
      <c r="B643" s="12" t="s">
        <v>10</v>
      </c>
      <c r="C643" s="13">
        <v>21.5</v>
      </c>
      <c r="D643" s="14">
        <v>47.1</v>
      </c>
      <c r="E643">
        <f t="shared" ref="E643:E706" si="30">IF(D643&gt;=1,C643*D643/100,0)</f>
        <v>10.1265</v>
      </c>
      <c r="F643">
        <f t="shared" si="29"/>
        <v>16.184899999999942</v>
      </c>
      <c r="G643">
        <f t="shared" ref="G643:G706" si="31">IF(F643&gt;=100,1,0)</f>
        <v>0</v>
      </c>
    </row>
    <row r="644" spans="1:7" hidden="1" x14ac:dyDescent="0.35">
      <c r="A644" s="7">
        <v>49283</v>
      </c>
      <c r="B644" s="8" t="s">
        <v>8</v>
      </c>
      <c r="C644" s="9">
        <v>20.5</v>
      </c>
      <c r="D644" s="10">
        <v>0.1</v>
      </c>
      <c r="E644">
        <f t="shared" si="30"/>
        <v>0</v>
      </c>
      <c r="F644">
        <f t="shared" ref="F644:F707" si="32">IF(G643=1,E644+F643-100,F643+E644)</f>
        <v>16.184899999999942</v>
      </c>
      <c r="G644">
        <f t="shared" si="31"/>
        <v>0</v>
      </c>
    </row>
    <row r="645" spans="1:7" hidden="1" x14ac:dyDescent="0.35">
      <c r="A645" s="11">
        <v>49284</v>
      </c>
      <c r="B645" s="12" t="s">
        <v>13</v>
      </c>
      <c r="C645" s="13">
        <v>14.4</v>
      </c>
      <c r="D645" s="14">
        <v>0</v>
      </c>
      <c r="E645">
        <f t="shared" si="30"/>
        <v>0</v>
      </c>
      <c r="F645">
        <f t="shared" si="32"/>
        <v>16.184899999999942</v>
      </c>
      <c r="G645">
        <f t="shared" si="31"/>
        <v>0</v>
      </c>
    </row>
    <row r="646" spans="1:7" hidden="1" x14ac:dyDescent="0.35">
      <c r="A646" s="7">
        <v>49285</v>
      </c>
      <c r="B646" s="8" t="s">
        <v>15</v>
      </c>
      <c r="C646" s="9">
        <v>12.3</v>
      </c>
      <c r="D646" s="10">
        <v>0</v>
      </c>
      <c r="E646">
        <f t="shared" si="30"/>
        <v>0</v>
      </c>
      <c r="F646">
        <f t="shared" si="32"/>
        <v>16.184899999999942</v>
      </c>
      <c r="G646">
        <f t="shared" si="31"/>
        <v>0</v>
      </c>
    </row>
    <row r="647" spans="1:7" hidden="1" x14ac:dyDescent="0.35">
      <c r="A647" s="11">
        <v>49286</v>
      </c>
      <c r="B647" s="12" t="s">
        <v>13</v>
      </c>
      <c r="C647" s="13">
        <v>26.5</v>
      </c>
      <c r="D647" s="14">
        <v>14</v>
      </c>
      <c r="E647">
        <f t="shared" si="30"/>
        <v>3.71</v>
      </c>
      <c r="F647">
        <f t="shared" si="32"/>
        <v>19.894899999999943</v>
      </c>
      <c r="G647">
        <f t="shared" si="31"/>
        <v>0</v>
      </c>
    </row>
    <row r="648" spans="1:7" hidden="1" x14ac:dyDescent="0.35">
      <c r="A648" s="7">
        <v>49287</v>
      </c>
      <c r="B648" s="8" t="s">
        <v>13</v>
      </c>
      <c r="C648" s="9">
        <v>17.7</v>
      </c>
      <c r="D648" s="10">
        <v>0</v>
      </c>
      <c r="E648">
        <f t="shared" si="30"/>
        <v>0</v>
      </c>
      <c r="F648">
        <f t="shared" si="32"/>
        <v>19.894899999999943</v>
      </c>
      <c r="G648">
        <f t="shared" si="31"/>
        <v>0</v>
      </c>
    </row>
    <row r="649" spans="1:7" hidden="1" x14ac:dyDescent="0.35">
      <c r="A649" s="11">
        <v>49288</v>
      </c>
      <c r="B649" s="12" t="s">
        <v>26</v>
      </c>
      <c r="C649" s="13">
        <v>15.7</v>
      </c>
      <c r="D649" s="14">
        <v>1</v>
      </c>
      <c r="E649">
        <f t="shared" si="30"/>
        <v>0.157</v>
      </c>
      <c r="F649">
        <f t="shared" si="32"/>
        <v>20.051899999999943</v>
      </c>
      <c r="G649">
        <f t="shared" si="31"/>
        <v>0</v>
      </c>
    </row>
    <row r="650" spans="1:7" hidden="1" x14ac:dyDescent="0.35">
      <c r="A650" s="7">
        <v>49289</v>
      </c>
      <c r="B650" s="8" t="s">
        <v>20</v>
      </c>
      <c r="C650" s="9">
        <v>16.2</v>
      </c>
      <c r="D650" s="10">
        <v>0</v>
      </c>
      <c r="E650">
        <f t="shared" si="30"/>
        <v>0</v>
      </c>
      <c r="F650">
        <f t="shared" si="32"/>
        <v>20.051899999999943</v>
      </c>
      <c r="G650">
        <f t="shared" si="31"/>
        <v>0</v>
      </c>
    </row>
    <row r="651" spans="1:7" hidden="1" x14ac:dyDescent="0.35">
      <c r="A651" s="11">
        <v>49290</v>
      </c>
      <c r="B651" s="12" t="s">
        <v>21</v>
      </c>
      <c r="C651" s="13">
        <v>18.600000000000001</v>
      </c>
      <c r="D651" s="14">
        <v>1.4</v>
      </c>
      <c r="E651">
        <f t="shared" si="30"/>
        <v>0.26039999999999996</v>
      </c>
      <c r="F651">
        <f t="shared" si="32"/>
        <v>20.312299999999944</v>
      </c>
      <c r="G651">
        <f t="shared" si="31"/>
        <v>0</v>
      </c>
    </row>
    <row r="652" spans="1:7" hidden="1" x14ac:dyDescent="0.35">
      <c r="A652" s="7">
        <v>49291</v>
      </c>
      <c r="B652" s="8" t="s">
        <v>18</v>
      </c>
      <c r="C652" s="9">
        <v>23.9</v>
      </c>
      <c r="D652" s="10">
        <v>4</v>
      </c>
      <c r="E652">
        <f t="shared" si="30"/>
        <v>0.95599999999999996</v>
      </c>
      <c r="F652">
        <f t="shared" si="32"/>
        <v>21.268299999999943</v>
      </c>
      <c r="G652">
        <f t="shared" si="31"/>
        <v>0</v>
      </c>
    </row>
    <row r="653" spans="1:7" hidden="1" x14ac:dyDescent="0.35">
      <c r="A653" s="11">
        <v>49292</v>
      </c>
      <c r="B653" s="12" t="s">
        <v>10</v>
      </c>
      <c r="C653" s="13">
        <v>15.8</v>
      </c>
      <c r="D653" s="14">
        <v>50.3</v>
      </c>
      <c r="E653">
        <f t="shared" si="30"/>
        <v>7.9474</v>
      </c>
      <c r="F653">
        <f t="shared" si="32"/>
        <v>29.215699999999941</v>
      </c>
      <c r="G653">
        <f t="shared" si="31"/>
        <v>0</v>
      </c>
    </row>
    <row r="654" spans="1:7" hidden="1" x14ac:dyDescent="0.35">
      <c r="A654" s="7">
        <v>49293</v>
      </c>
      <c r="B654" s="8" t="s">
        <v>12</v>
      </c>
      <c r="C654" s="9">
        <v>26.2</v>
      </c>
      <c r="D654" s="10">
        <v>8.5</v>
      </c>
      <c r="E654">
        <f t="shared" si="30"/>
        <v>2.2269999999999999</v>
      </c>
      <c r="F654">
        <f t="shared" si="32"/>
        <v>31.442699999999942</v>
      </c>
      <c r="G654">
        <f t="shared" si="31"/>
        <v>0</v>
      </c>
    </row>
    <row r="655" spans="1:7" hidden="1" x14ac:dyDescent="0.35">
      <c r="A655" s="11">
        <v>49294</v>
      </c>
      <c r="B655" s="12" t="s">
        <v>10</v>
      </c>
      <c r="C655" s="13">
        <v>23.1</v>
      </c>
      <c r="D655" s="14">
        <v>0</v>
      </c>
      <c r="E655">
        <f t="shared" si="30"/>
        <v>0</v>
      </c>
      <c r="F655">
        <f t="shared" si="32"/>
        <v>31.442699999999942</v>
      </c>
      <c r="G655">
        <f t="shared" si="31"/>
        <v>0</v>
      </c>
    </row>
    <row r="656" spans="1:7" hidden="1" x14ac:dyDescent="0.35">
      <c r="A656" s="7">
        <v>49295</v>
      </c>
      <c r="B656" s="8" t="s">
        <v>21</v>
      </c>
      <c r="C656" s="9">
        <v>10.8</v>
      </c>
      <c r="D656" s="10">
        <v>0</v>
      </c>
      <c r="E656">
        <f t="shared" si="30"/>
        <v>0</v>
      </c>
      <c r="F656">
        <f t="shared" si="32"/>
        <v>31.442699999999942</v>
      </c>
      <c r="G656">
        <f t="shared" si="31"/>
        <v>0</v>
      </c>
    </row>
    <row r="657" spans="1:7" hidden="1" x14ac:dyDescent="0.35">
      <c r="A657" s="11">
        <v>49296</v>
      </c>
      <c r="B657" s="12" t="s">
        <v>18</v>
      </c>
      <c r="C657" s="13">
        <v>21.2</v>
      </c>
      <c r="D657" s="14">
        <v>16.100000000000001</v>
      </c>
      <c r="E657">
        <f t="shared" si="30"/>
        <v>3.4131999999999998</v>
      </c>
      <c r="F657">
        <f t="shared" si="32"/>
        <v>34.855899999999941</v>
      </c>
      <c r="G657">
        <f t="shared" si="31"/>
        <v>0</v>
      </c>
    </row>
    <row r="658" spans="1:7" hidden="1" x14ac:dyDescent="0.35">
      <c r="A658" s="7">
        <v>49297</v>
      </c>
      <c r="B658" s="8" t="s">
        <v>7</v>
      </c>
      <c r="C658" s="9">
        <v>26.3</v>
      </c>
      <c r="D658" s="10">
        <v>21.1</v>
      </c>
      <c r="E658">
        <f t="shared" si="30"/>
        <v>5.5493000000000006</v>
      </c>
      <c r="F658">
        <f t="shared" si="32"/>
        <v>40.405199999999944</v>
      </c>
      <c r="G658">
        <f t="shared" si="31"/>
        <v>0</v>
      </c>
    </row>
    <row r="659" spans="1:7" hidden="1" x14ac:dyDescent="0.35">
      <c r="A659" s="11">
        <v>49298</v>
      </c>
      <c r="B659" s="12" t="s">
        <v>7</v>
      </c>
      <c r="C659" s="13">
        <v>22.8</v>
      </c>
      <c r="D659" s="14">
        <v>22.7</v>
      </c>
      <c r="E659">
        <f t="shared" si="30"/>
        <v>5.1755999999999993</v>
      </c>
      <c r="F659">
        <f t="shared" si="32"/>
        <v>45.58079999999994</v>
      </c>
      <c r="G659">
        <f t="shared" si="31"/>
        <v>0</v>
      </c>
    </row>
    <row r="660" spans="1:7" hidden="1" x14ac:dyDescent="0.35">
      <c r="A660" s="7">
        <v>49299</v>
      </c>
      <c r="B660" s="8" t="s">
        <v>18</v>
      </c>
      <c r="C660" s="9">
        <v>24</v>
      </c>
      <c r="D660" s="10">
        <v>11.5</v>
      </c>
      <c r="E660">
        <f t="shared" si="30"/>
        <v>2.76</v>
      </c>
      <c r="F660">
        <f t="shared" si="32"/>
        <v>48.340799999999938</v>
      </c>
      <c r="G660">
        <f t="shared" si="31"/>
        <v>0</v>
      </c>
    </row>
    <row r="661" spans="1:7" hidden="1" x14ac:dyDescent="0.35">
      <c r="A661" s="11">
        <v>49300</v>
      </c>
      <c r="B661" s="12" t="s">
        <v>14</v>
      </c>
      <c r="C661" s="13">
        <v>16.8</v>
      </c>
      <c r="D661" s="14">
        <v>2</v>
      </c>
      <c r="E661">
        <f t="shared" si="30"/>
        <v>0.33600000000000002</v>
      </c>
      <c r="F661">
        <f t="shared" si="32"/>
        <v>48.676799999999936</v>
      </c>
      <c r="G661">
        <f t="shared" si="31"/>
        <v>0</v>
      </c>
    </row>
    <row r="662" spans="1:7" hidden="1" x14ac:dyDescent="0.35">
      <c r="A662" s="7">
        <v>49301</v>
      </c>
      <c r="B662" s="8" t="s">
        <v>13</v>
      </c>
      <c r="C662" s="9">
        <v>12.5</v>
      </c>
      <c r="D662" s="10">
        <v>4.7</v>
      </c>
      <c r="E662">
        <f t="shared" si="30"/>
        <v>0.58750000000000002</v>
      </c>
      <c r="F662">
        <f t="shared" si="32"/>
        <v>49.264299999999935</v>
      </c>
      <c r="G662">
        <f t="shared" si="31"/>
        <v>0</v>
      </c>
    </row>
    <row r="663" spans="1:7" hidden="1" x14ac:dyDescent="0.35">
      <c r="A663" s="11">
        <v>49302</v>
      </c>
      <c r="B663" s="12" t="s">
        <v>10</v>
      </c>
      <c r="C663" s="13">
        <v>15</v>
      </c>
      <c r="D663" s="14">
        <v>1.7</v>
      </c>
      <c r="E663">
        <f t="shared" si="30"/>
        <v>0.255</v>
      </c>
      <c r="F663">
        <f t="shared" si="32"/>
        <v>49.519299999999937</v>
      </c>
      <c r="G663">
        <f t="shared" si="31"/>
        <v>0</v>
      </c>
    </row>
    <row r="664" spans="1:7" hidden="1" x14ac:dyDescent="0.35">
      <c r="A664" s="7">
        <v>49303</v>
      </c>
      <c r="B664" s="8" t="s">
        <v>18</v>
      </c>
      <c r="C664" s="9">
        <v>16.2</v>
      </c>
      <c r="D664" s="10">
        <v>0</v>
      </c>
      <c r="E664">
        <f t="shared" si="30"/>
        <v>0</v>
      </c>
      <c r="F664">
        <f t="shared" si="32"/>
        <v>49.519299999999937</v>
      </c>
      <c r="G664">
        <f t="shared" si="31"/>
        <v>0</v>
      </c>
    </row>
    <row r="665" spans="1:7" hidden="1" x14ac:dyDescent="0.35">
      <c r="A665" s="11">
        <v>49304</v>
      </c>
      <c r="B665" s="12" t="s">
        <v>7</v>
      </c>
      <c r="C665" s="13">
        <v>29.3</v>
      </c>
      <c r="D665" s="14">
        <v>0</v>
      </c>
      <c r="E665">
        <f t="shared" si="30"/>
        <v>0</v>
      </c>
      <c r="F665">
        <f t="shared" si="32"/>
        <v>49.519299999999937</v>
      </c>
      <c r="G665">
        <f t="shared" si="31"/>
        <v>0</v>
      </c>
    </row>
    <row r="666" spans="1:7" hidden="1" x14ac:dyDescent="0.35">
      <c r="A666" s="7">
        <v>49305</v>
      </c>
      <c r="B666" s="8" t="s">
        <v>32</v>
      </c>
      <c r="C666" s="9">
        <v>26.4</v>
      </c>
      <c r="D666" s="10">
        <v>0.2</v>
      </c>
      <c r="E666">
        <f t="shared" si="30"/>
        <v>0</v>
      </c>
      <c r="F666">
        <f t="shared" si="32"/>
        <v>49.519299999999937</v>
      </c>
      <c r="G666">
        <f t="shared" si="31"/>
        <v>0</v>
      </c>
    </row>
    <row r="667" spans="1:7" hidden="1" x14ac:dyDescent="0.35">
      <c r="A667" s="11">
        <v>49306</v>
      </c>
      <c r="B667" s="12" t="s">
        <v>18</v>
      </c>
      <c r="C667" s="13">
        <v>23</v>
      </c>
      <c r="D667" s="14">
        <v>0</v>
      </c>
      <c r="E667">
        <f t="shared" si="30"/>
        <v>0</v>
      </c>
      <c r="F667">
        <f t="shared" si="32"/>
        <v>49.519299999999937</v>
      </c>
      <c r="G667">
        <f t="shared" si="31"/>
        <v>0</v>
      </c>
    </row>
    <row r="668" spans="1:7" hidden="1" x14ac:dyDescent="0.35">
      <c r="A668" s="7">
        <v>49307</v>
      </c>
      <c r="B668" s="8" t="s">
        <v>11</v>
      </c>
      <c r="C668" s="9">
        <v>25.4</v>
      </c>
      <c r="D668" s="10">
        <v>1.2</v>
      </c>
      <c r="E668">
        <f t="shared" si="30"/>
        <v>0.30479999999999996</v>
      </c>
      <c r="F668">
        <f t="shared" si="32"/>
        <v>49.824099999999937</v>
      </c>
      <c r="G668">
        <f t="shared" si="31"/>
        <v>0</v>
      </c>
    </row>
    <row r="669" spans="1:7" hidden="1" x14ac:dyDescent="0.35">
      <c r="A669" s="11">
        <v>49308</v>
      </c>
      <c r="B669" s="12" t="s">
        <v>10</v>
      </c>
      <c r="C669" s="13">
        <v>24.5</v>
      </c>
      <c r="D669" s="14">
        <v>22.5</v>
      </c>
      <c r="E669">
        <f t="shared" si="30"/>
        <v>5.5125000000000002</v>
      </c>
      <c r="F669">
        <f t="shared" si="32"/>
        <v>55.33659999999994</v>
      </c>
      <c r="G669">
        <f t="shared" si="31"/>
        <v>0</v>
      </c>
    </row>
    <row r="670" spans="1:7" hidden="1" x14ac:dyDescent="0.35">
      <c r="A670" s="7">
        <v>49309</v>
      </c>
      <c r="B670" s="8" t="s">
        <v>19</v>
      </c>
      <c r="C670" s="9">
        <v>19</v>
      </c>
      <c r="D670" s="10">
        <v>18.899999999999999</v>
      </c>
      <c r="E670">
        <f t="shared" si="30"/>
        <v>3.5909999999999997</v>
      </c>
      <c r="F670">
        <f t="shared" si="32"/>
        <v>58.927599999999941</v>
      </c>
      <c r="G670">
        <f t="shared" si="31"/>
        <v>0</v>
      </c>
    </row>
    <row r="671" spans="1:7" hidden="1" x14ac:dyDescent="0.35">
      <c r="A671" s="11">
        <v>49310</v>
      </c>
      <c r="B671" s="12" t="s">
        <v>19</v>
      </c>
      <c r="C671" s="13">
        <v>10</v>
      </c>
      <c r="D671" s="14">
        <v>7.6</v>
      </c>
      <c r="E671">
        <f t="shared" si="30"/>
        <v>0.76</v>
      </c>
      <c r="F671">
        <f t="shared" si="32"/>
        <v>59.687599999999939</v>
      </c>
      <c r="G671">
        <f t="shared" si="31"/>
        <v>0</v>
      </c>
    </row>
    <row r="672" spans="1:7" hidden="1" x14ac:dyDescent="0.35">
      <c r="A672" s="7">
        <v>49311</v>
      </c>
      <c r="B672" s="8" t="s">
        <v>10</v>
      </c>
      <c r="C672" s="9">
        <v>10.4</v>
      </c>
      <c r="D672" s="10">
        <v>20.6</v>
      </c>
      <c r="E672">
        <f t="shared" si="30"/>
        <v>2.1424000000000003</v>
      </c>
      <c r="F672">
        <f t="shared" si="32"/>
        <v>61.829999999999941</v>
      </c>
      <c r="G672">
        <f t="shared" si="31"/>
        <v>0</v>
      </c>
    </row>
    <row r="673" spans="1:7" hidden="1" x14ac:dyDescent="0.35">
      <c r="A673" s="11">
        <v>49312</v>
      </c>
      <c r="B673" s="12" t="s">
        <v>21</v>
      </c>
      <c r="C673" s="13">
        <v>10.5</v>
      </c>
      <c r="D673" s="14">
        <v>0</v>
      </c>
      <c r="E673">
        <f t="shared" si="30"/>
        <v>0</v>
      </c>
      <c r="F673">
        <f t="shared" si="32"/>
        <v>61.829999999999941</v>
      </c>
      <c r="G673">
        <f t="shared" si="31"/>
        <v>0</v>
      </c>
    </row>
    <row r="674" spans="1:7" hidden="1" x14ac:dyDescent="0.35">
      <c r="A674" s="7">
        <v>49313</v>
      </c>
      <c r="B674" s="8" t="s">
        <v>6</v>
      </c>
      <c r="C674" s="9">
        <v>12.1</v>
      </c>
      <c r="D674" s="10">
        <v>8.8000000000000007</v>
      </c>
      <c r="E674">
        <f t="shared" si="30"/>
        <v>1.0648</v>
      </c>
      <c r="F674">
        <f t="shared" si="32"/>
        <v>62.89479999999994</v>
      </c>
      <c r="G674">
        <f t="shared" si="31"/>
        <v>0</v>
      </c>
    </row>
    <row r="675" spans="1:7" hidden="1" x14ac:dyDescent="0.35">
      <c r="A675" s="11">
        <v>49314</v>
      </c>
      <c r="B675" s="12" t="s">
        <v>10</v>
      </c>
      <c r="C675" s="13">
        <v>20.5</v>
      </c>
      <c r="D675" s="14">
        <v>0</v>
      </c>
      <c r="E675">
        <f t="shared" si="30"/>
        <v>0</v>
      </c>
      <c r="F675">
        <f t="shared" si="32"/>
        <v>62.89479999999994</v>
      </c>
      <c r="G675">
        <f t="shared" si="31"/>
        <v>0</v>
      </c>
    </row>
    <row r="676" spans="1:7" hidden="1" x14ac:dyDescent="0.35">
      <c r="A676" s="7">
        <v>49315</v>
      </c>
      <c r="B676" s="8" t="s">
        <v>13</v>
      </c>
      <c r="C676" s="9">
        <v>13.1</v>
      </c>
      <c r="D676" s="10">
        <v>0</v>
      </c>
      <c r="E676">
        <f t="shared" si="30"/>
        <v>0</v>
      </c>
      <c r="F676">
        <f t="shared" si="32"/>
        <v>62.89479999999994</v>
      </c>
      <c r="G676">
        <f t="shared" si="31"/>
        <v>0</v>
      </c>
    </row>
    <row r="677" spans="1:7" hidden="1" x14ac:dyDescent="0.35">
      <c r="A677" s="11">
        <v>49316</v>
      </c>
      <c r="B677" s="12" t="s">
        <v>26</v>
      </c>
      <c r="C677" s="13">
        <v>29.8</v>
      </c>
      <c r="D677" s="14">
        <v>1.1000000000000001</v>
      </c>
      <c r="E677">
        <f t="shared" si="30"/>
        <v>0.32780000000000004</v>
      </c>
      <c r="F677">
        <f t="shared" si="32"/>
        <v>63.222599999999943</v>
      </c>
      <c r="G677">
        <f t="shared" si="31"/>
        <v>0</v>
      </c>
    </row>
    <row r="678" spans="1:7" hidden="1" x14ac:dyDescent="0.35">
      <c r="A678" s="7">
        <v>49317</v>
      </c>
      <c r="B678" s="8" t="s">
        <v>15</v>
      </c>
      <c r="C678" s="9">
        <v>17.100000000000001</v>
      </c>
      <c r="D678" s="10">
        <v>5.5</v>
      </c>
      <c r="E678">
        <f t="shared" si="30"/>
        <v>0.94050000000000011</v>
      </c>
      <c r="F678">
        <f t="shared" si="32"/>
        <v>64.163099999999943</v>
      </c>
      <c r="G678">
        <f t="shared" si="31"/>
        <v>0</v>
      </c>
    </row>
    <row r="679" spans="1:7" hidden="1" x14ac:dyDescent="0.35">
      <c r="A679" s="11">
        <v>49318</v>
      </c>
      <c r="B679" s="12" t="s">
        <v>14</v>
      </c>
      <c r="C679" s="13">
        <v>29.1</v>
      </c>
      <c r="D679" s="14">
        <v>0.4</v>
      </c>
      <c r="E679">
        <f t="shared" si="30"/>
        <v>0</v>
      </c>
      <c r="F679">
        <f t="shared" si="32"/>
        <v>64.163099999999943</v>
      </c>
      <c r="G679">
        <f t="shared" si="31"/>
        <v>0</v>
      </c>
    </row>
    <row r="680" spans="1:7" hidden="1" x14ac:dyDescent="0.35">
      <c r="A680" s="7">
        <v>49319</v>
      </c>
      <c r="B680" s="8" t="s">
        <v>18</v>
      </c>
      <c r="C680" s="9">
        <v>10.9</v>
      </c>
      <c r="D680" s="10">
        <v>0</v>
      </c>
      <c r="E680">
        <f t="shared" si="30"/>
        <v>0</v>
      </c>
      <c r="F680">
        <f t="shared" si="32"/>
        <v>64.163099999999943</v>
      </c>
      <c r="G680">
        <f t="shared" si="31"/>
        <v>0</v>
      </c>
    </row>
    <row r="681" spans="1:7" hidden="1" x14ac:dyDescent="0.35">
      <c r="A681" s="11">
        <v>49320</v>
      </c>
      <c r="B681" s="12" t="s">
        <v>32</v>
      </c>
      <c r="C681" s="13">
        <v>27.4</v>
      </c>
      <c r="D681" s="14">
        <v>0.3</v>
      </c>
      <c r="E681">
        <f t="shared" si="30"/>
        <v>0</v>
      </c>
      <c r="F681">
        <f t="shared" si="32"/>
        <v>64.163099999999943</v>
      </c>
      <c r="G681">
        <f t="shared" si="31"/>
        <v>0</v>
      </c>
    </row>
    <row r="682" spans="1:7" hidden="1" x14ac:dyDescent="0.35">
      <c r="A682" s="7">
        <v>49321</v>
      </c>
      <c r="B682" s="8" t="s">
        <v>19</v>
      </c>
      <c r="C682" s="9">
        <v>16.3</v>
      </c>
      <c r="D682" s="10">
        <v>9.8000000000000007</v>
      </c>
      <c r="E682">
        <f t="shared" si="30"/>
        <v>1.5974000000000002</v>
      </c>
      <c r="F682">
        <f t="shared" si="32"/>
        <v>65.760499999999936</v>
      </c>
      <c r="G682">
        <f t="shared" si="31"/>
        <v>0</v>
      </c>
    </row>
    <row r="683" spans="1:7" hidden="1" x14ac:dyDescent="0.35">
      <c r="A683" s="11">
        <v>49322</v>
      </c>
      <c r="B683" s="12" t="s">
        <v>7</v>
      </c>
      <c r="C683" s="13">
        <v>14.7</v>
      </c>
      <c r="D683" s="14">
        <v>0</v>
      </c>
      <c r="E683">
        <f t="shared" si="30"/>
        <v>0</v>
      </c>
      <c r="F683">
        <f t="shared" si="32"/>
        <v>65.760499999999936</v>
      </c>
      <c r="G683">
        <f t="shared" si="31"/>
        <v>0</v>
      </c>
    </row>
    <row r="684" spans="1:7" hidden="1" x14ac:dyDescent="0.35">
      <c r="A684" s="7">
        <v>49323</v>
      </c>
      <c r="B684" s="8" t="s">
        <v>12</v>
      </c>
      <c r="C684" s="9">
        <v>17.2</v>
      </c>
      <c r="D684" s="10">
        <v>2</v>
      </c>
      <c r="E684">
        <f t="shared" si="30"/>
        <v>0.34399999999999997</v>
      </c>
      <c r="F684">
        <f t="shared" si="32"/>
        <v>66.104499999999931</v>
      </c>
      <c r="G684">
        <f t="shared" si="31"/>
        <v>0</v>
      </c>
    </row>
    <row r="685" spans="1:7" hidden="1" x14ac:dyDescent="0.35">
      <c r="A685" s="11">
        <v>49324</v>
      </c>
      <c r="B685" s="12" t="s">
        <v>15</v>
      </c>
      <c r="C685" s="13">
        <v>24.2</v>
      </c>
      <c r="D685" s="14">
        <v>9.9</v>
      </c>
      <c r="E685">
        <f t="shared" si="30"/>
        <v>2.3957999999999999</v>
      </c>
      <c r="F685">
        <f t="shared" si="32"/>
        <v>68.500299999999925</v>
      </c>
      <c r="G685">
        <f t="shared" si="31"/>
        <v>0</v>
      </c>
    </row>
    <row r="686" spans="1:7" hidden="1" x14ac:dyDescent="0.35">
      <c r="A686" s="7">
        <v>49325</v>
      </c>
      <c r="B686" s="8" t="s">
        <v>13</v>
      </c>
      <c r="C686" s="9">
        <v>22.3</v>
      </c>
      <c r="D686" s="10">
        <v>0</v>
      </c>
      <c r="E686">
        <f t="shared" si="30"/>
        <v>0</v>
      </c>
      <c r="F686">
        <f t="shared" si="32"/>
        <v>68.500299999999925</v>
      </c>
      <c r="G686">
        <f t="shared" si="31"/>
        <v>0</v>
      </c>
    </row>
    <row r="687" spans="1:7" hidden="1" x14ac:dyDescent="0.35">
      <c r="A687" s="11">
        <v>49326</v>
      </c>
      <c r="B687" s="12" t="s">
        <v>29</v>
      </c>
      <c r="C687" s="13">
        <v>26.7</v>
      </c>
      <c r="D687" s="14">
        <v>0.6</v>
      </c>
      <c r="E687">
        <f t="shared" si="30"/>
        <v>0</v>
      </c>
      <c r="F687">
        <f t="shared" si="32"/>
        <v>68.500299999999925</v>
      </c>
      <c r="G687">
        <f t="shared" si="31"/>
        <v>0</v>
      </c>
    </row>
    <row r="688" spans="1:7" hidden="1" x14ac:dyDescent="0.35">
      <c r="A688" s="7">
        <v>49327</v>
      </c>
      <c r="B688" s="8" t="s">
        <v>12</v>
      </c>
      <c r="C688" s="9">
        <v>10.9</v>
      </c>
      <c r="D688" s="10">
        <v>3.8</v>
      </c>
      <c r="E688">
        <f t="shared" si="30"/>
        <v>0.41420000000000001</v>
      </c>
      <c r="F688">
        <f t="shared" si="32"/>
        <v>68.914499999999919</v>
      </c>
      <c r="G688">
        <f t="shared" si="31"/>
        <v>0</v>
      </c>
    </row>
    <row r="689" spans="1:7" hidden="1" x14ac:dyDescent="0.35">
      <c r="A689" s="11">
        <v>49328</v>
      </c>
      <c r="B689" s="12" t="s">
        <v>21</v>
      </c>
      <c r="C689" s="13">
        <v>23.7</v>
      </c>
      <c r="D689" s="14">
        <v>0</v>
      </c>
      <c r="E689">
        <f t="shared" si="30"/>
        <v>0</v>
      </c>
      <c r="F689">
        <f t="shared" si="32"/>
        <v>68.914499999999919</v>
      </c>
      <c r="G689">
        <f t="shared" si="31"/>
        <v>0</v>
      </c>
    </row>
    <row r="690" spans="1:7" hidden="1" x14ac:dyDescent="0.35">
      <c r="A690" s="7">
        <v>49329</v>
      </c>
      <c r="B690" s="8" t="s">
        <v>10</v>
      </c>
      <c r="C690" s="9">
        <v>16</v>
      </c>
      <c r="D690" s="10">
        <v>22.3</v>
      </c>
      <c r="E690">
        <f t="shared" si="30"/>
        <v>3.5680000000000001</v>
      </c>
      <c r="F690">
        <f t="shared" si="32"/>
        <v>72.482499999999916</v>
      </c>
      <c r="G690">
        <f t="shared" si="31"/>
        <v>0</v>
      </c>
    </row>
    <row r="691" spans="1:7" hidden="1" x14ac:dyDescent="0.35">
      <c r="A691" s="11">
        <v>49330</v>
      </c>
      <c r="B691" s="12" t="s">
        <v>10</v>
      </c>
      <c r="C691" s="13">
        <v>19.399999999999999</v>
      </c>
      <c r="D691" s="14">
        <v>41.6</v>
      </c>
      <c r="E691">
        <f t="shared" si="30"/>
        <v>8.0703999999999994</v>
      </c>
      <c r="F691">
        <f t="shared" si="32"/>
        <v>80.552899999999909</v>
      </c>
      <c r="G691">
        <f t="shared" si="31"/>
        <v>0</v>
      </c>
    </row>
    <row r="692" spans="1:7" hidden="1" x14ac:dyDescent="0.35">
      <c r="A692" s="7">
        <v>49331</v>
      </c>
      <c r="B692" s="8" t="s">
        <v>11</v>
      </c>
      <c r="C692" s="9">
        <v>26.7</v>
      </c>
      <c r="D692" s="10">
        <v>10</v>
      </c>
      <c r="E692">
        <f t="shared" si="30"/>
        <v>2.67</v>
      </c>
      <c r="F692">
        <f t="shared" si="32"/>
        <v>83.22289999999991</v>
      </c>
      <c r="G692">
        <f t="shared" si="31"/>
        <v>0</v>
      </c>
    </row>
    <row r="693" spans="1:7" hidden="1" x14ac:dyDescent="0.35">
      <c r="A693" s="11">
        <v>49332</v>
      </c>
      <c r="B693" s="12" t="s">
        <v>19</v>
      </c>
      <c r="C693" s="13">
        <v>20.8</v>
      </c>
      <c r="D693" s="14">
        <v>0</v>
      </c>
      <c r="E693">
        <f t="shared" si="30"/>
        <v>0</v>
      </c>
      <c r="F693">
        <f t="shared" si="32"/>
        <v>83.22289999999991</v>
      </c>
      <c r="G693">
        <f t="shared" si="31"/>
        <v>0</v>
      </c>
    </row>
    <row r="694" spans="1:7" hidden="1" x14ac:dyDescent="0.35">
      <c r="A694" s="7">
        <v>49333</v>
      </c>
      <c r="B694" s="8" t="s">
        <v>10</v>
      </c>
      <c r="C694" s="9">
        <v>25.6</v>
      </c>
      <c r="D694" s="10">
        <v>0</v>
      </c>
      <c r="E694">
        <f t="shared" si="30"/>
        <v>0</v>
      </c>
      <c r="F694">
        <f t="shared" si="32"/>
        <v>83.22289999999991</v>
      </c>
      <c r="G694">
        <f t="shared" si="31"/>
        <v>0</v>
      </c>
    </row>
    <row r="695" spans="1:7" hidden="1" x14ac:dyDescent="0.35">
      <c r="A695" s="11">
        <v>49334</v>
      </c>
      <c r="B695" s="12" t="s">
        <v>18</v>
      </c>
      <c r="C695" s="13">
        <v>18.3</v>
      </c>
      <c r="D695" s="14">
        <v>0.5</v>
      </c>
      <c r="E695">
        <f t="shared" si="30"/>
        <v>0</v>
      </c>
      <c r="F695">
        <f t="shared" si="32"/>
        <v>83.22289999999991</v>
      </c>
      <c r="G695">
        <f t="shared" si="31"/>
        <v>0</v>
      </c>
    </row>
    <row r="696" spans="1:7" hidden="1" x14ac:dyDescent="0.35">
      <c r="A696" s="7">
        <v>49335</v>
      </c>
      <c r="B696" s="8" t="s">
        <v>9</v>
      </c>
      <c r="C696" s="9">
        <v>27.4</v>
      </c>
      <c r="D696" s="10">
        <v>4.2</v>
      </c>
      <c r="E696">
        <f t="shared" si="30"/>
        <v>1.1508</v>
      </c>
      <c r="F696">
        <f t="shared" si="32"/>
        <v>84.373699999999914</v>
      </c>
      <c r="G696">
        <f t="shared" si="31"/>
        <v>0</v>
      </c>
    </row>
    <row r="697" spans="1:7" hidden="1" x14ac:dyDescent="0.35">
      <c r="A697" s="11">
        <v>49336</v>
      </c>
      <c r="B697" s="12" t="s">
        <v>23</v>
      </c>
      <c r="C697" s="13">
        <v>16.100000000000001</v>
      </c>
      <c r="D697" s="14">
        <v>3.4</v>
      </c>
      <c r="E697">
        <f t="shared" si="30"/>
        <v>0.5474</v>
      </c>
      <c r="F697">
        <f t="shared" si="32"/>
        <v>84.92109999999991</v>
      </c>
      <c r="G697">
        <f t="shared" si="31"/>
        <v>0</v>
      </c>
    </row>
    <row r="698" spans="1:7" hidden="1" x14ac:dyDescent="0.35">
      <c r="A698" s="7">
        <v>49337</v>
      </c>
      <c r="B698" s="8" t="s">
        <v>14</v>
      </c>
      <c r="C698" s="9">
        <v>27.5</v>
      </c>
      <c r="D698" s="10">
        <v>8</v>
      </c>
      <c r="E698">
        <f t="shared" si="30"/>
        <v>2.2000000000000002</v>
      </c>
      <c r="F698">
        <f t="shared" si="32"/>
        <v>87.121099999999913</v>
      </c>
      <c r="G698">
        <f t="shared" si="31"/>
        <v>0</v>
      </c>
    </row>
    <row r="699" spans="1:7" hidden="1" x14ac:dyDescent="0.35">
      <c r="A699" s="11">
        <v>49338</v>
      </c>
      <c r="B699" s="12" t="s">
        <v>9</v>
      </c>
      <c r="C699" s="13">
        <v>28.4</v>
      </c>
      <c r="D699" s="14">
        <v>10.199999999999999</v>
      </c>
      <c r="E699">
        <f t="shared" si="30"/>
        <v>2.8967999999999994</v>
      </c>
      <c r="F699">
        <f t="shared" si="32"/>
        <v>90.017899999999912</v>
      </c>
      <c r="G699">
        <f t="shared" si="31"/>
        <v>0</v>
      </c>
    </row>
    <row r="700" spans="1:7" hidden="1" x14ac:dyDescent="0.35">
      <c r="A700" s="7">
        <v>49339</v>
      </c>
      <c r="B700" s="8" t="s">
        <v>13</v>
      </c>
      <c r="C700" s="9">
        <v>16.100000000000001</v>
      </c>
      <c r="D700" s="10">
        <v>4</v>
      </c>
      <c r="E700">
        <f t="shared" si="30"/>
        <v>0.64400000000000002</v>
      </c>
      <c r="F700">
        <f t="shared" si="32"/>
        <v>90.661899999999918</v>
      </c>
      <c r="G700">
        <f t="shared" si="31"/>
        <v>0</v>
      </c>
    </row>
    <row r="701" spans="1:7" hidden="1" x14ac:dyDescent="0.35">
      <c r="A701" s="11">
        <v>49340</v>
      </c>
      <c r="B701" s="12" t="s">
        <v>23</v>
      </c>
      <c r="C701" s="13">
        <v>28.4</v>
      </c>
      <c r="D701" s="14">
        <v>2.6</v>
      </c>
      <c r="E701">
        <f t="shared" si="30"/>
        <v>0.73840000000000006</v>
      </c>
      <c r="F701">
        <f t="shared" si="32"/>
        <v>91.400299999999916</v>
      </c>
      <c r="G701">
        <f t="shared" si="31"/>
        <v>0</v>
      </c>
    </row>
    <row r="702" spans="1:7" hidden="1" x14ac:dyDescent="0.35">
      <c r="A702" s="7">
        <v>49341</v>
      </c>
      <c r="B702" s="8" t="s">
        <v>14</v>
      </c>
      <c r="C702" s="9">
        <v>29.3</v>
      </c>
      <c r="D702" s="10">
        <v>0</v>
      </c>
      <c r="E702">
        <f t="shared" si="30"/>
        <v>0</v>
      </c>
      <c r="F702">
        <f t="shared" si="32"/>
        <v>91.400299999999916</v>
      </c>
      <c r="G702">
        <f t="shared" si="31"/>
        <v>0</v>
      </c>
    </row>
    <row r="703" spans="1:7" hidden="1" x14ac:dyDescent="0.35">
      <c r="A703" s="11">
        <v>49342</v>
      </c>
      <c r="B703" s="12" t="s">
        <v>13</v>
      </c>
      <c r="C703" s="13">
        <v>19.7</v>
      </c>
      <c r="D703" s="14">
        <v>16.2</v>
      </c>
      <c r="E703">
        <f t="shared" si="30"/>
        <v>3.1913999999999998</v>
      </c>
      <c r="F703">
        <f t="shared" si="32"/>
        <v>94.591699999999918</v>
      </c>
      <c r="G703">
        <f t="shared" si="31"/>
        <v>0</v>
      </c>
    </row>
    <row r="704" spans="1:7" hidden="1" x14ac:dyDescent="0.35">
      <c r="A704" s="7">
        <v>49343</v>
      </c>
      <c r="B704" s="8" t="s">
        <v>31</v>
      </c>
      <c r="C704" s="9">
        <v>11.5</v>
      </c>
      <c r="D704" s="10">
        <v>0.3</v>
      </c>
      <c r="E704">
        <f t="shared" si="30"/>
        <v>0</v>
      </c>
      <c r="F704">
        <f t="shared" si="32"/>
        <v>94.591699999999918</v>
      </c>
      <c r="G704">
        <f t="shared" si="31"/>
        <v>0</v>
      </c>
    </row>
    <row r="705" spans="1:7" hidden="1" x14ac:dyDescent="0.35">
      <c r="A705" s="11">
        <v>49344</v>
      </c>
      <c r="B705" s="12" t="s">
        <v>19</v>
      </c>
      <c r="C705" s="13">
        <v>19.5</v>
      </c>
      <c r="D705" s="14">
        <v>0</v>
      </c>
      <c r="E705">
        <f t="shared" si="30"/>
        <v>0</v>
      </c>
      <c r="F705">
        <f t="shared" si="32"/>
        <v>94.591699999999918</v>
      </c>
      <c r="G705">
        <f t="shared" si="31"/>
        <v>0</v>
      </c>
    </row>
    <row r="706" spans="1:7" hidden="1" x14ac:dyDescent="0.35">
      <c r="A706" s="7">
        <v>49345</v>
      </c>
      <c r="B706" s="8" t="s">
        <v>20</v>
      </c>
      <c r="C706" s="9">
        <v>22.7</v>
      </c>
      <c r="D706" s="10">
        <v>0.7</v>
      </c>
      <c r="E706">
        <f t="shared" si="30"/>
        <v>0</v>
      </c>
      <c r="F706">
        <f t="shared" si="32"/>
        <v>94.591699999999918</v>
      </c>
      <c r="G706">
        <f t="shared" si="31"/>
        <v>0</v>
      </c>
    </row>
    <row r="707" spans="1:7" hidden="1" x14ac:dyDescent="0.35">
      <c r="A707" s="11">
        <v>49346</v>
      </c>
      <c r="B707" s="12" t="s">
        <v>7</v>
      </c>
      <c r="C707" s="13">
        <v>19.7</v>
      </c>
      <c r="D707" s="14">
        <v>7.3</v>
      </c>
      <c r="E707">
        <f t="shared" ref="E707:E770" si="33">IF(D707&gt;=1,C707*D707/100,0)</f>
        <v>1.4380999999999999</v>
      </c>
      <c r="F707">
        <f t="shared" si="32"/>
        <v>96.029799999999923</v>
      </c>
      <c r="G707">
        <f t="shared" ref="G707:G770" si="34">IF(F707&gt;=100,1,0)</f>
        <v>0</v>
      </c>
    </row>
    <row r="708" spans="1:7" hidden="1" x14ac:dyDescent="0.35">
      <c r="A708" s="7">
        <v>49347</v>
      </c>
      <c r="B708" s="8" t="s">
        <v>26</v>
      </c>
      <c r="C708" s="9">
        <v>19.399999999999999</v>
      </c>
      <c r="D708" s="10">
        <v>0.4</v>
      </c>
      <c r="E708">
        <f t="shared" si="33"/>
        <v>0</v>
      </c>
      <c r="F708">
        <f t="shared" ref="F708:F771" si="35">IF(G707=1,E708+F707-100,F707+E708)</f>
        <v>96.029799999999923</v>
      </c>
      <c r="G708">
        <f t="shared" si="34"/>
        <v>0</v>
      </c>
    </row>
    <row r="709" spans="1:7" hidden="1" x14ac:dyDescent="0.35">
      <c r="A709" s="11">
        <v>49348</v>
      </c>
      <c r="B709" s="12" t="s">
        <v>23</v>
      </c>
      <c r="C709" s="13">
        <v>13.8</v>
      </c>
      <c r="D709" s="14">
        <v>1.1000000000000001</v>
      </c>
      <c r="E709">
        <f t="shared" si="33"/>
        <v>0.15180000000000002</v>
      </c>
      <c r="F709">
        <f t="shared" si="35"/>
        <v>96.181599999999918</v>
      </c>
      <c r="G709">
        <f t="shared" si="34"/>
        <v>0</v>
      </c>
    </row>
    <row r="710" spans="1:7" hidden="1" x14ac:dyDescent="0.35">
      <c r="A710" s="7">
        <v>49349</v>
      </c>
      <c r="B710" s="8" t="s">
        <v>13</v>
      </c>
      <c r="C710" s="9">
        <v>19.600000000000001</v>
      </c>
      <c r="D710" s="10">
        <v>2.2999999999999998</v>
      </c>
      <c r="E710">
        <f t="shared" si="33"/>
        <v>0.45079999999999998</v>
      </c>
      <c r="F710">
        <f t="shared" si="35"/>
        <v>96.632399999999919</v>
      </c>
      <c r="G710">
        <f t="shared" si="34"/>
        <v>0</v>
      </c>
    </row>
    <row r="711" spans="1:7" hidden="1" x14ac:dyDescent="0.35">
      <c r="A711" s="11">
        <v>49350</v>
      </c>
      <c r="B711" s="12" t="s">
        <v>19</v>
      </c>
      <c r="C711" s="13">
        <v>22.6</v>
      </c>
      <c r="D711" s="14">
        <v>13.3</v>
      </c>
      <c r="E711">
        <f t="shared" si="33"/>
        <v>3.0058000000000002</v>
      </c>
      <c r="F711">
        <f t="shared" si="35"/>
        <v>99.638199999999912</v>
      </c>
      <c r="G711">
        <f t="shared" si="34"/>
        <v>0</v>
      </c>
    </row>
    <row r="712" spans="1:7" x14ac:dyDescent="0.35">
      <c r="A712" s="7">
        <v>49351</v>
      </c>
      <c r="B712" s="8" t="s">
        <v>6</v>
      </c>
      <c r="C712" s="9">
        <v>18.2</v>
      </c>
      <c r="D712" s="10">
        <v>7.6</v>
      </c>
      <c r="E712">
        <f t="shared" si="33"/>
        <v>1.3832</v>
      </c>
      <c r="F712">
        <f t="shared" si="35"/>
        <v>101.02139999999991</v>
      </c>
      <c r="G712">
        <f t="shared" si="34"/>
        <v>1</v>
      </c>
    </row>
    <row r="713" spans="1:7" hidden="1" x14ac:dyDescent="0.35">
      <c r="A713" s="11">
        <v>49352</v>
      </c>
      <c r="B713" s="12" t="s">
        <v>19</v>
      </c>
      <c r="C713" s="13">
        <v>27.3</v>
      </c>
      <c r="D713" s="14">
        <v>38.4</v>
      </c>
      <c r="E713">
        <f t="shared" si="33"/>
        <v>10.4832</v>
      </c>
      <c r="F713">
        <f t="shared" si="35"/>
        <v>11.504599999999911</v>
      </c>
      <c r="G713">
        <f t="shared" si="34"/>
        <v>0</v>
      </c>
    </row>
    <row r="714" spans="1:7" hidden="1" x14ac:dyDescent="0.35">
      <c r="A714" s="7">
        <v>49353</v>
      </c>
      <c r="B714" s="8" t="s">
        <v>19</v>
      </c>
      <c r="C714" s="9">
        <v>14.7</v>
      </c>
      <c r="D714" s="10">
        <v>31.8</v>
      </c>
      <c r="E714">
        <f t="shared" si="33"/>
        <v>4.6745999999999999</v>
      </c>
      <c r="F714">
        <f t="shared" si="35"/>
        <v>16.179199999999909</v>
      </c>
      <c r="G714">
        <f t="shared" si="34"/>
        <v>0</v>
      </c>
    </row>
    <row r="715" spans="1:7" hidden="1" x14ac:dyDescent="0.35">
      <c r="A715" s="11">
        <v>49354</v>
      </c>
      <c r="B715" s="12" t="s">
        <v>22</v>
      </c>
      <c r="C715" s="13">
        <v>20.6</v>
      </c>
      <c r="D715" s="14">
        <v>5.9</v>
      </c>
      <c r="E715">
        <f t="shared" si="33"/>
        <v>1.2154000000000003</v>
      </c>
      <c r="F715">
        <f t="shared" si="35"/>
        <v>17.394599999999908</v>
      </c>
      <c r="G715">
        <f t="shared" si="34"/>
        <v>0</v>
      </c>
    </row>
    <row r="716" spans="1:7" hidden="1" x14ac:dyDescent="0.35">
      <c r="A716" s="7">
        <v>49355</v>
      </c>
      <c r="B716" s="8" t="s">
        <v>10</v>
      </c>
      <c r="C716" s="9">
        <v>12.6</v>
      </c>
      <c r="D716" s="10">
        <v>14.4</v>
      </c>
      <c r="E716">
        <f t="shared" si="33"/>
        <v>1.8144</v>
      </c>
      <c r="F716">
        <f t="shared" si="35"/>
        <v>19.208999999999907</v>
      </c>
      <c r="G716">
        <f t="shared" si="34"/>
        <v>0</v>
      </c>
    </row>
    <row r="717" spans="1:7" hidden="1" x14ac:dyDescent="0.35">
      <c r="A717" s="11">
        <v>49356</v>
      </c>
      <c r="B717" s="12" t="s">
        <v>11</v>
      </c>
      <c r="C717" s="13">
        <v>14.5</v>
      </c>
      <c r="D717" s="14">
        <v>0</v>
      </c>
      <c r="E717">
        <f t="shared" si="33"/>
        <v>0</v>
      </c>
      <c r="F717">
        <f t="shared" si="35"/>
        <v>19.208999999999907</v>
      </c>
      <c r="G717">
        <f t="shared" si="34"/>
        <v>0</v>
      </c>
    </row>
    <row r="718" spans="1:7" hidden="1" x14ac:dyDescent="0.35">
      <c r="A718" s="7">
        <v>49357</v>
      </c>
      <c r="B718" s="8" t="s">
        <v>10</v>
      </c>
      <c r="C718" s="9">
        <v>24.7</v>
      </c>
      <c r="D718" s="10">
        <v>36</v>
      </c>
      <c r="E718">
        <f t="shared" si="33"/>
        <v>8.8919999999999995</v>
      </c>
      <c r="F718">
        <f t="shared" si="35"/>
        <v>28.100999999999907</v>
      </c>
      <c r="G718">
        <f t="shared" si="34"/>
        <v>0</v>
      </c>
    </row>
    <row r="719" spans="1:7" hidden="1" x14ac:dyDescent="0.35">
      <c r="A719" s="11">
        <v>49358</v>
      </c>
      <c r="B719" s="12" t="s">
        <v>19</v>
      </c>
      <c r="C719" s="13">
        <v>17.899999999999999</v>
      </c>
      <c r="D719" s="14">
        <v>24.9</v>
      </c>
      <c r="E719">
        <f t="shared" si="33"/>
        <v>4.4570999999999996</v>
      </c>
      <c r="F719">
        <f t="shared" si="35"/>
        <v>32.558099999999904</v>
      </c>
      <c r="G719">
        <f t="shared" si="34"/>
        <v>0</v>
      </c>
    </row>
    <row r="720" spans="1:7" hidden="1" x14ac:dyDescent="0.35">
      <c r="A720" s="7">
        <v>49359</v>
      </c>
      <c r="B720" s="8" t="s">
        <v>14</v>
      </c>
      <c r="C720" s="9">
        <v>20.2</v>
      </c>
      <c r="D720" s="10">
        <v>2.9</v>
      </c>
      <c r="E720">
        <f t="shared" si="33"/>
        <v>0.58579999999999999</v>
      </c>
      <c r="F720">
        <f t="shared" si="35"/>
        <v>33.143899999999903</v>
      </c>
      <c r="G720">
        <f t="shared" si="34"/>
        <v>0</v>
      </c>
    </row>
    <row r="721" spans="1:7" hidden="1" x14ac:dyDescent="0.35">
      <c r="A721" s="11">
        <v>49360</v>
      </c>
      <c r="B721" s="12" t="s">
        <v>8</v>
      </c>
      <c r="C721" s="13">
        <v>13.4</v>
      </c>
      <c r="D721" s="14">
        <v>1.7</v>
      </c>
      <c r="E721">
        <f t="shared" si="33"/>
        <v>0.2278</v>
      </c>
      <c r="F721">
        <f t="shared" si="35"/>
        <v>33.371699999999905</v>
      </c>
      <c r="G721">
        <f t="shared" si="34"/>
        <v>0</v>
      </c>
    </row>
    <row r="722" spans="1:7" hidden="1" x14ac:dyDescent="0.35">
      <c r="A722" s="7">
        <v>49361</v>
      </c>
      <c r="B722" s="8" t="s">
        <v>17</v>
      </c>
      <c r="C722" s="9">
        <v>12.2</v>
      </c>
      <c r="D722" s="10">
        <v>6</v>
      </c>
      <c r="E722">
        <f t="shared" si="33"/>
        <v>0.73199999999999987</v>
      </c>
      <c r="F722">
        <f t="shared" si="35"/>
        <v>34.103699999999904</v>
      </c>
      <c r="G722">
        <f t="shared" si="34"/>
        <v>0</v>
      </c>
    </row>
    <row r="723" spans="1:7" hidden="1" x14ac:dyDescent="0.35">
      <c r="A723" s="11">
        <v>49362</v>
      </c>
      <c r="B723" s="12" t="s">
        <v>30</v>
      </c>
      <c r="C723" s="13">
        <v>29.8</v>
      </c>
      <c r="D723" s="14">
        <v>0.4</v>
      </c>
      <c r="E723">
        <f t="shared" si="33"/>
        <v>0</v>
      </c>
      <c r="F723">
        <f t="shared" si="35"/>
        <v>34.103699999999904</v>
      </c>
      <c r="G723">
        <f t="shared" si="34"/>
        <v>0</v>
      </c>
    </row>
    <row r="724" spans="1:7" hidden="1" x14ac:dyDescent="0.35">
      <c r="A724" s="7">
        <v>49363</v>
      </c>
      <c r="B724" s="8" t="s">
        <v>19</v>
      </c>
      <c r="C724" s="9">
        <v>16.100000000000001</v>
      </c>
      <c r="D724" s="10">
        <v>28.7</v>
      </c>
      <c r="E724">
        <f t="shared" si="33"/>
        <v>4.6207000000000003</v>
      </c>
      <c r="F724">
        <f t="shared" si="35"/>
        <v>38.724399999999903</v>
      </c>
      <c r="G724">
        <f t="shared" si="34"/>
        <v>0</v>
      </c>
    </row>
    <row r="725" spans="1:7" hidden="1" x14ac:dyDescent="0.35">
      <c r="A725" s="11">
        <v>49364</v>
      </c>
      <c r="B725" s="12" t="s">
        <v>10</v>
      </c>
      <c r="C725" s="13">
        <v>18.8</v>
      </c>
      <c r="D725" s="14">
        <v>0</v>
      </c>
      <c r="E725">
        <f t="shared" si="33"/>
        <v>0</v>
      </c>
      <c r="F725">
        <f t="shared" si="35"/>
        <v>38.724399999999903</v>
      </c>
      <c r="G725">
        <f t="shared" si="34"/>
        <v>0</v>
      </c>
    </row>
    <row r="726" spans="1:7" hidden="1" x14ac:dyDescent="0.35">
      <c r="A726" s="7">
        <v>49365</v>
      </c>
      <c r="B726" s="8" t="s">
        <v>15</v>
      </c>
      <c r="C726" s="9">
        <v>17.100000000000001</v>
      </c>
      <c r="D726" s="10">
        <v>0</v>
      </c>
      <c r="E726">
        <f t="shared" si="33"/>
        <v>0</v>
      </c>
      <c r="F726">
        <f t="shared" si="35"/>
        <v>38.724399999999903</v>
      </c>
      <c r="G726">
        <f t="shared" si="34"/>
        <v>0</v>
      </c>
    </row>
    <row r="727" spans="1:7" hidden="1" x14ac:dyDescent="0.35">
      <c r="A727" s="11">
        <v>49366</v>
      </c>
      <c r="B727" s="12" t="s">
        <v>9</v>
      </c>
      <c r="C727" s="13">
        <v>11.7</v>
      </c>
      <c r="D727" s="14">
        <v>7.7</v>
      </c>
      <c r="E727">
        <f t="shared" si="33"/>
        <v>0.90090000000000003</v>
      </c>
      <c r="F727">
        <f t="shared" si="35"/>
        <v>39.625299999999903</v>
      </c>
      <c r="G727">
        <f t="shared" si="34"/>
        <v>0</v>
      </c>
    </row>
    <row r="728" spans="1:7" hidden="1" x14ac:dyDescent="0.35">
      <c r="A728" s="7">
        <v>49367</v>
      </c>
      <c r="B728" s="8" t="s">
        <v>18</v>
      </c>
      <c r="C728" s="9">
        <v>25.4</v>
      </c>
      <c r="D728" s="10">
        <v>14.2</v>
      </c>
      <c r="E728">
        <f t="shared" si="33"/>
        <v>3.6067999999999993</v>
      </c>
      <c r="F728">
        <f t="shared" si="35"/>
        <v>43.232099999999903</v>
      </c>
      <c r="G728">
        <f t="shared" si="34"/>
        <v>0</v>
      </c>
    </row>
    <row r="729" spans="1:7" hidden="1" x14ac:dyDescent="0.35">
      <c r="A729" s="11">
        <v>49368</v>
      </c>
      <c r="B729" s="12" t="s">
        <v>22</v>
      </c>
      <c r="C729" s="13">
        <v>12.6</v>
      </c>
      <c r="D729" s="14">
        <v>9</v>
      </c>
      <c r="E729">
        <f t="shared" si="33"/>
        <v>1.1339999999999999</v>
      </c>
      <c r="F729">
        <f t="shared" si="35"/>
        <v>44.366099999999904</v>
      </c>
      <c r="G729">
        <f t="shared" si="34"/>
        <v>0</v>
      </c>
    </row>
    <row r="730" spans="1:7" hidden="1" x14ac:dyDescent="0.35">
      <c r="A730" s="7">
        <v>49369</v>
      </c>
      <c r="B730" s="8" t="s">
        <v>10</v>
      </c>
      <c r="C730" s="9">
        <v>15.8</v>
      </c>
      <c r="D730" s="10">
        <v>0</v>
      </c>
      <c r="E730">
        <f t="shared" si="33"/>
        <v>0</v>
      </c>
      <c r="F730">
        <f t="shared" si="35"/>
        <v>44.366099999999904</v>
      </c>
      <c r="G730">
        <f t="shared" si="34"/>
        <v>0</v>
      </c>
    </row>
    <row r="731" spans="1:7" hidden="1" x14ac:dyDescent="0.35">
      <c r="A731" s="11">
        <v>49370</v>
      </c>
      <c r="B731" s="12" t="s">
        <v>18</v>
      </c>
      <c r="C731" s="13">
        <v>24.7</v>
      </c>
      <c r="D731" s="14">
        <v>13.9</v>
      </c>
      <c r="E731">
        <f t="shared" si="33"/>
        <v>3.4333</v>
      </c>
      <c r="F731">
        <f t="shared" si="35"/>
        <v>47.799399999999906</v>
      </c>
      <c r="G731">
        <f t="shared" si="34"/>
        <v>0</v>
      </c>
    </row>
    <row r="732" spans="1:7" hidden="1" x14ac:dyDescent="0.35">
      <c r="A732" s="7">
        <v>49371</v>
      </c>
      <c r="B732" s="8" t="s">
        <v>27</v>
      </c>
      <c r="C732" s="9">
        <v>26.7</v>
      </c>
      <c r="D732" s="10">
        <v>0</v>
      </c>
      <c r="E732">
        <f t="shared" si="33"/>
        <v>0</v>
      </c>
      <c r="F732">
        <f t="shared" si="35"/>
        <v>47.799399999999906</v>
      </c>
      <c r="G732">
        <f t="shared" si="34"/>
        <v>0</v>
      </c>
    </row>
    <row r="733" spans="1:7" hidden="1" x14ac:dyDescent="0.35">
      <c r="A733" s="11">
        <v>49372</v>
      </c>
      <c r="B733" s="12" t="s">
        <v>19</v>
      </c>
      <c r="C733" s="13">
        <v>21.2</v>
      </c>
      <c r="D733" s="14">
        <v>5.3</v>
      </c>
      <c r="E733">
        <f t="shared" si="33"/>
        <v>1.1235999999999999</v>
      </c>
      <c r="F733">
        <f t="shared" si="35"/>
        <v>48.922999999999909</v>
      </c>
      <c r="G733">
        <f t="shared" si="34"/>
        <v>0</v>
      </c>
    </row>
    <row r="734" spans="1:7" hidden="1" x14ac:dyDescent="0.35">
      <c r="A734" s="7">
        <v>49373</v>
      </c>
      <c r="B734" s="8" t="s">
        <v>6</v>
      </c>
      <c r="C734" s="9">
        <v>10.4</v>
      </c>
      <c r="D734" s="10">
        <v>8.6</v>
      </c>
      <c r="E734">
        <f t="shared" si="33"/>
        <v>0.89439999999999997</v>
      </c>
      <c r="F734">
        <f t="shared" si="35"/>
        <v>49.817399999999907</v>
      </c>
      <c r="G734">
        <f t="shared" si="34"/>
        <v>0</v>
      </c>
    </row>
    <row r="735" spans="1:7" hidden="1" x14ac:dyDescent="0.35">
      <c r="A735" s="11">
        <v>49374</v>
      </c>
      <c r="B735" s="12" t="s">
        <v>26</v>
      </c>
      <c r="C735" s="13">
        <v>25.1</v>
      </c>
      <c r="D735" s="14">
        <v>3.3</v>
      </c>
      <c r="E735">
        <f t="shared" si="33"/>
        <v>0.82830000000000004</v>
      </c>
      <c r="F735">
        <f t="shared" si="35"/>
        <v>50.645699999999906</v>
      </c>
      <c r="G735">
        <f t="shared" si="34"/>
        <v>0</v>
      </c>
    </row>
    <row r="736" spans="1:7" hidden="1" x14ac:dyDescent="0.35">
      <c r="A736" s="7">
        <v>49375</v>
      </c>
      <c r="B736" s="8" t="s">
        <v>19</v>
      </c>
      <c r="C736" s="9">
        <v>27.8</v>
      </c>
      <c r="D736" s="10">
        <v>20.9</v>
      </c>
      <c r="E736">
        <f t="shared" si="33"/>
        <v>5.8102</v>
      </c>
      <c r="F736">
        <f t="shared" si="35"/>
        <v>56.455899999999907</v>
      </c>
      <c r="G736">
        <f t="shared" si="34"/>
        <v>0</v>
      </c>
    </row>
    <row r="737" spans="1:7" hidden="1" x14ac:dyDescent="0.35">
      <c r="A737" s="11">
        <v>49376</v>
      </c>
      <c r="B737" s="12" t="s">
        <v>11</v>
      </c>
      <c r="C737" s="13">
        <v>26.1</v>
      </c>
      <c r="D737" s="14">
        <v>0</v>
      </c>
      <c r="E737">
        <f t="shared" si="33"/>
        <v>0</v>
      </c>
      <c r="F737">
        <f t="shared" si="35"/>
        <v>56.455899999999907</v>
      </c>
      <c r="G737">
        <f t="shared" si="34"/>
        <v>0</v>
      </c>
    </row>
    <row r="738" spans="1:7" hidden="1" x14ac:dyDescent="0.35">
      <c r="A738" s="7">
        <v>49377</v>
      </c>
      <c r="B738" s="8" t="s">
        <v>13</v>
      </c>
      <c r="C738" s="9">
        <v>18.3</v>
      </c>
      <c r="D738" s="10">
        <v>7.8</v>
      </c>
      <c r="E738">
        <f t="shared" si="33"/>
        <v>1.4274</v>
      </c>
      <c r="F738">
        <f t="shared" si="35"/>
        <v>57.883299999999906</v>
      </c>
      <c r="G738">
        <f t="shared" si="34"/>
        <v>0</v>
      </c>
    </row>
    <row r="739" spans="1:7" hidden="1" x14ac:dyDescent="0.35">
      <c r="A739" s="11">
        <v>49378</v>
      </c>
      <c r="B739" s="12" t="s">
        <v>11</v>
      </c>
      <c r="C739" s="13">
        <v>16.3</v>
      </c>
      <c r="D739" s="14">
        <v>0</v>
      </c>
      <c r="E739">
        <f t="shared" si="33"/>
        <v>0</v>
      </c>
      <c r="F739">
        <f t="shared" si="35"/>
        <v>57.883299999999906</v>
      </c>
      <c r="G739">
        <f t="shared" si="34"/>
        <v>0</v>
      </c>
    </row>
    <row r="740" spans="1:7" hidden="1" x14ac:dyDescent="0.35">
      <c r="A740" s="7">
        <v>49379</v>
      </c>
      <c r="B740" s="8" t="s">
        <v>11</v>
      </c>
      <c r="C740" s="9">
        <v>17.2</v>
      </c>
      <c r="D740" s="10">
        <v>12.5</v>
      </c>
      <c r="E740">
        <f t="shared" si="33"/>
        <v>2.15</v>
      </c>
      <c r="F740">
        <f t="shared" si="35"/>
        <v>60.033299999999905</v>
      </c>
      <c r="G740">
        <f t="shared" si="34"/>
        <v>0</v>
      </c>
    </row>
    <row r="741" spans="1:7" hidden="1" x14ac:dyDescent="0.35">
      <c r="A741" s="11">
        <v>49380</v>
      </c>
      <c r="B741" s="12" t="s">
        <v>24</v>
      </c>
      <c r="C741" s="13">
        <v>22.1</v>
      </c>
      <c r="D741" s="14">
        <v>3.7</v>
      </c>
      <c r="E741">
        <f t="shared" si="33"/>
        <v>0.81770000000000009</v>
      </c>
      <c r="F741">
        <f t="shared" si="35"/>
        <v>60.850999999999907</v>
      </c>
      <c r="G741">
        <f t="shared" si="34"/>
        <v>0</v>
      </c>
    </row>
    <row r="742" spans="1:7" hidden="1" x14ac:dyDescent="0.35">
      <c r="A742" s="7">
        <v>49381</v>
      </c>
      <c r="B742" s="8" t="s">
        <v>23</v>
      </c>
      <c r="C742" s="9">
        <v>18.8</v>
      </c>
      <c r="D742" s="10">
        <v>0</v>
      </c>
      <c r="E742">
        <f t="shared" si="33"/>
        <v>0</v>
      </c>
      <c r="F742">
        <f t="shared" si="35"/>
        <v>60.850999999999907</v>
      </c>
      <c r="G742">
        <f t="shared" si="34"/>
        <v>0</v>
      </c>
    </row>
    <row r="743" spans="1:7" hidden="1" x14ac:dyDescent="0.35">
      <c r="A743" s="11">
        <v>49382</v>
      </c>
      <c r="B743" s="12" t="s">
        <v>18</v>
      </c>
      <c r="C743" s="13">
        <v>12.3</v>
      </c>
      <c r="D743" s="14">
        <v>7.1</v>
      </c>
      <c r="E743">
        <f t="shared" si="33"/>
        <v>0.87329999999999997</v>
      </c>
      <c r="F743">
        <f t="shared" si="35"/>
        <v>61.724299999999907</v>
      </c>
      <c r="G743">
        <f t="shared" si="34"/>
        <v>0</v>
      </c>
    </row>
    <row r="744" spans="1:7" hidden="1" x14ac:dyDescent="0.35">
      <c r="A744" s="7">
        <v>49383</v>
      </c>
      <c r="B744" s="8" t="s">
        <v>10</v>
      </c>
      <c r="C744" s="9">
        <v>27.5</v>
      </c>
      <c r="D744" s="10">
        <v>34.299999999999997</v>
      </c>
      <c r="E744">
        <f t="shared" si="33"/>
        <v>9.4324999999999992</v>
      </c>
      <c r="F744">
        <f t="shared" si="35"/>
        <v>71.156799999999905</v>
      </c>
      <c r="G744">
        <f t="shared" si="34"/>
        <v>0</v>
      </c>
    </row>
    <row r="745" spans="1:7" hidden="1" x14ac:dyDescent="0.35">
      <c r="A745" s="11">
        <v>49384</v>
      </c>
      <c r="B745" s="12" t="s">
        <v>18</v>
      </c>
      <c r="C745" s="13">
        <v>23.1</v>
      </c>
      <c r="D745" s="14">
        <v>0</v>
      </c>
      <c r="E745">
        <f t="shared" si="33"/>
        <v>0</v>
      </c>
      <c r="F745">
        <f t="shared" si="35"/>
        <v>71.156799999999905</v>
      </c>
      <c r="G745">
        <f t="shared" si="34"/>
        <v>0</v>
      </c>
    </row>
    <row r="746" spans="1:7" hidden="1" x14ac:dyDescent="0.35">
      <c r="A746" s="7">
        <v>49385</v>
      </c>
      <c r="B746" s="8" t="s">
        <v>11</v>
      </c>
      <c r="C746" s="9">
        <v>21.3</v>
      </c>
      <c r="D746" s="10">
        <v>0</v>
      </c>
      <c r="E746">
        <f t="shared" si="33"/>
        <v>0</v>
      </c>
      <c r="F746">
        <f t="shared" si="35"/>
        <v>71.156799999999905</v>
      </c>
      <c r="G746">
        <f t="shared" si="34"/>
        <v>0</v>
      </c>
    </row>
    <row r="747" spans="1:7" hidden="1" x14ac:dyDescent="0.35">
      <c r="A747" s="11">
        <v>49386</v>
      </c>
      <c r="B747" s="12" t="s">
        <v>26</v>
      </c>
      <c r="C747" s="13">
        <v>13.8</v>
      </c>
      <c r="D747" s="14">
        <v>5.9</v>
      </c>
      <c r="E747">
        <f t="shared" si="33"/>
        <v>0.81420000000000015</v>
      </c>
      <c r="F747">
        <f t="shared" si="35"/>
        <v>71.970999999999904</v>
      </c>
      <c r="G747">
        <f t="shared" si="34"/>
        <v>0</v>
      </c>
    </row>
    <row r="748" spans="1:7" hidden="1" x14ac:dyDescent="0.35">
      <c r="A748" s="7">
        <v>49387</v>
      </c>
      <c r="B748" s="8" t="s">
        <v>13</v>
      </c>
      <c r="C748" s="9">
        <v>20</v>
      </c>
      <c r="D748" s="10">
        <v>16</v>
      </c>
      <c r="E748">
        <f t="shared" si="33"/>
        <v>3.2</v>
      </c>
      <c r="F748">
        <f t="shared" si="35"/>
        <v>75.170999999999907</v>
      </c>
      <c r="G748">
        <f t="shared" si="34"/>
        <v>0</v>
      </c>
    </row>
    <row r="749" spans="1:7" hidden="1" x14ac:dyDescent="0.35">
      <c r="A749" s="11">
        <v>49388</v>
      </c>
      <c r="B749" s="12" t="s">
        <v>12</v>
      </c>
      <c r="C749" s="13">
        <v>23.9</v>
      </c>
      <c r="D749" s="14">
        <v>0</v>
      </c>
      <c r="E749">
        <f t="shared" si="33"/>
        <v>0</v>
      </c>
      <c r="F749">
        <f t="shared" si="35"/>
        <v>75.170999999999907</v>
      </c>
      <c r="G749">
        <f t="shared" si="34"/>
        <v>0</v>
      </c>
    </row>
    <row r="750" spans="1:7" hidden="1" x14ac:dyDescent="0.35">
      <c r="A750" s="7">
        <v>49389</v>
      </c>
      <c r="B750" s="8" t="s">
        <v>29</v>
      </c>
      <c r="C750" s="9">
        <v>15.3</v>
      </c>
      <c r="D750" s="10">
        <v>0.1</v>
      </c>
      <c r="E750">
        <f t="shared" si="33"/>
        <v>0</v>
      </c>
      <c r="F750">
        <f t="shared" si="35"/>
        <v>75.170999999999907</v>
      </c>
      <c r="G750">
        <f t="shared" si="34"/>
        <v>0</v>
      </c>
    </row>
    <row r="751" spans="1:7" hidden="1" x14ac:dyDescent="0.35">
      <c r="A751" s="11">
        <v>49390</v>
      </c>
      <c r="B751" s="12" t="s">
        <v>14</v>
      </c>
      <c r="C751" s="13">
        <v>16.600000000000001</v>
      </c>
      <c r="D751" s="14">
        <v>0</v>
      </c>
      <c r="E751">
        <f t="shared" si="33"/>
        <v>0</v>
      </c>
      <c r="F751">
        <f t="shared" si="35"/>
        <v>75.170999999999907</v>
      </c>
      <c r="G751">
        <f t="shared" si="34"/>
        <v>0</v>
      </c>
    </row>
    <row r="752" spans="1:7" hidden="1" x14ac:dyDescent="0.35">
      <c r="A752" s="7">
        <v>49391</v>
      </c>
      <c r="B752" s="8" t="s">
        <v>27</v>
      </c>
      <c r="C752" s="9">
        <v>20.8</v>
      </c>
      <c r="D752" s="10">
        <v>2</v>
      </c>
      <c r="E752">
        <f t="shared" si="33"/>
        <v>0.41600000000000004</v>
      </c>
      <c r="F752">
        <f t="shared" si="35"/>
        <v>75.586999999999904</v>
      </c>
      <c r="G752">
        <f t="shared" si="34"/>
        <v>0</v>
      </c>
    </row>
    <row r="753" spans="1:7" hidden="1" x14ac:dyDescent="0.35">
      <c r="A753" s="11">
        <v>49392</v>
      </c>
      <c r="B753" s="12" t="s">
        <v>11</v>
      </c>
      <c r="C753" s="13">
        <v>10.8</v>
      </c>
      <c r="D753" s="14">
        <v>12.3</v>
      </c>
      <c r="E753">
        <f t="shared" si="33"/>
        <v>1.3284</v>
      </c>
      <c r="F753">
        <f t="shared" si="35"/>
        <v>76.915399999999906</v>
      </c>
      <c r="G753">
        <f t="shared" si="34"/>
        <v>0</v>
      </c>
    </row>
    <row r="754" spans="1:7" hidden="1" x14ac:dyDescent="0.35">
      <c r="A754" s="7">
        <v>49393</v>
      </c>
      <c r="B754" s="8" t="s">
        <v>11</v>
      </c>
      <c r="C754" s="9">
        <v>12.5</v>
      </c>
      <c r="D754" s="10">
        <v>18.399999999999999</v>
      </c>
      <c r="E754">
        <f t="shared" si="33"/>
        <v>2.2999999999999998</v>
      </c>
      <c r="F754">
        <f t="shared" si="35"/>
        <v>79.215399999999903</v>
      </c>
      <c r="G754">
        <f t="shared" si="34"/>
        <v>0</v>
      </c>
    </row>
    <row r="755" spans="1:7" hidden="1" x14ac:dyDescent="0.35">
      <c r="A755" s="11">
        <v>49394</v>
      </c>
      <c r="B755" s="12" t="s">
        <v>9</v>
      </c>
      <c r="C755" s="13">
        <v>24</v>
      </c>
      <c r="D755" s="14">
        <v>4.9000000000000004</v>
      </c>
      <c r="E755">
        <f t="shared" si="33"/>
        <v>1.1760000000000002</v>
      </c>
      <c r="F755">
        <f t="shared" si="35"/>
        <v>80.391399999999905</v>
      </c>
      <c r="G755">
        <f t="shared" si="34"/>
        <v>0</v>
      </c>
    </row>
    <row r="756" spans="1:7" hidden="1" x14ac:dyDescent="0.35">
      <c r="A756" s="7">
        <v>49395</v>
      </c>
      <c r="B756" s="8" t="s">
        <v>10</v>
      </c>
      <c r="C756" s="9">
        <v>21.4</v>
      </c>
      <c r="D756" s="10">
        <v>11.1</v>
      </c>
      <c r="E756">
        <f t="shared" si="33"/>
        <v>2.3753999999999995</v>
      </c>
      <c r="F756">
        <f t="shared" si="35"/>
        <v>82.766799999999904</v>
      </c>
      <c r="G756">
        <f t="shared" si="34"/>
        <v>0</v>
      </c>
    </row>
    <row r="757" spans="1:7" hidden="1" x14ac:dyDescent="0.35">
      <c r="A757" s="11">
        <v>49396</v>
      </c>
      <c r="B757" s="12" t="s">
        <v>22</v>
      </c>
      <c r="C757" s="13">
        <v>18.3</v>
      </c>
      <c r="D757" s="14">
        <v>0</v>
      </c>
      <c r="E757">
        <f t="shared" si="33"/>
        <v>0</v>
      </c>
      <c r="F757">
        <f t="shared" si="35"/>
        <v>82.766799999999904</v>
      </c>
      <c r="G757">
        <f t="shared" si="34"/>
        <v>0</v>
      </c>
    </row>
    <row r="758" spans="1:7" hidden="1" x14ac:dyDescent="0.35">
      <c r="A758" s="7">
        <v>49397</v>
      </c>
      <c r="B758" s="8" t="s">
        <v>15</v>
      </c>
      <c r="C758" s="9">
        <v>10.5</v>
      </c>
      <c r="D758" s="10">
        <v>3.9</v>
      </c>
      <c r="E758">
        <f t="shared" si="33"/>
        <v>0.40949999999999998</v>
      </c>
      <c r="F758">
        <f t="shared" si="35"/>
        <v>83.176299999999898</v>
      </c>
      <c r="G758">
        <f t="shared" si="34"/>
        <v>0</v>
      </c>
    </row>
    <row r="759" spans="1:7" hidden="1" x14ac:dyDescent="0.35">
      <c r="A759" s="11">
        <v>49398</v>
      </c>
      <c r="B759" s="12" t="s">
        <v>10</v>
      </c>
      <c r="C759" s="13">
        <v>11.7</v>
      </c>
      <c r="D759" s="14">
        <v>0</v>
      </c>
      <c r="E759">
        <f t="shared" si="33"/>
        <v>0</v>
      </c>
      <c r="F759">
        <f t="shared" si="35"/>
        <v>83.176299999999898</v>
      </c>
      <c r="G759">
        <f t="shared" si="34"/>
        <v>0</v>
      </c>
    </row>
    <row r="760" spans="1:7" hidden="1" x14ac:dyDescent="0.35">
      <c r="A760" s="7">
        <v>49399</v>
      </c>
      <c r="B760" s="8" t="s">
        <v>7</v>
      </c>
      <c r="C760" s="9">
        <v>26.8</v>
      </c>
      <c r="D760" s="10">
        <v>0</v>
      </c>
      <c r="E760">
        <f t="shared" si="33"/>
        <v>0</v>
      </c>
      <c r="F760">
        <f t="shared" si="35"/>
        <v>83.176299999999898</v>
      </c>
      <c r="G760">
        <f t="shared" si="34"/>
        <v>0</v>
      </c>
    </row>
    <row r="761" spans="1:7" hidden="1" x14ac:dyDescent="0.35">
      <c r="A761" s="11">
        <v>49400</v>
      </c>
      <c r="B761" s="12" t="s">
        <v>10</v>
      </c>
      <c r="C761" s="13">
        <v>22.1</v>
      </c>
      <c r="D761" s="14">
        <v>33.799999999999997</v>
      </c>
      <c r="E761">
        <f t="shared" si="33"/>
        <v>7.4698000000000002</v>
      </c>
      <c r="F761">
        <f t="shared" si="35"/>
        <v>90.646099999999905</v>
      </c>
      <c r="G761">
        <f t="shared" si="34"/>
        <v>0</v>
      </c>
    </row>
    <row r="762" spans="1:7" hidden="1" x14ac:dyDescent="0.35">
      <c r="A762" s="7">
        <v>49401</v>
      </c>
      <c r="B762" s="8" t="s">
        <v>32</v>
      </c>
      <c r="C762" s="9">
        <v>17.100000000000001</v>
      </c>
      <c r="D762" s="10">
        <v>0</v>
      </c>
      <c r="E762">
        <f t="shared" si="33"/>
        <v>0</v>
      </c>
      <c r="F762">
        <f t="shared" si="35"/>
        <v>90.646099999999905</v>
      </c>
      <c r="G762">
        <f t="shared" si="34"/>
        <v>0</v>
      </c>
    </row>
    <row r="763" spans="1:7" hidden="1" x14ac:dyDescent="0.35">
      <c r="A763" s="11">
        <v>49402</v>
      </c>
      <c r="B763" s="12" t="s">
        <v>13</v>
      </c>
      <c r="C763" s="13">
        <v>12.1</v>
      </c>
      <c r="D763" s="14">
        <v>14.4</v>
      </c>
      <c r="E763">
        <f t="shared" si="33"/>
        <v>1.7424000000000002</v>
      </c>
      <c r="F763">
        <f t="shared" si="35"/>
        <v>92.388499999999908</v>
      </c>
      <c r="G763">
        <f t="shared" si="34"/>
        <v>0</v>
      </c>
    </row>
    <row r="764" spans="1:7" hidden="1" x14ac:dyDescent="0.35">
      <c r="A764" s="7">
        <v>49403</v>
      </c>
      <c r="B764" s="8" t="s">
        <v>19</v>
      </c>
      <c r="C764" s="9">
        <v>28.6</v>
      </c>
      <c r="D764" s="10">
        <v>23.2</v>
      </c>
      <c r="E764">
        <f t="shared" si="33"/>
        <v>6.6352000000000002</v>
      </c>
      <c r="F764">
        <f t="shared" si="35"/>
        <v>99.023699999999906</v>
      </c>
      <c r="G764">
        <f t="shared" si="34"/>
        <v>0</v>
      </c>
    </row>
    <row r="765" spans="1:7" hidden="1" x14ac:dyDescent="0.35">
      <c r="A765" s="11">
        <v>49404</v>
      </c>
      <c r="B765" s="12" t="s">
        <v>6</v>
      </c>
      <c r="C765" s="13">
        <v>21.2</v>
      </c>
      <c r="D765" s="14">
        <v>1.5</v>
      </c>
      <c r="E765">
        <f t="shared" si="33"/>
        <v>0.31799999999999995</v>
      </c>
      <c r="F765">
        <f t="shared" si="35"/>
        <v>99.341699999999904</v>
      </c>
      <c r="G765">
        <f t="shared" si="34"/>
        <v>0</v>
      </c>
    </row>
    <row r="766" spans="1:7" hidden="1" x14ac:dyDescent="0.35">
      <c r="A766" s="7">
        <v>49405</v>
      </c>
      <c r="B766" s="8" t="s">
        <v>9</v>
      </c>
      <c r="C766" s="9">
        <v>17.2</v>
      </c>
      <c r="D766" s="10">
        <v>2.4</v>
      </c>
      <c r="E766">
        <f t="shared" si="33"/>
        <v>0.41279999999999994</v>
      </c>
      <c r="F766">
        <f t="shared" si="35"/>
        <v>99.754499999999908</v>
      </c>
      <c r="G766">
        <f t="shared" si="34"/>
        <v>0</v>
      </c>
    </row>
    <row r="767" spans="1:7" hidden="1" x14ac:dyDescent="0.35">
      <c r="A767" s="11">
        <v>49406</v>
      </c>
      <c r="B767" s="12" t="s">
        <v>10</v>
      </c>
      <c r="C767" s="13">
        <v>22.3</v>
      </c>
      <c r="D767" s="14">
        <v>0</v>
      </c>
      <c r="E767">
        <f t="shared" si="33"/>
        <v>0</v>
      </c>
      <c r="F767">
        <f t="shared" si="35"/>
        <v>99.754499999999908</v>
      </c>
      <c r="G767">
        <f t="shared" si="34"/>
        <v>0</v>
      </c>
    </row>
    <row r="768" spans="1:7" x14ac:dyDescent="0.35">
      <c r="A768" s="7">
        <v>49407</v>
      </c>
      <c r="B768" s="8" t="s">
        <v>15</v>
      </c>
      <c r="C768" s="9">
        <v>13.2</v>
      </c>
      <c r="D768" s="10">
        <v>3.6</v>
      </c>
      <c r="E768">
        <f t="shared" si="33"/>
        <v>0.47519999999999996</v>
      </c>
      <c r="F768">
        <f t="shared" si="35"/>
        <v>100.22969999999991</v>
      </c>
      <c r="G768">
        <f t="shared" si="34"/>
        <v>1</v>
      </c>
    </row>
    <row r="769" spans="1:7" hidden="1" x14ac:dyDescent="0.35">
      <c r="A769" s="11">
        <v>49408</v>
      </c>
      <c r="B769" s="12" t="s">
        <v>18</v>
      </c>
      <c r="C769" s="13">
        <v>13.6</v>
      </c>
      <c r="D769" s="14">
        <v>13.4</v>
      </c>
      <c r="E769">
        <f t="shared" si="33"/>
        <v>1.8224</v>
      </c>
      <c r="F769">
        <f t="shared" si="35"/>
        <v>2.0520999999999106</v>
      </c>
      <c r="G769">
        <f t="shared" si="34"/>
        <v>0</v>
      </c>
    </row>
    <row r="770" spans="1:7" hidden="1" x14ac:dyDescent="0.35">
      <c r="A770" s="7">
        <v>49409</v>
      </c>
      <c r="B770" s="8" t="s">
        <v>12</v>
      </c>
      <c r="C770" s="9">
        <v>15.7</v>
      </c>
      <c r="D770" s="10">
        <v>0</v>
      </c>
      <c r="E770">
        <f t="shared" si="33"/>
        <v>0</v>
      </c>
      <c r="F770">
        <f t="shared" si="35"/>
        <v>2.0520999999999106</v>
      </c>
      <c r="G770">
        <f t="shared" si="34"/>
        <v>0</v>
      </c>
    </row>
    <row r="771" spans="1:7" hidden="1" x14ac:dyDescent="0.35">
      <c r="A771" s="11">
        <v>49410</v>
      </c>
      <c r="B771" s="12" t="s">
        <v>9</v>
      </c>
      <c r="C771" s="13">
        <v>24.8</v>
      </c>
      <c r="D771" s="14">
        <v>0</v>
      </c>
      <c r="E771">
        <f t="shared" ref="E771:E834" si="36">IF(D771&gt;=1,C771*D771/100,0)</f>
        <v>0</v>
      </c>
      <c r="F771">
        <f t="shared" si="35"/>
        <v>2.0520999999999106</v>
      </c>
      <c r="G771">
        <f t="shared" ref="G771:G834" si="37">IF(F771&gt;=100,1,0)</f>
        <v>0</v>
      </c>
    </row>
    <row r="772" spans="1:7" hidden="1" x14ac:dyDescent="0.35">
      <c r="A772" s="7">
        <v>49411</v>
      </c>
      <c r="B772" s="8" t="s">
        <v>10</v>
      </c>
      <c r="C772" s="9">
        <v>25.1</v>
      </c>
      <c r="D772" s="10">
        <v>5.0999999999999996</v>
      </c>
      <c r="E772">
        <f t="shared" si="36"/>
        <v>1.2801</v>
      </c>
      <c r="F772">
        <f t="shared" ref="F772:F835" si="38">IF(G771=1,E772+F771-100,F771+E772)</f>
        <v>3.3321999999999106</v>
      </c>
      <c r="G772">
        <f t="shared" si="37"/>
        <v>0</v>
      </c>
    </row>
    <row r="773" spans="1:7" hidden="1" x14ac:dyDescent="0.35">
      <c r="A773" s="11">
        <v>49412</v>
      </c>
      <c r="B773" s="12" t="s">
        <v>19</v>
      </c>
      <c r="C773" s="13">
        <v>14.2</v>
      </c>
      <c r="D773" s="14">
        <v>23.5</v>
      </c>
      <c r="E773">
        <f t="shared" si="36"/>
        <v>3.3369999999999997</v>
      </c>
      <c r="F773">
        <f t="shared" si="38"/>
        <v>6.6691999999999103</v>
      </c>
      <c r="G773">
        <f t="shared" si="37"/>
        <v>0</v>
      </c>
    </row>
    <row r="774" spans="1:7" hidden="1" x14ac:dyDescent="0.35">
      <c r="A774" s="7">
        <v>49413</v>
      </c>
      <c r="B774" s="8" t="s">
        <v>14</v>
      </c>
      <c r="C774" s="9">
        <v>21.1</v>
      </c>
      <c r="D774" s="10">
        <v>1.4</v>
      </c>
      <c r="E774">
        <f t="shared" si="36"/>
        <v>0.2954</v>
      </c>
      <c r="F774">
        <f t="shared" si="38"/>
        <v>6.9645999999999102</v>
      </c>
      <c r="G774">
        <f t="shared" si="37"/>
        <v>0</v>
      </c>
    </row>
    <row r="775" spans="1:7" hidden="1" x14ac:dyDescent="0.35">
      <c r="A775" s="11">
        <v>49414</v>
      </c>
      <c r="B775" s="12" t="s">
        <v>10</v>
      </c>
      <c r="C775" s="13">
        <v>25.4</v>
      </c>
      <c r="D775" s="14">
        <v>28</v>
      </c>
      <c r="E775">
        <f t="shared" si="36"/>
        <v>7.1119999999999992</v>
      </c>
      <c r="F775">
        <f t="shared" si="38"/>
        <v>14.07659999999991</v>
      </c>
      <c r="G775">
        <f t="shared" si="37"/>
        <v>0</v>
      </c>
    </row>
    <row r="776" spans="1:7" hidden="1" x14ac:dyDescent="0.35">
      <c r="A776" s="7">
        <v>49415</v>
      </c>
      <c r="B776" s="8" t="s">
        <v>10</v>
      </c>
      <c r="C776" s="9">
        <v>24.7</v>
      </c>
      <c r="D776" s="10">
        <v>5.7</v>
      </c>
      <c r="E776">
        <f t="shared" si="36"/>
        <v>1.4078999999999999</v>
      </c>
      <c r="F776">
        <f t="shared" si="38"/>
        <v>15.48449999999991</v>
      </c>
      <c r="G776">
        <f t="shared" si="37"/>
        <v>0</v>
      </c>
    </row>
    <row r="777" spans="1:7" hidden="1" x14ac:dyDescent="0.35">
      <c r="A777" s="11">
        <v>49416</v>
      </c>
      <c r="B777" s="12" t="s">
        <v>13</v>
      </c>
      <c r="C777" s="13">
        <v>19.8</v>
      </c>
      <c r="D777" s="14">
        <v>0</v>
      </c>
      <c r="E777">
        <f t="shared" si="36"/>
        <v>0</v>
      </c>
      <c r="F777">
        <f t="shared" si="38"/>
        <v>15.48449999999991</v>
      </c>
      <c r="G777">
        <f t="shared" si="37"/>
        <v>0</v>
      </c>
    </row>
    <row r="778" spans="1:7" hidden="1" x14ac:dyDescent="0.35">
      <c r="A778" s="7">
        <v>49417</v>
      </c>
      <c r="B778" s="8" t="s">
        <v>27</v>
      </c>
      <c r="C778" s="9">
        <v>28.4</v>
      </c>
      <c r="D778" s="10">
        <v>2.9</v>
      </c>
      <c r="E778">
        <f t="shared" si="36"/>
        <v>0.8236</v>
      </c>
      <c r="F778">
        <f t="shared" si="38"/>
        <v>16.308099999999911</v>
      </c>
      <c r="G778">
        <f t="shared" si="37"/>
        <v>0</v>
      </c>
    </row>
    <row r="779" spans="1:7" hidden="1" x14ac:dyDescent="0.35">
      <c r="A779" s="11">
        <v>49418</v>
      </c>
      <c r="B779" s="12" t="s">
        <v>11</v>
      </c>
      <c r="C779" s="13">
        <v>26.5</v>
      </c>
      <c r="D779" s="14">
        <v>0</v>
      </c>
      <c r="E779">
        <f t="shared" si="36"/>
        <v>0</v>
      </c>
      <c r="F779">
        <f t="shared" si="38"/>
        <v>16.308099999999911</v>
      </c>
      <c r="G779">
        <f t="shared" si="37"/>
        <v>0</v>
      </c>
    </row>
    <row r="780" spans="1:7" hidden="1" x14ac:dyDescent="0.35">
      <c r="A780" s="7">
        <v>49419</v>
      </c>
      <c r="B780" s="8" t="s">
        <v>10</v>
      </c>
      <c r="C780" s="9">
        <v>14.1</v>
      </c>
      <c r="D780" s="10">
        <v>13.1</v>
      </c>
      <c r="E780">
        <f t="shared" si="36"/>
        <v>1.8470999999999997</v>
      </c>
      <c r="F780">
        <f t="shared" si="38"/>
        <v>18.155199999999912</v>
      </c>
      <c r="G780">
        <f t="shared" si="37"/>
        <v>0</v>
      </c>
    </row>
    <row r="781" spans="1:7" hidden="1" x14ac:dyDescent="0.35">
      <c r="A781" s="11">
        <v>49420</v>
      </c>
      <c r="B781" s="12" t="s">
        <v>28</v>
      </c>
      <c r="C781" s="13">
        <v>15.9</v>
      </c>
      <c r="D781" s="14">
        <v>0.5</v>
      </c>
      <c r="E781">
        <f t="shared" si="36"/>
        <v>0</v>
      </c>
      <c r="F781">
        <f t="shared" si="38"/>
        <v>18.155199999999912</v>
      </c>
      <c r="G781">
        <f t="shared" si="37"/>
        <v>0</v>
      </c>
    </row>
    <row r="782" spans="1:7" hidden="1" x14ac:dyDescent="0.35">
      <c r="A782" s="7">
        <v>49421</v>
      </c>
      <c r="B782" s="8" t="s">
        <v>19</v>
      </c>
      <c r="C782" s="9">
        <v>28.2</v>
      </c>
      <c r="D782" s="10">
        <v>26.9</v>
      </c>
      <c r="E782">
        <f t="shared" si="36"/>
        <v>7.585799999999999</v>
      </c>
      <c r="F782">
        <f t="shared" si="38"/>
        <v>25.740999999999911</v>
      </c>
      <c r="G782">
        <f t="shared" si="37"/>
        <v>0</v>
      </c>
    </row>
    <row r="783" spans="1:7" hidden="1" x14ac:dyDescent="0.35">
      <c r="A783" s="11">
        <v>49422</v>
      </c>
      <c r="B783" s="12" t="s">
        <v>28</v>
      </c>
      <c r="C783" s="13">
        <v>17.100000000000001</v>
      </c>
      <c r="D783" s="14">
        <v>0.5</v>
      </c>
      <c r="E783">
        <f t="shared" si="36"/>
        <v>0</v>
      </c>
      <c r="F783">
        <f t="shared" si="38"/>
        <v>25.740999999999911</v>
      </c>
      <c r="G783">
        <f t="shared" si="37"/>
        <v>0</v>
      </c>
    </row>
    <row r="784" spans="1:7" hidden="1" x14ac:dyDescent="0.35">
      <c r="A784" s="7">
        <v>49423</v>
      </c>
      <c r="B784" s="8" t="s">
        <v>19</v>
      </c>
      <c r="C784" s="9">
        <v>27</v>
      </c>
      <c r="D784" s="10">
        <v>0</v>
      </c>
      <c r="E784">
        <f t="shared" si="36"/>
        <v>0</v>
      </c>
      <c r="F784">
        <f t="shared" si="38"/>
        <v>25.740999999999911</v>
      </c>
      <c r="G784">
        <f t="shared" si="37"/>
        <v>0</v>
      </c>
    </row>
    <row r="785" spans="1:7" hidden="1" x14ac:dyDescent="0.35">
      <c r="A785" s="11">
        <v>49424</v>
      </c>
      <c r="B785" s="12" t="s">
        <v>18</v>
      </c>
      <c r="C785" s="13">
        <v>24.1</v>
      </c>
      <c r="D785" s="14">
        <v>0</v>
      </c>
      <c r="E785">
        <f t="shared" si="36"/>
        <v>0</v>
      </c>
      <c r="F785">
        <f t="shared" si="38"/>
        <v>25.740999999999911</v>
      </c>
      <c r="G785">
        <f t="shared" si="37"/>
        <v>0</v>
      </c>
    </row>
    <row r="786" spans="1:7" hidden="1" x14ac:dyDescent="0.35">
      <c r="A786" s="7">
        <v>49425</v>
      </c>
      <c r="B786" s="8" t="s">
        <v>12</v>
      </c>
      <c r="C786" s="9">
        <v>10.4</v>
      </c>
      <c r="D786" s="10">
        <v>7.2</v>
      </c>
      <c r="E786">
        <f t="shared" si="36"/>
        <v>0.74880000000000013</v>
      </c>
      <c r="F786">
        <f t="shared" si="38"/>
        <v>26.48979999999991</v>
      </c>
      <c r="G786">
        <f t="shared" si="37"/>
        <v>0</v>
      </c>
    </row>
    <row r="787" spans="1:7" hidden="1" x14ac:dyDescent="0.35">
      <c r="A787" s="11">
        <v>49426</v>
      </c>
      <c r="B787" s="12" t="s">
        <v>13</v>
      </c>
      <c r="C787" s="13">
        <v>27.2</v>
      </c>
      <c r="D787" s="14">
        <v>15.1</v>
      </c>
      <c r="E787">
        <f t="shared" si="36"/>
        <v>4.1071999999999997</v>
      </c>
      <c r="F787">
        <f t="shared" si="38"/>
        <v>30.596999999999909</v>
      </c>
      <c r="G787">
        <f t="shared" si="37"/>
        <v>0</v>
      </c>
    </row>
    <row r="788" spans="1:7" hidden="1" x14ac:dyDescent="0.35">
      <c r="A788" s="7">
        <v>49427</v>
      </c>
      <c r="B788" s="8" t="s">
        <v>22</v>
      </c>
      <c r="C788" s="9">
        <v>22.1</v>
      </c>
      <c r="D788" s="10">
        <v>0</v>
      </c>
      <c r="E788">
        <f t="shared" si="36"/>
        <v>0</v>
      </c>
      <c r="F788">
        <f t="shared" si="38"/>
        <v>30.596999999999909</v>
      </c>
      <c r="G788">
        <f t="shared" si="37"/>
        <v>0</v>
      </c>
    </row>
    <row r="789" spans="1:7" hidden="1" x14ac:dyDescent="0.35">
      <c r="A789" s="11">
        <v>49428</v>
      </c>
      <c r="B789" s="12" t="s">
        <v>14</v>
      </c>
      <c r="C789" s="13">
        <v>13.3</v>
      </c>
      <c r="D789" s="14">
        <v>8.5</v>
      </c>
      <c r="E789">
        <f t="shared" si="36"/>
        <v>1.1305000000000001</v>
      </c>
      <c r="F789">
        <f t="shared" si="38"/>
        <v>31.72749999999991</v>
      </c>
      <c r="G789">
        <f t="shared" si="37"/>
        <v>0</v>
      </c>
    </row>
    <row r="790" spans="1:7" hidden="1" x14ac:dyDescent="0.35">
      <c r="A790" s="7">
        <v>49429</v>
      </c>
      <c r="B790" s="8" t="s">
        <v>12</v>
      </c>
      <c r="C790" s="9">
        <v>26.4</v>
      </c>
      <c r="D790" s="10">
        <v>0</v>
      </c>
      <c r="E790">
        <f t="shared" si="36"/>
        <v>0</v>
      </c>
      <c r="F790">
        <f t="shared" si="38"/>
        <v>31.72749999999991</v>
      </c>
      <c r="G790">
        <f t="shared" si="37"/>
        <v>0</v>
      </c>
    </row>
    <row r="791" spans="1:7" hidden="1" x14ac:dyDescent="0.35">
      <c r="A791" s="11">
        <v>49430</v>
      </c>
      <c r="B791" s="12" t="s">
        <v>25</v>
      </c>
      <c r="C791" s="13">
        <v>25.8</v>
      </c>
      <c r="D791" s="14">
        <v>2.9</v>
      </c>
      <c r="E791">
        <f t="shared" si="36"/>
        <v>0.74819999999999998</v>
      </c>
      <c r="F791">
        <f t="shared" si="38"/>
        <v>32.475699999999911</v>
      </c>
      <c r="G791">
        <f t="shared" si="37"/>
        <v>0</v>
      </c>
    </row>
    <row r="792" spans="1:7" hidden="1" x14ac:dyDescent="0.35">
      <c r="A792" s="7">
        <v>49431</v>
      </c>
      <c r="B792" s="8" t="s">
        <v>15</v>
      </c>
      <c r="C792" s="9">
        <v>23</v>
      </c>
      <c r="D792" s="10">
        <v>3.8</v>
      </c>
      <c r="E792">
        <f t="shared" si="36"/>
        <v>0.87399999999999989</v>
      </c>
      <c r="F792">
        <f t="shared" si="38"/>
        <v>33.349699999999913</v>
      </c>
      <c r="G792">
        <f t="shared" si="37"/>
        <v>0</v>
      </c>
    </row>
    <row r="793" spans="1:7" hidden="1" x14ac:dyDescent="0.35">
      <c r="A793" s="11">
        <v>49432</v>
      </c>
      <c r="B793" s="12" t="s">
        <v>13</v>
      </c>
      <c r="C793" s="13">
        <v>22.7</v>
      </c>
      <c r="D793" s="14">
        <v>0</v>
      </c>
      <c r="E793">
        <f t="shared" si="36"/>
        <v>0</v>
      </c>
      <c r="F793">
        <f t="shared" si="38"/>
        <v>33.349699999999913</v>
      </c>
      <c r="G793">
        <f t="shared" si="37"/>
        <v>0</v>
      </c>
    </row>
    <row r="794" spans="1:7" hidden="1" x14ac:dyDescent="0.35">
      <c r="A794" s="7">
        <v>49433</v>
      </c>
      <c r="B794" s="8" t="s">
        <v>26</v>
      </c>
      <c r="C794" s="9">
        <v>26.2</v>
      </c>
      <c r="D794" s="10">
        <v>5.0999999999999996</v>
      </c>
      <c r="E794">
        <f t="shared" si="36"/>
        <v>1.3361999999999998</v>
      </c>
      <c r="F794">
        <f t="shared" si="38"/>
        <v>34.685899999999911</v>
      </c>
      <c r="G794">
        <f t="shared" si="37"/>
        <v>0</v>
      </c>
    </row>
    <row r="795" spans="1:7" hidden="1" x14ac:dyDescent="0.35">
      <c r="A795" s="11">
        <v>49434</v>
      </c>
      <c r="B795" s="12" t="s">
        <v>14</v>
      </c>
      <c r="C795" s="13">
        <v>16.600000000000001</v>
      </c>
      <c r="D795" s="14">
        <v>0</v>
      </c>
      <c r="E795">
        <f t="shared" si="36"/>
        <v>0</v>
      </c>
      <c r="F795">
        <f t="shared" si="38"/>
        <v>34.685899999999911</v>
      </c>
      <c r="G795">
        <f t="shared" si="37"/>
        <v>0</v>
      </c>
    </row>
    <row r="796" spans="1:7" hidden="1" x14ac:dyDescent="0.35">
      <c r="A796" s="7">
        <v>49435</v>
      </c>
      <c r="B796" s="8" t="s">
        <v>23</v>
      </c>
      <c r="C796" s="9">
        <v>23.9</v>
      </c>
      <c r="D796" s="10">
        <v>0</v>
      </c>
      <c r="E796">
        <f t="shared" si="36"/>
        <v>0</v>
      </c>
      <c r="F796">
        <f t="shared" si="38"/>
        <v>34.685899999999911</v>
      </c>
      <c r="G796">
        <f t="shared" si="37"/>
        <v>0</v>
      </c>
    </row>
    <row r="797" spans="1:7" hidden="1" x14ac:dyDescent="0.35">
      <c r="A797" s="11">
        <v>49436</v>
      </c>
      <c r="B797" s="12" t="s">
        <v>7</v>
      </c>
      <c r="C797" s="13">
        <v>10.6</v>
      </c>
      <c r="D797" s="14">
        <v>21.3</v>
      </c>
      <c r="E797">
        <f t="shared" si="36"/>
        <v>2.2578</v>
      </c>
      <c r="F797">
        <f t="shared" si="38"/>
        <v>36.943699999999914</v>
      </c>
      <c r="G797">
        <f t="shared" si="37"/>
        <v>0</v>
      </c>
    </row>
    <row r="798" spans="1:7" hidden="1" x14ac:dyDescent="0.35">
      <c r="A798" s="7">
        <v>49437</v>
      </c>
      <c r="B798" s="8" t="s">
        <v>10</v>
      </c>
      <c r="C798" s="9">
        <v>22.8</v>
      </c>
      <c r="D798" s="10">
        <v>24.6</v>
      </c>
      <c r="E798">
        <f t="shared" si="36"/>
        <v>5.6087999999999996</v>
      </c>
      <c r="F798">
        <f t="shared" si="38"/>
        <v>42.552499999999917</v>
      </c>
      <c r="G798">
        <f t="shared" si="37"/>
        <v>0</v>
      </c>
    </row>
    <row r="799" spans="1:7" hidden="1" x14ac:dyDescent="0.35">
      <c r="A799" s="11">
        <v>49438</v>
      </c>
      <c r="B799" s="12" t="s">
        <v>5</v>
      </c>
      <c r="C799" s="13">
        <v>26.8</v>
      </c>
      <c r="D799" s="14">
        <v>7.5</v>
      </c>
      <c r="E799">
        <f t="shared" si="36"/>
        <v>2.0099999999999998</v>
      </c>
      <c r="F799">
        <f t="shared" si="38"/>
        <v>44.562499999999915</v>
      </c>
      <c r="G799">
        <f t="shared" si="37"/>
        <v>0</v>
      </c>
    </row>
    <row r="800" spans="1:7" hidden="1" x14ac:dyDescent="0.35">
      <c r="A800" s="7">
        <v>49439</v>
      </c>
      <c r="B800" s="8" t="s">
        <v>19</v>
      </c>
      <c r="C800" s="9">
        <v>21.3</v>
      </c>
      <c r="D800" s="10">
        <v>37.700000000000003</v>
      </c>
      <c r="E800">
        <f t="shared" si="36"/>
        <v>8.0301000000000009</v>
      </c>
      <c r="F800">
        <f t="shared" si="38"/>
        <v>52.592599999999919</v>
      </c>
      <c r="G800">
        <f t="shared" si="37"/>
        <v>0</v>
      </c>
    </row>
    <row r="801" spans="1:7" hidden="1" x14ac:dyDescent="0.35">
      <c r="A801" s="11">
        <v>49440</v>
      </c>
      <c r="B801" s="12" t="s">
        <v>12</v>
      </c>
      <c r="C801" s="13">
        <v>20.3</v>
      </c>
      <c r="D801" s="14">
        <v>11</v>
      </c>
      <c r="E801">
        <f t="shared" si="36"/>
        <v>2.2330000000000001</v>
      </c>
      <c r="F801">
        <f t="shared" si="38"/>
        <v>54.825599999999916</v>
      </c>
      <c r="G801">
        <f t="shared" si="37"/>
        <v>0</v>
      </c>
    </row>
    <row r="802" spans="1:7" hidden="1" x14ac:dyDescent="0.35">
      <c r="A802" s="7">
        <v>49441</v>
      </c>
      <c r="B802" s="8" t="s">
        <v>19</v>
      </c>
      <c r="C802" s="9">
        <v>25.6</v>
      </c>
      <c r="D802" s="10">
        <v>20.100000000000001</v>
      </c>
      <c r="E802">
        <f t="shared" si="36"/>
        <v>5.1456000000000008</v>
      </c>
      <c r="F802">
        <f t="shared" si="38"/>
        <v>59.971199999999918</v>
      </c>
      <c r="G802">
        <f t="shared" si="37"/>
        <v>0</v>
      </c>
    </row>
    <row r="803" spans="1:7" hidden="1" x14ac:dyDescent="0.35">
      <c r="A803" s="11">
        <v>49442</v>
      </c>
      <c r="B803" s="12" t="s">
        <v>13</v>
      </c>
      <c r="C803" s="13">
        <v>25.1</v>
      </c>
      <c r="D803" s="14">
        <v>14.7</v>
      </c>
      <c r="E803">
        <f t="shared" si="36"/>
        <v>3.6897000000000002</v>
      </c>
      <c r="F803">
        <f t="shared" si="38"/>
        <v>63.66089999999992</v>
      </c>
      <c r="G803">
        <f t="shared" si="37"/>
        <v>0</v>
      </c>
    </row>
    <row r="804" spans="1:7" hidden="1" x14ac:dyDescent="0.35">
      <c r="A804" s="7">
        <v>49443</v>
      </c>
      <c r="B804" s="8" t="s">
        <v>7</v>
      </c>
      <c r="C804" s="9">
        <v>24.3</v>
      </c>
      <c r="D804" s="10">
        <v>24.3</v>
      </c>
      <c r="E804">
        <f t="shared" si="36"/>
        <v>5.9049000000000005</v>
      </c>
      <c r="F804">
        <f t="shared" si="38"/>
        <v>69.565799999999925</v>
      </c>
      <c r="G804">
        <f t="shared" si="37"/>
        <v>0</v>
      </c>
    </row>
    <row r="805" spans="1:7" hidden="1" x14ac:dyDescent="0.35">
      <c r="A805" s="11">
        <v>49444</v>
      </c>
      <c r="B805" s="12" t="s">
        <v>14</v>
      </c>
      <c r="C805" s="13">
        <v>12.9</v>
      </c>
      <c r="D805" s="14">
        <v>2.7</v>
      </c>
      <c r="E805">
        <f t="shared" si="36"/>
        <v>0.34830000000000005</v>
      </c>
      <c r="F805">
        <f t="shared" si="38"/>
        <v>69.91409999999992</v>
      </c>
      <c r="G805">
        <f t="shared" si="37"/>
        <v>0</v>
      </c>
    </row>
    <row r="806" spans="1:7" hidden="1" x14ac:dyDescent="0.35">
      <c r="A806" s="7">
        <v>49445</v>
      </c>
      <c r="B806" s="8" t="s">
        <v>19</v>
      </c>
      <c r="C806" s="9">
        <v>16.7</v>
      </c>
      <c r="D806" s="10">
        <v>27.7</v>
      </c>
      <c r="E806">
        <f t="shared" si="36"/>
        <v>4.6258999999999997</v>
      </c>
      <c r="F806">
        <f t="shared" si="38"/>
        <v>74.539999999999921</v>
      </c>
      <c r="G806">
        <f t="shared" si="37"/>
        <v>0</v>
      </c>
    </row>
    <row r="807" spans="1:7" hidden="1" x14ac:dyDescent="0.35">
      <c r="A807" s="11">
        <v>49446</v>
      </c>
      <c r="B807" s="12" t="s">
        <v>10</v>
      </c>
      <c r="C807" s="13">
        <v>16.2</v>
      </c>
      <c r="D807" s="14">
        <v>20.5</v>
      </c>
      <c r="E807">
        <f t="shared" si="36"/>
        <v>3.3209999999999997</v>
      </c>
      <c r="F807">
        <f t="shared" si="38"/>
        <v>77.860999999999919</v>
      </c>
      <c r="G807">
        <f t="shared" si="37"/>
        <v>0</v>
      </c>
    </row>
    <row r="808" spans="1:7" hidden="1" x14ac:dyDescent="0.35">
      <c r="A808" s="7">
        <v>49447</v>
      </c>
      <c r="B808" s="8" t="s">
        <v>12</v>
      </c>
      <c r="C808" s="9">
        <v>19.5</v>
      </c>
      <c r="D808" s="10">
        <v>5.0999999999999996</v>
      </c>
      <c r="E808">
        <f t="shared" si="36"/>
        <v>0.99449999999999994</v>
      </c>
      <c r="F808">
        <f t="shared" si="38"/>
        <v>78.855499999999921</v>
      </c>
      <c r="G808">
        <f t="shared" si="37"/>
        <v>0</v>
      </c>
    </row>
    <row r="809" spans="1:7" hidden="1" x14ac:dyDescent="0.35">
      <c r="A809" s="11">
        <v>49448</v>
      </c>
      <c r="B809" s="12" t="s">
        <v>10</v>
      </c>
      <c r="C809" s="13">
        <v>22.9</v>
      </c>
      <c r="D809" s="14">
        <v>6.6</v>
      </c>
      <c r="E809">
        <f t="shared" si="36"/>
        <v>1.5113999999999999</v>
      </c>
      <c r="F809">
        <f t="shared" si="38"/>
        <v>80.366899999999916</v>
      </c>
      <c r="G809">
        <f t="shared" si="37"/>
        <v>0</v>
      </c>
    </row>
    <row r="810" spans="1:7" hidden="1" x14ac:dyDescent="0.35">
      <c r="A810" s="7">
        <v>49449</v>
      </c>
      <c r="B810" s="8" t="s">
        <v>19</v>
      </c>
      <c r="C810" s="9">
        <v>25.9</v>
      </c>
      <c r="D810" s="10">
        <v>4.4000000000000004</v>
      </c>
      <c r="E810">
        <f t="shared" si="36"/>
        <v>1.1396000000000002</v>
      </c>
      <c r="F810">
        <f t="shared" si="38"/>
        <v>81.506499999999917</v>
      </c>
      <c r="G810">
        <f t="shared" si="37"/>
        <v>0</v>
      </c>
    </row>
    <row r="811" spans="1:7" hidden="1" x14ac:dyDescent="0.35">
      <c r="A811" s="11">
        <v>49450</v>
      </c>
      <c r="B811" s="12" t="s">
        <v>18</v>
      </c>
      <c r="C811" s="13">
        <v>20.3</v>
      </c>
      <c r="D811" s="14">
        <v>4.5999999999999996</v>
      </c>
      <c r="E811">
        <f t="shared" si="36"/>
        <v>0.93379999999999996</v>
      </c>
      <c r="F811">
        <f t="shared" si="38"/>
        <v>82.440299999999922</v>
      </c>
      <c r="G811">
        <f t="shared" si="37"/>
        <v>0</v>
      </c>
    </row>
    <row r="812" spans="1:7" hidden="1" x14ac:dyDescent="0.35">
      <c r="A812" s="7">
        <v>49451</v>
      </c>
      <c r="B812" s="8" t="s">
        <v>28</v>
      </c>
      <c r="C812" s="9">
        <v>11.3</v>
      </c>
      <c r="D812" s="10">
        <v>0.3</v>
      </c>
      <c r="E812">
        <f t="shared" si="36"/>
        <v>0</v>
      </c>
      <c r="F812">
        <f t="shared" si="38"/>
        <v>82.440299999999922</v>
      </c>
      <c r="G812">
        <f t="shared" si="37"/>
        <v>0</v>
      </c>
    </row>
    <row r="813" spans="1:7" hidden="1" x14ac:dyDescent="0.35">
      <c r="A813" s="11">
        <v>49452</v>
      </c>
      <c r="B813" s="12" t="s">
        <v>10</v>
      </c>
      <c r="C813" s="13">
        <v>27.4</v>
      </c>
      <c r="D813" s="14">
        <v>29.9</v>
      </c>
      <c r="E813">
        <f t="shared" si="36"/>
        <v>8.1925999999999988</v>
      </c>
      <c r="F813">
        <f t="shared" si="38"/>
        <v>90.632899999999921</v>
      </c>
      <c r="G813">
        <f t="shared" si="37"/>
        <v>0</v>
      </c>
    </row>
    <row r="814" spans="1:7" hidden="1" x14ac:dyDescent="0.35">
      <c r="A814" s="7">
        <v>49453</v>
      </c>
      <c r="B814" s="8" t="s">
        <v>19</v>
      </c>
      <c r="C814" s="9">
        <v>29.2</v>
      </c>
      <c r="D814" s="10">
        <v>0</v>
      </c>
      <c r="E814">
        <f t="shared" si="36"/>
        <v>0</v>
      </c>
      <c r="F814">
        <f t="shared" si="38"/>
        <v>90.632899999999921</v>
      </c>
      <c r="G814">
        <f t="shared" si="37"/>
        <v>0</v>
      </c>
    </row>
    <row r="815" spans="1:7" hidden="1" x14ac:dyDescent="0.35">
      <c r="A815" s="11">
        <v>49454</v>
      </c>
      <c r="B815" s="12" t="s">
        <v>4</v>
      </c>
      <c r="C815" s="13">
        <v>27.4</v>
      </c>
      <c r="D815" s="14">
        <v>0</v>
      </c>
      <c r="E815">
        <f t="shared" si="36"/>
        <v>0</v>
      </c>
      <c r="F815">
        <f t="shared" si="38"/>
        <v>90.632899999999921</v>
      </c>
      <c r="G815">
        <f t="shared" si="37"/>
        <v>0</v>
      </c>
    </row>
    <row r="816" spans="1:7" hidden="1" x14ac:dyDescent="0.35">
      <c r="A816" s="7">
        <v>49455</v>
      </c>
      <c r="B816" s="8" t="s">
        <v>19</v>
      </c>
      <c r="C816" s="9">
        <v>10.1</v>
      </c>
      <c r="D816" s="10">
        <v>8.1</v>
      </c>
      <c r="E816">
        <f t="shared" si="36"/>
        <v>0.81809999999999983</v>
      </c>
      <c r="F816">
        <f t="shared" si="38"/>
        <v>91.450999999999922</v>
      </c>
      <c r="G816">
        <f t="shared" si="37"/>
        <v>0</v>
      </c>
    </row>
    <row r="817" spans="1:7" hidden="1" x14ac:dyDescent="0.35">
      <c r="A817" s="11">
        <v>49456</v>
      </c>
      <c r="B817" s="12" t="s">
        <v>5</v>
      </c>
      <c r="C817" s="13">
        <v>12.9</v>
      </c>
      <c r="D817" s="14">
        <v>5.9</v>
      </c>
      <c r="E817">
        <f t="shared" si="36"/>
        <v>0.76110000000000011</v>
      </c>
      <c r="F817">
        <f t="shared" si="38"/>
        <v>92.212099999999921</v>
      </c>
      <c r="G817">
        <f t="shared" si="37"/>
        <v>0</v>
      </c>
    </row>
    <row r="818" spans="1:7" hidden="1" x14ac:dyDescent="0.35">
      <c r="A818" s="7">
        <v>49457</v>
      </c>
      <c r="B818" s="8" t="s">
        <v>14</v>
      </c>
      <c r="C818" s="9">
        <v>18.7</v>
      </c>
      <c r="D818" s="10">
        <v>0</v>
      </c>
      <c r="E818">
        <f t="shared" si="36"/>
        <v>0</v>
      </c>
      <c r="F818">
        <f t="shared" si="38"/>
        <v>92.212099999999921</v>
      </c>
      <c r="G818">
        <f t="shared" si="37"/>
        <v>0</v>
      </c>
    </row>
    <row r="819" spans="1:7" hidden="1" x14ac:dyDescent="0.35">
      <c r="A819" s="11">
        <v>49458</v>
      </c>
      <c r="B819" s="12" t="s">
        <v>32</v>
      </c>
      <c r="C819" s="13">
        <v>17.8</v>
      </c>
      <c r="D819" s="14">
        <v>0.3</v>
      </c>
      <c r="E819">
        <f t="shared" si="36"/>
        <v>0</v>
      </c>
      <c r="F819">
        <f t="shared" si="38"/>
        <v>92.212099999999921</v>
      </c>
      <c r="G819">
        <f t="shared" si="37"/>
        <v>0</v>
      </c>
    </row>
    <row r="820" spans="1:7" x14ac:dyDescent="0.35">
      <c r="A820" s="7">
        <v>49459</v>
      </c>
      <c r="B820" s="8" t="s">
        <v>10</v>
      </c>
      <c r="C820" s="9">
        <v>24.7</v>
      </c>
      <c r="D820" s="10">
        <v>42.9</v>
      </c>
      <c r="E820">
        <f t="shared" si="36"/>
        <v>10.596299999999999</v>
      </c>
      <c r="F820">
        <f t="shared" si="38"/>
        <v>102.80839999999992</v>
      </c>
      <c r="G820">
        <f t="shared" si="37"/>
        <v>1</v>
      </c>
    </row>
    <row r="821" spans="1:7" hidden="1" x14ac:dyDescent="0.35">
      <c r="A821" s="11">
        <v>49460</v>
      </c>
      <c r="B821" s="12" t="s">
        <v>10</v>
      </c>
      <c r="C821" s="13">
        <v>28.7</v>
      </c>
      <c r="D821" s="14">
        <v>33.799999999999997</v>
      </c>
      <c r="E821">
        <f t="shared" si="36"/>
        <v>9.7005999999999997</v>
      </c>
      <c r="F821">
        <f t="shared" si="38"/>
        <v>12.508999999999915</v>
      </c>
      <c r="G821">
        <f t="shared" si="37"/>
        <v>0</v>
      </c>
    </row>
    <row r="822" spans="1:7" hidden="1" x14ac:dyDescent="0.35">
      <c r="A822" s="7">
        <v>49461</v>
      </c>
      <c r="B822" s="8" t="s">
        <v>18</v>
      </c>
      <c r="C822" s="9">
        <v>12.3</v>
      </c>
      <c r="D822" s="10">
        <v>1.7</v>
      </c>
      <c r="E822">
        <f t="shared" si="36"/>
        <v>0.20910000000000001</v>
      </c>
      <c r="F822">
        <f t="shared" si="38"/>
        <v>12.718099999999914</v>
      </c>
      <c r="G822">
        <f t="shared" si="37"/>
        <v>0</v>
      </c>
    </row>
    <row r="823" spans="1:7" hidden="1" x14ac:dyDescent="0.35">
      <c r="A823" s="11">
        <v>49462</v>
      </c>
      <c r="B823" s="12" t="s">
        <v>19</v>
      </c>
      <c r="C823" s="13">
        <v>22.9</v>
      </c>
      <c r="D823" s="14">
        <v>0</v>
      </c>
      <c r="E823">
        <f t="shared" si="36"/>
        <v>0</v>
      </c>
      <c r="F823">
        <f t="shared" si="38"/>
        <v>12.718099999999914</v>
      </c>
      <c r="G823">
        <f t="shared" si="37"/>
        <v>0</v>
      </c>
    </row>
    <row r="824" spans="1:7" hidden="1" x14ac:dyDescent="0.35">
      <c r="A824" s="7">
        <v>49463</v>
      </c>
      <c r="B824" s="8" t="s">
        <v>17</v>
      </c>
      <c r="C824" s="9">
        <v>20</v>
      </c>
      <c r="D824" s="10">
        <v>3</v>
      </c>
      <c r="E824">
        <f t="shared" si="36"/>
        <v>0.6</v>
      </c>
      <c r="F824">
        <f t="shared" si="38"/>
        <v>13.318099999999914</v>
      </c>
      <c r="G824">
        <f t="shared" si="37"/>
        <v>0</v>
      </c>
    </row>
    <row r="825" spans="1:7" hidden="1" x14ac:dyDescent="0.35">
      <c r="A825" s="11">
        <v>49464</v>
      </c>
      <c r="B825" s="12" t="s">
        <v>10</v>
      </c>
      <c r="C825" s="13">
        <v>27.3</v>
      </c>
      <c r="D825" s="14">
        <v>0</v>
      </c>
      <c r="E825">
        <f t="shared" si="36"/>
        <v>0</v>
      </c>
      <c r="F825">
        <f t="shared" si="38"/>
        <v>13.318099999999914</v>
      </c>
      <c r="G825">
        <f t="shared" si="37"/>
        <v>0</v>
      </c>
    </row>
    <row r="826" spans="1:7" hidden="1" x14ac:dyDescent="0.35">
      <c r="A826" s="7">
        <v>49465</v>
      </c>
      <c r="B826" s="8" t="s">
        <v>13</v>
      </c>
      <c r="C826" s="9">
        <v>29.9</v>
      </c>
      <c r="D826" s="10">
        <v>7.7</v>
      </c>
      <c r="E826">
        <f t="shared" si="36"/>
        <v>2.3022999999999998</v>
      </c>
      <c r="F826">
        <f t="shared" si="38"/>
        <v>15.620399999999915</v>
      </c>
      <c r="G826">
        <f t="shared" si="37"/>
        <v>0</v>
      </c>
    </row>
    <row r="827" spans="1:7" hidden="1" x14ac:dyDescent="0.35">
      <c r="A827" s="11">
        <v>49466</v>
      </c>
      <c r="B827" s="12" t="s">
        <v>12</v>
      </c>
      <c r="C827" s="13">
        <v>27.5</v>
      </c>
      <c r="D827" s="14">
        <v>2.7</v>
      </c>
      <c r="E827">
        <f t="shared" si="36"/>
        <v>0.74250000000000005</v>
      </c>
      <c r="F827">
        <f t="shared" si="38"/>
        <v>16.362899999999915</v>
      </c>
      <c r="G827">
        <f t="shared" si="37"/>
        <v>0</v>
      </c>
    </row>
    <row r="828" spans="1:7" hidden="1" x14ac:dyDescent="0.35">
      <c r="A828" s="7">
        <v>49467</v>
      </c>
      <c r="B828" s="8" t="s">
        <v>18</v>
      </c>
      <c r="C828" s="9">
        <v>16.5</v>
      </c>
      <c r="D828" s="10">
        <v>13.3</v>
      </c>
      <c r="E828">
        <f t="shared" si="36"/>
        <v>2.1945000000000001</v>
      </c>
      <c r="F828">
        <f t="shared" si="38"/>
        <v>18.557399999999916</v>
      </c>
      <c r="G828">
        <f t="shared" si="37"/>
        <v>0</v>
      </c>
    </row>
    <row r="829" spans="1:7" hidden="1" x14ac:dyDescent="0.35">
      <c r="A829" s="11">
        <v>49468</v>
      </c>
      <c r="B829" s="12" t="s">
        <v>5</v>
      </c>
      <c r="C829" s="13">
        <v>23.5</v>
      </c>
      <c r="D829" s="14">
        <v>5.9</v>
      </c>
      <c r="E829">
        <f t="shared" si="36"/>
        <v>1.3865000000000001</v>
      </c>
      <c r="F829">
        <f t="shared" si="38"/>
        <v>19.943899999999918</v>
      </c>
      <c r="G829">
        <f t="shared" si="37"/>
        <v>0</v>
      </c>
    </row>
    <row r="830" spans="1:7" hidden="1" x14ac:dyDescent="0.35">
      <c r="A830" s="7">
        <v>49469</v>
      </c>
      <c r="B830" s="8" t="s">
        <v>5</v>
      </c>
      <c r="C830" s="9">
        <v>21.5</v>
      </c>
      <c r="D830" s="10">
        <v>4.0999999999999996</v>
      </c>
      <c r="E830">
        <f t="shared" si="36"/>
        <v>0.88149999999999995</v>
      </c>
      <c r="F830">
        <f t="shared" si="38"/>
        <v>20.825399999999917</v>
      </c>
      <c r="G830">
        <f t="shared" si="37"/>
        <v>0</v>
      </c>
    </row>
    <row r="831" spans="1:7" hidden="1" x14ac:dyDescent="0.35">
      <c r="A831" s="11">
        <v>49470</v>
      </c>
      <c r="B831" s="12" t="s">
        <v>15</v>
      </c>
      <c r="C831" s="13">
        <v>10.3</v>
      </c>
      <c r="D831" s="14">
        <v>15.6</v>
      </c>
      <c r="E831">
        <f t="shared" si="36"/>
        <v>1.6068</v>
      </c>
      <c r="F831">
        <f t="shared" si="38"/>
        <v>22.432199999999916</v>
      </c>
      <c r="G831">
        <f t="shared" si="37"/>
        <v>0</v>
      </c>
    </row>
    <row r="832" spans="1:7" hidden="1" x14ac:dyDescent="0.35">
      <c r="A832" s="7">
        <v>49471</v>
      </c>
      <c r="B832" s="8" t="s">
        <v>10</v>
      </c>
      <c r="C832" s="9">
        <v>15</v>
      </c>
      <c r="D832" s="10">
        <v>0</v>
      </c>
      <c r="E832">
        <f t="shared" si="36"/>
        <v>0</v>
      </c>
      <c r="F832">
        <f t="shared" si="38"/>
        <v>22.432199999999916</v>
      </c>
      <c r="G832">
        <f t="shared" si="37"/>
        <v>0</v>
      </c>
    </row>
    <row r="833" spans="1:7" hidden="1" x14ac:dyDescent="0.35">
      <c r="A833" s="11">
        <v>49472</v>
      </c>
      <c r="B833" s="12" t="s">
        <v>6</v>
      </c>
      <c r="C833" s="13">
        <v>23.3</v>
      </c>
      <c r="D833" s="14">
        <v>5.3</v>
      </c>
      <c r="E833">
        <f t="shared" si="36"/>
        <v>1.2348999999999999</v>
      </c>
      <c r="F833">
        <f t="shared" si="38"/>
        <v>23.667099999999916</v>
      </c>
      <c r="G833">
        <f t="shared" si="37"/>
        <v>0</v>
      </c>
    </row>
    <row r="834" spans="1:7" hidden="1" x14ac:dyDescent="0.35">
      <c r="A834" s="7">
        <v>49473</v>
      </c>
      <c r="B834" s="8" t="s">
        <v>15</v>
      </c>
      <c r="C834" s="9">
        <v>10.5</v>
      </c>
      <c r="D834" s="10">
        <v>14.4</v>
      </c>
      <c r="E834">
        <f t="shared" si="36"/>
        <v>1.5120000000000002</v>
      </c>
      <c r="F834">
        <f t="shared" si="38"/>
        <v>25.179099999999917</v>
      </c>
      <c r="G834">
        <f t="shared" si="37"/>
        <v>0</v>
      </c>
    </row>
    <row r="835" spans="1:7" hidden="1" x14ac:dyDescent="0.35">
      <c r="A835" s="11">
        <v>49474</v>
      </c>
      <c r="B835" s="12" t="s">
        <v>10</v>
      </c>
      <c r="C835" s="13">
        <v>18.5</v>
      </c>
      <c r="D835" s="14">
        <v>0</v>
      </c>
      <c r="E835">
        <f t="shared" ref="E835:E898" si="39">IF(D835&gt;=1,C835*D835/100,0)</f>
        <v>0</v>
      </c>
      <c r="F835">
        <f t="shared" si="38"/>
        <v>25.179099999999917</v>
      </c>
      <c r="G835">
        <f t="shared" ref="G835:G898" si="40">IF(F835&gt;=100,1,0)</f>
        <v>0</v>
      </c>
    </row>
    <row r="836" spans="1:7" hidden="1" x14ac:dyDescent="0.35">
      <c r="A836" s="7">
        <v>49475</v>
      </c>
      <c r="B836" s="8" t="s">
        <v>14</v>
      </c>
      <c r="C836" s="9">
        <v>20.2</v>
      </c>
      <c r="D836" s="10">
        <v>5.4</v>
      </c>
      <c r="E836">
        <f t="shared" si="39"/>
        <v>1.0908</v>
      </c>
      <c r="F836">
        <f t="shared" ref="F836:F899" si="41">IF(G835=1,E836+F835-100,F835+E836)</f>
        <v>26.269899999999918</v>
      </c>
      <c r="G836">
        <f t="shared" si="40"/>
        <v>0</v>
      </c>
    </row>
    <row r="837" spans="1:7" hidden="1" x14ac:dyDescent="0.35">
      <c r="A837" s="11">
        <v>49476</v>
      </c>
      <c r="B837" s="12" t="s">
        <v>23</v>
      </c>
      <c r="C837" s="13">
        <v>29</v>
      </c>
      <c r="D837" s="14">
        <v>4.2</v>
      </c>
      <c r="E837">
        <f t="shared" si="39"/>
        <v>1.2180000000000002</v>
      </c>
      <c r="F837">
        <f t="shared" si="41"/>
        <v>27.487899999999918</v>
      </c>
      <c r="G837">
        <f t="shared" si="40"/>
        <v>0</v>
      </c>
    </row>
    <row r="838" spans="1:7" hidden="1" x14ac:dyDescent="0.35">
      <c r="A838" s="7">
        <v>49477</v>
      </c>
      <c r="B838" s="8" t="s">
        <v>15</v>
      </c>
      <c r="C838" s="9">
        <v>12.1</v>
      </c>
      <c r="D838" s="10">
        <v>18.100000000000001</v>
      </c>
      <c r="E838">
        <f t="shared" si="39"/>
        <v>2.1901000000000002</v>
      </c>
      <c r="F838">
        <f t="shared" si="41"/>
        <v>29.677999999999919</v>
      </c>
      <c r="G838">
        <f t="shared" si="40"/>
        <v>0</v>
      </c>
    </row>
    <row r="839" spans="1:7" hidden="1" x14ac:dyDescent="0.35">
      <c r="A839" s="11">
        <v>49478</v>
      </c>
      <c r="B839" s="12" t="s">
        <v>13</v>
      </c>
      <c r="C839" s="13">
        <v>14.1</v>
      </c>
      <c r="D839" s="14">
        <v>5.6</v>
      </c>
      <c r="E839">
        <f t="shared" si="39"/>
        <v>0.78959999999999997</v>
      </c>
      <c r="F839">
        <f t="shared" si="41"/>
        <v>30.467599999999919</v>
      </c>
      <c r="G839">
        <f t="shared" si="40"/>
        <v>0</v>
      </c>
    </row>
    <row r="840" spans="1:7" hidden="1" x14ac:dyDescent="0.35">
      <c r="A840" s="7">
        <v>49479</v>
      </c>
      <c r="B840" s="8" t="s">
        <v>10</v>
      </c>
      <c r="C840" s="9">
        <v>19.5</v>
      </c>
      <c r="D840" s="10">
        <v>2.7</v>
      </c>
      <c r="E840">
        <f t="shared" si="39"/>
        <v>0.52650000000000008</v>
      </c>
      <c r="F840">
        <f t="shared" si="41"/>
        <v>30.994099999999918</v>
      </c>
      <c r="G840">
        <f t="shared" si="40"/>
        <v>0</v>
      </c>
    </row>
    <row r="841" spans="1:7" hidden="1" x14ac:dyDescent="0.35">
      <c r="A841" s="11">
        <v>49480</v>
      </c>
      <c r="B841" s="12" t="s">
        <v>27</v>
      </c>
      <c r="C841" s="13">
        <v>28.7</v>
      </c>
      <c r="D841" s="14">
        <v>0.3</v>
      </c>
      <c r="E841">
        <f t="shared" si="39"/>
        <v>0</v>
      </c>
      <c r="F841">
        <f t="shared" si="41"/>
        <v>30.994099999999918</v>
      </c>
      <c r="G841">
        <f t="shared" si="40"/>
        <v>0</v>
      </c>
    </row>
    <row r="842" spans="1:7" hidden="1" x14ac:dyDescent="0.35">
      <c r="A842" s="7">
        <v>49481</v>
      </c>
      <c r="B842" s="8" t="s">
        <v>19</v>
      </c>
      <c r="C842" s="9">
        <v>20.3</v>
      </c>
      <c r="D842" s="10">
        <v>15</v>
      </c>
      <c r="E842">
        <f t="shared" si="39"/>
        <v>3.0449999999999999</v>
      </c>
      <c r="F842">
        <f t="shared" si="41"/>
        <v>34.03909999999992</v>
      </c>
      <c r="G842">
        <f t="shared" si="40"/>
        <v>0</v>
      </c>
    </row>
    <row r="843" spans="1:7" hidden="1" x14ac:dyDescent="0.35">
      <c r="A843" s="11">
        <v>49482</v>
      </c>
      <c r="B843" s="12" t="s">
        <v>7</v>
      </c>
      <c r="C843" s="13">
        <v>25.9</v>
      </c>
      <c r="D843" s="14">
        <v>4.7</v>
      </c>
      <c r="E843">
        <f t="shared" si="39"/>
        <v>1.2173</v>
      </c>
      <c r="F843">
        <f t="shared" si="41"/>
        <v>35.256399999999921</v>
      </c>
      <c r="G843">
        <f t="shared" si="40"/>
        <v>0</v>
      </c>
    </row>
    <row r="844" spans="1:7" hidden="1" x14ac:dyDescent="0.35">
      <c r="A844" s="7">
        <v>49483</v>
      </c>
      <c r="B844" s="8" t="s">
        <v>7</v>
      </c>
      <c r="C844" s="9">
        <v>25.3</v>
      </c>
      <c r="D844" s="10">
        <v>0</v>
      </c>
      <c r="E844">
        <f t="shared" si="39"/>
        <v>0</v>
      </c>
      <c r="F844">
        <f t="shared" si="41"/>
        <v>35.256399999999921</v>
      </c>
      <c r="G844">
        <f t="shared" si="40"/>
        <v>0</v>
      </c>
    </row>
    <row r="845" spans="1:7" hidden="1" x14ac:dyDescent="0.35">
      <c r="A845" s="11">
        <v>49484</v>
      </c>
      <c r="B845" s="12" t="s">
        <v>20</v>
      </c>
      <c r="C845" s="13">
        <v>22.8</v>
      </c>
      <c r="D845" s="14">
        <v>0.6</v>
      </c>
      <c r="E845">
        <f t="shared" si="39"/>
        <v>0</v>
      </c>
      <c r="F845">
        <f t="shared" si="41"/>
        <v>35.256399999999921</v>
      </c>
      <c r="G845">
        <f t="shared" si="40"/>
        <v>0</v>
      </c>
    </row>
    <row r="846" spans="1:7" hidden="1" x14ac:dyDescent="0.35">
      <c r="A846" s="7">
        <v>49485</v>
      </c>
      <c r="B846" s="8" t="s">
        <v>22</v>
      </c>
      <c r="C846" s="9">
        <v>28.4</v>
      </c>
      <c r="D846" s="10">
        <v>2.2999999999999998</v>
      </c>
      <c r="E846">
        <f t="shared" si="39"/>
        <v>0.65319999999999989</v>
      </c>
      <c r="F846">
        <f t="shared" si="41"/>
        <v>35.909599999999919</v>
      </c>
      <c r="G846">
        <f t="shared" si="40"/>
        <v>0</v>
      </c>
    </row>
    <row r="847" spans="1:7" hidden="1" x14ac:dyDescent="0.35">
      <c r="A847" s="11">
        <v>49486</v>
      </c>
      <c r="B847" s="12" t="s">
        <v>22</v>
      </c>
      <c r="C847" s="13">
        <v>29.7</v>
      </c>
      <c r="D847" s="14">
        <v>0</v>
      </c>
      <c r="E847">
        <f t="shared" si="39"/>
        <v>0</v>
      </c>
      <c r="F847">
        <f t="shared" si="41"/>
        <v>35.909599999999919</v>
      </c>
      <c r="G847">
        <f t="shared" si="40"/>
        <v>0</v>
      </c>
    </row>
    <row r="848" spans="1:7" hidden="1" x14ac:dyDescent="0.35">
      <c r="A848" s="7">
        <v>49487</v>
      </c>
      <c r="B848" s="8" t="s">
        <v>15</v>
      </c>
      <c r="C848" s="9">
        <v>11.7</v>
      </c>
      <c r="D848" s="10">
        <v>6.4</v>
      </c>
      <c r="E848">
        <f t="shared" si="39"/>
        <v>0.74879999999999991</v>
      </c>
      <c r="F848">
        <f t="shared" si="41"/>
        <v>36.658399999999922</v>
      </c>
      <c r="G848">
        <f t="shared" si="40"/>
        <v>0</v>
      </c>
    </row>
    <row r="849" spans="1:7" hidden="1" x14ac:dyDescent="0.35">
      <c r="A849" s="11">
        <v>49488</v>
      </c>
      <c r="B849" s="12" t="s">
        <v>22</v>
      </c>
      <c r="C849" s="13">
        <v>12.8</v>
      </c>
      <c r="D849" s="14">
        <v>6.9</v>
      </c>
      <c r="E849">
        <f t="shared" si="39"/>
        <v>0.8832000000000001</v>
      </c>
      <c r="F849">
        <f t="shared" si="41"/>
        <v>37.541599999999924</v>
      </c>
      <c r="G849">
        <f t="shared" si="40"/>
        <v>0</v>
      </c>
    </row>
    <row r="850" spans="1:7" hidden="1" x14ac:dyDescent="0.35">
      <c r="A850" s="7">
        <v>49489</v>
      </c>
      <c r="B850" s="8" t="s">
        <v>10</v>
      </c>
      <c r="C850" s="9">
        <v>11</v>
      </c>
      <c r="D850" s="10">
        <v>0</v>
      </c>
      <c r="E850">
        <f t="shared" si="39"/>
        <v>0</v>
      </c>
      <c r="F850">
        <f t="shared" si="41"/>
        <v>37.541599999999924</v>
      </c>
      <c r="G850">
        <f t="shared" si="40"/>
        <v>0</v>
      </c>
    </row>
    <row r="851" spans="1:7" hidden="1" x14ac:dyDescent="0.35">
      <c r="A851" s="11">
        <v>49490</v>
      </c>
      <c r="B851" s="12" t="s">
        <v>33</v>
      </c>
      <c r="C851" s="13">
        <v>14.7</v>
      </c>
      <c r="D851" s="14">
        <v>0.5</v>
      </c>
      <c r="E851">
        <f t="shared" si="39"/>
        <v>0</v>
      </c>
      <c r="F851">
        <f t="shared" si="41"/>
        <v>37.541599999999924</v>
      </c>
      <c r="G851">
        <f t="shared" si="40"/>
        <v>0</v>
      </c>
    </row>
    <row r="852" spans="1:7" hidden="1" x14ac:dyDescent="0.35">
      <c r="A852" s="7">
        <v>49491</v>
      </c>
      <c r="B852" s="8" t="s">
        <v>26</v>
      </c>
      <c r="C852" s="9">
        <v>13.2</v>
      </c>
      <c r="D852" s="10">
        <v>2.5</v>
      </c>
      <c r="E852">
        <f t="shared" si="39"/>
        <v>0.33</v>
      </c>
      <c r="F852">
        <f t="shared" si="41"/>
        <v>37.871599999999923</v>
      </c>
      <c r="G852">
        <f t="shared" si="40"/>
        <v>0</v>
      </c>
    </row>
    <row r="853" spans="1:7" hidden="1" x14ac:dyDescent="0.35">
      <c r="A853" s="11">
        <v>49492</v>
      </c>
      <c r="B853" s="12" t="s">
        <v>26</v>
      </c>
      <c r="C853" s="13">
        <v>28</v>
      </c>
      <c r="D853" s="14">
        <v>3.8</v>
      </c>
      <c r="E853">
        <f t="shared" si="39"/>
        <v>1.0639999999999998</v>
      </c>
      <c r="F853">
        <f t="shared" si="41"/>
        <v>38.935599999999923</v>
      </c>
      <c r="G853">
        <f t="shared" si="40"/>
        <v>0</v>
      </c>
    </row>
    <row r="854" spans="1:7" hidden="1" x14ac:dyDescent="0.35">
      <c r="A854" s="7">
        <v>49493</v>
      </c>
      <c r="B854" s="8" t="s">
        <v>11</v>
      </c>
      <c r="C854" s="9">
        <v>27.5</v>
      </c>
      <c r="D854" s="10">
        <v>10.3</v>
      </c>
      <c r="E854">
        <f t="shared" si="39"/>
        <v>2.8325</v>
      </c>
      <c r="F854">
        <f t="shared" si="41"/>
        <v>41.768099999999926</v>
      </c>
      <c r="G854">
        <f t="shared" si="40"/>
        <v>0</v>
      </c>
    </row>
    <row r="855" spans="1:7" hidden="1" x14ac:dyDescent="0.35">
      <c r="A855" s="11">
        <v>49494</v>
      </c>
      <c r="B855" s="12" t="s">
        <v>26</v>
      </c>
      <c r="C855" s="13">
        <v>12.1</v>
      </c>
      <c r="D855" s="14">
        <v>4.7</v>
      </c>
      <c r="E855">
        <f t="shared" si="39"/>
        <v>0.56869999999999998</v>
      </c>
      <c r="F855">
        <f t="shared" si="41"/>
        <v>42.336799999999926</v>
      </c>
      <c r="G855">
        <f t="shared" si="40"/>
        <v>0</v>
      </c>
    </row>
    <row r="856" spans="1:7" hidden="1" x14ac:dyDescent="0.35">
      <c r="A856" s="7">
        <v>49495</v>
      </c>
      <c r="B856" s="8" t="s">
        <v>15</v>
      </c>
      <c r="C856" s="9">
        <v>24.7</v>
      </c>
      <c r="D856" s="10">
        <v>7.2</v>
      </c>
      <c r="E856">
        <f t="shared" si="39"/>
        <v>1.7784</v>
      </c>
      <c r="F856">
        <f t="shared" si="41"/>
        <v>44.115199999999923</v>
      </c>
      <c r="G856">
        <f t="shared" si="40"/>
        <v>0</v>
      </c>
    </row>
    <row r="857" spans="1:7" hidden="1" x14ac:dyDescent="0.35">
      <c r="A857" s="11">
        <v>49496</v>
      </c>
      <c r="B857" s="12" t="s">
        <v>25</v>
      </c>
      <c r="C857" s="13">
        <v>27.1</v>
      </c>
      <c r="D857" s="14">
        <v>2.6</v>
      </c>
      <c r="E857">
        <f t="shared" si="39"/>
        <v>0.70460000000000012</v>
      </c>
      <c r="F857">
        <f t="shared" si="41"/>
        <v>44.819799999999923</v>
      </c>
      <c r="G857">
        <f t="shared" si="40"/>
        <v>0</v>
      </c>
    </row>
    <row r="858" spans="1:7" hidden="1" x14ac:dyDescent="0.35">
      <c r="A858" s="7">
        <v>49497</v>
      </c>
      <c r="B858" s="8" t="s">
        <v>7</v>
      </c>
      <c r="C858" s="9">
        <v>28.7</v>
      </c>
      <c r="D858" s="10">
        <v>3</v>
      </c>
      <c r="E858">
        <f t="shared" si="39"/>
        <v>0.86099999999999999</v>
      </c>
      <c r="F858">
        <f t="shared" si="41"/>
        <v>45.68079999999992</v>
      </c>
      <c r="G858">
        <f t="shared" si="40"/>
        <v>0</v>
      </c>
    </row>
    <row r="859" spans="1:7" hidden="1" x14ac:dyDescent="0.35">
      <c r="A859" s="11">
        <v>49498</v>
      </c>
      <c r="B859" s="12" t="s">
        <v>10</v>
      </c>
      <c r="C859" s="13">
        <v>15</v>
      </c>
      <c r="D859" s="14">
        <v>21.4</v>
      </c>
      <c r="E859">
        <f t="shared" si="39"/>
        <v>3.21</v>
      </c>
      <c r="F859">
        <f t="shared" si="41"/>
        <v>48.890799999999921</v>
      </c>
      <c r="G859">
        <f t="shared" si="40"/>
        <v>0</v>
      </c>
    </row>
    <row r="860" spans="1:7" hidden="1" x14ac:dyDescent="0.35">
      <c r="A860" s="7">
        <v>49499</v>
      </c>
      <c r="B860" s="8" t="s">
        <v>11</v>
      </c>
      <c r="C860" s="9">
        <v>11.6</v>
      </c>
      <c r="D860" s="10">
        <v>3.7</v>
      </c>
      <c r="E860">
        <f t="shared" si="39"/>
        <v>0.42920000000000003</v>
      </c>
      <c r="F860">
        <f t="shared" si="41"/>
        <v>49.319999999999922</v>
      </c>
      <c r="G860">
        <f t="shared" si="40"/>
        <v>0</v>
      </c>
    </row>
    <row r="861" spans="1:7" hidden="1" x14ac:dyDescent="0.35">
      <c r="A861" s="11">
        <v>49500</v>
      </c>
      <c r="B861" s="12" t="s">
        <v>10</v>
      </c>
      <c r="C861" s="13">
        <v>13.1</v>
      </c>
      <c r="D861" s="14">
        <v>0</v>
      </c>
      <c r="E861">
        <f t="shared" si="39"/>
        <v>0</v>
      </c>
      <c r="F861">
        <f t="shared" si="41"/>
        <v>49.319999999999922</v>
      </c>
      <c r="G861">
        <f t="shared" si="40"/>
        <v>0</v>
      </c>
    </row>
    <row r="862" spans="1:7" hidden="1" x14ac:dyDescent="0.35">
      <c r="A862" s="7">
        <v>49501</v>
      </c>
      <c r="B862" s="8" t="s">
        <v>26</v>
      </c>
      <c r="C862" s="9">
        <v>25.5</v>
      </c>
      <c r="D862" s="10">
        <v>0</v>
      </c>
      <c r="E862">
        <f t="shared" si="39"/>
        <v>0</v>
      </c>
      <c r="F862">
        <f t="shared" si="41"/>
        <v>49.319999999999922</v>
      </c>
      <c r="G862">
        <f t="shared" si="40"/>
        <v>0</v>
      </c>
    </row>
    <row r="863" spans="1:7" hidden="1" x14ac:dyDescent="0.35">
      <c r="A863" s="11">
        <v>49502</v>
      </c>
      <c r="B863" s="12" t="s">
        <v>28</v>
      </c>
      <c r="C863" s="13">
        <v>19.399999999999999</v>
      </c>
      <c r="D863" s="14">
        <v>0.7</v>
      </c>
      <c r="E863">
        <f t="shared" si="39"/>
        <v>0</v>
      </c>
      <c r="F863">
        <f t="shared" si="41"/>
        <v>49.319999999999922</v>
      </c>
      <c r="G863">
        <f t="shared" si="40"/>
        <v>0</v>
      </c>
    </row>
    <row r="864" spans="1:7" hidden="1" x14ac:dyDescent="0.35">
      <c r="A864" s="7">
        <v>49503</v>
      </c>
      <c r="B864" s="8" t="s">
        <v>7</v>
      </c>
      <c r="C864" s="9">
        <v>27.3</v>
      </c>
      <c r="D864" s="10">
        <v>2.6</v>
      </c>
      <c r="E864">
        <f t="shared" si="39"/>
        <v>0.70979999999999999</v>
      </c>
      <c r="F864">
        <f t="shared" si="41"/>
        <v>50.029799999999923</v>
      </c>
      <c r="G864">
        <f t="shared" si="40"/>
        <v>0</v>
      </c>
    </row>
    <row r="865" spans="1:7" hidden="1" x14ac:dyDescent="0.35">
      <c r="A865" s="11">
        <v>49504</v>
      </c>
      <c r="B865" s="12" t="s">
        <v>10</v>
      </c>
      <c r="C865" s="13">
        <v>21</v>
      </c>
      <c r="D865" s="14">
        <v>27.8</v>
      </c>
      <c r="E865">
        <f t="shared" si="39"/>
        <v>5.838000000000001</v>
      </c>
      <c r="F865">
        <f t="shared" si="41"/>
        <v>55.867799999999924</v>
      </c>
      <c r="G865">
        <f t="shared" si="40"/>
        <v>0</v>
      </c>
    </row>
    <row r="866" spans="1:7" hidden="1" x14ac:dyDescent="0.35">
      <c r="A866" s="7">
        <v>49505</v>
      </c>
      <c r="B866" s="8" t="s">
        <v>14</v>
      </c>
      <c r="C866" s="9">
        <v>11.5</v>
      </c>
      <c r="D866" s="10">
        <v>0</v>
      </c>
      <c r="E866">
        <f t="shared" si="39"/>
        <v>0</v>
      </c>
      <c r="F866">
        <f t="shared" si="41"/>
        <v>55.867799999999924</v>
      </c>
      <c r="G866">
        <f t="shared" si="40"/>
        <v>0</v>
      </c>
    </row>
    <row r="867" spans="1:7" hidden="1" x14ac:dyDescent="0.35">
      <c r="A867" s="11">
        <v>49506</v>
      </c>
      <c r="B867" s="12" t="s">
        <v>21</v>
      </c>
      <c r="C867" s="13">
        <v>13.6</v>
      </c>
      <c r="D867" s="14">
        <v>2.7</v>
      </c>
      <c r="E867">
        <f t="shared" si="39"/>
        <v>0.36719999999999997</v>
      </c>
      <c r="F867">
        <f t="shared" si="41"/>
        <v>56.234999999999921</v>
      </c>
      <c r="G867">
        <f t="shared" si="40"/>
        <v>0</v>
      </c>
    </row>
    <row r="868" spans="1:7" hidden="1" x14ac:dyDescent="0.35">
      <c r="A868" s="7">
        <v>49507</v>
      </c>
      <c r="B868" s="8" t="s">
        <v>8</v>
      </c>
      <c r="C868" s="9">
        <v>17.8</v>
      </c>
      <c r="D868" s="10">
        <v>0.3</v>
      </c>
      <c r="E868">
        <f t="shared" si="39"/>
        <v>0</v>
      </c>
      <c r="F868">
        <f t="shared" si="41"/>
        <v>56.234999999999921</v>
      </c>
      <c r="G868">
        <f t="shared" si="40"/>
        <v>0</v>
      </c>
    </row>
    <row r="869" spans="1:7" hidden="1" x14ac:dyDescent="0.35">
      <c r="A869" s="11">
        <v>49508</v>
      </c>
      <c r="B869" s="12" t="s">
        <v>8</v>
      </c>
      <c r="C869" s="13">
        <v>10.8</v>
      </c>
      <c r="D869" s="14">
        <v>0</v>
      </c>
      <c r="E869">
        <f t="shared" si="39"/>
        <v>0</v>
      </c>
      <c r="F869">
        <f t="shared" si="41"/>
        <v>56.234999999999921</v>
      </c>
      <c r="G869">
        <f t="shared" si="40"/>
        <v>0</v>
      </c>
    </row>
    <row r="870" spans="1:7" hidden="1" x14ac:dyDescent="0.35">
      <c r="A870" s="7">
        <v>49509</v>
      </c>
      <c r="B870" s="8" t="s">
        <v>10</v>
      </c>
      <c r="C870" s="9">
        <v>23</v>
      </c>
      <c r="D870" s="10">
        <v>3.3</v>
      </c>
      <c r="E870">
        <f t="shared" si="39"/>
        <v>0.7589999999999999</v>
      </c>
      <c r="F870">
        <f t="shared" si="41"/>
        <v>56.993999999999922</v>
      </c>
      <c r="G870">
        <f t="shared" si="40"/>
        <v>0</v>
      </c>
    </row>
    <row r="871" spans="1:7" hidden="1" x14ac:dyDescent="0.35">
      <c r="A871" s="11">
        <v>49510</v>
      </c>
      <c r="B871" s="12" t="s">
        <v>11</v>
      </c>
      <c r="C871" s="13">
        <v>14</v>
      </c>
      <c r="D871" s="14">
        <v>18.100000000000001</v>
      </c>
      <c r="E871">
        <f t="shared" si="39"/>
        <v>2.5340000000000003</v>
      </c>
      <c r="F871">
        <f t="shared" si="41"/>
        <v>59.527999999999921</v>
      </c>
      <c r="G871">
        <f t="shared" si="40"/>
        <v>0</v>
      </c>
    </row>
    <row r="872" spans="1:7" hidden="1" x14ac:dyDescent="0.35">
      <c r="A872" s="7">
        <v>49511</v>
      </c>
      <c r="B872" s="8" t="s">
        <v>26</v>
      </c>
      <c r="C872" s="9">
        <v>10.7</v>
      </c>
      <c r="D872" s="10">
        <v>0.4</v>
      </c>
      <c r="E872">
        <f t="shared" si="39"/>
        <v>0</v>
      </c>
      <c r="F872">
        <f t="shared" si="41"/>
        <v>59.527999999999921</v>
      </c>
      <c r="G872">
        <f t="shared" si="40"/>
        <v>0</v>
      </c>
    </row>
    <row r="873" spans="1:7" hidden="1" x14ac:dyDescent="0.35">
      <c r="A873" s="11">
        <v>49512</v>
      </c>
      <c r="B873" s="12" t="s">
        <v>13</v>
      </c>
      <c r="C873" s="13">
        <v>24.7</v>
      </c>
      <c r="D873" s="14">
        <v>9.1</v>
      </c>
      <c r="E873">
        <f t="shared" si="39"/>
        <v>2.2477</v>
      </c>
      <c r="F873">
        <f t="shared" si="41"/>
        <v>61.775699999999922</v>
      </c>
      <c r="G873">
        <f t="shared" si="40"/>
        <v>0</v>
      </c>
    </row>
    <row r="874" spans="1:7" hidden="1" x14ac:dyDescent="0.35">
      <c r="A874" s="7">
        <v>49513</v>
      </c>
      <c r="B874" s="8" t="s">
        <v>19</v>
      </c>
      <c r="C874" s="9">
        <v>12.2</v>
      </c>
      <c r="D874" s="10">
        <v>18.600000000000001</v>
      </c>
      <c r="E874">
        <f t="shared" si="39"/>
        <v>2.2692000000000001</v>
      </c>
      <c r="F874">
        <f t="shared" si="41"/>
        <v>64.044899999999927</v>
      </c>
      <c r="G874">
        <f t="shared" si="40"/>
        <v>0</v>
      </c>
    </row>
    <row r="875" spans="1:7" hidden="1" x14ac:dyDescent="0.35">
      <c r="A875" s="11">
        <v>49514</v>
      </c>
      <c r="B875" s="12" t="s">
        <v>6</v>
      </c>
      <c r="C875" s="13">
        <v>23.8</v>
      </c>
      <c r="D875" s="14">
        <v>7.7</v>
      </c>
      <c r="E875">
        <f t="shared" si="39"/>
        <v>1.8326000000000002</v>
      </c>
      <c r="F875">
        <f t="shared" si="41"/>
        <v>65.877499999999927</v>
      </c>
      <c r="G875">
        <f t="shared" si="40"/>
        <v>0</v>
      </c>
    </row>
    <row r="876" spans="1:7" hidden="1" x14ac:dyDescent="0.35">
      <c r="A876" s="7">
        <v>49515</v>
      </c>
      <c r="B876" s="8" t="s">
        <v>12</v>
      </c>
      <c r="C876" s="9">
        <v>18.5</v>
      </c>
      <c r="D876" s="10">
        <v>0</v>
      </c>
      <c r="E876">
        <f t="shared" si="39"/>
        <v>0</v>
      </c>
      <c r="F876">
        <f t="shared" si="41"/>
        <v>65.877499999999927</v>
      </c>
      <c r="G876">
        <f t="shared" si="40"/>
        <v>0</v>
      </c>
    </row>
    <row r="877" spans="1:7" hidden="1" x14ac:dyDescent="0.35">
      <c r="A877" s="11">
        <v>49516</v>
      </c>
      <c r="B877" s="12" t="s">
        <v>17</v>
      </c>
      <c r="C877" s="13">
        <v>24.6</v>
      </c>
      <c r="D877" s="14">
        <v>0.4</v>
      </c>
      <c r="E877">
        <f t="shared" si="39"/>
        <v>0</v>
      </c>
      <c r="F877">
        <f t="shared" si="41"/>
        <v>65.877499999999927</v>
      </c>
      <c r="G877">
        <f t="shared" si="40"/>
        <v>0</v>
      </c>
    </row>
    <row r="878" spans="1:7" hidden="1" x14ac:dyDescent="0.35">
      <c r="A878" s="7">
        <v>49517</v>
      </c>
      <c r="B878" s="8" t="s">
        <v>19</v>
      </c>
      <c r="C878" s="9">
        <v>24.6</v>
      </c>
      <c r="D878" s="10">
        <v>10.4</v>
      </c>
      <c r="E878">
        <f t="shared" si="39"/>
        <v>2.5584000000000002</v>
      </c>
      <c r="F878">
        <f t="shared" si="41"/>
        <v>68.435899999999933</v>
      </c>
      <c r="G878">
        <f t="shared" si="40"/>
        <v>0</v>
      </c>
    </row>
    <row r="879" spans="1:7" hidden="1" x14ac:dyDescent="0.35">
      <c r="A879" s="11">
        <v>49518</v>
      </c>
      <c r="B879" s="12" t="s">
        <v>12</v>
      </c>
      <c r="C879" s="13">
        <v>25.4</v>
      </c>
      <c r="D879" s="14">
        <v>11.2</v>
      </c>
      <c r="E879">
        <f t="shared" si="39"/>
        <v>2.8447999999999998</v>
      </c>
      <c r="F879">
        <f t="shared" si="41"/>
        <v>71.280699999999939</v>
      </c>
      <c r="G879">
        <f t="shared" si="40"/>
        <v>0</v>
      </c>
    </row>
    <row r="880" spans="1:7" hidden="1" x14ac:dyDescent="0.35">
      <c r="A880" s="7">
        <v>49519</v>
      </c>
      <c r="B880" s="8" t="s">
        <v>11</v>
      </c>
      <c r="C880" s="9">
        <v>13.1</v>
      </c>
      <c r="D880" s="10">
        <v>22.2</v>
      </c>
      <c r="E880">
        <f t="shared" si="39"/>
        <v>2.9081999999999999</v>
      </c>
      <c r="F880">
        <f t="shared" si="41"/>
        <v>74.188899999999933</v>
      </c>
      <c r="G880">
        <f t="shared" si="40"/>
        <v>0</v>
      </c>
    </row>
    <row r="881" spans="1:7" hidden="1" x14ac:dyDescent="0.35">
      <c r="A881" s="11">
        <v>49520</v>
      </c>
      <c r="B881" s="12" t="s">
        <v>10</v>
      </c>
      <c r="C881" s="13">
        <v>10.1</v>
      </c>
      <c r="D881" s="14">
        <v>11.6</v>
      </c>
      <c r="E881">
        <f t="shared" si="39"/>
        <v>1.1716</v>
      </c>
      <c r="F881">
        <f t="shared" si="41"/>
        <v>75.360499999999931</v>
      </c>
      <c r="G881">
        <f t="shared" si="40"/>
        <v>0</v>
      </c>
    </row>
    <row r="882" spans="1:7" hidden="1" x14ac:dyDescent="0.35">
      <c r="A882" s="7">
        <v>49521</v>
      </c>
      <c r="B882" s="8" t="s">
        <v>15</v>
      </c>
      <c r="C882" s="9">
        <v>25</v>
      </c>
      <c r="D882" s="10">
        <v>0</v>
      </c>
      <c r="E882">
        <f t="shared" si="39"/>
        <v>0</v>
      </c>
      <c r="F882">
        <f t="shared" si="41"/>
        <v>75.360499999999931</v>
      </c>
      <c r="G882">
        <f t="shared" si="40"/>
        <v>0</v>
      </c>
    </row>
    <row r="883" spans="1:7" hidden="1" x14ac:dyDescent="0.35">
      <c r="A883" s="11">
        <v>49522</v>
      </c>
      <c r="B883" s="12" t="s">
        <v>18</v>
      </c>
      <c r="C883" s="13">
        <v>20.9</v>
      </c>
      <c r="D883" s="14">
        <v>11.4</v>
      </c>
      <c r="E883">
        <f t="shared" si="39"/>
        <v>2.3826000000000001</v>
      </c>
      <c r="F883">
        <f t="shared" si="41"/>
        <v>77.743099999999927</v>
      </c>
      <c r="G883">
        <f t="shared" si="40"/>
        <v>0</v>
      </c>
    </row>
    <row r="884" spans="1:7" hidden="1" x14ac:dyDescent="0.35">
      <c r="A884" s="7">
        <v>49523</v>
      </c>
      <c r="B884" s="8" t="s">
        <v>14</v>
      </c>
      <c r="C884" s="9">
        <v>27.6</v>
      </c>
      <c r="D884" s="10">
        <v>2.5</v>
      </c>
      <c r="E884">
        <f t="shared" si="39"/>
        <v>0.69</v>
      </c>
      <c r="F884">
        <f t="shared" si="41"/>
        <v>78.433099999999925</v>
      </c>
      <c r="G884">
        <f t="shared" si="40"/>
        <v>0</v>
      </c>
    </row>
    <row r="885" spans="1:7" hidden="1" x14ac:dyDescent="0.35">
      <c r="A885" s="11">
        <v>49524</v>
      </c>
      <c r="B885" s="12" t="s">
        <v>10</v>
      </c>
      <c r="C885" s="13">
        <v>22.8</v>
      </c>
      <c r="D885" s="14">
        <v>0</v>
      </c>
      <c r="E885">
        <f t="shared" si="39"/>
        <v>0</v>
      </c>
      <c r="F885">
        <f t="shared" si="41"/>
        <v>78.433099999999925</v>
      </c>
      <c r="G885">
        <f t="shared" si="40"/>
        <v>0</v>
      </c>
    </row>
    <row r="886" spans="1:7" hidden="1" x14ac:dyDescent="0.35">
      <c r="A886" s="7">
        <v>49525</v>
      </c>
      <c r="B886" s="8" t="s">
        <v>9</v>
      </c>
      <c r="C886" s="9">
        <v>12</v>
      </c>
      <c r="D886" s="10">
        <v>0</v>
      </c>
      <c r="E886">
        <f t="shared" si="39"/>
        <v>0</v>
      </c>
      <c r="F886">
        <f t="shared" si="41"/>
        <v>78.433099999999925</v>
      </c>
      <c r="G886">
        <f t="shared" si="40"/>
        <v>0</v>
      </c>
    </row>
    <row r="887" spans="1:7" hidden="1" x14ac:dyDescent="0.35">
      <c r="A887" s="11">
        <v>49526</v>
      </c>
      <c r="B887" s="12" t="s">
        <v>23</v>
      </c>
      <c r="C887" s="13">
        <v>16.8</v>
      </c>
      <c r="D887" s="14">
        <v>4.9000000000000004</v>
      </c>
      <c r="E887">
        <f t="shared" si="39"/>
        <v>0.82320000000000004</v>
      </c>
      <c r="F887">
        <f t="shared" si="41"/>
        <v>79.256299999999925</v>
      </c>
      <c r="G887">
        <f t="shared" si="40"/>
        <v>0</v>
      </c>
    </row>
    <row r="888" spans="1:7" hidden="1" x14ac:dyDescent="0.35">
      <c r="A888" s="7">
        <v>49527</v>
      </c>
      <c r="B888" s="8" t="s">
        <v>20</v>
      </c>
      <c r="C888" s="9">
        <v>12.9</v>
      </c>
      <c r="D888" s="10">
        <v>3</v>
      </c>
      <c r="E888">
        <f t="shared" si="39"/>
        <v>0.38700000000000001</v>
      </c>
      <c r="F888">
        <f t="shared" si="41"/>
        <v>79.643299999999925</v>
      </c>
      <c r="G888">
        <f t="shared" si="40"/>
        <v>0</v>
      </c>
    </row>
    <row r="889" spans="1:7" hidden="1" x14ac:dyDescent="0.35">
      <c r="A889" s="11">
        <v>49528</v>
      </c>
      <c r="B889" s="12" t="s">
        <v>10</v>
      </c>
      <c r="C889" s="13">
        <v>18</v>
      </c>
      <c r="D889" s="14">
        <v>13.6</v>
      </c>
      <c r="E889">
        <f t="shared" si="39"/>
        <v>2.448</v>
      </c>
      <c r="F889">
        <f t="shared" si="41"/>
        <v>82.091299999999919</v>
      </c>
      <c r="G889">
        <f t="shared" si="40"/>
        <v>0</v>
      </c>
    </row>
    <row r="890" spans="1:7" hidden="1" x14ac:dyDescent="0.35">
      <c r="A890" s="7">
        <v>49529</v>
      </c>
      <c r="B890" s="8" t="s">
        <v>19</v>
      </c>
      <c r="C890" s="9">
        <v>26</v>
      </c>
      <c r="D890" s="10">
        <v>30.4</v>
      </c>
      <c r="E890">
        <f t="shared" si="39"/>
        <v>7.9039999999999999</v>
      </c>
      <c r="F890">
        <f t="shared" si="41"/>
        <v>89.995299999999915</v>
      </c>
      <c r="G890">
        <f t="shared" si="40"/>
        <v>0</v>
      </c>
    </row>
    <row r="891" spans="1:7" hidden="1" x14ac:dyDescent="0.35">
      <c r="A891" s="11">
        <v>49530</v>
      </c>
      <c r="B891" s="12" t="s">
        <v>15</v>
      </c>
      <c r="C891" s="13">
        <v>21.3</v>
      </c>
      <c r="D891" s="14">
        <v>0</v>
      </c>
      <c r="E891">
        <f t="shared" si="39"/>
        <v>0</v>
      </c>
      <c r="F891">
        <f t="shared" si="41"/>
        <v>89.995299999999915</v>
      </c>
      <c r="G891">
        <f t="shared" si="40"/>
        <v>0</v>
      </c>
    </row>
    <row r="892" spans="1:7" hidden="1" x14ac:dyDescent="0.35">
      <c r="A892" s="7">
        <v>49531</v>
      </c>
      <c r="B892" s="8" t="s">
        <v>11</v>
      </c>
      <c r="C892" s="9">
        <v>15.7</v>
      </c>
      <c r="D892" s="10">
        <v>5.9</v>
      </c>
      <c r="E892">
        <f t="shared" si="39"/>
        <v>0.9262999999999999</v>
      </c>
      <c r="F892">
        <f t="shared" si="41"/>
        <v>90.921599999999913</v>
      </c>
      <c r="G892">
        <f t="shared" si="40"/>
        <v>0</v>
      </c>
    </row>
    <row r="893" spans="1:7" hidden="1" x14ac:dyDescent="0.35">
      <c r="A893" s="11">
        <v>49532</v>
      </c>
      <c r="B893" s="12" t="s">
        <v>10</v>
      </c>
      <c r="C893" s="13">
        <v>19.100000000000001</v>
      </c>
      <c r="D893" s="14">
        <v>0</v>
      </c>
      <c r="E893">
        <f t="shared" si="39"/>
        <v>0</v>
      </c>
      <c r="F893">
        <f t="shared" si="41"/>
        <v>90.921599999999913</v>
      </c>
      <c r="G893">
        <f t="shared" si="40"/>
        <v>0</v>
      </c>
    </row>
    <row r="894" spans="1:7" hidden="1" x14ac:dyDescent="0.35">
      <c r="A894" s="7">
        <v>49533</v>
      </c>
      <c r="B894" s="8" t="s">
        <v>19</v>
      </c>
      <c r="C894" s="9">
        <v>24.6</v>
      </c>
      <c r="D894" s="10">
        <v>12.3</v>
      </c>
      <c r="E894">
        <f t="shared" si="39"/>
        <v>3.0258000000000003</v>
      </c>
      <c r="F894">
        <f t="shared" si="41"/>
        <v>93.947399999999917</v>
      </c>
      <c r="G894">
        <f t="shared" si="40"/>
        <v>0</v>
      </c>
    </row>
    <row r="895" spans="1:7" hidden="1" x14ac:dyDescent="0.35">
      <c r="A895" s="11">
        <v>49534</v>
      </c>
      <c r="B895" s="12" t="s">
        <v>10</v>
      </c>
      <c r="C895" s="13">
        <v>18.7</v>
      </c>
      <c r="D895" s="14">
        <v>17.8</v>
      </c>
      <c r="E895">
        <f t="shared" si="39"/>
        <v>3.3286000000000002</v>
      </c>
      <c r="F895">
        <f t="shared" si="41"/>
        <v>97.275999999999911</v>
      </c>
      <c r="G895">
        <f t="shared" si="40"/>
        <v>0</v>
      </c>
    </row>
    <row r="896" spans="1:7" hidden="1" x14ac:dyDescent="0.35">
      <c r="A896" s="7">
        <v>49535</v>
      </c>
      <c r="B896" s="8" t="s">
        <v>9</v>
      </c>
      <c r="C896" s="9">
        <v>13.2</v>
      </c>
      <c r="D896" s="10">
        <v>3.2</v>
      </c>
      <c r="E896">
        <f t="shared" si="39"/>
        <v>0.4224</v>
      </c>
      <c r="F896">
        <f t="shared" si="41"/>
        <v>97.698399999999907</v>
      </c>
      <c r="G896">
        <f t="shared" si="40"/>
        <v>0</v>
      </c>
    </row>
    <row r="897" spans="1:7" hidden="1" x14ac:dyDescent="0.35">
      <c r="A897" s="11">
        <v>49536</v>
      </c>
      <c r="B897" s="12" t="s">
        <v>12</v>
      </c>
      <c r="C897" s="13">
        <v>24.8</v>
      </c>
      <c r="D897" s="14">
        <v>2.2999999999999998</v>
      </c>
      <c r="E897">
        <f t="shared" si="39"/>
        <v>0.57040000000000002</v>
      </c>
      <c r="F897">
        <f t="shared" si="41"/>
        <v>98.268799999999914</v>
      </c>
      <c r="G897">
        <f t="shared" si="40"/>
        <v>0</v>
      </c>
    </row>
    <row r="898" spans="1:7" hidden="1" x14ac:dyDescent="0.35">
      <c r="A898" s="7">
        <v>49537</v>
      </c>
      <c r="B898" s="8" t="s">
        <v>15</v>
      </c>
      <c r="C898" s="9">
        <v>19.3</v>
      </c>
      <c r="D898" s="10">
        <v>1.8</v>
      </c>
      <c r="E898">
        <f t="shared" si="39"/>
        <v>0.34740000000000004</v>
      </c>
      <c r="F898">
        <f t="shared" si="41"/>
        <v>98.616199999999907</v>
      </c>
      <c r="G898">
        <f t="shared" si="40"/>
        <v>0</v>
      </c>
    </row>
    <row r="899" spans="1:7" hidden="1" x14ac:dyDescent="0.35">
      <c r="A899" s="11">
        <v>49538</v>
      </c>
      <c r="B899" s="12" t="s">
        <v>18</v>
      </c>
      <c r="C899" s="13">
        <v>22.7</v>
      </c>
      <c r="D899" s="14">
        <v>0</v>
      </c>
      <c r="E899">
        <f t="shared" ref="E899:E962" si="42">IF(D899&gt;=1,C899*D899/100,0)</f>
        <v>0</v>
      </c>
      <c r="F899">
        <f t="shared" si="41"/>
        <v>98.616199999999907</v>
      </c>
      <c r="G899">
        <f t="shared" ref="G899:G962" si="43">IF(F899&gt;=100,1,0)</f>
        <v>0</v>
      </c>
    </row>
    <row r="900" spans="1:7" hidden="1" x14ac:dyDescent="0.35">
      <c r="A900" s="7">
        <v>49539</v>
      </c>
      <c r="B900" s="8" t="s">
        <v>11</v>
      </c>
      <c r="C900" s="9">
        <v>15.2</v>
      </c>
      <c r="D900" s="10">
        <v>0</v>
      </c>
      <c r="E900">
        <f t="shared" si="42"/>
        <v>0</v>
      </c>
      <c r="F900">
        <f t="shared" ref="F900:F963" si="44">IF(G899=1,E900+F899-100,F899+E900)</f>
        <v>98.616199999999907</v>
      </c>
      <c r="G900">
        <f t="shared" si="43"/>
        <v>0</v>
      </c>
    </row>
    <row r="901" spans="1:7" hidden="1" x14ac:dyDescent="0.35">
      <c r="A901" s="11">
        <v>49540</v>
      </c>
      <c r="B901" s="12" t="s">
        <v>23</v>
      </c>
      <c r="C901" s="13">
        <v>28.6</v>
      </c>
      <c r="D901" s="14">
        <v>0.2</v>
      </c>
      <c r="E901">
        <f t="shared" si="42"/>
        <v>0</v>
      </c>
      <c r="F901">
        <f t="shared" si="44"/>
        <v>98.616199999999907</v>
      </c>
      <c r="G901">
        <f t="shared" si="43"/>
        <v>0</v>
      </c>
    </row>
    <row r="902" spans="1:7" x14ac:dyDescent="0.35">
      <c r="A902" s="7">
        <v>49541</v>
      </c>
      <c r="B902" s="8" t="s">
        <v>7</v>
      </c>
      <c r="C902" s="9">
        <v>17.899999999999999</v>
      </c>
      <c r="D902" s="10">
        <v>18.600000000000001</v>
      </c>
      <c r="E902">
        <f t="shared" si="42"/>
        <v>3.3294000000000001</v>
      </c>
      <c r="F902">
        <f t="shared" si="44"/>
        <v>101.94559999999991</v>
      </c>
      <c r="G902">
        <f t="shared" si="43"/>
        <v>1</v>
      </c>
    </row>
    <row r="903" spans="1:7" hidden="1" x14ac:dyDescent="0.35">
      <c r="A903" s="11">
        <v>49542</v>
      </c>
      <c r="B903" s="12" t="s">
        <v>31</v>
      </c>
      <c r="C903" s="13">
        <v>11.6</v>
      </c>
      <c r="D903" s="14">
        <v>0</v>
      </c>
      <c r="E903">
        <f t="shared" si="42"/>
        <v>0</v>
      </c>
      <c r="F903">
        <f t="shared" si="44"/>
        <v>1.9455999999999136</v>
      </c>
      <c r="G903">
        <f t="shared" si="43"/>
        <v>0</v>
      </c>
    </row>
    <row r="904" spans="1:7" hidden="1" x14ac:dyDescent="0.35">
      <c r="A904" s="7">
        <v>49543</v>
      </c>
      <c r="B904" s="8" t="s">
        <v>21</v>
      </c>
      <c r="C904" s="9">
        <v>19</v>
      </c>
      <c r="D904" s="10">
        <v>2.2000000000000002</v>
      </c>
      <c r="E904">
        <f t="shared" si="42"/>
        <v>0.41800000000000004</v>
      </c>
      <c r="F904">
        <f t="shared" si="44"/>
        <v>2.3635999999999138</v>
      </c>
      <c r="G904">
        <f t="shared" si="43"/>
        <v>0</v>
      </c>
    </row>
    <row r="905" spans="1:7" hidden="1" x14ac:dyDescent="0.35">
      <c r="A905" s="11">
        <v>49544</v>
      </c>
      <c r="B905" s="12" t="s">
        <v>12</v>
      </c>
      <c r="C905" s="13">
        <v>17.600000000000001</v>
      </c>
      <c r="D905" s="14">
        <v>7.2</v>
      </c>
      <c r="E905">
        <f t="shared" si="42"/>
        <v>1.2672000000000001</v>
      </c>
      <c r="F905">
        <f t="shared" si="44"/>
        <v>3.6307999999999137</v>
      </c>
      <c r="G905">
        <f t="shared" si="43"/>
        <v>0</v>
      </c>
    </row>
    <row r="906" spans="1:7" hidden="1" x14ac:dyDescent="0.35">
      <c r="A906" s="7">
        <v>49545</v>
      </c>
      <c r="B906" s="8" t="s">
        <v>7</v>
      </c>
      <c r="C906" s="9">
        <v>12.1</v>
      </c>
      <c r="D906" s="10">
        <v>7.2</v>
      </c>
      <c r="E906">
        <f t="shared" si="42"/>
        <v>0.87120000000000009</v>
      </c>
      <c r="F906">
        <f t="shared" si="44"/>
        <v>4.5019999999999136</v>
      </c>
      <c r="G906">
        <f t="shared" si="43"/>
        <v>0</v>
      </c>
    </row>
    <row r="907" spans="1:7" hidden="1" x14ac:dyDescent="0.35">
      <c r="A907" s="11">
        <v>49546</v>
      </c>
      <c r="B907" s="12" t="s">
        <v>13</v>
      </c>
      <c r="C907" s="13">
        <v>28.3</v>
      </c>
      <c r="D907" s="14">
        <v>1.8</v>
      </c>
      <c r="E907">
        <f t="shared" si="42"/>
        <v>0.50940000000000007</v>
      </c>
      <c r="F907">
        <f t="shared" si="44"/>
        <v>5.0113999999999139</v>
      </c>
      <c r="G907">
        <f t="shared" si="43"/>
        <v>0</v>
      </c>
    </row>
    <row r="908" spans="1:7" hidden="1" x14ac:dyDescent="0.35">
      <c r="A908" s="7">
        <v>49547</v>
      </c>
      <c r="B908" s="8" t="s">
        <v>18</v>
      </c>
      <c r="C908" s="9">
        <v>13.3</v>
      </c>
      <c r="D908" s="10">
        <v>0</v>
      </c>
      <c r="E908">
        <f t="shared" si="42"/>
        <v>0</v>
      </c>
      <c r="F908">
        <f t="shared" si="44"/>
        <v>5.0113999999999139</v>
      </c>
      <c r="G908">
        <f t="shared" si="43"/>
        <v>0</v>
      </c>
    </row>
    <row r="909" spans="1:7" hidden="1" x14ac:dyDescent="0.35">
      <c r="A909" s="11">
        <v>49548</v>
      </c>
      <c r="B909" s="12" t="s">
        <v>11</v>
      </c>
      <c r="C909" s="13">
        <v>21</v>
      </c>
      <c r="D909" s="14">
        <v>4.2</v>
      </c>
      <c r="E909">
        <f t="shared" si="42"/>
        <v>0.88200000000000001</v>
      </c>
      <c r="F909">
        <f t="shared" si="44"/>
        <v>5.8933999999999136</v>
      </c>
      <c r="G909">
        <f t="shared" si="43"/>
        <v>0</v>
      </c>
    </row>
    <row r="910" spans="1:7" hidden="1" x14ac:dyDescent="0.35">
      <c r="A910" s="7">
        <v>49549</v>
      </c>
      <c r="B910" s="8" t="s">
        <v>10</v>
      </c>
      <c r="C910" s="9">
        <v>12</v>
      </c>
      <c r="D910" s="10">
        <v>2.2000000000000002</v>
      </c>
      <c r="E910">
        <f t="shared" si="42"/>
        <v>0.26400000000000001</v>
      </c>
      <c r="F910">
        <f t="shared" si="44"/>
        <v>6.1573999999999138</v>
      </c>
      <c r="G910">
        <f t="shared" si="43"/>
        <v>0</v>
      </c>
    </row>
    <row r="911" spans="1:7" hidden="1" x14ac:dyDescent="0.35">
      <c r="A911" s="11">
        <v>49550</v>
      </c>
      <c r="B911" s="12" t="s">
        <v>19</v>
      </c>
      <c r="C911" s="13">
        <v>12.1</v>
      </c>
      <c r="D911" s="14">
        <v>0</v>
      </c>
      <c r="E911">
        <f t="shared" si="42"/>
        <v>0</v>
      </c>
      <c r="F911">
        <f t="shared" si="44"/>
        <v>6.1573999999999138</v>
      </c>
      <c r="G911">
        <f t="shared" si="43"/>
        <v>0</v>
      </c>
    </row>
    <row r="912" spans="1:7" hidden="1" x14ac:dyDescent="0.35">
      <c r="A912" s="7">
        <v>49551</v>
      </c>
      <c r="B912" s="8" t="s">
        <v>11</v>
      </c>
      <c r="C912" s="9">
        <v>15.8</v>
      </c>
      <c r="D912" s="10">
        <v>17.2</v>
      </c>
      <c r="E912">
        <f t="shared" si="42"/>
        <v>2.7176</v>
      </c>
      <c r="F912">
        <f t="shared" si="44"/>
        <v>8.8749999999999147</v>
      </c>
      <c r="G912">
        <f t="shared" si="43"/>
        <v>0</v>
      </c>
    </row>
    <row r="913" spans="1:7" hidden="1" x14ac:dyDescent="0.35">
      <c r="A913" s="11">
        <v>49552</v>
      </c>
      <c r="B913" s="12" t="s">
        <v>12</v>
      </c>
      <c r="C913" s="13">
        <v>25.7</v>
      </c>
      <c r="D913" s="14">
        <v>5.9</v>
      </c>
      <c r="E913">
        <f t="shared" si="42"/>
        <v>1.5163</v>
      </c>
      <c r="F913">
        <f t="shared" si="44"/>
        <v>10.391299999999914</v>
      </c>
      <c r="G913">
        <f t="shared" si="43"/>
        <v>0</v>
      </c>
    </row>
    <row r="914" spans="1:7" hidden="1" x14ac:dyDescent="0.35">
      <c r="A914" s="7">
        <v>49553</v>
      </c>
      <c r="B914" s="8" t="s">
        <v>10</v>
      </c>
      <c r="C914" s="9">
        <v>20.5</v>
      </c>
      <c r="D914" s="10">
        <v>26</v>
      </c>
      <c r="E914">
        <f t="shared" si="42"/>
        <v>5.33</v>
      </c>
      <c r="F914">
        <f t="shared" si="44"/>
        <v>15.721299999999914</v>
      </c>
      <c r="G914">
        <f t="shared" si="43"/>
        <v>0</v>
      </c>
    </row>
    <row r="915" spans="1:7" hidden="1" x14ac:dyDescent="0.35">
      <c r="A915" s="11">
        <v>49554</v>
      </c>
      <c r="B915" s="12" t="s">
        <v>13</v>
      </c>
      <c r="C915" s="13">
        <v>23.5</v>
      </c>
      <c r="D915" s="14">
        <v>15.3</v>
      </c>
      <c r="E915">
        <f t="shared" si="42"/>
        <v>3.5954999999999999</v>
      </c>
      <c r="F915">
        <f t="shared" si="44"/>
        <v>19.316799999999915</v>
      </c>
      <c r="G915">
        <f t="shared" si="43"/>
        <v>0</v>
      </c>
    </row>
    <row r="916" spans="1:7" hidden="1" x14ac:dyDescent="0.35">
      <c r="A916" s="7">
        <v>49555</v>
      </c>
      <c r="B916" s="8" t="s">
        <v>12</v>
      </c>
      <c r="C916" s="9">
        <v>21.7</v>
      </c>
      <c r="D916" s="10">
        <v>1.2</v>
      </c>
      <c r="E916">
        <f t="shared" si="42"/>
        <v>0.26039999999999996</v>
      </c>
      <c r="F916">
        <f t="shared" si="44"/>
        <v>19.577199999999916</v>
      </c>
      <c r="G916">
        <f t="shared" si="43"/>
        <v>0</v>
      </c>
    </row>
    <row r="917" spans="1:7" hidden="1" x14ac:dyDescent="0.35">
      <c r="A917" s="11">
        <v>49556</v>
      </c>
      <c r="B917" s="12" t="s">
        <v>10</v>
      </c>
      <c r="C917" s="13">
        <v>29.8</v>
      </c>
      <c r="D917" s="14">
        <v>0</v>
      </c>
      <c r="E917">
        <f t="shared" si="42"/>
        <v>0</v>
      </c>
      <c r="F917">
        <f t="shared" si="44"/>
        <v>19.577199999999916</v>
      </c>
      <c r="G917">
        <f t="shared" si="43"/>
        <v>0</v>
      </c>
    </row>
    <row r="918" spans="1:7" hidden="1" x14ac:dyDescent="0.35">
      <c r="A918" s="7">
        <v>49557</v>
      </c>
      <c r="B918" s="8" t="s">
        <v>7</v>
      </c>
      <c r="C918" s="9">
        <v>27.1</v>
      </c>
      <c r="D918" s="10">
        <v>0</v>
      </c>
      <c r="E918">
        <f t="shared" si="42"/>
        <v>0</v>
      </c>
      <c r="F918">
        <f t="shared" si="44"/>
        <v>19.577199999999916</v>
      </c>
      <c r="G918">
        <f t="shared" si="43"/>
        <v>0</v>
      </c>
    </row>
    <row r="919" spans="1:7" hidden="1" x14ac:dyDescent="0.35">
      <c r="A919" s="11">
        <v>49558</v>
      </c>
      <c r="B919" s="12" t="s">
        <v>12</v>
      </c>
      <c r="C919" s="13">
        <v>27.3</v>
      </c>
      <c r="D919" s="14">
        <v>0</v>
      </c>
      <c r="E919">
        <f t="shared" si="42"/>
        <v>0</v>
      </c>
      <c r="F919">
        <f t="shared" si="44"/>
        <v>19.577199999999916</v>
      </c>
      <c r="G919">
        <f t="shared" si="43"/>
        <v>0</v>
      </c>
    </row>
    <row r="920" spans="1:7" hidden="1" x14ac:dyDescent="0.35">
      <c r="A920" s="7">
        <v>49559</v>
      </c>
      <c r="B920" s="8" t="s">
        <v>19</v>
      </c>
      <c r="C920" s="9">
        <v>15.5</v>
      </c>
      <c r="D920" s="10">
        <v>27.6</v>
      </c>
      <c r="E920">
        <f t="shared" si="42"/>
        <v>4.2780000000000005</v>
      </c>
      <c r="F920">
        <f t="shared" si="44"/>
        <v>23.855199999999918</v>
      </c>
      <c r="G920">
        <f t="shared" si="43"/>
        <v>0</v>
      </c>
    </row>
    <row r="921" spans="1:7" hidden="1" x14ac:dyDescent="0.35">
      <c r="A921" s="11">
        <v>49560</v>
      </c>
      <c r="B921" s="12" t="s">
        <v>13</v>
      </c>
      <c r="C921" s="13">
        <v>27.9</v>
      </c>
      <c r="D921" s="14">
        <v>5.0999999999999996</v>
      </c>
      <c r="E921">
        <f t="shared" si="42"/>
        <v>1.4228999999999998</v>
      </c>
      <c r="F921">
        <f t="shared" si="44"/>
        <v>25.278099999999917</v>
      </c>
      <c r="G921">
        <f t="shared" si="43"/>
        <v>0</v>
      </c>
    </row>
    <row r="922" spans="1:7" hidden="1" x14ac:dyDescent="0.35">
      <c r="A922" s="7">
        <v>49561</v>
      </c>
      <c r="B922" s="8" t="s">
        <v>10</v>
      </c>
      <c r="C922" s="9">
        <v>19.7</v>
      </c>
      <c r="D922" s="10">
        <v>21.4</v>
      </c>
      <c r="E922">
        <f t="shared" si="42"/>
        <v>4.2157999999999998</v>
      </c>
      <c r="F922">
        <f t="shared" si="44"/>
        <v>29.493899999999918</v>
      </c>
      <c r="G922">
        <f t="shared" si="43"/>
        <v>0</v>
      </c>
    </row>
    <row r="923" spans="1:7" hidden="1" x14ac:dyDescent="0.35">
      <c r="A923" s="11">
        <v>49562</v>
      </c>
      <c r="B923" s="12" t="s">
        <v>10</v>
      </c>
      <c r="C923" s="13">
        <v>27.8</v>
      </c>
      <c r="D923" s="14">
        <v>27.6</v>
      </c>
      <c r="E923">
        <f t="shared" si="42"/>
        <v>7.6728000000000005</v>
      </c>
      <c r="F923">
        <f t="shared" si="44"/>
        <v>37.166699999999921</v>
      </c>
      <c r="G923">
        <f t="shared" si="43"/>
        <v>0</v>
      </c>
    </row>
    <row r="924" spans="1:7" hidden="1" x14ac:dyDescent="0.35">
      <c r="A924" s="7">
        <v>49563</v>
      </c>
      <c r="B924" s="8" t="s">
        <v>22</v>
      </c>
      <c r="C924" s="9">
        <v>12.3</v>
      </c>
      <c r="D924" s="10">
        <v>2.9</v>
      </c>
      <c r="E924">
        <f t="shared" si="42"/>
        <v>0.35670000000000002</v>
      </c>
      <c r="F924">
        <f t="shared" si="44"/>
        <v>37.523399999999924</v>
      </c>
      <c r="G924">
        <f t="shared" si="43"/>
        <v>0</v>
      </c>
    </row>
    <row r="925" spans="1:7" hidden="1" x14ac:dyDescent="0.35">
      <c r="A925" s="11">
        <v>49564</v>
      </c>
      <c r="B925" s="12" t="s">
        <v>18</v>
      </c>
      <c r="C925" s="13">
        <v>12.8</v>
      </c>
      <c r="D925" s="14">
        <v>8.8000000000000007</v>
      </c>
      <c r="E925">
        <f t="shared" si="42"/>
        <v>1.1264000000000001</v>
      </c>
      <c r="F925">
        <f t="shared" si="44"/>
        <v>38.649799999999921</v>
      </c>
      <c r="G925">
        <f t="shared" si="43"/>
        <v>0</v>
      </c>
    </row>
    <row r="926" spans="1:7" hidden="1" x14ac:dyDescent="0.35">
      <c r="A926" s="7">
        <v>49565</v>
      </c>
      <c r="B926" s="8" t="s">
        <v>10</v>
      </c>
      <c r="C926" s="9">
        <v>15</v>
      </c>
      <c r="D926" s="10">
        <v>0</v>
      </c>
      <c r="E926">
        <f t="shared" si="42"/>
        <v>0</v>
      </c>
      <c r="F926">
        <f t="shared" si="44"/>
        <v>38.649799999999921</v>
      </c>
      <c r="G926">
        <f t="shared" si="43"/>
        <v>0</v>
      </c>
    </row>
    <row r="927" spans="1:7" hidden="1" x14ac:dyDescent="0.35">
      <c r="A927" s="11">
        <v>49566</v>
      </c>
      <c r="B927" s="12" t="s">
        <v>23</v>
      </c>
      <c r="C927" s="13">
        <v>27.6</v>
      </c>
      <c r="D927" s="14">
        <v>4.7</v>
      </c>
      <c r="E927">
        <f t="shared" si="42"/>
        <v>1.2971999999999999</v>
      </c>
      <c r="F927">
        <f t="shared" si="44"/>
        <v>39.946999999999917</v>
      </c>
      <c r="G927">
        <f t="shared" si="43"/>
        <v>0</v>
      </c>
    </row>
    <row r="928" spans="1:7" hidden="1" x14ac:dyDescent="0.35">
      <c r="A928" s="7">
        <v>49567</v>
      </c>
      <c r="B928" s="8" t="s">
        <v>10</v>
      </c>
      <c r="C928" s="9">
        <v>19.600000000000001</v>
      </c>
      <c r="D928" s="10">
        <v>0</v>
      </c>
      <c r="E928">
        <f t="shared" si="42"/>
        <v>0</v>
      </c>
      <c r="F928">
        <f t="shared" si="44"/>
        <v>39.946999999999917</v>
      </c>
      <c r="G928">
        <f t="shared" si="43"/>
        <v>0</v>
      </c>
    </row>
    <row r="929" spans="1:7" hidden="1" x14ac:dyDescent="0.35">
      <c r="A929" s="11">
        <v>49568</v>
      </c>
      <c r="B929" s="12" t="s">
        <v>30</v>
      </c>
      <c r="C929" s="13">
        <v>16</v>
      </c>
      <c r="D929" s="14">
        <v>0.4</v>
      </c>
      <c r="E929">
        <f t="shared" si="42"/>
        <v>0</v>
      </c>
      <c r="F929">
        <f t="shared" si="44"/>
        <v>39.946999999999917</v>
      </c>
      <c r="G929">
        <f t="shared" si="43"/>
        <v>0</v>
      </c>
    </row>
    <row r="930" spans="1:7" hidden="1" x14ac:dyDescent="0.35">
      <c r="A930" s="7">
        <v>49569</v>
      </c>
      <c r="B930" s="8" t="s">
        <v>10</v>
      </c>
      <c r="C930" s="9">
        <v>10.3</v>
      </c>
      <c r="D930" s="10">
        <v>0</v>
      </c>
      <c r="E930">
        <f t="shared" si="42"/>
        <v>0</v>
      </c>
      <c r="F930">
        <f t="shared" si="44"/>
        <v>39.946999999999917</v>
      </c>
      <c r="G930">
        <f t="shared" si="43"/>
        <v>0</v>
      </c>
    </row>
    <row r="931" spans="1:7" hidden="1" x14ac:dyDescent="0.35">
      <c r="A931" s="11">
        <v>49570</v>
      </c>
      <c r="B931" s="12" t="s">
        <v>18</v>
      </c>
      <c r="C931" s="13">
        <v>20.2</v>
      </c>
      <c r="D931" s="14">
        <v>13.9</v>
      </c>
      <c r="E931">
        <f t="shared" si="42"/>
        <v>2.8077999999999999</v>
      </c>
      <c r="F931">
        <f t="shared" si="44"/>
        <v>42.754799999999918</v>
      </c>
      <c r="G931">
        <f t="shared" si="43"/>
        <v>0</v>
      </c>
    </row>
    <row r="932" spans="1:7" hidden="1" x14ac:dyDescent="0.35">
      <c r="A932" s="7">
        <v>49571</v>
      </c>
      <c r="B932" s="8" t="s">
        <v>26</v>
      </c>
      <c r="C932" s="9">
        <v>26.4</v>
      </c>
      <c r="D932" s="10">
        <v>6.8</v>
      </c>
      <c r="E932">
        <f t="shared" si="42"/>
        <v>1.7951999999999999</v>
      </c>
      <c r="F932">
        <f t="shared" si="44"/>
        <v>44.549999999999919</v>
      </c>
      <c r="G932">
        <f t="shared" si="43"/>
        <v>0</v>
      </c>
    </row>
    <row r="933" spans="1:7" hidden="1" x14ac:dyDescent="0.35">
      <c r="A933" s="11">
        <v>49572</v>
      </c>
      <c r="B933" s="12" t="s">
        <v>17</v>
      </c>
      <c r="C933" s="13">
        <v>20.6</v>
      </c>
      <c r="D933" s="14">
        <v>0</v>
      </c>
      <c r="E933">
        <f t="shared" si="42"/>
        <v>0</v>
      </c>
      <c r="F933">
        <f t="shared" si="44"/>
        <v>44.549999999999919</v>
      </c>
      <c r="G933">
        <f t="shared" si="43"/>
        <v>0</v>
      </c>
    </row>
    <row r="934" spans="1:7" hidden="1" x14ac:dyDescent="0.35">
      <c r="A934" s="7">
        <v>49573</v>
      </c>
      <c r="B934" s="8" t="s">
        <v>19</v>
      </c>
      <c r="C934" s="9">
        <v>12.3</v>
      </c>
      <c r="D934" s="10">
        <v>0.2</v>
      </c>
      <c r="E934">
        <f t="shared" si="42"/>
        <v>0</v>
      </c>
      <c r="F934">
        <f t="shared" si="44"/>
        <v>44.549999999999919</v>
      </c>
      <c r="G934">
        <f t="shared" si="43"/>
        <v>0</v>
      </c>
    </row>
    <row r="935" spans="1:7" hidden="1" x14ac:dyDescent="0.35">
      <c r="A935" s="11">
        <v>49574</v>
      </c>
      <c r="B935" s="12" t="s">
        <v>19</v>
      </c>
      <c r="C935" s="13">
        <v>11.2</v>
      </c>
      <c r="D935" s="14">
        <v>36.200000000000003</v>
      </c>
      <c r="E935">
        <f t="shared" si="42"/>
        <v>4.0544000000000002</v>
      </c>
      <c r="F935">
        <f t="shared" si="44"/>
        <v>48.60439999999992</v>
      </c>
      <c r="G935">
        <f t="shared" si="43"/>
        <v>0</v>
      </c>
    </row>
    <row r="936" spans="1:7" hidden="1" x14ac:dyDescent="0.35">
      <c r="A936" s="7">
        <v>49575</v>
      </c>
      <c r="B936" s="8" t="s">
        <v>8</v>
      </c>
      <c r="C936" s="9">
        <v>22.6</v>
      </c>
      <c r="D936" s="10">
        <v>2.4</v>
      </c>
      <c r="E936">
        <f t="shared" si="42"/>
        <v>0.54239999999999999</v>
      </c>
      <c r="F936">
        <f t="shared" si="44"/>
        <v>49.146799999999921</v>
      </c>
      <c r="G936">
        <f t="shared" si="43"/>
        <v>0</v>
      </c>
    </row>
    <row r="937" spans="1:7" hidden="1" x14ac:dyDescent="0.35">
      <c r="A937" s="11">
        <v>49576</v>
      </c>
      <c r="B937" s="12" t="s">
        <v>25</v>
      </c>
      <c r="C937" s="13">
        <v>16.399999999999999</v>
      </c>
      <c r="D937" s="14">
        <v>0.1</v>
      </c>
      <c r="E937">
        <f t="shared" si="42"/>
        <v>0</v>
      </c>
      <c r="F937">
        <f t="shared" si="44"/>
        <v>49.146799999999921</v>
      </c>
      <c r="G937">
        <f t="shared" si="43"/>
        <v>0</v>
      </c>
    </row>
    <row r="938" spans="1:7" hidden="1" x14ac:dyDescent="0.35">
      <c r="A938" s="7">
        <v>49577</v>
      </c>
      <c r="B938" s="8" t="s">
        <v>27</v>
      </c>
      <c r="C938" s="9">
        <v>23.4</v>
      </c>
      <c r="D938" s="10">
        <v>0</v>
      </c>
      <c r="E938">
        <f t="shared" si="42"/>
        <v>0</v>
      </c>
      <c r="F938">
        <f t="shared" si="44"/>
        <v>49.146799999999921</v>
      </c>
      <c r="G938">
        <f t="shared" si="43"/>
        <v>0</v>
      </c>
    </row>
    <row r="939" spans="1:7" hidden="1" x14ac:dyDescent="0.35">
      <c r="A939" s="11">
        <v>49578</v>
      </c>
      <c r="B939" s="12" t="s">
        <v>23</v>
      </c>
      <c r="C939" s="13">
        <v>20.2</v>
      </c>
      <c r="D939" s="14">
        <v>0.3</v>
      </c>
      <c r="E939">
        <f t="shared" si="42"/>
        <v>0</v>
      </c>
      <c r="F939">
        <f t="shared" si="44"/>
        <v>49.146799999999921</v>
      </c>
      <c r="G939">
        <f t="shared" si="43"/>
        <v>0</v>
      </c>
    </row>
    <row r="940" spans="1:7" hidden="1" x14ac:dyDescent="0.35">
      <c r="A940" s="7">
        <v>49579</v>
      </c>
      <c r="B940" s="8" t="s">
        <v>11</v>
      </c>
      <c r="C940" s="9">
        <v>17.600000000000001</v>
      </c>
      <c r="D940" s="10">
        <v>15</v>
      </c>
      <c r="E940">
        <f t="shared" si="42"/>
        <v>2.64</v>
      </c>
      <c r="F940">
        <f t="shared" si="44"/>
        <v>51.786799999999921</v>
      </c>
      <c r="G940">
        <f t="shared" si="43"/>
        <v>0</v>
      </c>
    </row>
    <row r="941" spans="1:7" hidden="1" x14ac:dyDescent="0.35">
      <c r="A941" s="11">
        <v>49580</v>
      </c>
      <c r="B941" s="12" t="s">
        <v>10</v>
      </c>
      <c r="C941" s="13">
        <v>21.7</v>
      </c>
      <c r="D941" s="14">
        <v>33.299999999999997</v>
      </c>
      <c r="E941">
        <f t="shared" si="42"/>
        <v>7.2260999999999989</v>
      </c>
      <c r="F941">
        <f t="shared" si="44"/>
        <v>59.012899999999917</v>
      </c>
      <c r="G941">
        <f t="shared" si="43"/>
        <v>0</v>
      </c>
    </row>
    <row r="942" spans="1:7" hidden="1" x14ac:dyDescent="0.35">
      <c r="A942" s="7">
        <v>49581</v>
      </c>
      <c r="B942" s="8" t="s">
        <v>10</v>
      </c>
      <c r="C942" s="9">
        <v>18.399999999999999</v>
      </c>
      <c r="D942" s="10">
        <v>19.3</v>
      </c>
      <c r="E942">
        <f t="shared" si="42"/>
        <v>3.5512000000000001</v>
      </c>
      <c r="F942">
        <f t="shared" si="44"/>
        <v>62.564099999999918</v>
      </c>
      <c r="G942">
        <f t="shared" si="43"/>
        <v>0</v>
      </c>
    </row>
    <row r="943" spans="1:7" hidden="1" x14ac:dyDescent="0.35">
      <c r="A943" s="11">
        <v>49582</v>
      </c>
      <c r="B943" s="12" t="s">
        <v>7</v>
      </c>
      <c r="C943" s="13">
        <v>20.100000000000001</v>
      </c>
      <c r="D943" s="14">
        <v>15.4</v>
      </c>
      <c r="E943">
        <f t="shared" si="42"/>
        <v>3.0954000000000002</v>
      </c>
      <c r="F943">
        <f t="shared" si="44"/>
        <v>65.659499999999923</v>
      </c>
      <c r="G943">
        <f t="shared" si="43"/>
        <v>0</v>
      </c>
    </row>
    <row r="944" spans="1:7" hidden="1" x14ac:dyDescent="0.35">
      <c r="A944" s="7">
        <v>49583</v>
      </c>
      <c r="B944" s="8" t="s">
        <v>18</v>
      </c>
      <c r="C944" s="9">
        <v>16.5</v>
      </c>
      <c r="D944" s="10">
        <v>14.7</v>
      </c>
      <c r="E944">
        <f t="shared" si="42"/>
        <v>2.4255</v>
      </c>
      <c r="F944">
        <f t="shared" si="44"/>
        <v>68.084999999999923</v>
      </c>
      <c r="G944">
        <f t="shared" si="43"/>
        <v>0</v>
      </c>
    </row>
    <row r="945" spans="1:7" hidden="1" x14ac:dyDescent="0.35">
      <c r="A945" s="11">
        <v>49584</v>
      </c>
      <c r="B945" s="12" t="s">
        <v>10</v>
      </c>
      <c r="C945" s="13">
        <v>12.3</v>
      </c>
      <c r="D945" s="14">
        <v>30.2</v>
      </c>
      <c r="E945">
        <f t="shared" si="42"/>
        <v>3.7146000000000003</v>
      </c>
      <c r="F945">
        <f t="shared" si="44"/>
        <v>71.799599999999927</v>
      </c>
      <c r="G945">
        <f t="shared" si="43"/>
        <v>0</v>
      </c>
    </row>
    <row r="946" spans="1:7" hidden="1" x14ac:dyDescent="0.35">
      <c r="A946" s="7">
        <v>49585</v>
      </c>
      <c r="B946" s="8" t="s">
        <v>10</v>
      </c>
      <c r="C946" s="9">
        <v>29.6</v>
      </c>
      <c r="D946" s="10">
        <v>42.8</v>
      </c>
      <c r="E946">
        <f t="shared" si="42"/>
        <v>12.668799999999999</v>
      </c>
      <c r="F946">
        <f t="shared" si="44"/>
        <v>84.468399999999932</v>
      </c>
      <c r="G946">
        <f t="shared" si="43"/>
        <v>0</v>
      </c>
    </row>
    <row r="947" spans="1:7" hidden="1" x14ac:dyDescent="0.35">
      <c r="A947" s="11">
        <v>49586</v>
      </c>
      <c r="B947" s="12" t="s">
        <v>12</v>
      </c>
      <c r="C947" s="13">
        <v>26.6</v>
      </c>
      <c r="D947" s="14">
        <v>9.1999999999999993</v>
      </c>
      <c r="E947">
        <f t="shared" si="42"/>
        <v>2.4472</v>
      </c>
      <c r="F947">
        <f t="shared" si="44"/>
        <v>86.915599999999927</v>
      </c>
      <c r="G947">
        <f t="shared" si="43"/>
        <v>0</v>
      </c>
    </row>
    <row r="948" spans="1:7" hidden="1" x14ac:dyDescent="0.35">
      <c r="A948" s="7">
        <v>49587</v>
      </c>
      <c r="B948" s="8" t="s">
        <v>18</v>
      </c>
      <c r="C948" s="9">
        <v>26.7</v>
      </c>
      <c r="D948" s="10">
        <v>4</v>
      </c>
      <c r="E948">
        <f t="shared" si="42"/>
        <v>1.0680000000000001</v>
      </c>
      <c r="F948">
        <f t="shared" si="44"/>
        <v>87.983599999999925</v>
      </c>
      <c r="G948">
        <f t="shared" si="43"/>
        <v>0</v>
      </c>
    </row>
    <row r="949" spans="1:7" hidden="1" x14ac:dyDescent="0.35">
      <c r="A949" s="11">
        <v>49588</v>
      </c>
      <c r="B949" s="12" t="s">
        <v>15</v>
      </c>
      <c r="C949" s="13">
        <v>23.6</v>
      </c>
      <c r="D949" s="14">
        <v>0</v>
      </c>
      <c r="E949">
        <f t="shared" si="42"/>
        <v>0</v>
      </c>
      <c r="F949">
        <f t="shared" si="44"/>
        <v>87.983599999999925</v>
      </c>
      <c r="G949">
        <f t="shared" si="43"/>
        <v>0</v>
      </c>
    </row>
    <row r="950" spans="1:7" hidden="1" x14ac:dyDescent="0.35">
      <c r="A950" s="7">
        <v>49589</v>
      </c>
      <c r="B950" s="8" t="s">
        <v>25</v>
      </c>
      <c r="C950" s="9">
        <v>13.6</v>
      </c>
      <c r="D950" s="10">
        <v>2.8</v>
      </c>
      <c r="E950">
        <f t="shared" si="42"/>
        <v>0.38079999999999997</v>
      </c>
      <c r="F950">
        <f t="shared" si="44"/>
        <v>88.364399999999918</v>
      </c>
      <c r="G950">
        <f t="shared" si="43"/>
        <v>0</v>
      </c>
    </row>
    <row r="951" spans="1:7" hidden="1" x14ac:dyDescent="0.35">
      <c r="A951" s="11">
        <v>49590</v>
      </c>
      <c r="B951" s="12" t="s">
        <v>5</v>
      </c>
      <c r="C951" s="13">
        <v>13.8</v>
      </c>
      <c r="D951" s="14">
        <v>6.5</v>
      </c>
      <c r="E951">
        <f t="shared" si="42"/>
        <v>0.89700000000000002</v>
      </c>
      <c r="F951">
        <f t="shared" si="44"/>
        <v>89.261399999999924</v>
      </c>
      <c r="G951">
        <f t="shared" si="43"/>
        <v>0</v>
      </c>
    </row>
    <row r="952" spans="1:7" hidden="1" x14ac:dyDescent="0.35">
      <c r="A952" s="7">
        <v>49591</v>
      </c>
      <c r="B952" s="8" t="s">
        <v>6</v>
      </c>
      <c r="C952" s="9">
        <v>12.3</v>
      </c>
      <c r="D952" s="10">
        <v>0</v>
      </c>
      <c r="E952">
        <f t="shared" si="42"/>
        <v>0</v>
      </c>
      <c r="F952">
        <f t="shared" si="44"/>
        <v>89.261399999999924</v>
      </c>
      <c r="G952">
        <f t="shared" si="43"/>
        <v>0</v>
      </c>
    </row>
    <row r="953" spans="1:7" hidden="1" x14ac:dyDescent="0.35">
      <c r="A953" s="11">
        <v>49592</v>
      </c>
      <c r="B953" s="12" t="s">
        <v>7</v>
      </c>
      <c r="C953" s="13">
        <v>12.3</v>
      </c>
      <c r="D953" s="14">
        <v>0</v>
      </c>
      <c r="E953">
        <f t="shared" si="42"/>
        <v>0</v>
      </c>
      <c r="F953">
        <f t="shared" si="44"/>
        <v>89.261399999999924</v>
      </c>
      <c r="G953">
        <f t="shared" si="43"/>
        <v>0</v>
      </c>
    </row>
    <row r="954" spans="1:7" hidden="1" x14ac:dyDescent="0.35">
      <c r="A954" s="7">
        <v>49593</v>
      </c>
      <c r="B954" s="8" t="s">
        <v>18</v>
      </c>
      <c r="C954" s="9">
        <v>22.7</v>
      </c>
      <c r="D954" s="10">
        <v>10.3</v>
      </c>
      <c r="E954">
        <f t="shared" si="42"/>
        <v>2.3380999999999998</v>
      </c>
      <c r="F954">
        <f t="shared" si="44"/>
        <v>91.599499999999921</v>
      </c>
      <c r="G954">
        <f t="shared" si="43"/>
        <v>0</v>
      </c>
    </row>
    <row r="955" spans="1:7" hidden="1" x14ac:dyDescent="0.35">
      <c r="A955" s="11">
        <v>49594</v>
      </c>
      <c r="B955" s="12" t="s">
        <v>10</v>
      </c>
      <c r="C955" s="13">
        <v>19</v>
      </c>
      <c r="D955" s="14">
        <v>0</v>
      </c>
      <c r="E955">
        <f t="shared" si="42"/>
        <v>0</v>
      </c>
      <c r="F955">
        <f t="shared" si="44"/>
        <v>91.599499999999921</v>
      </c>
      <c r="G955">
        <f t="shared" si="43"/>
        <v>0</v>
      </c>
    </row>
    <row r="956" spans="1:7" hidden="1" x14ac:dyDescent="0.35">
      <c r="A956" s="7">
        <v>49595</v>
      </c>
      <c r="B956" s="8" t="s">
        <v>8</v>
      </c>
      <c r="C956" s="9">
        <v>23.4</v>
      </c>
      <c r="D956" s="10">
        <v>0</v>
      </c>
      <c r="E956">
        <f t="shared" si="42"/>
        <v>0</v>
      </c>
      <c r="F956">
        <f t="shared" si="44"/>
        <v>91.599499999999921</v>
      </c>
      <c r="G956">
        <f t="shared" si="43"/>
        <v>0</v>
      </c>
    </row>
    <row r="957" spans="1:7" hidden="1" x14ac:dyDescent="0.35">
      <c r="A957" s="11">
        <v>49596</v>
      </c>
      <c r="B957" s="12" t="s">
        <v>15</v>
      </c>
      <c r="C957" s="13">
        <v>28.2</v>
      </c>
      <c r="D957" s="14">
        <v>0</v>
      </c>
      <c r="E957">
        <f t="shared" si="42"/>
        <v>0</v>
      </c>
      <c r="F957">
        <f t="shared" si="44"/>
        <v>91.599499999999921</v>
      </c>
      <c r="G957">
        <f t="shared" si="43"/>
        <v>0</v>
      </c>
    </row>
    <row r="958" spans="1:7" hidden="1" x14ac:dyDescent="0.35">
      <c r="A958" s="7">
        <v>49597</v>
      </c>
      <c r="B958" s="8" t="s">
        <v>15</v>
      </c>
      <c r="C958" s="9">
        <v>20.100000000000001</v>
      </c>
      <c r="D958" s="10">
        <v>9.6999999999999993</v>
      </c>
      <c r="E958">
        <f t="shared" si="42"/>
        <v>1.9497</v>
      </c>
      <c r="F958">
        <f t="shared" si="44"/>
        <v>93.549199999999928</v>
      </c>
      <c r="G958">
        <f t="shared" si="43"/>
        <v>0</v>
      </c>
    </row>
    <row r="959" spans="1:7" hidden="1" x14ac:dyDescent="0.35">
      <c r="A959" s="11">
        <v>49598</v>
      </c>
      <c r="B959" s="12" t="s">
        <v>17</v>
      </c>
      <c r="C959" s="13">
        <v>29.6</v>
      </c>
      <c r="D959" s="14">
        <v>0</v>
      </c>
      <c r="E959">
        <f t="shared" si="42"/>
        <v>0</v>
      </c>
      <c r="F959">
        <f t="shared" si="44"/>
        <v>93.549199999999928</v>
      </c>
      <c r="G959">
        <f t="shared" si="43"/>
        <v>0</v>
      </c>
    </row>
    <row r="960" spans="1:7" hidden="1" x14ac:dyDescent="0.35">
      <c r="A960" s="7">
        <v>49599</v>
      </c>
      <c r="B960" s="8" t="s">
        <v>7</v>
      </c>
      <c r="C960" s="9">
        <v>25.8</v>
      </c>
      <c r="D960" s="10">
        <v>0</v>
      </c>
      <c r="E960">
        <f t="shared" si="42"/>
        <v>0</v>
      </c>
      <c r="F960">
        <f t="shared" si="44"/>
        <v>93.549199999999928</v>
      </c>
      <c r="G960">
        <f t="shared" si="43"/>
        <v>0</v>
      </c>
    </row>
    <row r="961" spans="1:7" hidden="1" x14ac:dyDescent="0.35">
      <c r="A961" s="11">
        <v>49600</v>
      </c>
      <c r="B961" s="12" t="s">
        <v>10</v>
      </c>
      <c r="C961" s="13">
        <v>19.600000000000001</v>
      </c>
      <c r="D961" s="14">
        <v>18.5</v>
      </c>
      <c r="E961">
        <f t="shared" si="42"/>
        <v>3.6260000000000003</v>
      </c>
      <c r="F961">
        <f t="shared" si="44"/>
        <v>97.175199999999933</v>
      </c>
      <c r="G961">
        <f t="shared" si="43"/>
        <v>0</v>
      </c>
    </row>
    <row r="962" spans="1:7" hidden="1" x14ac:dyDescent="0.35">
      <c r="A962" s="7">
        <v>49601</v>
      </c>
      <c r="B962" s="8" t="s">
        <v>19</v>
      </c>
      <c r="C962" s="9">
        <v>21.5</v>
      </c>
      <c r="D962" s="10">
        <v>3</v>
      </c>
      <c r="E962">
        <f t="shared" si="42"/>
        <v>0.64500000000000002</v>
      </c>
      <c r="F962">
        <f t="shared" si="44"/>
        <v>97.820199999999929</v>
      </c>
      <c r="G962">
        <f t="shared" si="43"/>
        <v>0</v>
      </c>
    </row>
    <row r="963" spans="1:7" x14ac:dyDescent="0.35">
      <c r="A963" s="11">
        <v>49602</v>
      </c>
      <c r="B963" s="12" t="s">
        <v>15</v>
      </c>
      <c r="C963" s="13">
        <v>24.2</v>
      </c>
      <c r="D963" s="14">
        <v>17.399999999999999</v>
      </c>
      <c r="E963">
        <f t="shared" ref="E963:E1026" si="45">IF(D963&gt;=1,C963*D963/100,0)</f>
        <v>4.210799999999999</v>
      </c>
      <c r="F963">
        <f t="shared" si="44"/>
        <v>102.03099999999992</v>
      </c>
      <c r="G963">
        <f t="shared" ref="G963:G1026" si="46">IF(F963&gt;=100,1,0)</f>
        <v>1</v>
      </c>
    </row>
    <row r="964" spans="1:7" hidden="1" x14ac:dyDescent="0.35">
      <c r="A964" s="7">
        <v>49603</v>
      </c>
      <c r="B964" s="8" t="s">
        <v>27</v>
      </c>
      <c r="C964" s="9">
        <v>12</v>
      </c>
      <c r="D964" s="10">
        <v>0</v>
      </c>
      <c r="E964">
        <f t="shared" si="45"/>
        <v>0</v>
      </c>
      <c r="F964">
        <f t="shared" ref="F964:F1027" si="47">IF(G963=1,E964+F963-100,F963+E964)</f>
        <v>2.0309999999999206</v>
      </c>
      <c r="G964">
        <f t="shared" si="46"/>
        <v>0</v>
      </c>
    </row>
    <row r="965" spans="1:7" hidden="1" x14ac:dyDescent="0.35">
      <c r="A965" s="11">
        <v>49604</v>
      </c>
      <c r="B965" s="12" t="s">
        <v>33</v>
      </c>
      <c r="C965" s="13">
        <v>23</v>
      </c>
      <c r="D965" s="14">
        <v>0</v>
      </c>
      <c r="E965">
        <f t="shared" si="45"/>
        <v>0</v>
      </c>
      <c r="F965">
        <f t="shared" si="47"/>
        <v>2.0309999999999206</v>
      </c>
      <c r="G965">
        <f t="shared" si="46"/>
        <v>0</v>
      </c>
    </row>
    <row r="966" spans="1:7" hidden="1" x14ac:dyDescent="0.35">
      <c r="A966" s="7">
        <v>49605</v>
      </c>
      <c r="B966" s="8" t="s">
        <v>19</v>
      </c>
      <c r="C966" s="9">
        <v>19.8</v>
      </c>
      <c r="D966" s="10">
        <v>29.2</v>
      </c>
      <c r="E966">
        <f t="shared" si="45"/>
        <v>5.7816000000000001</v>
      </c>
      <c r="F966">
        <f t="shared" si="47"/>
        <v>7.8125999999999207</v>
      </c>
      <c r="G966">
        <f t="shared" si="46"/>
        <v>0</v>
      </c>
    </row>
    <row r="967" spans="1:7" hidden="1" x14ac:dyDescent="0.35">
      <c r="A967" s="11">
        <v>49606</v>
      </c>
      <c r="B967" s="12" t="s">
        <v>5</v>
      </c>
      <c r="C967" s="13">
        <v>14.9</v>
      </c>
      <c r="D967" s="14">
        <v>0.8</v>
      </c>
      <c r="E967">
        <f t="shared" si="45"/>
        <v>0</v>
      </c>
      <c r="F967">
        <f t="shared" si="47"/>
        <v>7.8125999999999207</v>
      </c>
      <c r="G967">
        <f t="shared" si="46"/>
        <v>0</v>
      </c>
    </row>
    <row r="968" spans="1:7" hidden="1" x14ac:dyDescent="0.35">
      <c r="A968" s="7">
        <v>49607</v>
      </c>
      <c r="B968" s="8" t="s">
        <v>15</v>
      </c>
      <c r="C968" s="9">
        <v>17.899999999999999</v>
      </c>
      <c r="D968" s="10">
        <v>10.3</v>
      </c>
      <c r="E968">
        <f t="shared" si="45"/>
        <v>1.8437000000000001</v>
      </c>
      <c r="F968">
        <f t="shared" si="47"/>
        <v>9.6562999999999199</v>
      </c>
      <c r="G968">
        <f t="shared" si="46"/>
        <v>0</v>
      </c>
    </row>
    <row r="969" spans="1:7" hidden="1" x14ac:dyDescent="0.35">
      <c r="A969" s="11">
        <v>49608</v>
      </c>
      <c r="B969" s="12" t="s">
        <v>7</v>
      </c>
      <c r="C969" s="13">
        <v>26</v>
      </c>
      <c r="D969" s="14">
        <v>0</v>
      </c>
      <c r="E969">
        <f t="shared" si="45"/>
        <v>0</v>
      </c>
      <c r="F969">
        <f t="shared" si="47"/>
        <v>9.6562999999999199</v>
      </c>
      <c r="G969">
        <f t="shared" si="46"/>
        <v>0</v>
      </c>
    </row>
    <row r="970" spans="1:7" hidden="1" x14ac:dyDescent="0.35">
      <c r="A970" s="7">
        <v>49609</v>
      </c>
      <c r="B970" s="8" t="s">
        <v>12</v>
      </c>
      <c r="C970" s="9">
        <v>21.5</v>
      </c>
      <c r="D970" s="10">
        <v>9.3000000000000007</v>
      </c>
      <c r="E970">
        <f t="shared" si="45"/>
        <v>1.9995000000000003</v>
      </c>
      <c r="F970">
        <f t="shared" si="47"/>
        <v>11.655799999999921</v>
      </c>
      <c r="G970">
        <f t="shared" si="46"/>
        <v>0</v>
      </c>
    </row>
    <row r="971" spans="1:7" hidden="1" x14ac:dyDescent="0.35">
      <c r="A971" s="11">
        <v>49610</v>
      </c>
      <c r="B971" s="12" t="s">
        <v>19</v>
      </c>
      <c r="C971" s="13">
        <v>29.9</v>
      </c>
      <c r="D971" s="14">
        <v>2.4</v>
      </c>
      <c r="E971">
        <f t="shared" si="45"/>
        <v>0.7175999999999999</v>
      </c>
      <c r="F971">
        <f t="shared" si="47"/>
        <v>12.37339999999992</v>
      </c>
      <c r="G971">
        <f t="shared" si="46"/>
        <v>0</v>
      </c>
    </row>
    <row r="972" spans="1:7" hidden="1" x14ac:dyDescent="0.35">
      <c r="A972" s="7">
        <v>49611</v>
      </c>
      <c r="B972" s="8" t="s">
        <v>10</v>
      </c>
      <c r="C972" s="9">
        <v>12.3</v>
      </c>
      <c r="D972" s="10">
        <v>35.1</v>
      </c>
      <c r="E972">
        <f t="shared" si="45"/>
        <v>4.3173000000000004</v>
      </c>
      <c r="F972">
        <f t="shared" si="47"/>
        <v>16.690699999999921</v>
      </c>
      <c r="G972">
        <f t="shared" si="46"/>
        <v>0</v>
      </c>
    </row>
    <row r="973" spans="1:7" hidden="1" x14ac:dyDescent="0.35">
      <c r="A973" s="11">
        <v>49612</v>
      </c>
      <c r="B973" s="12" t="s">
        <v>17</v>
      </c>
      <c r="C973" s="13">
        <v>21.7</v>
      </c>
      <c r="D973" s="14">
        <v>3.9</v>
      </c>
      <c r="E973">
        <f t="shared" si="45"/>
        <v>0.84629999999999994</v>
      </c>
      <c r="F973">
        <f t="shared" si="47"/>
        <v>17.536999999999921</v>
      </c>
      <c r="G973">
        <f t="shared" si="46"/>
        <v>0</v>
      </c>
    </row>
    <row r="974" spans="1:7" hidden="1" x14ac:dyDescent="0.35">
      <c r="A974" s="7">
        <v>49613</v>
      </c>
      <c r="B974" s="8" t="s">
        <v>10</v>
      </c>
      <c r="C974" s="9">
        <v>10.7</v>
      </c>
      <c r="D974" s="10">
        <v>0</v>
      </c>
      <c r="E974">
        <f t="shared" si="45"/>
        <v>0</v>
      </c>
      <c r="F974">
        <f t="shared" si="47"/>
        <v>17.536999999999921</v>
      </c>
      <c r="G974">
        <f t="shared" si="46"/>
        <v>0</v>
      </c>
    </row>
    <row r="975" spans="1:7" hidden="1" x14ac:dyDescent="0.35">
      <c r="A975" s="11">
        <v>49614</v>
      </c>
      <c r="B975" s="12" t="s">
        <v>5</v>
      </c>
      <c r="C975" s="13">
        <v>21.5</v>
      </c>
      <c r="D975" s="14">
        <v>0</v>
      </c>
      <c r="E975">
        <f t="shared" si="45"/>
        <v>0</v>
      </c>
      <c r="F975">
        <f t="shared" si="47"/>
        <v>17.536999999999921</v>
      </c>
      <c r="G975">
        <f t="shared" si="46"/>
        <v>0</v>
      </c>
    </row>
    <row r="976" spans="1:7" hidden="1" x14ac:dyDescent="0.35">
      <c r="A976" s="7">
        <v>49615</v>
      </c>
      <c r="B976" s="8" t="s">
        <v>10</v>
      </c>
      <c r="C976" s="9">
        <v>26</v>
      </c>
      <c r="D976" s="10">
        <v>33.799999999999997</v>
      </c>
      <c r="E976">
        <f t="shared" si="45"/>
        <v>8.7880000000000003</v>
      </c>
      <c r="F976">
        <f t="shared" si="47"/>
        <v>26.324999999999921</v>
      </c>
      <c r="G976">
        <f t="shared" si="46"/>
        <v>0</v>
      </c>
    </row>
    <row r="977" spans="1:7" hidden="1" x14ac:dyDescent="0.35">
      <c r="A977" s="11">
        <v>49616</v>
      </c>
      <c r="B977" s="12" t="s">
        <v>15</v>
      </c>
      <c r="C977" s="13">
        <v>24.4</v>
      </c>
      <c r="D977" s="14">
        <v>15.4</v>
      </c>
      <c r="E977">
        <f t="shared" si="45"/>
        <v>3.7576000000000001</v>
      </c>
      <c r="F977">
        <f t="shared" si="47"/>
        <v>30.082599999999921</v>
      </c>
      <c r="G977">
        <f t="shared" si="46"/>
        <v>0</v>
      </c>
    </row>
    <row r="978" spans="1:7" hidden="1" x14ac:dyDescent="0.35">
      <c r="A978" s="7">
        <v>49617</v>
      </c>
      <c r="B978" s="8" t="s">
        <v>5</v>
      </c>
      <c r="C978" s="9">
        <v>20.8</v>
      </c>
      <c r="D978" s="10">
        <v>0</v>
      </c>
      <c r="E978">
        <f t="shared" si="45"/>
        <v>0</v>
      </c>
      <c r="F978">
        <f t="shared" si="47"/>
        <v>30.082599999999921</v>
      </c>
      <c r="G978">
        <f t="shared" si="46"/>
        <v>0</v>
      </c>
    </row>
    <row r="979" spans="1:7" hidden="1" x14ac:dyDescent="0.35">
      <c r="A979" s="11">
        <v>49618</v>
      </c>
      <c r="B979" s="12" t="s">
        <v>13</v>
      </c>
      <c r="C979" s="13">
        <v>18.2</v>
      </c>
      <c r="D979" s="14">
        <v>15.7</v>
      </c>
      <c r="E979">
        <f t="shared" si="45"/>
        <v>2.8573999999999997</v>
      </c>
      <c r="F979">
        <f t="shared" si="47"/>
        <v>32.93999999999992</v>
      </c>
      <c r="G979">
        <f t="shared" si="46"/>
        <v>0</v>
      </c>
    </row>
    <row r="980" spans="1:7" hidden="1" x14ac:dyDescent="0.35">
      <c r="A980" s="7">
        <v>49619</v>
      </c>
      <c r="B980" s="8" t="s">
        <v>17</v>
      </c>
      <c r="C980" s="9">
        <v>25.6</v>
      </c>
      <c r="D980" s="10">
        <v>7</v>
      </c>
      <c r="E980">
        <f t="shared" si="45"/>
        <v>1.7920000000000003</v>
      </c>
      <c r="F980">
        <f t="shared" si="47"/>
        <v>34.731999999999921</v>
      </c>
      <c r="G980">
        <f t="shared" si="46"/>
        <v>0</v>
      </c>
    </row>
    <row r="981" spans="1:7" hidden="1" x14ac:dyDescent="0.35">
      <c r="A981" s="11">
        <v>49620</v>
      </c>
      <c r="B981" s="12" t="s">
        <v>11</v>
      </c>
      <c r="C981" s="13">
        <v>25.2</v>
      </c>
      <c r="D981" s="14">
        <v>0</v>
      </c>
      <c r="E981">
        <f t="shared" si="45"/>
        <v>0</v>
      </c>
      <c r="F981">
        <f t="shared" si="47"/>
        <v>34.731999999999921</v>
      </c>
      <c r="G981">
        <f t="shared" si="46"/>
        <v>0</v>
      </c>
    </row>
    <row r="982" spans="1:7" hidden="1" x14ac:dyDescent="0.35">
      <c r="A982" s="7">
        <v>49621</v>
      </c>
      <c r="B982" s="8" t="s">
        <v>12</v>
      </c>
      <c r="C982" s="9">
        <v>19.5</v>
      </c>
      <c r="D982" s="10">
        <v>5.3</v>
      </c>
      <c r="E982">
        <f t="shared" si="45"/>
        <v>1.0334999999999999</v>
      </c>
      <c r="F982">
        <f t="shared" si="47"/>
        <v>35.765499999999918</v>
      </c>
      <c r="G982">
        <f t="shared" si="46"/>
        <v>0</v>
      </c>
    </row>
    <row r="983" spans="1:7" hidden="1" x14ac:dyDescent="0.35">
      <c r="A983" s="11">
        <v>49622</v>
      </c>
      <c r="B983" s="12" t="s">
        <v>24</v>
      </c>
      <c r="C983" s="13">
        <v>15.2</v>
      </c>
      <c r="D983" s="14">
        <v>2.1</v>
      </c>
      <c r="E983">
        <f t="shared" si="45"/>
        <v>0.31919999999999998</v>
      </c>
      <c r="F983">
        <f t="shared" si="47"/>
        <v>36.08469999999992</v>
      </c>
      <c r="G983">
        <f t="shared" si="46"/>
        <v>0</v>
      </c>
    </row>
    <row r="984" spans="1:7" hidden="1" x14ac:dyDescent="0.35">
      <c r="A984" s="7">
        <v>49623</v>
      </c>
      <c r="B984" s="8" t="s">
        <v>15</v>
      </c>
      <c r="C984" s="9">
        <v>21.3</v>
      </c>
      <c r="D984" s="10">
        <v>11.4</v>
      </c>
      <c r="E984">
        <f t="shared" si="45"/>
        <v>2.4282000000000004</v>
      </c>
      <c r="F984">
        <f t="shared" si="47"/>
        <v>38.512899999999917</v>
      </c>
      <c r="G984">
        <f t="shared" si="46"/>
        <v>0</v>
      </c>
    </row>
    <row r="985" spans="1:7" hidden="1" x14ac:dyDescent="0.35">
      <c r="A985" s="11">
        <v>49624</v>
      </c>
      <c r="B985" s="12" t="s">
        <v>15</v>
      </c>
      <c r="C985" s="13">
        <v>21.8</v>
      </c>
      <c r="D985" s="14">
        <v>17.399999999999999</v>
      </c>
      <c r="E985">
        <f t="shared" si="45"/>
        <v>3.7932000000000001</v>
      </c>
      <c r="F985">
        <f t="shared" si="47"/>
        <v>42.306099999999915</v>
      </c>
      <c r="G985">
        <f t="shared" si="46"/>
        <v>0</v>
      </c>
    </row>
    <row r="986" spans="1:7" hidden="1" x14ac:dyDescent="0.35">
      <c r="A986" s="7">
        <v>49625</v>
      </c>
      <c r="B986" s="8" t="s">
        <v>16</v>
      </c>
      <c r="C986" s="9">
        <v>27.7</v>
      </c>
      <c r="D986" s="10">
        <v>0.5</v>
      </c>
      <c r="E986">
        <f t="shared" si="45"/>
        <v>0</v>
      </c>
      <c r="F986">
        <f t="shared" si="47"/>
        <v>42.306099999999915</v>
      </c>
      <c r="G986">
        <f t="shared" si="46"/>
        <v>0</v>
      </c>
    </row>
    <row r="987" spans="1:7" hidden="1" x14ac:dyDescent="0.35">
      <c r="A987" s="11">
        <v>49626</v>
      </c>
      <c r="B987" s="12" t="s">
        <v>10</v>
      </c>
      <c r="C987" s="13">
        <v>28.5</v>
      </c>
      <c r="D987" s="14">
        <v>46</v>
      </c>
      <c r="E987">
        <f t="shared" si="45"/>
        <v>13.11</v>
      </c>
      <c r="F987">
        <f t="shared" si="47"/>
        <v>55.416099999999915</v>
      </c>
      <c r="G987">
        <f t="shared" si="46"/>
        <v>0</v>
      </c>
    </row>
    <row r="988" spans="1:7" hidden="1" x14ac:dyDescent="0.35">
      <c r="A988" s="7">
        <v>49627</v>
      </c>
      <c r="B988" s="8" t="s">
        <v>27</v>
      </c>
      <c r="C988" s="9">
        <v>25.7</v>
      </c>
      <c r="D988" s="10">
        <v>0</v>
      </c>
      <c r="E988">
        <f t="shared" si="45"/>
        <v>0</v>
      </c>
      <c r="F988">
        <f t="shared" si="47"/>
        <v>55.416099999999915</v>
      </c>
      <c r="G988">
        <f t="shared" si="46"/>
        <v>0</v>
      </c>
    </row>
    <row r="989" spans="1:7" hidden="1" x14ac:dyDescent="0.35">
      <c r="A989" s="11">
        <v>49628</v>
      </c>
      <c r="B989" s="12" t="s">
        <v>10</v>
      </c>
      <c r="C989" s="13">
        <v>18</v>
      </c>
      <c r="D989" s="14">
        <v>0.5</v>
      </c>
      <c r="E989">
        <f t="shared" si="45"/>
        <v>0</v>
      </c>
      <c r="F989">
        <f t="shared" si="47"/>
        <v>55.416099999999915</v>
      </c>
      <c r="G989">
        <f t="shared" si="46"/>
        <v>0</v>
      </c>
    </row>
    <row r="990" spans="1:7" hidden="1" x14ac:dyDescent="0.35">
      <c r="A990" s="7">
        <v>49629</v>
      </c>
      <c r="B990" s="8" t="s">
        <v>6</v>
      </c>
      <c r="C990" s="9">
        <v>29.5</v>
      </c>
      <c r="D990" s="10">
        <v>0</v>
      </c>
      <c r="E990">
        <f t="shared" si="45"/>
        <v>0</v>
      </c>
      <c r="F990">
        <f t="shared" si="47"/>
        <v>55.416099999999915</v>
      </c>
      <c r="G990">
        <f t="shared" si="46"/>
        <v>0</v>
      </c>
    </row>
    <row r="991" spans="1:7" hidden="1" x14ac:dyDescent="0.35">
      <c r="A991" s="11">
        <v>49630</v>
      </c>
      <c r="B991" s="12" t="s">
        <v>18</v>
      </c>
      <c r="C991" s="13">
        <v>21</v>
      </c>
      <c r="D991" s="14">
        <v>10.3</v>
      </c>
      <c r="E991">
        <f t="shared" si="45"/>
        <v>2.1630000000000003</v>
      </c>
      <c r="F991">
        <f t="shared" si="47"/>
        <v>57.579099999999912</v>
      </c>
      <c r="G991">
        <f t="shared" si="46"/>
        <v>0</v>
      </c>
    </row>
    <row r="992" spans="1:7" hidden="1" x14ac:dyDescent="0.35">
      <c r="A992" s="7">
        <v>49631</v>
      </c>
      <c r="B992" s="8" t="s">
        <v>20</v>
      </c>
      <c r="C992" s="9">
        <v>11.4</v>
      </c>
      <c r="D992" s="10">
        <v>3.2</v>
      </c>
      <c r="E992">
        <f t="shared" si="45"/>
        <v>0.36480000000000001</v>
      </c>
      <c r="F992">
        <f t="shared" si="47"/>
        <v>57.943899999999914</v>
      </c>
      <c r="G992">
        <f t="shared" si="46"/>
        <v>0</v>
      </c>
    </row>
    <row r="993" spans="1:7" hidden="1" x14ac:dyDescent="0.35">
      <c r="A993" s="11">
        <v>49632</v>
      </c>
      <c r="B993" s="12" t="s">
        <v>10</v>
      </c>
      <c r="C993" s="13">
        <v>12.7</v>
      </c>
      <c r="D993" s="14">
        <v>0</v>
      </c>
      <c r="E993">
        <f t="shared" si="45"/>
        <v>0</v>
      </c>
      <c r="F993">
        <f t="shared" si="47"/>
        <v>57.943899999999914</v>
      </c>
      <c r="G993">
        <f t="shared" si="46"/>
        <v>0</v>
      </c>
    </row>
    <row r="994" spans="1:7" hidden="1" x14ac:dyDescent="0.35">
      <c r="A994" s="7">
        <v>49633</v>
      </c>
      <c r="B994" s="8" t="s">
        <v>5</v>
      </c>
      <c r="C994" s="9">
        <v>14.1</v>
      </c>
      <c r="D994" s="10">
        <v>6.2</v>
      </c>
      <c r="E994">
        <f t="shared" si="45"/>
        <v>0.87419999999999998</v>
      </c>
      <c r="F994">
        <f t="shared" si="47"/>
        <v>58.818099999999916</v>
      </c>
      <c r="G994">
        <f t="shared" si="46"/>
        <v>0</v>
      </c>
    </row>
    <row r="995" spans="1:7" hidden="1" x14ac:dyDescent="0.35">
      <c r="A995" s="11">
        <v>49634</v>
      </c>
      <c r="B995" s="12" t="s">
        <v>10</v>
      </c>
      <c r="C995" s="13">
        <v>29.5</v>
      </c>
      <c r="D995" s="14">
        <v>29.9</v>
      </c>
      <c r="E995">
        <f t="shared" si="45"/>
        <v>8.8204999999999991</v>
      </c>
      <c r="F995">
        <f t="shared" si="47"/>
        <v>67.638599999999911</v>
      </c>
      <c r="G995">
        <f t="shared" si="46"/>
        <v>0</v>
      </c>
    </row>
    <row r="996" spans="1:7" hidden="1" x14ac:dyDescent="0.35">
      <c r="A996" s="7">
        <v>49635</v>
      </c>
      <c r="B996" s="8" t="s">
        <v>22</v>
      </c>
      <c r="C996" s="9">
        <v>18.399999999999999</v>
      </c>
      <c r="D996" s="10">
        <v>0</v>
      </c>
      <c r="E996">
        <f t="shared" si="45"/>
        <v>0</v>
      </c>
      <c r="F996">
        <f t="shared" si="47"/>
        <v>67.638599999999911</v>
      </c>
      <c r="G996">
        <f t="shared" si="46"/>
        <v>0</v>
      </c>
    </row>
    <row r="997" spans="1:7" hidden="1" x14ac:dyDescent="0.35">
      <c r="A997" s="11">
        <v>49636</v>
      </c>
      <c r="B997" s="12" t="s">
        <v>10</v>
      </c>
      <c r="C997" s="13">
        <v>29.6</v>
      </c>
      <c r="D997" s="14">
        <v>43.9</v>
      </c>
      <c r="E997">
        <f t="shared" si="45"/>
        <v>12.994400000000001</v>
      </c>
      <c r="F997">
        <f t="shared" si="47"/>
        <v>80.63299999999991</v>
      </c>
      <c r="G997">
        <f t="shared" si="46"/>
        <v>0</v>
      </c>
    </row>
    <row r="998" spans="1:7" hidden="1" x14ac:dyDescent="0.35">
      <c r="A998" s="7">
        <v>49637</v>
      </c>
      <c r="B998" s="8" t="s">
        <v>15</v>
      </c>
      <c r="C998" s="9">
        <v>22.6</v>
      </c>
      <c r="D998" s="10">
        <v>14.6</v>
      </c>
      <c r="E998">
        <f t="shared" si="45"/>
        <v>3.2996000000000003</v>
      </c>
      <c r="F998">
        <f t="shared" si="47"/>
        <v>83.932599999999908</v>
      </c>
      <c r="G998">
        <f t="shared" si="46"/>
        <v>0</v>
      </c>
    </row>
    <row r="999" spans="1:7" hidden="1" x14ac:dyDescent="0.35">
      <c r="A999" s="11">
        <v>49638</v>
      </c>
      <c r="B999" s="12" t="s">
        <v>14</v>
      </c>
      <c r="C999" s="13">
        <v>13.2</v>
      </c>
      <c r="D999" s="14">
        <v>6.7</v>
      </c>
      <c r="E999">
        <f t="shared" si="45"/>
        <v>0.88439999999999996</v>
      </c>
      <c r="F999">
        <f t="shared" si="47"/>
        <v>84.816999999999908</v>
      </c>
      <c r="G999">
        <f t="shared" si="46"/>
        <v>0</v>
      </c>
    </row>
    <row r="1000" spans="1:7" hidden="1" x14ac:dyDescent="0.35">
      <c r="A1000" s="7">
        <v>49639</v>
      </c>
      <c r="B1000" s="8" t="s">
        <v>6</v>
      </c>
      <c r="C1000" s="9">
        <v>10.4</v>
      </c>
      <c r="D1000" s="10">
        <v>8.5</v>
      </c>
      <c r="E1000">
        <f t="shared" si="45"/>
        <v>0.88400000000000001</v>
      </c>
      <c r="F1000">
        <f t="shared" si="47"/>
        <v>85.700999999999908</v>
      </c>
      <c r="G1000">
        <f t="shared" si="46"/>
        <v>0</v>
      </c>
    </row>
    <row r="1001" spans="1:7" hidden="1" x14ac:dyDescent="0.35">
      <c r="A1001" s="11">
        <v>49640</v>
      </c>
      <c r="B1001" s="12" t="s">
        <v>13</v>
      </c>
      <c r="C1001" s="13">
        <v>16.899999999999999</v>
      </c>
      <c r="D1001" s="14">
        <v>16.399999999999999</v>
      </c>
      <c r="E1001">
        <f t="shared" si="45"/>
        <v>2.7715999999999998</v>
      </c>
      <c r="F1001">
        <f t="shared" si="47"/>
        <v>88.472599999999915</v>
      </c>
      <c r="G1001">
        <f t="shared" si="46"/>
        <v>0</v>
      </c>
    </row>
    <row r="1002" spans="1:7" hidden="1" x14ac:dyDescent="0.35">
      <c r="A1002" s="7">
        <v>49641</v>
      </c>
      <c r="B1002" s="8" t="s">
        <v>15</v>
      </c>
      <c r="C1002" s="9">
        <v>19.399999999999999</v>
      </c>
      <c r="D1002" s="10">
        <v>0</v>
      </c>
      <c r="E1002">
        <f t="shared" si="45"/>
        <v>0</v>
      </c>
      <c r="F1002">
        <f t="shared" si="47"/>
        <v>88.472599999999915</v>
      </c>
      <c r="G1002">
        <f t="shared" si="46"/>
        <v>0</v>
      </c>
    </row>
    <row r="1003" spans="1:7" hidden="1" x14ac:dyDescent="0.35">
      <c r="A1003" s="11">
        <v>49642</v>
      </c>
      <c r="B1003" s="12" t="s">
        <v>24</v>
      </c>
      <c r="C1003" s="13">
        <v>16.899999999999999</v>
      </c>
      <c r="D1003" s="14">
        <v>1</v>
      </c>
      <c r="E1003">
        <f t="shared" si="45"/>
        <v>0.16899999999999998</v>
      </c>
      <c r="F1003">
        <f t="shared" si="47"/>
        <v>88.641599999999912</v>
      </c>
      <c r="G1003">
        <f t="shared" si="46"/>
        <v>0</v>
      </c>
    </row>
    <row r="1004" spans="1:7" hidden="1" x14ac:dyDescent="0.35">
      <c r="A1004" s="7">
        <v>49643</v>
      </c>
      <c r="B1004" s="8" t="s">
        <v>10</v>
      </c>
      <c r="C1004" s="9">
        <v>18.399999999999999</v>
      </c>
      <c r="D1004" s="10">
        <v>0</v>
      </c>
      <c r="E1004">
        <f t="shared" si="45"/>
        <v>0</v>
      </c>
      <c r="F1004">
        <f t="shared" si="47"/>
        <v>88.641599999999912</v>
      </c>
      <c r="G1004">
        <f t="shared" si="46"/>
        <v>0</v>
      </c>
    </row>
    <row r="1005" spans="1:7" hidden="1" x14ac:dyDescent="0.35">
      <c r="A1005" s="11">
        <v>49644</v>
      </c>
      <c r="B1005" s="12" t="s">
        <v>15</v>
      </c>
      <c r="C1005" s="13">
        <v>13.4</v>
      </c>
      <c r="D1005" s="14">
        <v>12.8</v>
      </c>
      <c r="E1005">
        <f t="shared" si="45"/>
        <v>1.7152000000000001</v>
      </c>
      <c r="F1005">
        <f t="shared" si="47"/>
        <v>90.356799999999907</v>
      </c>
      <c r="G1005">
        <f t="shared" si="46"/>
        <v>0</v>
      </c>
    </row>
    <row r="1006" spans="1:7" hidden="1" x14ac:dyDescent="0.35">
      <c r="A1006" s="7">
        <v>49645</v>
      </c>
      <c r="B1006" s="8" t="s">
        <v>7</v>
      </c>
      <c r="C1006" s="9">
        <v>28.8</v>
      </c>
      <c r="D1006" s="10">
        <v>0</v>
      </c>
      <c r="E1006">
        <f t="shared" si="45"/>
        <v>0</v>
      </c>
      <c r="F1006">
        <f t="shared" si="47"/>
        <v>90.356799999999907</v>
      </c>
      <c r="G1006">
        <f t="shared" si="46"/>
        <v>0</v>
      </c>
    </row>
    <row r="1007" spans="1:7" hidden="1" x14ac:dyDescent="0.35">
      <c r="A1007" s="11">
        <v>49646</v>
      </c>
      <c r="B1007" s="12" t="s">
        <v>13</v>
      </c>
      <c r="C1007" s="13">
        <v>19.5</v>
      </c>
      <c r="D1007" s="14">
        <v>1.3</v>
      </c>
      <c r="E1007">
        <f t="shared" si="45"/>
        <v>0.2535</v>
      </c>
      <c r="F1007">
        <f t="shared" si="47"/>
        <v>90.61029999999991</v>
      </c>
      <c r="G1007">
        <f t="shared" si="46"/>
        <v>0</v>
      </c>
    </row>
    <row r="1008" spans="1:7" hidden="1" x14ac:dyDescent="0.35">
      <c r="A1008" s="7">
        <v>49647</v>
      </c>
      <c r="B1008" s="8" t="s">
        <v>11</v>
      </c>
      <c r="C1008" s="9">
        <v>29</v>
      </c>
      <c r="D1008" s="10">
        <v>14</v>
      </c>
      <c r="E1008">
        <f t="shared" si="45"/>
        <v>4.0599999999999996</v>
      </c>
      <c r="F1008">
        <f t="shared" si="47"/>
        <v>94.670299999999912</v>
      </c>
      <c r="G1008">
        <f t="shared" si="46"/>
        <v>0</v>
      </c>
    </row>
    <row r="1009" spans="1:7" x14ac:dyDescent="0.35">
      <c r="A1009" s="11">
        <v>49648</v>
      </c>
      <c r="B1009" s="12" t="s">
        <v>10</v>
      </c>
      <c r="C1009" s="13">
        <v>29.6</v>
      </c>
      <c r="D1009" s="14">
        <v>28.7</v>
      </c>
      <c r="E1009">
        <f t="shared" si="45"/>
        <v>8.4952000000000005</v>
      </c>
      <c r="F1009">
        <f t="shared" si="47"/>
        <v>103.16549999999991</v>
      </c>
      <c r="G1009">
        <f t="shared" si="46"/>
        <v>1</v>
      </c>
    </row>
    <row r="1010" spans="1:7" hidden="1" x14ac:dyDescent="0.35">
      <c r="A1010" s="7">
        <v>49649</v>
      </c>
      <c r="B1010" s="8" t="s">
        <v>6</v>
      </c>
      <c r="C1010" s="9">
        <v>26.5</v>
      </c>
      <c r="D1010" s="10">
        <v>0</v>
      </c>
      <c r="E1010">
        <f t="shared" si="45"/>
        <v>0</v>
      </c>
      <c r="F1010">
        <f t="shared" si="47"/>
        <v>3.1654999999999092</v>
      </c>
      <c r="G1010">
        <f t="shared" si="46"/>
        <v>0</v>
      </c>
    </row>
    <row r="1011" spans="1:7" hidden="1" x14ac:dyDescent="0.35">
      <c r="A1011" s="11">
        <v>49650</v>
      </c>
      <c r="B1011" s="12" t="s">
        <v>18</v>
      </c>
      <c r="C1011" s="13">
        <v>24.8</v>
      </c>
      <c r="D1011" s="14">
        <v>12.1</v>
      </c>
      <c r="E1011">
        <f t="shared" si="45"/>
        <v>3.0007999999999999</v>
      </c>
      <c r="F1011">
        <f t="shared" si="47"/>
        <v>6.1662999999999091</v>
      </c>
      <c r="G1011">
        <f t="shared" si="46"/>
        <v>0</v>
      </c>
    </row>
    <row r="1012" spans="1:7" hidden="1" x14ac:dyDescent="0.35">
      <c r="A1012" s="7">
        <v>49651</v>
      </c>
      <c r="B1012" s="8" t="s">
        <v>10</v>
      </c>
      <c r="C1012" s="9">
        <v>20</v>
      </c>
      <c r="D1012" s="10">
        <v>14.7</v>
      </c>
      <c r="E1012">
        <f t="shared" si="45"/>
        <v>2.94</v>
      </c>
      <c r="F1012">
        <f t="shared" si="47"/>
        <v>9.1062999999999086</v>
      </c>
      <c r="G1012">
        <f t="shared" si="46"/>
        <v>0</v>
      </c>
    </row>
    <row r="1013" spans="1:7" hidden="1" x14ac:dyDescent="0.35">
      <c r="A1013" s="11">
        <v>49652</v>
      </c>
      <c r="B1013" s="12" t="s">
        <v>19</v>
      </c>
      <c r="C1013" s="13">
        <v>16.899999999999999</v>
      </c>
      <c r="D1013" s="14">
        <v>38.299999999999997</v>
      </c>
      <c r="E1013">
        <f t="shared" si="45"/>
        <v>6.4726999999999988</v>
      </c>
      <c r="F1013">
        <f t="shared" si="47"/>
        <v>15.578999999999908</v>
      </c>
      <c r="G1013">
        <f t="shared" si="46"/>
        <v>0</v>
      </c>
    </row>
    <row r="1014" spans="1:7" hidden="1" x14ac:dyDescent="0.35">
      <c r="A1014" s="7">
        <v>49653</v>
      </c>
      <c r="B1014" s="8" t="s">
        <v>10</v>
      </c>
      <c r="C1014" s="9">
        <v>11.5</v>
      </c>
      <c r="D1014" s="10">
        <v>24.7</v>
      </c>
      <c r="E1014">
        <f t="shared" si="45"/>
        <v>2.8405</v>
      </c>
      <c r="F1014">
        <f t="shared" si="47"/>
        <v>18.419499999999907</v>
      </c>
      <c r="G1014">
        <f t="shared" si="46"/>
        <v>0</v>
      </c>
    </row>
    <row r="1015" spans="1:7" hidden="1" x14ac:dyDescent="0.35">
      <c r="A1015" s="11">
        <v>49654</v>
      </c>
      <c r="B1015" s="12" t="s">
        <v>13</v>
      </c>
      <c r="C1015" s="13">
        <v>11.4</v>
      </c>
      <c r="D1015" s="14">
        <v>0</v>
      </c>
      <c r="E1015">
        <f t="shared" si="45"/>
        <v>0</v>
      </c>
      <c r="F1015">
        <f t="shared" si="47"/>
        <v>18.419499999999907</v>
      </c>
      <c r="G1015">
        <f t="shared" si="46"/>
        <v>0</v>
      </c>
    </row>
    <row r="1016" spans="1:7" hidden="1" x14ac:dyDescent="0.35">
      <c r="A1016" s="7">
        <v>49655</v>
      </c>
      <c r="B1016" s="8" t="s">
        <v>6</v>
      </c>
      <c r="C1016" s="9">
        <v>28.5</v>
      </c>
      <c r="D1016" s="10">
        <v>0</v>
      </c>
      <c r="E1016">
        <f t="shared" si="45"/>
        <v>0</v>
      </c>
      <c r="F1016">
        <f t="shared" si="47"/>
        <v>18.419499999999907</v>
      </c>
      <c r="G1016">
        <f t="shared" si="46"/>
        <v>0</v>
      </c>
    </row>
    <row r="1017" spans="1:7" hidden="1" x14ac:dyDescent="0.35">
      <c r="A1017" s="11">
        <v>49656</v>
      </c>
      <c r="B1017" s="12" t="s">
        <v>22</v>
      </c>
      <c r="C1017" s="13">
        <v>27.9</v>
      </c>
      <c r="D1017" s="14">
        <v>0.7</v>
      </c>
      <c r="E1017">
        <f t="shared" si="45"/>
        <v>0</v>
      </c>
      <c r="F1017">
        <f t="shared" si="47"/>
        <v>18.419499999999907</v>
      </c>
      <c r="G1017">
        <f t="shared" si="46"/>
        <v>0</v>
      </c>
    </row>
    <row r="1018" spans="1:7" hidden="1" x14ac:dyDescent="0.35">
      <c r="A1018" s="7">
        <v>49657</v>
      </c>
      <c r="B1018" s="8" t="s">
        <v>7</v>
      </c>
      <c r="C1018" s="9">
        <v>26.7</v>
      </c>
      <c r="D1018" s="10">
        <v>15.5</v>
      </c>
      <c r="E1018">
        <f t="shared" si="45"/>
        <v>4.1384999999999996</v>
      </c>
      <c r="F1018">
        <f t="shared" si="47"/>
        <v>22.557999999999907</v>
      </c>
      <c r="G1018">
        <f t="shared" si="46"/>
        <v>0</v>
      </c>
    </row>
    <row r="1019" spans="1:7" hidden="1" x14ac:dyDescent="0.35">
      <c r="A1019" s="11">
        <v>49658</v>
      </c>
      <c r="B1019" s="12" t="s">
        <v>18</v>
      </c>
      <c r="C1019" s="13">
        <v>28.3</v>
      </c>
      <c r="D1019" s="14">
        <v>6.8</v>
      </c>
      <c r="E1019">
        <f t="shared" si="45"/>
        <v>1.9243999999999999</v>
      </c>
      <c r="F1019">
        <f t="shared" si="47"/>
        <v>24.482399999999906</v>
      </c>
      <c r="G1019">
        <f t="shared" si="46"/>
        <v>0</v>
      </c>
    </row>
    <row r="1020" spans="1:7" hidden="1" x14ac:dyDescent="0.35">
      <c r="A1020" s="7">
        <v>49659</v>
      </c>
      <c r="B1020" s="8" t="s">
        <v>10</v>
      </c>
      <c r="C1020" s="9">
        <v>28.9</v>
      </c>
      <c r="D1020" s="10">
        <v>0</v>
      </c>
      <c r="E1020">
        <f t="shared" si="45"/>
        <v>0</v>
      </c>
      <c r="F1020">
        <f t="shared" si="47"/>
        <v>24.482399999999906</v>
      </c>
      <c r="G1020">
        <f t="shared" si="46"/>
        <v>0</v>
      </c>
    </row>
    <row r="1021" spans="1:7" hidden="1" x14ac:dyDescent="0.35">
      <c r="A1021" s="11">
        <v>49660</v>
      </c>
      <c r="B1021" s="12" t="s">
        <v>20</v>
      </c>
      <c r="C1021" s="13">
        <v>21.6</v>
      </c>
      <c r="D1021" s="14">
        <v>4</v>
      </c>
      <c r="E1021">
        <f t="shared" si="45"/>
        <v>0.8640000000000001</v>
      </c>
      <c r="F1021">
        <f t="shared" si="47"/>
        <v>25.346399999999907</v>
      </c>
      <c r="G1021">
        <f t="shared" si="46"/>
        <v>0</v>
      </c>
    </row>
    <row r="1022" spans="1:7" hidden="1" x14ac:dyDescent="0.35">
      <c r="A1022" s="7">
        <v>49661</v>
      </c>
      <c r="B1022" s="8" t="s">
        <v>23</v>
      </c>
      <c r="C1022" s="9">
        <v>16.5</v>
      </c>
      <c r="D1022" s="10">
        <v>4.2</v>
      </c>
      <c r="E1022">
        <f t="shared" si="45"/>
        <v>0.69299999999999995</v>
      </c>
      <c r="F1022">
        <f t="shared" si="47"/>
        <v>26.039399999999908</v>
      </c>
      <c r="G1022">
        <f t="shared" si="46"/>
        <v>0</v>
      </c>
    </row>
    <row r="1023" spans="1:7" hidden="1" x14ac:dyDescent="0.35">
      <c r="A1023" s="11">
        <v>49662</v>
      </c>
      <c r="B1023" s="12" t="s">
        <v>13</v>
      </c>
      <c r="C1023" s="13">
        <v>24.6</v>
      </c>
      <c r="D1023" s="14">
        <v>10.6</v>
      </c>
      <c r="E1023">
        <f t="shared" si="45"/>
        <v>2.6075999999999997</v>
      </c>
      <c r="F1023">
        <f t="shared" si="47"/>
        <v>28.646999999999906</v>
      </c>
      <c r="G1023">
        <f t="shared" si="46"/>
        <v>0</v>
      </c>
    </row>
    <row r="1024" spans="1:7" hidden="1" x14ac:dyDescent="0.35">
      <c r="A1024" s="7">
        <v>49663</v>
      </c>
      <c r="B1024" s="8" t="s">
        <v>10</v>
      </c>
      <c r="C1024" s="9">
        <v>28.9</v>
      </c>
      <c r="D1024" s="10">
        <v>40.799999999999997</v>
      </c>
      <c r="E1024">
        <f t="shared" si="45"/>
        <v>11.791199999999998</v>
      </c>
      <c r="F1024">
        <f t="shared" si="47"/>
        <v>40.438199999999902</v>
      </c>
      <c r="G1024">
        <f t="shared" si="46"/>
        <v>0</v>
      </c>
    </row>
    <row r="1025" spans="1:7" hidden="1" x14ac:dyDescent="0.35">
      <c r="A1025" s="11">
        <v>49664</v>
      </c>
      <c r="B1025" s="12" t="s">
        <v>10</v>
      </c>
      <c r="C1025" s="13">
        <v>22.1</v>
      </c>
      <c r="D1025" s="14">
        <v>10</v>
      </c>
      <c r="E1025">
        <f t="shared" si="45"/>
        <v>2.21</v>
      </c>
      <c r="F1025">
        <f t="shared" si="47"/>
        <v>42.648199999999903</v>
      </c>
      <c r="G1025">
        <f t="shared" si="46"/>
        <v>0</v>
      </c>
    </row>
    <row r="1026" spans="1:7" hidden="1" x14ac:dyDescent="0.35">
      <c r="A1026" s="7">
        <v>49665</v>
      </c>
      <c r="B1026" s="8" t="s">
        <v>21</v>
      </c>
      <c r="C1026" s="9">
        <v>29.3</v>
      </c>
      <c r="D1026" s="10">
        <v>0</v>
      </c>
      <c r="E1026">
        <f t="shared" si="45"/>
        <v>0</v>
      </c>
      <c r="F1026">
        <f t="shared" si="47"/>
        <v>42.648199999999903</v>
      </c>
      <c r="G1026">
        <f t="shared" si="46"/>
        <v>0</v>
      </c>
    </row>
    <row r="1027" spans="1:7" hidden="1" x14ac:dyDescent="0.35">
      <c r="A1027" s="11">
        <v>49666</v>
      </c>
      <c r="B1027" s="12" t="s">
        <v>18</v>
      </c>
      <c r="C1027" s="13">
        <v>18.8</v>
      </c>
      <c r="D1027" s="14">
        <v>4.7</v>
      </c>
      <c r="E1027">
        <f t="shared" ref="E1027:E1090" si="48">IF(D1027&gt;=1,C1027*D1027/100,0)</f>
        <v>0.88360000000000016</v>
      </c>
      <c r="F1027">
        <f t="shared" si="47"/>
        <v>43.531799999999905</v>
      </c>
      <c r="G1027">
        <f t="shared" ref="G1027:G1090" si="49">IF(F1027&gt;=100,1,0)</f>
        <v>0</v>
      </c>
    </row>
    <row r="1028" spans="1:7" hidden="1" x14ac:dyDescent="0.35">
      <c r="A1028" s="7">
        <v>49667</v>
      </c>
      <c r="B1028" s="8" t="s">
        <v>19</v>
      </c>
      <c r="C1028" s="9">
        <v>26.5</v>
      </c>
      <c r="D1028" s="10">
        <v>7.3</v>
      </c>
      <c r="E1028">
        <f t="shared" si="48"/>
        <v>1.9344999999999999</v>
      </c>
      <c r="F1028">
        <f t="shared" ref="F1028:F1091" si="50">IF(G1027=1,E1028+F1027-100,F1027+E1028)</f>
        <v>45.466299999999904</v>
      </c>
      <c r="G1028">
        <f t="shared" si="49"/>
        <v>0</v>
      </c>
    </row>
    <row r="1029" spans="1:7" hidden="1" x14ac:dyDescent="0.35">
      <c r="A1029" s="11">
        <v>49668</v>
      </c>
      <c r="B1029" s="12" t="s">
        <v>11</v>
      </c>
      <c r="C1029" s="13">
        <v>24</v>
      </c>
      <c r="D1029" s="14">
        <v>0</v>
      </c>
      <c r="E1029">
        <f t="shared" si="48"/>
        <v>0</v>
      </c>
      <c r="F1029">
        <f t="shared" si="50"/>
        <v>45.466299999999904</v>
      </c>
      <c r="G1029">
        <f t="shared" si="49"/>
        <v>0</v>
      </c>
    </row>
    <row r="1030" spans="1:7" hidden="1" x14ac:dyDescent="0.35">
      <c r="A1030" s="7">
        <v>49669</v>
      </c>
      <c r="B1030" s="8" t="s">
        <v>19</v>
      </c>
      <c r="C1030" s="9">
        <v>21</v>
      </c>
      <c r="D1030" s="10">
        <v>12.2</v>
      </c>
      <c r="E1030">
        <f t="shared" si="48"/>
        <v>2.5619999999999998</v>
      </c>
      <c r="F1030">
        <f t="shared" si="50"/>
        <v>48.028299999999902</v>
      </c>
      <c r="G1030">
        <f t="shared" si="49"/>
        <v>0</v>
      </c>
    </row>
    <row r="1031" spans="1:7" hidden="1" x14ac:dyDescent="0.35">
      <c r="A1031" s="11">
        <v>49670</v>
      </c>
      <c r="B1031" s="12" t="s">
        <v>17</v>
      </c>
      <c r="C1031" s="13">
        <v>28.1</v>
      </c>
      <c r="D1031" s="14">
        <v>6.7</v>
      </c>
      <c r="E1031">
        <f t="shared" si="48"/>
        <v>1.8827</v>
      </c>
      <c r="F1031">
        <f t="shared" si="50"/>
        <v>49.910999999999902</v>
      </c>
      <c r="G1031">
        <f t="shared" si="49"/>
        <v>0</v>
      </c>
    </row>
    <row r="1032" spans="1:7" hidden="1" x14ac:dyDescent="0.35">
      <c r="A1032" s="7">
        <v>49671</v>
      </c>
      <c r="B1032" s="8" t="s">
        <v>14</v>
      </c>
      <c r="C1032" s="9">
        <v>23.3</v>
      </c>
      <c r="D1032" s="10">
        <v>4.8</v>
      </c>
      <c r="E1032">
        <f t="shared" si="48"/>
        <v>1.1184000000000001</v>
      </c>
      <c r="F1032">
        <f t="shared" si="50"/>
        <v>51.029399999999903</v>
      </c>
      <c r="G1032">
        <f t="shared" si="49"/>
        <v>0</v>
      </c>
    </row>
    <row r="1033" spans="1:7" hidden="1" x14ac:dyDescent="0.35">
      <c r="A1033" s="11">
        <v>49672</v>
      </c>
      <c r="B1033" s="12" t="s">
        <v>17</v>
      </c>
      <c r="C1033" s="13">
        <v>14.3</v>
      </c>
      <c r="D1033" s="14">
        <v>1.5</v>
      </c>
      <c r="E1033">
        <f t="shared" si="48"/>
        <v>0.21450000000000002</v>
      </c>
      <c r="F1033">
        <f t="shared" si="50"/>
        <v>51.243899999999904</v>
      </c>
      <c r="G1033">
        <f t="shared" si="49"/>
        <v>0</v>
      </c>
    </row>
    <row r="1034" spans="1:7" hidden="1" x14ac:dyDescent="0.35">
      <c r="A1034" s="7">
        <v>49673</v>
      </c>
      <c r="B1034" s="8" t="s">
        <v>25</v>
      </c>
      <c r="C1034" s="9">
        <v>12.6</v>
      </c>
      <c r="D1034" s="10">
        <v>1.1000000000000001</v>
      </c>
      <c r="E1034">
        <f t="shared" si="48"/>
        <v>0.1386</v>
      </c>
      <c r="F1034">
        <f t="shared" si="50"/>
        <v>51.382499999999901</v>
      </c>
      <c r="G1034">
        <f t="shared" si="49"/>
        <v>0</v>
      </c>
    </row>
    <row r="1035" spans="1:7" hidden="1" x14ac:dyDescent="0.35">
      <c r="A1035" s="11">
        <v>49674</v>
      </c>
      <c r="B1035" s="12" t="s">
        <v>19</v>
      </c>
      <c r="C1035" s="13">
        <v>18.100000000000001</v>
      </c>
      <c r="D1035" s="14">
        <v>0</v>
      </c>
      <c r="E1035">
        <f t="shared" si="48"/>
        <v>0</v>
      </c>
      <c r="F1035">
        <f t="shared" si="50"/>
        <v>51.382499999999901</v>
      </c>
      <c r="G1035">
        <f t="shared" si="49"/>
        <v>0</v>
      </c>
    </row>
    <row r="1036" spans="1:7" hidden="1" x14ac:dyDescent="0.35">
      <c r="A1036" s="7">
        <v>49675</v>
      </c>
      <c r="B1036" s="8" t="s">
        <v>15</v>
      </c>
      <c r="C1036" s="9">
        <v>19</v>
      </c>
      <c r="D1036" s="10">
        <v>11</v>
      </c>
      <c r="E1036">
        <f t="shared" si="48"/>
        <v>2.09</v>
      </c>
      <c r="F1036">
        <f t="shared" si="50"/>
        <v>53.472499999999897</v>
      </c>
      <c r="G1036">
        <f t="shared" si="49"/>
        <v>0</v>
      </c>
    </row>
    <row r="1037" spans="1:7" hidden="1" x14ac:dyDescent="0.35">
      <c r="A1037" s="11">
        <v>49676</v>
      </c>
      <c r="B1037" s="12" t="s">
        <v>14</v>
      </c>
      <c r="C1037" s="13">
        <v>13.1</v>
      </c>
      <c r="D1037" s="14">
        <v>0</v>
      </c>
      <c r="E1037">
        <f t="shared" si="48"/>
        <v>0</v>
      </c>
      <c r="F1037">
        <f t="shared" si="50"/>
        <v>53.472499999999897</v>
      </c>
      <c r="G1037">
        <f t="shared" si="49"/>
        <v>0</v>
      </c>
    </row>
    <row r="1038" spans="1:7" hidden="1" x14ac:dyDescent="0.35">
      <c r="A1038" s="7">
        <v>49677</v>
      </c>
      <c r="B1038" s="8" t="s">
        <v>13</v>
      </c>
      <c r="C1038" s="9">
        <v>17.3</v>
      </c>
      <c r="D1038" s="10">
        <v>1.1000000000000001</v>
      </c>
      <c r="E1038">
        <f t="shared" si="48"/>
        <v>0.19030000000000002</v>
      </c>
      <c r="F1038">
        <f t="shared" si="50"/>
        <v>53.662799999999898</v>
      </c>
      <c r="G1038">
        <f t="shared" si="49"/>
        <v>0</v>
      </c>
    </row>
    <row r="1039" spans="1:7" hidden="1" x14ac:dyDescent="0.35">
      <c r="A1039" s="11">
        <v>49678</v>
      </c>
      <c r="B1039" s="12" t="s">
        <v>17</v>
      </c>
      <c r="C1039" s="13">
        <v>23.7</v>
      </c>
      <c r="D1039" s="14">
        <v>5.9</v>
      </c>
      <c r="E1039">
        <f t="shared" si="48"/>
        <v>1.3983000000000001</v>
      </c>
      <c r="F1039">
        <f t="shared" si="50"/>
        <v>55.061099999999897</v>
      </c>
      <c r="G1039">
        <f t="shared" si="49"/>
        <v>0</v>
      </c>
    </row>
    <row r="1040" spans="1:7" hidden="1" x14ac:dyDescent="0.35">
      <c r="A1040" s="7">
        <v>49679</v>
      </c>
      <c r="B1040" s="8" t="s">
        <v>33</v>
      </c>
      <c r="C1040" s="9">
        <v>26.3</v>
      </c>
      <c r="D1040" s="10">
        <v>0</v>
      </c>
      <c r="E1040">
        <f t="shared" si="48"/>
        <v>0</v>
      </c>
      <c r="F1040">
        <f t="shared" si="50"/>
        <v>55.061099999999897</v>
      </c>
      <c r="G1040">
        <f t="shared" si="49"/>
        <v>0</v>
      </c>
    </row>
    <row r="1041" spans="1:7" hidden="1" x14ac:dyDescent="0.35">
      <c r="A1041" s="11">
        <v>49680</v>
      </c>
      <c r="B1041" s="12" t="s">
        <v>15</v>
      </c>
      <c r="C1041" s="13">
        <v>16.399999999999999</v>
      </c>
      <c r="D1041" s="14">
        <v>0</v>
      </c>
      <c r="E1041">
        <f t="shared" si="48"/>
        <v>0</v>
      </c>
      <c r="F1041">
        <f t="shared" si="50"/>
        <v>55.061099999999897</v>
      </c>
      <c r="G1041">
        <f t="shared" si="49"/>
        <v>0</v>
      </c>
    </row>
    <row r="1042" spans="1:7" hidden="1" x14ac:dyDescent="0.35">
      <c r="A1042" s="7">
        <v>49681</v>
      </c>
      <c r="B1042" s="8" t="s">
        <v>9</v>
      </c>
      <c r="C1042" s="9">
        <v>13</v>
      </c>
      <c r="D1042" s="10">
        <v>0</v>
      </c>
      <c r="E1042">
        <f t="shared" si="48"/>
        <v>0</v>
      </c>
      <c r="F1042">
        <f t="shared" si="50"/>
        <v>55.061099999999897</v>
      </c>
      <c r="G1042">
        <f t="shared" si="49"/>
        <v>0</v>
      </c>
    </row>
    <row r="1043" spans="1:7" hidden="1" x14ac:dyDescent="0.35">
      <c r="A1043" s="11">
        <v>49682</v>
      </c>
      <c r="B1043" s="12" t="s">
        <v>11</v>
      </c>
      <c r="C1043" s="13">
        <v>28.6</v>
      </c>
      <c r="D1043" s="14">
        <v>1</v>
      </c>
      <c r="E1043">
        <f t="shared" si="48"/>
        <v>0.28600000000000003</v>
      </c>
      <c r="F1043">
        <f t="shared" si="50"/>
        <v>55.347099999999898</v>
      </c>
      <c r="G1043">
        <f t="shared" si="49"/>
        <v>0</v>
      </c>
    </row>
    <row r="1044" spans="1:7" hidden="1" x14ac:dyDescent="0.35">
      <c r="A1044" s="7">
        <v>49683</v>
      </c>
      <c r="B1044" s="8" t="s">
        <v>10</v>
      </c>
      <c r="C1044" s="9">
        <v>11.1</v>
      </c>
      <c r="D1044" s="10">
        <v>2.4</v>
      </c>
      <c r="E1044">
        <f t="shared" si="48"/>
        <v>0.26639999999999997</v>
      </c>
      <c r="F1044">
        <f t="shared" si="50"/>
        <v>55.613499999999895</v>
      </c>
      <c r="G1044">
        <f t="shared" si="49"/>
        <v>0</v>
      </c>
    </row>
    <row r="1045" spans="1:7" hidden="1" x14ac:dyDescent="0.35">
      <c r="A1045" s="11">
        <v>49684</v>
      </c>
      <c r="B1045" s="12" t="s">
        <v>24</v>
      </c>
      <c r="C1045" s="13">
        <v>12.9</v>
      </c>
      <c r="D1045" s="14">
        <v>2.9</v>
      </c>
      <c r="E1045">
        <f t="shared" si="48"/>
        <v>0.37409999999999999</v>
      </c>
      <c r="F1045">
        <f t="shared" si="50"/>
        <v>55.987599999999894</v>
      </c>
      <c r="G1045">
        <f t="shared" si="49"/>
        <v>0</v>
      </c>
    </row>
    <row r="1046" spans="1:7" hidden="1" x14ac:dyDescent="0.35">
      <c r="A1046" s="7">
        <v>49685</v>
      </c>
      <c r="B1046" s="8" t="s">
        <v>30</v>
      </c>
      <c r="C1046" s="9">
        <v>28.4</v>
      </c>
      <c r="D1046" s="10">
        <v>0.9</v>
      </c>
      <c r="E1046">
        <f t="shared" si="48"/>
        <v>0</v>
      </c>
      <c r="F1046">
        <f t="shared" si="50"/>
        <v>55.987599999999894</v>
      </c>
      <c r="G1046">
        <f t="shared" si="49"/>
        <v>0</v>
      </c>
    </row>
    <row r="1047" spans="1:7" hidden="1" x14ac:dyDescent="0.35">
      <c r="A1047" s="11">
        <v>49686</v>
      </c>
      <c r="B1047" s="12" t="s">
        <v>19</v>
      </c>
      <c r="C1047" s="13">
        <v>21.8</v>
      </c>
      <c r="D1047" s="14">
        <v>3.4</v>
      </c>
      <c r="E1047">
        <f t="shared" si="48"/>
        <v>0.74120000000000008</v>
      </c>
      <c r="F1047">
        <f t="shared" si="50"/>
        <v>56.728799999999893</v>
      </c>
      <c r="G1047">
        <f t="shared" si="49"/>
        <v>0</v>
      </c>
    </row>
    <row r="1048" spans="1:7" hidden="1" x14ac:dyDescent="0.35">
      <c r="A1048" s="7">
        <v>49687</v>
      </c>
      <c r="B1048" s="8" t="s">
        <v>6</v>
      </c>
      <c r="C1048" s="9">
        <v>20.8</v>
      </c>
      <c r="D1048" s="10">
        <v>11.8</v>
      </c>
      <c r="E1048">
        <f t="shared" si="48"/>
        <v>2.4544000000000001</v>
      </c>
      <c r="F1048">
        <f t="shared" si="50"/>
        <v>59.183199999999893</v>
      </c>
      <c r="G1048">
        <f t="shared" si="49"/>
        <v>0</v>
      </c>
    </row>
    <row r="1049" spans="1:7" hidden="1" x14ac:dyDescent="0.35">
      <c r="A1049" s="11">
        <v>49688</v>
      </c>
      <c r="B1049" s="12" t="s">
        <v>13</v>
      </c>
      <c r="C1049" s="13">
        <v>17.399999999999999</v>
      </c>
      <c r="D1049" s="14">
        <v>0</v>
      </c>
      <c r="E1049">
        <f t="shared" si="48"/>
        <v>0</v>
      </c>
      <c r="F1049">
        <f t="shared" si="50"/>
        <v>59.183199999999893</v>
      </c>
      <c r="G1049">
        <f t="shared" si="49"/>
        <v>0</v>
      </c>
    </row>
    <row r="1050" spans="1:7" hidden="1" x14ac:dyDescent="0.35">
      <c r="A1050" s="7">
        <v>49689</v>
      </c>
      <c r="B1050" s="8" t="s">
        <v>6</v>
      </c>
      <c r="C1050" s="9">
        <v>24.8</v>
      </c>
      <c r="D1050" s="10">
        <v>0</v>
      </c>
      <c r="E1050">
        <f t="shared" si="48"/>
        <v>0</v>
      </c>
      <c r="F1050">
        <f t="shared" si="50"/>
        <v>59.183199999999893</v>
      </c>
      <c r="G1050">
        <f t="shared" si="49"/>
        <v>0</v>
      </c>
    </row>
    <row r="1051" spans="1:7" hidden="1" x14ac:dyDescent="0.35">
      <c r="A1051" s="11">
        <v>49690</v>
      </c>
      <c r="B1051" s="12" t="s">
        <v>9</v>
      </c>
      <c r="C1051" s="13">
        <v>12.9</v>
      </c>
      <c r="D1051" s="14">
        <v>0</v>
      </c>
      <c r="E1051">
        <f t="shared" si="48"/>
        <v>0</v>
      </c>
      <c r="F1051">
        <f t="shared" si="50"/>
        <v>59.183199999999893</v>
      </c>
      <c r="G1051">
        <f t="shared" si="49"/>
        <v>0</v>
      </c>
    </row>
    <row r="1052" spans="1:7" hidden="1" x14ac:dyDescent="0.35">
      <c r="A1052" s="7">
        <v>49691</v>
      </c>
      <c r="B1052" s="8" t="s">
        <v>17</v>
      </c>
      <c r="C1052" s="9">
        <v>25.9</v>
      </c>
      <c r="D1052" s="10">
        <v>0</v>
      </c>
      <c r="E1052">
        <f t="shared" si="48"/>
        <v>0</v>
      </c>
      <c r="F1052">
        <f t="shared" si="50"/>
        <v>59.183199999999893</v>
      </c>
      <c r="G1052">
        <f t="shared" si="49"/>
        <v>0</v>
      </c>
    </row>
    <row r="1053" spans="1:7" hidden="1" x14ac:dyDescent="0.35">
      <c r="A1053" s="11">
        <v>49692</v>
      </c>
      <c r="B1053" s="12" t="s">
        <v>10</v>
      </c>
      <c r="C1053" s="13">
        <v>11.5</v>
      </c>
      <c r="D1053" s="14">
        <v>23.2</v>
      </c>
      <c r="E1053">
        <f t="shared" si="48"/>
        <v>2.6680000000000001</v>
      </c>
      <c r="F1053">
        <f t="shared" si="50"/>
        <v>61.851199999999892</v>
      </c>
      <c r="G1053">
        <f t="shared" si="49"/>
        <v>0</v>
      </c>
    </row>
    <row r="1054" spans="1:7" hidden="1" x14ac:dyDescent="0.35">
      <c r="A1054" s="7">
        <v>49693</v>
      </c>
      <c r="B1054" s="8" t="s">
        <v>20</v>
      </c>
      <c r="C1054" s="9">
        <v>25.5</v>
      </c>
      <c r="D1054" s="10">
        <v>0</v>
      </c>
      <c r="E1054">
        <f t="shared" si="48"/>
        <v>0</v>
      </c>
      <c r="F1054">
        <f t="shared" si="50"/>
        <v>61.851199999999892</v>
      </c>
      <c r="G1054">
        <f t="shared" si="49"/>
        <v>0</v>
      </c>
    </row>
    <row r="1055" spans="1:7" hidden="1" x14ac:dyDescent="0.35">
      <c r="A1055" s="11">
        <v>49694</v>
      </c>
      <c r="B1055" s="12" t="s">
        <v>33</v>
      </c>
      <c r="C1055" s="13">
        <v>22.6</v>
      </c>
      <c r="D1055" s="14">
        <v>2.2000000000000002</v>
      </c>
      <c r="E1055">
        <f t="shared" si="48"/>
        <v>0.49720000000000009</v>
      </c>
      <c r="F1055">
        <f t="shared" si="50"/>
        <v>62.348399999999891</v>
      </c>
      <c r="G1055">
        <f t="shared" si="49"/>
        <v>0</v>
      </c>
    </row>
    <row r="1056" spans="1:7" hidden="1" x14ac:dyDescent="0.35">
      <c r="A1056" s="7">
        <v>49695</v>
      </c>
      <c r="B1056" s="8" t="s">
        <v>10</v>
      </c>
      <c r="C1056" s="9">
        <v>14.2</v>
      </c>
      <c r="D1056" s="10">
        <v>0</v>
      </c>
      <c r="E1056">
        <f t="shared" si="48"/>
        <v>0</v>
      </c>
      <c r="F1056">
        <f t="shared" si="50"/>
        <v>62.348399999999891</v>
      </c>
      <c r="G1056">
        <f t="shared" si="49"/>
        <v>0</v>
      </c>
    </row>
    <row r="1057" spans="1:7" hidden="1" x14ac:dyDescent="0.35">
      <c r="A1057" s="11">
        <v>49696</v>
      </c>
      <c r="B1057" s="12" t="s">
        <v>13</v>
      </c>
      <c r="C1057" s="13">
        <v>26.9</v>
      </c>
      <c r="D1057" s="14">
        <v>9.1999999999999993</v>
      </c>
      <c r="E1057">
        <f t="shared" si="48"/>
        <v>2.4747999999999997</v>
      </c>
      <c r="F1057">
        <f t="shared" si="50"/>
        <v>64.823199999999886</v>
      </c>
      <c r="G1057">
        <f t="shared" si="49"/>
        <v>0</v>
      </c>
    </row>
    <row r="1058" spans="1:7" hidden="1" x14ac:dyDescent="0.35">
      <c r="A1058" s="7">
        <v>49697</v>
      </c>
      <c r="B1058" s="8" t="s">
        <v>19</v>
      </c>
      <c r="C1058" s="9">
        <v>30</v>
      </c>
      <c r="D1058" s="10">
        <v>32.299999999999997</v>
      </c>
      <c r="E1058">
        <f t="shared" si="48"/>
        <v>9.69</v>
      </c>
      <c r="F1058">
        <f t="shared" si="50"/>
        <v>74.513199999999884</v>
      </c>
      <c r="G1058">
        <f t="shared" si="49"/>
        <v>0</v>
      </c>
    </row>
    <row r="1059" spans="1:7" hidden="1" x14ac:dyDescent="0.35">
      <c r="A1059" s="11">
        <v>49698</v>
      </c>
      <c r="B1059" s="12" t="s">
        <v>27</v>
      </c>
      <c r="C1059" s="13">
        <v>16.2</v>
      </c>
      <c r="D1059" s="14">
        <v>5.2</v>
      </c>
      <c r="E1059">
        <f t="shared" si="48"/>
        <v>0.84239999999999993</v>
      </c>
      <c r="F1059">
        <f t="shared" si="50"/>
        <v>75.355599999999882</v>
      </c>
      <c r="G1059">
        <f t="shared" si="49"/>
        <v>0</v>
      </c>
    </row>
    <row r="1060" spans="1:7" hidden="1" x14ac:dyDescent="0.35">
      <c r="A1060" s="7">
        <v>49699</v>
      </c>
      <c r="B1060" s="8" t="s">
        <v>11</v>
      </c>
      <c r="C1060" s="9">
        <v>12.2</v>
      </c>
      <c r="D1060" s="10">
        <v>0</v>
      </c>
      <c r="E1060">
        <f t="shared" si="48"/>
        <v>0</v>
      </c>
      <c r="F1060">
        <f t="shared" si="50"/>
        <v>75.355599999999882</v>
      </c>
      <c r="G1060">
        <f t="shared" si="49"/>
        <v>0</v>
      </c>
    </row>
    <row r="1061" spans="1:7" hidden="1" x14ac:dyDescent="0.35">
      <c r="A1061" s="11">
        <v>49700</v>
      </c>
      <c r="B1061" s="12" t="s">
        <v>15</v>
      </c>
      <c r="C1061" s="13">
        <v>28.7</v>
      </c>
      <c r="D1061" s="14">
        <v>0.5</v>
      </c>
      <c r="E1061">
        <f t="shared" si="48"/>
        <v>0</v>
      </c>
      <c r="F1061">
        <f t="shared" si="50"/>
        <v>75.355599999999882</v>
      </c>
      <c r="G1061">
        <f t="shared" si="49"/>
        <v>0</v>
      </c>
    </row>
    <row r="1062" spans="1:7" hidden="1" x14ac:dyDescent="0.35">
      <c r="A1062" s="7">
        <v>49701</v>
      </c>
      <c r="B1062" s="8" t="s">
        <v>6</v>
      </c>
      <c r="C1062" s="9">
        <v>23.3</v>
      </c>
      <c r="D1062" s="10">
        <v>11.1</v>
      </c>
      <c r="E1062">
        <f t="shared" si="48"/>
        <v>2.5863</v>
      </c>
      <c r="F1062">
        <f t="shared" si="50"/>
        <v>77.941899999999876</v>
      </c>
      <c r="G1062">
        <f t="shared" si="49"/>
        <v>0</v>
      </c>
    </row>
    <row r="1063" spans="1:7" hidden="1" x14ac:dyDescent="0.35">
      <c r="A1063" s="11">
        <v>49702</v>
      </c>
      <c r="B1063" s="12" t="s">
        <v>15</v>
      </c>
      <c r="C1063" s="13">
        <v>30</v>
      </c>
      <c r="D1063" s="14">
        <v>16.100000000000001</v>
      </c>
      <c r="E1063">
        <f t="shared" si="48"/>
        <v>4.830000000000001</v>
      </c>
      <c r="F1063">
        <f t="shared" si="50"/>
        <v>82.771899999999874</v>
      </c>
      <c r="G1063">
        <f t="shared" si="49"/>
        <v>0</v>
      </c>
    </row>
    <row r="1064" spans="1:7" hidden="1" x14ac:dyDescent="0.35">
      <c r="A1064" s="7">
        <v>49703</v>
      </c>
      <c r="B1064" s="8" t="s">
        <v>18</v>
      </c>
      <c r="C1064" s="9">
        <v>16</v>
      </c>
      <c r="D1064" s="10">
        <v>9.8000000000000007</v>
      </c>
      <c r="E1064">
        <f t="shared" si="48"/>
        <v>1.5680000000000001</v>
      </c>
      <c r="F1064">
        <f t="shared" si="50"/>
        <v>84.339899999999872</v>
      </c>
      <c r="G1064">
        <f t="shared" si="49"/>
        <v>0</v>
      </c>
    </row>
    <row r="1065" spans="1:7" hidden="1" x14ac:dyDescent="0.35">
      <c r="A1065" s="11">
        <v>49704</v>
      </c>
      <c r="B1065" s="12" t="s">
        <v>20</v>
      </c>
      <c r="C1065" s="13">
        <v>21.6</v>
      </c>
      <c r="D1065" s="14">
        <v>3.4</v>
      </c>
      <c r="E1065">
        <f t="shared" si="48"/>
        <v>0.73439999999999994</v>
      </c>
      <c r="F1065">
        <f t="shared" si="50"/>
        <v>85.074299999999866</v>
      </c>
      <c r="G1065">
        <f t="shared" si="49"/>
        <v>0</v>
      </c>
    </row>
    <row r="1066" spans="1:7" hidden="1" x14ac:dyDescent="0.35">
      <c r="A1066" s="7">
        <v>49705</v>
      </c>
      <c r="B1066" s="8" t="s">
        <v>19</v>
      </c>
      <c r="C1066" s="9">
        <v>27.9</v>
      </c>
      <c r="D1066" s="10">
        <v>4.8</v>
      </c>
      <c r="E1066">
        <f t="shared" si="48"/>
        <v>1.3391999999999999</v>
      </c>
      <c r="F1066">
        <f t="shared" si="50"/>
        <v>86.413499999999871</v>
      </c>
      <c r="G1066">
        <f t="shared" si="49"/>
        <v>0</v>
      </c>
    </row>
    <row r="1067" spans="1:7" hidden="1" x14ac:dyDescent="0.35">
      <c r="A1067" s="11">
        <v>49706</v>
      </c>
      <c r="B1067" s="12" t="s">
        <v>13</v>
      </c>
      <c r="C1067" s="13">
        <v>17.5</v>
      </c>
      <c r="D1067" s="14">
        <v>14.7</v>
      </c>
      <c r="E1067">
        <f t="shared" si="48"/>
        <v>2.5724999999999998</v>
      </c>
      <c r="F1067">
        <f t="shared" si="50"/>
        <v>88.985999999999876</v>
      </c>
      <c r="G1067">
        <f t="shared" si="49"/>
        <v>0</v>
      </c>
    </row>
    <row r="1068" spans="1:7" hidden="1" x14ac:dyDescent="0.35">
      <c r="A1068" s="7">
        <v>49707</v>
      </c>
      <c r="B1068" s="8" t="s">
        <v>7</v>
      </c>
      <c r="C1068" s="9">
        <v>20.7</v>
      </c>
      <c r="D1068" s="10">
        <v>0</v>
      </c>
      <c r="E1068">
        <f t="shared" si="48"/>
        <v>0</v>
      </c>
      <c r="F1068">
        <f t="shared" si="50"/>
        <v>88.985999999999876</v>
      </c>
      <c r="G1068">
        <f t="shared" si="49"/>
        <v>0</v>
      </c>
    </row>
    <row r="1069" spans="1:7" hidden="1" x14ac:dyDescent="0.35">
      <c r="A1069" s="11">
        <v>49708</v>
      </c>
      <c r="B1069" s="12" t="s">
        <v>10</v>
      </c>
      <c r="C1069" s="13">
        <v>10.8</v>
      </c>
      <c r="D1069" s="14">
        <v>36.4</v>
      </c>
      <c r="E1069">
        <f t="shared" si="48"/>
        <v>3.9312</v>
      </c>
      <c r="F1069">
        <f t="shared" si="50"/>
        <v>92.91719999999988</v>
      </c>
      <c r="G1069">
        <f t="shared" si="49"/>
        <v>0</v>
      </c>
    </row>
    <row r="1070" spans="1:7" x14ac:dyDescent="0.35">
      <c r="A1070" s="7">
        <v>49709</v>
      </c>
      <c r="B1070" s="8" t="s">
        <v>19</v>
      </c>
      <c r="C1070" s="9">
        <v>27.6</v>
      </c>
      <c r="D1070" s="10">
        <v>32.799999999999997</v>
      </c>
      <c r="E1070">
        <f t="shared" si="48"/>
        <v>9.0527999999999995</v>
      </c>
      <c r="F1070">
        <f t="shared" si="50"/>
        <v>101.96999999999989</v>
      </c>
      <c r="G1070">
        <f t="shared" si="49"/>
        <v>1</v>
      </c>
    </row>
    <row r="1071" spans="1:7" hidden="1" x14ac:dyDescent="0.35">
      <c r="A1071" s="11">
        <v>49710</v>
      </c>
      <c r="B1071" s="12" t="s">
        <v>11</v>
      </c>
      <c r="C1071" s="13">
        <v>10.8</v>
      </c>
      <c r="D1071" s="14">
        <v>11.6</v>
      </c>
      <c r="E1071">
        <f t="shared" si="48"/>
        <v>1.2527999999999999</v>
      </c>
      <c r="F1071">
        <f t="shared" si="50"/>
        <v>3.2227999999998787</v>
      </c>
      <c r="G1071">
        <f t="shared" si="49"/>
        <v>0</v>
      </c>
    </row>
    <row r="1072" spans="1:7" hidden="1" x14ac:dyDescent="0.35">
      <c r="A1072" s="7">
        <v>49711</v>
      </c>
      <c r="B1072" s="8" t="s">
        <v>17</v>
      </c>
      <c r="C1072" s="9">
        <v>13.7</v>
      </c>
      <c r="D1072" s="10">
        <v>0</v>
      </c>
      <c r="E1072">
        <f t="shared" si="48"/>
        <v>0</v>
      </c>
      <c r="F1072">
        <f t="shared" si="50"/>
        <v>3.2227999999998787</v>
      </c>
      <c r="G1072">
        <f t="shared" si="49"/>
        <v>0</v>
      </c>
    </row>
    <row r="1073" spans="1:7" hidden="1" x14ac:dyDescent="0.35">
      <c r="A1073" s="11">
        <v>49712</v>
      </c>
      <c r="B1073" s="12" t="s">
        <v>18</v>
      </c>
      <c r="C1073" s="13">
        <v>19.5</v>
      </c>
      <c r="D1073" s="14">
        <v>0</v>
      </c>
      <c r="E1073">
        <f t="shared" si="48"/>
        <v>0</v>
      </c>
      <c r="F1073">
        <f t="shared" si="50"/>
        <v>3.2227999999998787</v>
      </c>
      <c r="G1073">
        <f t="shared" si="49"/>
        <v>0</v>
      </c>
    </row>
    <row r="1074" spans="1:7" hidden="1" x14ac:dyDescent="0.35">
      <c r="A1074" s="7">
        <v>49713</v>
      </c>
      <c r="B1074" s="8" t="s">
        <v>9</v>
      </c>
      <c r="C1074" s="9">
        <v>21.6</v>
      </c>
      <c r="D1074" s="10">
        <v>11.6</v>
      </c>
      <c r="E1074">
        <f t="shared" si="48"/>
        <v>2.5055999999999998</v>
      </c>
      <c r="F1074">
        <f t="shared" si="50"/>
        <v>5.728399999999878</v>
      </c>
      <c r="G1074">
        <f t="shared" si="49"/>
        <v>0</v>
      </c>
    </row>
    <row r="1075" spans="1:7" hidden="1" x14ac:dyDescent="0.35">
      <c r="A1075" s="11">
        <v>49714</v>
      </c>
      <c r="B1075" s="12" t="s">
        <v>17</v>
      </c>
      <c r="C1075" s="13">
        <v>21.6</v>
      </c>
      <c r="D1075" s="14">
        <v>2.7</v>
      </c>
      <c r="E1075">
        <f t="shared" si="48"/>
        <v>0.58320000000000005</v>
      </c>
      <c r="F1075">
        <f t="shared" si="50"/>
        <v>6.3115999999998778</v>
      </c>
      <c r="G1075">
        <f t="shared" si="49"/>
        <v>0</v>
      </c>
    </row>
    <row r="1076" spans="1:7" hidden="1" x14ac:dyDescent="0.35">
      <c r="A1076" s="7">
        <v>49715</v>
      </c>
      <c r="B1076" s="8" t="s">
        <v>24</v>
      </c>
      <c r="C1076" s="9">
        <v>16.100000000000001</v>
      </c>
      <c r="D1076" s="10">
        <v>0</v>
      </c>
      <c r="E1076">
        <f t="shared" si="48"/>
        <v>0</v>
      </c>
      <c r="F1076">
        <f t="shared" si="50"/>
        <v>6.3115999999998778</v>
      </c>
      <c r="G1076">
        <f t="shared" si="49"/>
        <v>0</v>
      </c>
    </row>
    <row r="1077" spans="1:7" hidden="1" x14ac:dyDescent="0.35">
      <c r="A1077" s="11">
        <v>49716</v>
      </c>
      <c r="B1077" s="12" t="s">
        <v>6</v>
      </c>
      <c r="C1077" s="13">
        <v>29.4</v>
      </c>
      <c r="D1077" s="14">
        <v>12.5</v>
      </c>
      <c r="E1077">
        <f t="shared" si="48"/>
        <v>3.6749999999999998</v>
      </c>
      <c r="F1077">
        <f t="shared" si="50"/>
        <v>9.9865999999998785</v>
      </c>
      <c r="G1077">
        <f t="shared" si="49"/>
        <v>0</v>
      </c>
    </row>
    <row r="1078" spans="1:7" hidden="1" x14ac:dyDescent="0.35">
      <c r="A1078" s="7">
        <v>49717</v>
      </c>
      <c r="B1078" s="8" t="s">
        <v>26</v>
      </c>
      <c r="C1078" s="9">
        <v>17.8</v>
      </c>
      <c r="D1078" s="10">
        <v>5.9</v>
      </c>
      <c r="E1078">
        <f t="shared" si="48"/>
        <v>1.0502</v>
      </c>
      <c r="F1078">
        <f t="shared" si="50"/>
        <v>11.036799999999879</v>
      </c>
      <c r="G1078">
        <f t="shared" si="49"/>
        <v>0</v>
      </c>
    </row>
    <row r="1079" spans="1:7" hidden="1" x14ac:dyDescent="0.35">
      <c r="A1079" s="11">
        <v>49718</v>
      </c>
      <c r="B1079" s="12" t="s">
        <v>19</v>
      </c>
      <c r="C1079" s="13">
        <v>26.1</v>
      </c>
      <c r="D1079" s="14">
        <v>14.8</v>
      </c>
      <c r="E1079">
        <f t="shared" si="48"/>
        <v>3.8628000000000005</v>
      </c>
      <c r="F1079">
        <f t="shared" si="50"/>
        <v>14.899599999999879</v>
      </c>
      <c r="G1079">
        <f t="shared" si="49"/>
        <v>0</v>
      </c>
    </row>
    <row r="1080" spans="1:7" hidden="1" x14ac:dyDescent="0.35">
      <c r="A1080" s="7">
        <v>49719</v>
      </c>
      <c r="B1080" s="8" t="s">
        <v>10</v>
      </c>
      <c r="C1080" s="9">
        <v>13.8</v>
      </c>
      <c r="D1080" s="10">
        <v>0</v>
      </c>
      <c r="E1080">
        <f t="shared" si="48"/>
        <v>0</v>
      </c>
      <c r="F1080">
        <f t="shared" si="50"/>
        <v>14.899599999999879</v>
      </c>
      <c r="G1080">
        <f t="shared" si="49"/>
        <v>0</v>
      </c>
    </row>
    <row r="1081" spans="1:7" hidden="1" x14ac:dyDescent="0.35">
      <c r="A1081" s="11">
        <v>49720</v>
      </c>
      <c r="B1081" s="12" t="s">
        <v>12</v>
      </c>
      <c r="C1081" s="13">
        <v>16.100000000000001</v>
      </c>
      <c r="D1081" s="14">
        <v>6.2</v>
      </c>
      <c r="E1081">
        <f t="shared" si="48"/>
        <v>0.99820000000000009</v>
      </c>
      <c r="F1081">
        <f t="shared" si="50"/>
        <v>15.897799999999879</v>
      </c>
      <c r="G1081">
        <f t="shared" si="49"/>
        <v>0</v>
      </c>
    </row>
    <row r="1082" spans="1:7" hidden="1" x14ac:dyDescent="0.35">
      <c r="A1082" s="7">
        <v>49721</v>
      </c>
      <c r="B1082" s="8" t="s">
        <v>10</v>
      </c>
      <c r="C1082" s="9">
        <v>23.2</v>
      </c>
      <c r="D1082" s="10">
        <v>45.8</v>
      </c>
      <c r="E1082">
        <f t="shared" si="48"/>
        <v>10.625599999999999</v>
      </c>
      <c r="F1082">
        <f t="shared" si="50"/>
        <v>26.523399999999878</v>
      </c>
      <c r="G1082">
        <f t="shared" si="49"/>
        <v>0</v>
      </c>
    </row>
    <row r="1083" spans="1:7" hidden="1" x14ac:dyDescent="0.35">
      <c r="A1083" s="11">
        <v>49722</v>
      </c>
      <c r="B1083" s="12" t="s">
        <v>12</v>
      </c>
      <c r="C1083" s="13">
        <v>18.899999999999999</v>
      </c>
      <c r="D1083" s="14">
        <v>0</v>
      </c>
      <c r="E1083">
        <f t="shared" si="48"/>
        <v>0</v>
      </c>
      <c r="F1083">
        <f t="shared" si="50"/>
        <v>26.523399999999878</v>
      </c>
      <c r="G1083">
        <f t="shared" si="49"/>
        <v>0</v>
      </c>
    </row>
    <row r="1084" spans="1:7" hidden="1" x14ac:dyDescent="0.35">
      <c r="A1084" s="7">
        <v>49723</v>
      </c>
      <c r="B1084" s="8" t="s">
        <v>19</v>
      </c>
      <c r="C1084" s="9">
        <v>28.9</v>
      </c>
      <c r="D1084" s="10">
        <v>34.1</v>
      </c>
      <c r="E1084">
        <f t="shared" si="48"/>
        <v>9.8549000000000007</v>
      </c>
      <c r="F1084">
        <f t="shared" si="50"/>
        <v>36.378299999999882</v>
      </c>
      <c r="G1084">
        <f t="shared" si="49"/>
        <v>0</v>
      </c>
    </row>
    <row r="1085" spans="1:7" hidden="1" x14ac:dyDescent="0.35">
      <c r="A1085" s="11">
        <v>49724</v>
      </c>
      <c r="B1085" s="12" t="s">
        <v>10</v>
      </c>
      <c r="C1085" s="13">
        <v>19.3</v>
      </c>
      <c r="D1085" s="14">
        <v>49.6</v>
      </c>
      <c r="E1085">
        <f t="shared" si="48"/>
        <v>9.5728000000000009</v>
      </c>
      <c r="F1085">
        <f t="shared" si="50"/>
        <v>45.951099999999883</v>
      </c>
      <c r="G1085">
        <f t="shared" si="49"/>
        <v>0</v>
      </c>
    </row>
    <row r="1086" spans="1:7" hidden="1" x14ac:dyDescent="0.35">
      <c r="A1086" s="7">
        <v>49725</v>
      </c>
      <c r="B1086" s="8" t="s">
        <v>18</v>
      </c>
      <c r="C1086" s="9">
        <v>23.9</v>
      </c>
      <c r="D1086" s="10">
        <v>11.7</v>
      </c>
      <c r="E1086">
        <f t="shared" si="48"/>
        <v>2.7962999999999996</v>
      </c>
      <c r="F1086">
        <f t="shared" si="50"/>
        <v>48.747399999999885</v>
      </c>
      <c r="G1086">
        <f t="shared" si="49"/>
        <v>0</v>
      </c>
    </row>
    <row r="1087" spans="1:7" hidden="1" x14ac:dyDescent="0.35">
      <c r="A1087" s="11">
        <v>49726</v>
      </c>
      <c r="B1087" s="12" t="s">
        <v>13</v>
      </c>
      <c r="C1087" s="13">
        <v>28.6</v>
      </c>
      <c r="D1087" s="14">
        <v>11.5</v>
      </c>
      <c r="E1087">
        <f t="shared" si="48"/>
        <v>3.2890000000000001</v>
      </c>
      <c r="F1087">
        <f t="shared" si="50"/>
        <v>52.036399999999887</v>
      </c>
      <c r="G1087">
        <f t="shared" si="49"/>
        <v>0</v>
      </c>
    </row>
    <row r="1088" spans="1:7" hidden="1" x14ac:dyDescent="0.35">
      <c r="A1088" s="7">
        <v>49727</v>
      </c>
      <c r="B1088" s="8" t="s">
        <v>26</v>
      </c>
      <c r="C1088" s="9">
        <v>14.5</v>
      </c>
      <c r="D1088" s="10">
        <v>0.3</v>
      </c>
      <c r="E1088">
        <f t="shared" si="48"/>
        <v>0</v>
      </c>
      <c r="F1088">
        <f t="shared" si="50"/>
        <v>52.036399999999887</v>
      </c>
      <c r="G1088">
        <f t="shared" si="49"/>
        <v>0</v>
      </c>
    </row>
    <row r="1089" spans="1:7" hidden="1" x14ac:dyDescent="0.35">
      <c r="A1089" s="11">
        <v>49728</v>
      </c>
      <c r="B1089" s="12" t="s">
        <v>10</v>
      </c>
      <c r="C1089" s="13">
        <v>13</v>
      </c>
      <c r="D1089" s="14">
        <v>0</v>
      </c>
      <c r="E1089">
        <f t="shared" si="48"/>
        <v>0</v>
      </c>
      <c r="F1089">
        <f t="shared" si="50"/>
        <v>52.036399999999887</v>
      </c>
      <c r="G1089">
        <f t="shared" si="49"/>
        <v>0</v>
      </c>
    </row>
    <row r="1090" spans="1:7" hidden="1" x14ac:dyDescent="0.35">
      <c r="A1090" s="7">
        <v>49729</v>
      </c>
      <c r="B1090" s="8" t="s">
        <v>19</v>
      </c>
      <c r="C1090" s="9">
        <v>16.2</v>
      </c>
      <c r="D1090" s="10">
        <v>9.1999999999999993</v>
      </c>
      <c r="E1090">
        <f t="shared" si="48"/>
        <v>1.4903999999999999</v>
      </c>
      <c r="F1090">
        <f t="shared" si="50"/>
        <v>53.526799999999888</v>
      </c>
      <c r="G1090">
        <f t="shared" si="49"/>
        <v>0</v>
      </c>
    </row>
    <row r="1091" spans="1:7" hidden="1" x14ac:dyDescent="0.35">
      <c r="A1091" s="11">
        <v>49730</v>
      </c>
      <c r="B1091" s="12" t="s">
        <v>15</v>
      </c>
      <c r="C1091" s="13">
        <v>27.1</v>
      </c>
      <c r="D1091" s="14">
        <v>6.3</v>
      </c>
      <c r="E1091">
        <f t="shared" ref="E1091:E1154" si="51">IF(D1091&gt;=1,C1091*D1091/100,0)</f>
        <v>1.7073000000000003</v>
      </c>
      <c r="F1091">
        <f t="shared" si="50"/>
        <v>55.234099999999891</v>
      </c>
      <c r="G1091">
        <f t="shared" ref="G1091:G1154" si="52">IF(F1091&gt;=100,1,0)</f>
        <v>0</v>
      </c>
    </row>
    <row r="1092" spans="1:7" hidden="1" x14ac:dyDescent="0.35">
      <c r="A1092" s="7">
        <v>49731</v>
      </c>
      <c r="B1092" s="8" t="s">
        <v>10</v>
      </c>
      <c r="C1092" s="9">
        <v>15.6</v>
      </c>
      <c r="D1092" s="10">
        <v>28</v>
      </c>
      <c r="E1092">
        <f t="shared" si="51"/>
        <v>4.3680000000000003</v>
      </c>
      <c r="F1092">
        <f t="shared" ref="F1092:F1155" si="53">IF(G1091=1,E1092+F1091-100,F1091+E1092)</f>
        <v>59.602099999999893</v>
      </c>
      <c r="G1092">
        <f t="shared" si="52"/>
        <v>0</v>
      </c>
    </row>
    <row r="1093" spans="1:7" hidden="1" x14ac:dyDescent="0.35">
      <c r="A1093" s="11">
        <v>49732</v>
      </c>
      <c r="B1093" s="12" t="s">
        <v>26</v>
      </c>
      <c r="C1093" s="13">
        <v>28.9</v>
      </c>
      <c r="D1093" s="14">
        <v>6.8</v>
      </c>
      <c r="E1093">
        <f t="shared" si="51"/>
        <v>1.9651999999999998</v>
      </c>
      <c r="F1093">
        <f t="shared" si="53"/>
        <v>61.567299999999896</v>
      </c>
      <c r="G1093">
        <f t="shared" si="52"/>
        <v>0</v>
      </c>
    </row>
    <row r="1094" spans="1:7" hidden="1" x14ac:dyDescent="0.35">
      <c r="A1094" s="7">
        <v>49733</v>
      </c>
      <c r="B1094" s="8" t="s">
        <v>6</v>
      </c>
      <c r="C1094" s="9">
        <v>13.8</v>
      </c>
      <c r="D1094" s="10">
        <v>11.9</v>
      </c>
      <c r="E1094">
        <f t="shared" si="51"/>
        <v>1.6422000000000003</v>
      </c>
      <c r="F1094">
        <f t="shared" si="53"/>
        <v>63.209499999999899</v>
      </c>
      <c r="G1094">
        <f t="shared" si="52"/>
        <v>0</v>
      </c>
    </row>
    <row r="1095" spans="1:7" hidden="1" x14ac:dyDescent="0.35">
      <c r="A1095" s="11">
        <v>49734</v>
      </c>
      <c r="B1095" s="12" t="s">
        <v>6</v>
      </c>
      <c r="C1095" s="13">
        <v>17.8</v>
      </c>
      <c r="D1095" s="14">
        <v>1.5</v>
      </c>
      <c r="E1095">
        <f t="shared" si="51"/>
        <v>0.26700000000000002</v>
      </c>
      <c r="F1095">
        <f t="shared" si="53"/>
        <v>63.476499999999902</v>
      </c>
      <c r="G1095">
        <f t="shared" si="52"/>
        <v>0</v>
      </c>
    </row>
    <row r="1096" spans="1:7" hidden="1" x14ac:dyDescent="0.35">
      <c r="A1096" s="7">
        <v>49735</v>
      </c>
      <c r="B1096" s="8" t="s">
        <v>22</v>
      </c>
      <c r="C1096" s="9">
        <v>25.1</v>
      </c>
      <c r="D1096" s="10">
        <v>0</v>
      </c>
      <c r="E1096">
        <f t="shared" si="51"/>
        <v>0</v>
      </c>
      <c r="F1096">
        <f t="shared" si="53"/>
        <v>63.476499999999902</v>
      </c>
      <c r="G1096">
        <f t="shared" si="52"/>
        <v>0</v>
      </c>
    </row>
    <row r="1097" spans="1:7" hidden="1" x14ac:dyDescent="0.35">
      <c r="A1097" s="11">
        <v>49736</v>
      </c>
      <c r="B1097" s="12" t="s">
        <v>22</v>
      </c>
      <c r="C1097" s="13">
        <v>29.5</v>
      </c>
      <c r="D1097" s="14">
        <v>0</v>
      </c>
      <c r="E1097">
        <f t="shared" si="51"/>
        <v>0</v>
      </c>
      <c r="F1097">
        <f t="shared" si="53"/>
        <v>63.476499999999902</v>
      </c>
      <c r="G1097">
        <f t="shared" si="52"/>
        <v>0</v>
      </c>
    </row>
    <row r="1098" spans="1:7" hidden="1" x14ac:dyDescent="0.35">
      <c r="A1098" s="7">
        <v>49737</v>
      </c>
      <c r="B1098" s="8" t="s">
        <v>26</v>
      </c>
      <c r="C1098" s="9">
        <v>16.100000000000001</v>
      </c>
      <c r="D1098" s="10">
        <v>7.1</v>
      </c>
      <c r="E1098">
        <f t="shared" si="51"/>
        <v>1.1431</v>
      </c>
      <c r="F1098">
        <f t="shared" si="53"/>
        <v>64.619599999999906</v>
      </c>
      <c r="G1098">
        <f t="shared" si="52"/>
        <v>0</v>
      </c>
    </row>
    <row r="1099" spans="1:7" hidden="1" x14ac:dyDescent="0.35">
      <c r="A1099" s="11">
        <v>49738</v>
      </c>
      <c r="B1099" s="12" t="s">
        <v>9</v>
      </c>
      <c r="C1099" s="13">
        <v>18</v>
      </c>
      <c r="D1099" s="14">
        <v>12</v>
      </c>
      <c r="E1099">
        <f t="shared" si="51"/>
        <v>2.16</v>
      </c>
      <c r="F1099">
        <f t="shared" si="53"/>
        <v>66.779599999999903</v>
      </c>
      <c r="G1099">
        <f t="shared" si="52"/>
        <v>0</v>
      </c>
    </row>
    <row r="1100" spans="1:7" hidden="1" x14ac:dyDescent="0.35">
      <c r="A1100" s="7">
        <v>49739</v>
      </c>
      <c r="B1100" s="8" t="s">
        <v>10</v>
      </c>
      <c r="C1100" s="9">
        <v>12.2</v>
      </c>
      <c r="D1100" s="10">
        <v>26.8</v>
      </c>
      <c r="E1100">
        <f t="shared" si="51"/>
        <v>3.2695999999999996</v>
      </c>
      <c r="F1100">
        <f t="shared" si="53"/>
        <v>70.0491999999999</v>
      </c>
      <c r="G1100">
        <f t="shared" si="52"/>
        <v>0</v>
      </c>
    </row>
    <row r="1101" spans="1:7" hidden="1" x14ac:dyDescent="0.35">
      <c r="A1101" s="11">
        <v>49740</v>
      </c>
      <c r="B1101" s="12" t="s">
        <v>14</v>
      </c>
      <c r="C1101" s="13">
        <v>20.7</v>
      </c>
      <c r="D1101" s="14">
        <v>4.7</v>
      </c>
      <c r="E1101">
        <f t="shared" si="51"/>
        <v>0.9729000000000001</v>
      </c>
      <c r="F1101">
        <f t="shared" si="53"/>
        <v>71.022099999999895</v>
      </c>
      <c r="G1101">
        <f t="shared" si="52"/>
        <v>0</v>
      </c>
    </row>
    <row r="1102" spans="1:7" hidden="1" x14ac:dyDescent="0.35">
      <c r="A1102" s="7">
        <v>49741</v>
      </c>
      <c r="B1102" s="8" t="s">
        <v>10</v>
      </c>
      <c r="C1102" s="9">
        <v>20.100000000000001</v>
      </c>
      <c r="D1102" s="10">
        <v>47.4</v>
      </c>
      <c r="E1102">
        <f t="shared" si="51"/>
        <v>9.5274000000000001</v>
      </c>
      <c r="F1102">
        <f t="shared" si="53"/>
        <v>80.549499999999895</v>
      </c>
      <c r="G1102">
        <f t="shared" si="52"/>
        <v>0</v>
      </c>
    </row>
    <row r="1103" spans="1:7" hidden="1" x14ac:dyDescent="0.35">
      <c r="A1103" s="11">
        <v>49742</v>
      </c>
      <c r="B1103" s="12" t="s">
        <v>10</v>
      </c>
      <c r="C1103" s="13">
        <v>14.9</v>
      </c>
      <c r="D1103" s="14">
        <v>43.8</v>
      </c>
      <c r="E1103">
        <f t="shared" si="51"/>
        <v>6.5262000000000002</v>
      </c>
      <c r="F1103">
        <f t="shared" si="53"/>
        <v>87.075699999999898</v>
      </c>
      <c r="G1103">
        <f t="shared" si="52"/>
        <v>0</v>
      </c>
    </row>
    <row r="1104" spans="1:7" hidden="1" x14ac:dyDescent="0.35">
      <c r="A1104" s="7">
        <v>49743</v>
      </c>
      <c r="B1104" s="8" t="s">
        <v>10</v>
      </c>
      <c r="C1104" s="9">
        <v>19</v>
      </c>
      <c r="D1104" s="10">
        <v>0</v>
      </c>
      <c r="E1104">
        <f t="shared" si="51"/>
        <v>0</v>
      </c>
      <c r="F1104">
        <f t="shared" si="53"/>
        <v>87.075699999999898</v>
      </c>
      <c r="G1104">
        <f t="shared" si="52"/>
        <v>0</v>
      </c>
    </row>
    <row r="1105" spans="1:7" hidden="1" x14ac:dyDescent="0.35">
      <c r="A1105" s="11">
        <v>49744</v>
      </c>
      <c r="B1105" s="12" t="s">
        <v>6</v>
      </c>
      <c r="C1105" s="13">
        <v>12.5</v>
      </c>
      <c r="D1105" s="14">
        <v>0</v>
      </c>
      <c r="E1105">
        <f t="shared" si="51"/>
        <v>0</v>
      </c>
      <c r="F1105">
        <f t="shared" si="53"/>
        <v>87.075699999999898</v>
      </c>
      <c r="G1105">
        <f t="shared" si="52"/>
        <v>0</v>
      </c>
    </row>
    <row r="1106" spans="1:7" hidden="1" x14ac:dyDescent="0.35">
      <c r="A1106" s="7">
        <v>49745</v>
      </c>
      <c r="B1106" s="8" t="s">
        <v>13</v>
      </c>
      <c r="C1106" s="9">
        <v>15.2</v>
      </c>
      <c r="D1106" s="10">
        <v>13.9</v>
      </c>
      <c r="E1106">
        <f t="shared" si="51"/>
        <v>2.1128</v>
      </c>
      <c r="F1106">
        <f t="shared" si="53"/>
        <v>89.188499999999891</v>
      </c>
      <c r="G1106">
        <f t="shared" si="52"/>
        <v>0</v>
      </c>
    </row>
    <row r="1107" spans="1:7" hidden="1" x14ac:dyDescent="0.35">
      <c r="A1107" s="11">
        <v>49746</v>
      </c>
      <c r="B1107" s="12" t="s">
        <v>19</v>
      </c>
      <c r="C1107" s="13">
        <v>29.2</v>
      </c>
      <c r="D1107" s="14">
        <v>26.8</v>
      </c>
      <c r="E1107">
        <f t="shared" si="51"/>
        <v>7.8255999999999997</v>
      </c>
      <c r="F1107">
        <f t="shared" si="53"/>
        <v>97.014099999999885</v>
      </c>
      <c r="G1107">
        <f t="shared" si="52"/>
        <v>0</v>
      </c>
    </row>
    <row r="1108" spans="1:7" hidden="1" x14ac:dyDescent="0.35">
      <c r="A1108" s="7">
        <v>49747</v>
      </c>
      <c r="B1108" s="8" t="s">
        <v>6</v>
      </c>
      <c r="C1108" s="9">
        <v>13.9</v>
      </c>
      <c r="D1108" s="10">
        <v>1.1000000000000001</v>
      </c>
      <c r="E1108">
        <f t="shared" si="51"/>
        <v>0.15290000000000001</v>
      </c>
      <c r="F1108">
        <f t="shared" si="53"/>
        <v>97.166999999999888</v>
      </c>
      <c r="G1108">
        <f t="shared" si="52"/>
        <v>0</v>
      </c>
    </row>
    <row r="1109" spans="1:7" hidden="1" x14ac:dyDescent="0.35">
      <c r="A1109" s="11">
        <v>49748</v>
      </c>
      <c r="B1109" s="12" t="s">
        <v>15</v>
      </c>
      <c r="C1109" s="13">
        <v>11.4</v>
      </c>
      <c r="D1109" s="14">
        <v>0</v>
      </c>
      <c r="E1109">
        <f t="shared" si="51"/>
        <v>0</v>
      </c>
      <c r="F1109">
        <f t="shared" si="53"/>
        <v>97.166999999999888</v>
      </c>
      <c r="G1109">
        <f t="shared" si="52"/>
        <v>0</v>
      </c>
    </row>
    <row r="1110" spans="1:7" hidden="1" x14ac:dyDescent="0.35">
      <c r="A1110" s="7">
        <v>49749</v>
      </c>
      <c r="B1110" s="8" t="s">
        <v>9</v>
      </c>
      <c r="C1110" s="9">
        <v>15.8</v>
      </c>
      <c r="D1110" s="10">
        <v>7</v>
      </c>
      <c r="E1110">
        <f t="shared" si="51"/>
        <v>1.1060000000000001</v>
      </c>
      <c r="F1110">
        <f t="shared" si="53"/>
        <v>98.272999999999882</v>
      </c>
      <c r="G1110">
        <f t="shared" si="52"/>
        <v>0</v>
      </c>
    </row>
    <row r="1111" spans="1:7" x14ac:dyDescent="0.35">
      <c r="A1111" s="11">
        <v>49750</v>
      </c>
      <c r="B1111" s="12" t="s">
        <v>10</v>
      </c>
      <c r="C1111" s="13">
        <v>10.199999999999999</v>
      </c>
      <c r="D1111" s="14">
        <v>43.3</v>
      </c>
      <c r="E1111">
        <f t="shared" si="51"/>
        <v>4.4165999999999999</v>
      </c>
      <c r="F1111">
        <f t="shared" si="53"/>
        <v>102.68959999999988</v>
      </c>
      <c r="G1111">
        <f t="shared" si="52"/>
        <v>1</v>
      </c>
    </row>
    <row r="1112" spans="1:7" hidden="1" x14ac:dyDescent="0.35">
      <c r="A1112" s="7">
        <v>49751</v>
      </c>
      <c r="B1112" s="8" t="s">
        <v>13</v>
      </c>
      <c r="C1112" s="9">
        <v>19.600000000000001</v>
      </c>
      <c r="D1112" s="10">
        <v>8.9</v>
      </c>
      <c r="E1112">
        <f t="shared" si="51"/>
        <v>1.7444000000000002</v>
      </c>
      <c r="F1112">
        <f t="shared" si="53"/>
        <v>4.4339999999998838</v>
      </c>
      <c r="G1112">
        <f t="shared" si="52"/>
        <v>0</v>
      </c>
    </row>
    <row r="1113" spans="1:7" hidden="1" x14ac:dyDescent="0.35">
      <c r="A1113" s="11">
        <v>49752</v>
      </c>
      <c r="B1113" s="12" t="s">
        <v>6</v>
      </c>
      <c r="C1113" s="13">
        <v>15.5</v>
      </c>
      <c r="D1113" s="14">
        <v>10.1</v>
      </c>
      <c r="E1113">
        <f t="shared" si="51"/>
        <v>1.5654999999999999</v>
      </c>
      <c r="F1113">
        <f t="shared" si="53"/>
        <v>5.9994999999998839</v>
      </c>
      <c r="G1113">
        <f t="shared" si="52"/>
        <v>0</v>
      </c>
    </row>
    <row r="1114" spans="1:7" hidden="1" x14ac:dyDescent="0.35">
      <c r="A1114" s="7">
        <v>49753</v>
      </c>
      <c r="B1114" s="8" t="s">
        <v>15</v>
      </c>
      <c r="C1114" s="9">
        <v>19.899999999999999</v>
      </c>
      <c r="D1114" s="10">
        <v>16.2</v>
      </c>
      <c r="E1114">
        <f t="shared" si="51"/>
        <v>3.2237999999999993</v>
      </c>
      <c r="F1114">
        <f t="shared" si="53"/>
        <v>9.2232999999998828</v>
      </c>
      <c r="G1114">
        <f t="shared" si="52"/>
        <v>0</v>
      </c>
    </row>
    <row r="1115" spans="1:7" hidden="1" x14ac:dyDescent="0.35">
      <c r="A1115" s="11">
        <v>49754</v>
      </c>
      <c r="B1115" s="12" t="s">
        <v>18</v>
      </c>
      <c r="C1115" s="13">
        <v>10.7</v>
      </c>
      <c r="D1115" s="14">
        <v>2.8</v>
      </c>
      <c r="E1115">
        <f t="shared" si="51"/>
        <v>0.29959999999999998</v>
      </c>
      <c r="F1115">
        <f t="shared" si="53"/>
        <v>9.5228999999998827</v>
      </c>
      <c r="G1115">
        <f t="shared" si="52"/>
        <v>0</v>
      </c>
    </row>
    <row r="1116" spans="1:7" hidden="1" x14ac:dyDescent="0.35">
      <c r="A1116" s="7">
        <v>49755</v>
      </c>
      <c r="B1116" s="8" t="s">
        <v>26</v>
      </c>
      <c r="C1116" s="9">
        <v>11.5</v>
      </c>
      <c r="D1116" s="10">
        <v>5.9</v>
      </c>
      <c r="E1116">
        <f t="shared" si="51"/>
        <v>0.6785000000000001</v>
      </c>
      <c r="F1116">
        <f t="shared" si="53"/>
        <v>10.201399999999882</v>
      </c>
      <c r="G1116">
        <f t="shared" si="52"/>
        <v>0</v>
      </c>
    </row>
    <row r="1117" spans="1:7" hidden="1" x14ac:dyDescent="0.35">
      <c r="A1117" s="11">
        <v>49756</v>
      </c>
      <c r="B1117" s="12" t="s">
        <v>14</v>
      </c>
      <c r="C1117" s="13">
        <v>28.4</v>
      </c>
      <c r="D1117" s="14">
        <v>1</v>
      </c>
      <c r="E1117">
        <f t="shared" si="51"/>
        <v>0.28399999999999997</v>
      </c>
      <c r="F1117">
        <f t="shared" si="53"/>
        <v>10.485399999999883</v>
      </c>
      <c r="G1117">
        <f t="shared" si="52"/>
        <v>0</v>
      </c>
    </row>
    <row r="1118" spans="1:7" hidden="1" x14ac:dyDescent="0.35">
      <c r="A1118" s="7">
        <v>49757</v>
      </c>
      <c r="B1118" s="8" t="s">
        <v>19</v>
      </c>
      <c r="C1118" s="9">
        <v>22.3</v>
      </c>
      <c r="D1118" s="10">
        <v>5.0999999999999996</v>
      </c>
      <c r="E1118">
        <f t="shared" si="51"/>
        <v>1.1373</v>
      </c>
      <c r="F1118">
        <f t="shared" si="53"/>
        <v>11.622699999999883</v>
      </c>
      <c r="G1118">
        <f t="shared" si="52"/>
        <v>0</v>
      </c>
    </row>
    <row r="1119" spans="1:7" hidden="1" x14ac:dyDescent="0.35">
      <c r="A1119" s="11">
        <v>49758</v>
      </c>
      <c r="B1119" s="12" t="s">
        <v>13</v>
      </c>
      <c r="C1119" s="13">
        <v>28.7</v>
      </c>
      <c r="D1119" s="14">
        <v>11.5</v>
      </c>
      <c r="E1119">
        <f t="shared" si="51"/>
        <v>3.3005</v>
      </c>
      <c r="F1119">
        <f t="shared" si="53"/>
        <v>14.923199999999882</v>
      </c>
      <c r="G1119">
        <f t="shared" si="52"/>
        <v>0</v>
      </c>
    </row>
    <row r="1120" spans="1:7" hidden="1" x14ac:dyDescent="0.35">
      <c r="A1120" s="7">
        <v>49759</v>
      </c>
      <c r="B1120" s="8" t="s">
        <v>6</v>
      </c>
      <c r="C1120" s="9">
        <v>19.100000000000001</v>
      </c>
      <c r="D1120" s="10">
        <v>0</v>
      </c>
      <c r="E1120">
        <f t="shared" si="51"/>
        <v>0</v>
      </c>
      <c r="F1120">
        <f t="shared" si="53"/>
        <v>14.923199999999882</v>
      </c>
      <c r="G1120">
        <f t="shared" si="52"/>
        <v>0</v>
      </c>
    </row>
    <row r="1121" spans="1:7" hidden="1" x14ac:dyDescent="0.35">
      <c r="A1121" s="11">
        <v>49760</v>
      </c>
      <c r="B1121" s="12" t="s">
        <v>10</v>
      </c>
      <c r="C1121" s="13">
        <v>10.199999999999999</v>
      </c>
      <c r="D1121" s="14">
        <v>7.6</v>
      </c>
      <c r="E1121">
        <f t="shared" si="51"/>
        <v>0.7752</v>
      </c>
      <c r="F1121">
        <f t="shared" si="53"/>
        <v>15.698399999999882</v>
      </c>
      <c r="G1121">
        <f t="shared" si="52"/>
        <v>0</v>
      </c>
    </row>
    <row r="1122" spans="1:7" hidden="1" x14ac:dyDescent="0.35">
      <c r="A1122" s="7">
        <v>49761</v>
      </c>
      <c r="B1122" s="8" t="s">
        <v>10</v>
      </c>
      <c r="C1122" s="9">
        <v>18.399999999999999</v>
      </c>
      <c r="D1122" s="10">
        <v>0</v>
      </c>
      <c r="E1122">
        <f t="shared" si="51"/>
        <v>0</v>
      </c>
      <c r="F1122">
        <f t="shared" si="53"/>
        <v>15.698399999999882</v>
      </c>
      <c r="G1122">
        <f t="shared" si="52"/>
        <v>0</v>
      </c>
    </row>
    <row r="1123" spans="1:7" hidden="1" x14ac:dyDescent="0.35">
      <c r="A1123" s="11">
        <v>49762</v>
      </c>
      <c r="B1123" s="12" t="s">
        <v>19</v>
      </c>
      <c r="C1123" s="13">
        <v>29.3</v>
      </c>
      <c r="D1123" s="14">
        <v>0</v>
      </c>
      <c r="E1123">
        <f t="shared" si="51"/>
        <v>0</v>
      </c>
      <c r="F1123">
        <f t="shared" si="53"/>
        <v>15.698399999999882</v>
      </c>
      <c r="G1123">
        <f t="shared" si="52"/>
        <v>0</v>
      </c>
    </row>
    <row r="1124" spans="1:7" hidden="1" x14ac:dyDescent="0.35">
      <c r="A1124" s="7">
        <v>49763</v>
      </c>
      <c r="B1124" s="8" t="s">
        <v>17</v>
      </c>
      <c r="C1124" s="9">
        <v>26.7</v>
      </c>
      <c r="D1124" s="10">
        <v>5.7</v>
      </c>
      <c r="E1124">
        <f t="shared" si="51"/>
        <v>1.5219</v>
      </c>
      <c r="F1124">
        <f t="shared" si="53"/>
        <v>17.220299999999881</v>
      </c>
      <c r="G1124">
        <f t="shared" si="52"/>
        <v>0</v>
      </c>
    </row>
    <row r="1125" spans="1:7" hidden="1" x14ac:dyDescent="0.35">
      <c r="A1125" s="11">
        <v>49764</v>
      </c>
      <c r="B1125" s="12" t="s">
        <v>8</v>
      </c>
      <c r="C1125" s="13">
        <v>22.2</v>
      </c>
      <c r="D1125" s="14">
        <v>0.9</v>
      </c>
      <c r="E1125">
        <f t="shared" si="51"/>
        <v>0</v>
      </c>
      <c r="F1125">
        <f t="shared" si="53"/>
        <v>17.220299999999881</v>
      </c>
      <c r="G1125">
        <f t="shared" si="52"/>
        <v>0</v>
      </c>
    </row>
    <row r="1126" spans="1:7" hidden="1" x14ac:dyDescent="0.35">
      <c r="A1126" s="7">
        <v>49765</v>
      </c>
      <c r="B1126" s="8" t="s">
        <v>13</v>
      </c>
      <c r="C1126" s="9">
        <v>25.5</v>
      </c>
      <c r="D1126" s="10">
        <v>5.8</v>
      </c>
      <c r="E1126">
        <f t="shared" si="51"/>
        <v>1.4790000000000001</v>
      </c>
      <c r="F1126">
        <f t="shared" si="53"/>
        <v>18.69929999999988</v>
      </c>
      <c r="G1126">
        <f t="shared" si="52"/>
        <v>0</v>
      </c>
    </row>
    <row r="1127" spans="1:7" hidden="1" x14ac:dyDescent="0.35">
      <c r="A1127" s="11">
        <v>49766</v>
      </c>
      <c r="B1127" s="12" t="s">
        <v>19</v>
      </c>
      <c r="C1127" s="13">
        <v>23.5</v>
      </c>
      <c r="D1127" s="14">
        <v>32</v>
      </c>
      <c r="E1127">
        <f t="shared" si="51"/>
        <v>7.52</v>
      </c>
      <c r="F1127">
        <f t="shared" si="53"/>
        <v>26.21929999999988</v>
      </c>
      <c r="G1127">
        <f t="shared" si="52"/>
        <v>0</v>
      </c>
    </row>
    <row r="1128" spans="1:7" hidden="1" x14ac:dyDescent="0.35">
      <c r="A1128" s="7">
        <v>49767</v>
      </c>
      <c r="B1128" s="8" t="s">
        <v>5</v>
      </c>
      <c r="C1128" s="9">
        <v>28.4</v>
      </c>
      <c r="D1128" s="10">
        <v>5.7</v>
      </c>
      <c r="E1128">
        <f t="shared" si="51"/>
        <v>1.6188</v>
      </c>
      <c r="F1128">
        <f t="shared" si="53"/>
        <v>27.83809999999988</v>
      </c>
      <c r="G1128">
        <f t="shared" si="52"/>
        <v>0</v>
      </c>
    </row>
    <row r="1129" spans="1:7" hidden="1" x14ac:dyDescent="0.35">
      <c r="A1129" s="11">
        <v>49768</v>
      </c>
      <c r="B1129" s="12" t="s">
        <v>22</v>
      </c>
      <c r="C1129" s="13">
        <v>13.7</v>
      </c>
      <c r="D1129" s="14">
        <v>6</v>
      </c>
      <c r="E1129">
        <f t="shared" si="51"/>
        <v>0.82199999999999984</v>
      </c>
      <c r="F1129">
        <f t="shared" si="53"/>
        <v>28.660099999999879</v>
      </c>
      <c r="G1129">
        <f t="shared" si="52"/>
        <v>0</v>
      </c>
    </row>
    <row r="1130" spans="1:7" hidden="1" x14ac:dyDescent="0.35">
      <c r="A1130" s="7">
        <v>49769</v>
      </c>
      <c r="B1130" s="8" t="s">
        <v>9</v>
      </c>
      <c r="C1130" s="9">
        <v>22.1</v>
      </c>
      <c r="D1130" s="10">
        <v>11.7</v>
      </c>
      <c r="E1130">
        <f t="shared" si="51"/>
        <v>2.5857000000000001</v>
      </c>
      <c r="F1130">
        <f t="shared" si="53"/>
        <v>31.245799999999878</v>
      </c>
      <c r="G1130">
        <f t="shared" si="52"/>
        <v>0</v>
      </c>
    </row>
    <row r="1131" spans="1:7" hidden="1" x14ac:dyDescent="0.35">
      <c r="A1131" s="11">
        <v>49770</v>
      </c>
      <c r="B1131" s="12" t="s">
        <v>11</v>
      </c>
      <c r="C1131" s="13">
        <v>16.899999999999999</v>
      </c>
      <c r="D1131" s="14">
        <v>18.2</v>
      </c>
      <c r="E1131">
        <f t="shared" si="51"/>
        <v>3.0757999999999996</v>
      </c>
      <c r="F1131">
        <f t="shared" si="53"/>
        <v>34.321599999999876</v>
      </c>
      <c r="G1131">
        <f t="shared" si="52"/>
        <v>0</v>
      </c>
    </row>
    <row r="1132" spans="1:7" hidden="1" x14ac:dyDescent="0.35">
      <c r="A1132" s="7">
        <v>49771</v>
      </c>
      <c r="B1132" s="8" t="s">
        <v>22</v>
      </c>
      <c r="C1132" s="9">
        <v>28</v>
      </c>
      <c r="D1132" s="10">
        <v>0</v>
      </c>
      <c r="E1132">
        <f t="shared" si="51"/>
        <v>0</v>
      </c>
      <c r="F1132">
        <f t="shared" si="53"/>
        <v>34.321599999999876</v>
      </c>
      <c r="G1132">
        <f t="shared" si="52"/>
        <v>0</v>
      </c>
    </row>
    <row r="1133" spans="1:7" hidden="1" x14ac:dyDescent="0.35">
      <c r="A1133" s="11">
        <v>49772</v>
      </c>
      <c r="B1133" s="12" t="s">
        <v>10</v>
      </c>
      <c r="C1133" s="13">
        <v>13.5</v>
      </c>
      <c r="D1133" s="14">
        <v>3.7</v>
      </c>
      <c r="E1133">
        <f t="shared" si="51"/>
        <v>0.49950000000000006</v>
      </c>
      <c r="F1133">
        <f t="shared" si="53"/>
        <v>34.821099999999873</v>
      </c>
      <c r="G1133">
        <f t="shared" si="52"/>
        <v>0</v>
      </c>
    </row>
    <row r="1134" spans="1:7" hidden="1" x14ac:dyDescent="0.35">
      <c r="A1134" s="7">
        <v>49773</v>
      </c>
      <c r="B1134" s="8" t="s">
        <v>19</v>
      </c>
      <c r="C1134" s="9">
        <v>13.4</v>
      </c>
      <c r="D1134" s="10">
        <v>22.5</v>
      </c>
      <c r="E1134">
        <f t="shared" si="51"/>
        <v>3.0150000000000001</v>
      </c>
      <c r="F1134">
        <f t="shared" si="53"/>
        <v>37.836099999999874</v>
      </c>
      <c r="G1134">
        <f t="shared" si="52"/>
        <v>0</v>
      </c>
    </row>
    <row r="1135" spans="1:7" hidden="1" x14ac:dyDescent="0.35">
      <c r="A1135" s="11">
        <v>49774</v>
      </c>
      <c r="B1135" s="12" t="s">
        <v>6</v>
      </c>
      <c r="C1135" s="13">
        <v>19.899999999999999</v>
      </c>
      <c r="D1135" s="14">
        <v>11.6</v>
      </c>
      <c r="E1135">
        <f t="shared" si="51"/>
        <v>2.3083999999999998</v>
      </c>
      <c r="F1135">
        <f t="shared" si="53"/>
        <v>40.144499999999873</v>
      </c>
      <c r="G1135">
        <f t="shared" si="52"/>
        <v>0</v>
      </c>
    </row>
    <row r="1136" spans="1:7" hidden="1" x14ac:dyDescent="0.35">
      <c r="A1136" s="7">
        <v>49775</v>
      </c>
      <c r="B1136" s="8" t="s">
        <v>7</v>
      </c>
      <c r="C1136" s="9">
        <v>24.2</v>
      </c>
      <c r="D1136" s="10">
        <v>11</v>
      </c>
      <c r="E1136">
        <f t="shared" si="51"/>
        <v>2.6619999999999999</v>
      </c>
      <c r="F1136">
        <f t="shared" si="53"/>
        <v>42.806499999999872</v>
      </c>
      <c r="G1136">
        <f t="shared" si="52"/>
        <v>0</v>
      </c>
    </row>
    <row r="1137" spans="1:7" hidden="1" x14ac:dyDescent="0.35">
      <c r="A1137" s="11">
        <v>49776</v>
      </c>
      <c r="B1137" s="12" t="s">
        <v>27</v>
      </c>
      <c r="C1137" s="13">
        <v>20.399999999999999</v>
      </c>
      <c r="D1137" s="14">
        <v>0</v>
      </c>
      <c r="E1137">
        <f t="shared" si="51"/>
        <v>0</v>
      </c>
      <c r="F1137">
        <f t="shared" si="53"/>
        <v>42.806499999999872</v>
      </c>
      <c r="G1137">
        <f t="shared" si="52"/>
        <v>0</v>
      </c>
    </row>
    <row r="1138" spans="1:7" hidden="1" x14ac:dyDescent="0.35">
      <c r="A1138" s="7">
        <v>49777</v>
      </c>
      <c r="B1138" s="8" t="s">
        <v>27</v>
      </c>
      <c r="C1138" s="9">
        <v>16.600000000000001</v>
      </c>
      <c r="D1138" s="10">
        <v>3.9</v>
      </c>
      <c r="E1138">
        <f t="shared" si="51"/>
        <v>0.64740000000000009</v>
      </c>
      <c r="F1138">
        <f t="shared" si="53"/>
        <v>43.453899999999869</v>
      </c>
      <c r="G1138">
        <f t="shared" si="52"/>
        <v>0</v>
      </c>
    </row>
    <row r="1139" spans="1:7" hidden="1" x14ac:dyDescent="0.35">
      <c r="A1139" s="11">
        <v>49778</v>
      </c>
      <c r="B1139" s="12" t="s">
        <v>33</v>
      </c>
      <c r="C1139" s="13">
        <v>14.3</v>
      </c>
      <c r="D1139" s="14">
        <v>0</v>
      </c>
      <c r="E1139">
        <f t="shared" si="51"/>
        <v>0</v>
      </c>
      <c r="F1139">
        <f t="shared" si="53"/>
        <v>43.453899999999869</v>
      </c>
      <c r="G1139">
        <f t="shared" si="52"/>
        <v>0</v>
      </c>
    </row>
    <row r="1140" spans="1:7" hidden="1" x14ac:dyDescent="0.35">
      <c r="A1140" s="7">
        <v>49779</v>
      </c>
      <c r="B1140" s="8" t="s">
        <v>26</v>
      </c>
      <c r="C1140" s="9">
        <v>24.4</v>
      </c>
      <c r="D1140" s="10">
        <v>4.4000000000000004</v>
      </c>
      <c r="E1140">
        <f t="shared" si="51"/>
        <v>1.0735999999999999</v>
      </c>
      <c r="F1140">
        <f t="shared" si="53"/>
        <v>44.527499999999868</v>
      </c>
      <c r="G1140">
        <f t="shared" si="52"/>
        <v>0</v>
      </c>
    </row>
    <row r="1141" spans="1:7" hidden="1" x14ac:dyDescent="0.35">
      <c r="A1141" s="11">
        <v>49780</v>
      </c>
      <c r="B1141" s="12" t="s">
        <v>10</v>
      </c>
      <c r="C1141" s="13">
        <v>26.7</v>
      </c>
      <c r="D1141" s="14">
        <v>30.4</v>
      </c>
      <c r="E1141">
        <f t="shared" si="51"/>
        <v>8.1167999999999996</v>
      </c>
      <c r="F1141">
        <f t="shared" si="53"/>
        <v>52.644299999999866</v>
      </c>
      <c r="G1141">
        <f t="shared" si="52"/>
        <v>0</v>
      </c>
    </row>
    <row r="1142" spans="1:7" hidden="1" x14ac:dyDescent="0.35">
      <c r="A1142" s="7">
        <v>49781</v>
      </c>
      <c r="B1142" s="8" t="s">
        <v>13</v>
      </c>
      <c r="C1142" s="9">
        <v>20.100000000000001</v>
      </c>
      <c r="D1142" s="10">
        <v>3.1</v>
      </c>
      <c r="E1142">
        <f t="shared" si="51"/>
        <v>0.6231000000000001</v>
      </c>
      <c r="F1142">
        <f t="shared" si="53"/>
        <v>53.267399999999867</v>
      </c>
      <c r="G1142">
        <f t="shared" si="52"/>
        <v>0</v>
      </c>
    </row>
    <row r="1143" spans="1:7" hidden="1" x14ac:dyDescent="0.35">
      <c r="A1143" s="11">
        <v>49782</v>
      </c>
      <c r="B1143" s="12" t="s">
        <v>6</v>
      </c>
      <c r="C1143" s="13">
        <v>13.5</v>
      </c>
      <c r="D1143" s="14">
        <v>6.9</v>
      </c>
      <c r="E1143">
        <f t="shared" si="51"/>
        <v>0.93150000000000011</v>
      </c>
      <c r="F1143">
        <f t="shared" si="53"/>
        <v>54.198899999999867</v>
      </c>
      <c r="G1143">
        <f t="shared" si="52"/>
        <v>0</v>
      </c>
    </row>
    <row r="1144" spans="1:7" hidden="1" x14ac:dyDescent="0.35">
      <c r="A1144" s="7">
        <v>49783</v>
      </c>
      <c r="B1144" s="8" t="s">
        <v>7</v>
      </c>
      <c r="C1144" s="9">
        <v>18.8</v>
      </c>
      <c r="D1144" s="10">
        <v>21.5</v>
      </c>
      <c r="E1144">
        <f t="shared" si="51"/>
        <v>4.0419999999999998</v>
      </c>
      <c r="F1144">
        <f t="shared" si="53"/>
        <v>58.240899999999868</v>
      </c>
      <c r="G1144">
        <f t="shared" si="52"/>
        <v>0</v>
      </c>
    </row>
    <row r="1145" spans="1:7" hidden="1" x14ac:dyDescent="0.35">
      <c r="A1145" s="11">
        <v>49784</v>
      </c>
      <c r="B1145" s="12" t="s">
        <v>19</v>
      </c>
      <c r="C1145" s="13">
        <v>18</v>
      </c>
      <c r="D1145" s="14">
        <v>13.9</v>
      </c>
      <c r="E1145">
        <f t="shared" si="51"/>
        <v>2.5020000000000002</v>
      </c>
      <c r="F1145">
        <f t="shared" si="53"/>
        <v>60.742899999999871</v>
      </c>
      <c r="G1145">
        <f t="shared" si="52"/>
        <v>0</v>
      </c>
    </row>
    <row r="1146" spans="1:7" hidden="1" x14ac:dyDescent="0.35">
      <c r="A1146" s="7">
        <v>49785</v>
      </c>
      <c r="B1146" s="8" t="s">
        <v>27</v>
      </c>
      <c r="C1146" s="9">
        <v>16.899999999999999</v>
      </c>
      <c r="D1146" s="10">
        <v>1.8</v>
      </c>
      <c r="E1146">
        <f t="shared" si="51"/>
        <v>0.30419999999999997</v>
      </c>
      <c r="F1146">
        <f t="shared" si="53"/>
        <v>61.047099999999872</v>
      </c>
      <c r="G1146">
        <f t="shared" si="52"/>
        <v>0</v>
      </c>
    </row>
    <row r="1147" spans="1:7" hidden="1" x14ac:dyDescent="0.35">
      <c r="A1147" s="11">
        <v>49786</v>
      </c>
      <c r="B1147" s="12" t="s">
        <v>6</v>
      </c>
      <c r="C1147" s="13">
        <v>23.7</v>
      </c>
      <c r="D1147" s="14">
        <v>13</v>
      </c>
      <c r="E1147">
        <f t="shared" si="51"/>
        <v>3.0809999999999995</v>
      </c>
      <c r="F1147">
        <f t="shared" si="53"/>
        <v>64.128099999999876</v>
      </c>
      <c r="G1147">
        <f t="shared" si="52"/>
        <v>0</v>
      </c>
    </row>
    <row r="1148" spans="1:7" hidden="1" x14ac:dyDescent="0.35">
      <c r="A1148" s="7">
        <v>49787</v>
      </c>
      <c r="B1148" s="8" t="s">
        <v>32</v>
      </c>
      <c r="C1148" s="9">
        <v>17.600000000000001</v>
      </c>
      <c r="D1148" s="10">
        <v>0.6</v>
      </c>
      <c r="E1148">
        <f t="shared" si="51"/>
        <v>0</v>
      </c>
      <c r="F1148">
        <f t="shared" si="53"/>
        <v>64.128099999999876</v>
      </c>
      <c r="G1148">
        <f t="shared" si="52"/>
        <v>0</v>
      </c>
    </row>
    <row r="1149" spans="1:7" hidden="1" x14ac:dyDescent="0.35">
      <c r="A1149" s="11">
        <v>49788</v>
      </c>
      <c r="B1149" s="12" t="s">
        <v>7</v>
      </c>
      <c r="C1149" s="13">
        <v>29.1</v>
      </c>
      <c r="D1149" s="14">
        <v>8.3000000000000007</v>
      </c>
      <c r="E1149">
        <f t="shared" si="51"/>
        <v>2.4153000000000002</v>
      </c>
      <c r="F1149">
        <f t="shared" si="53"/>
        <v>66.543399999999878</v>
      </c>
      <c r="G1149">
        <f t="shared" si="52"/>
        <v>0</v>
      </c>
    </row>
    <row r="1150" spans="1:7" hidden="1" x14ac:dyDescent="0.35">
      <c r="A1150" s="7">
        <v>49789</v>
      </c>
      <c r="B1150" s="8" t="s">
        <v>9</v>
      </c>
      <c r="C1150" s="9">
        <v>26.8</v>
      </c>
      <c r="D1150" s="10">
        <v>11.2</v>
      </c>
      <c r="E1150">
        <f t="shared" si="51"/>
        <v>3.0015999999999998</v>
      </c>
      <c r="F1150">
        <f t="shared" si="53"/>
        <v>69.544999999999874</v>
      </c>
      <c r="G1150">
        <f t="shared" si="52"/>
        <v>0</v>
      </c>
    </row>
    <row r="1151" spans="1:7" hidden="1" x14ac:dyDescent="0.35">
      <c r="A1151" s="11">
        <v>49790</v>
      </c>
      <c r="B1151" s="12" t="s">
        <v>18</v>
      </c>
      <c r="C1151" s="13">
        <v>10.5</v>
      </c>
      <c r="D1151" s="14">
        <v>0</v>
      </c>
      <c r="E1151">
        <f t="shared" si="51"/>
        <v>0</v>
      </c>
      <c r="F1151">
        <f t="shared" si="53"/>
        <v>69.544999999999874</v>
      </c>
      <c r="G1151">
        <f t="shared" si="52"/>
        <v>0</v>
      </c>
    </row>
    <row r="1152" spans="1:7" hidden="1" x14ac:dyDescent="0.35">
      <c r="A1152" s="7">
        <v>49791</v>
      </c>
      <c r="B1152" s="8" t="s">
        <v>11</v>
      </c>
      <c r="C1152" s="9">
        <v>13.5</v>
      </c>
      <c r="D1152" s="10">
        <v>0</v>
      </c>
      <c r="E1152">
        <f t="shared" si="51"/>
        <v>0</v>
      </c>
      <c r="F1152">
        <f t="shared" si="53"/>
        <v>69.544999999999874</v>
      </c>
      <c r="G1152">
        <f t="shared" si="52"/>
        <v>0</v>
      </c>
    </row>
    <row r="1153" spans="1:7" hidden="1" x14ac:dyDescent="0.35">
      <c r="A1153" s="11">
        <v>49792</v>
      </c>
      <c r="B1153" s="12" t="s">
        <v>10</v>
      </c>
      <c r="C1153" s="13">
        <v>14</v>
      </c>
      <c r="D1153" s="14">
        <v>22</v>
      </c>
      <c r="E1153">
        <f t="shared" si="51"/>
        <v>3.08</v>
      </c>
      <c r="F1153">
        <f t="shared" si="53"/>
        <v>72.624999999999872</v>
      </c>
      <c r="G1153">
        <f t="shared" si="52"/>
        <v>0</v>
      </c>
    </row>
    <row r="1154" spans="1:7" hidden="1" x14ac:dyDescent="0.35">
      <c r="A1154" s="7">
        <v>49793</v>
      </c>
      <c r="B1154" s="8" t="s">
        <v>11</v>
      </c>
      <c r="C1154" s="9">
        <v>26.7</v>
      </c>
      <c r="D1154" s="10">
        <v>8</v>
      </c>
      <c r="E1154">
        <f t="shared" si="51"/>
        <v>2.1360000000000001</v>
      </c>
      <c r="F1154">
        <f t="shared" si="53"/>
        <v>74.760999999999868</v>
      </c>
      <c r="G1154">
        <f t="shared" si="52"/>
        <v>0</v>
      </c>
    </row>
    <row r="1155" spans="1:7" hidden="1" x14ac:dyDescent="0.35">
      <c r="A1155" s="11">
        <v>49794</v>
      </c>
      <c r="B1155" s="12" t="s">
        <v>26</v>
      </c>
      <c r="C1155" s="13">
        <v>11.2</v>
      </c>
      <c r="D1155" s="14">
        <v>6.1</v>
      </c>
      <c r="E1155">
        <f t="shared" ref="E1155:E1218" si="54">IF(D1155&gt;=1,C1155*D1155/100,0)</f>
        <v>0.68319999999999992</v>
      </c>
      <c r="F1155">
        <f t="shared" si="53"/>
        <v>75.444199999999867</v>
      </c>
      <c r="G1155">
        <f t="shared" ref="G1155:G1218" si="55">IF(F1155&gt;=100,1,0)</f>
        <v>0</v>
      </c>
    </row>
    <row r="1156" spans="1:7" hidden="1" x14ac:dyDescent="0.35">
      <c r="A1156" s="7">
        <v>49795</v>
      </c>
      <c r="B1156" s="8" t="s">
        <v>27</v>
      </c>
      <c r="C1156" s="9">
        <v>24.7</v>
      </c>
      <c r="D1156" s="10">
        <v>0</v>
      </c>
      <c r="E1156">
        <f t="shared" si="54"/>
        <v>0</v>
      </c>
      <c r="F1156">
        <f t="shared" ref="F1156:F1219" si="56">IF(G1155=1,E1156+F1155-100,F1155+E1156)</f>
        <v>75.444199999999867</v>
      </c>
      <c r="G1156">
        <f t="shared" si="55"/>
        <v>0</v>
      </c>
    </row>
    <row r="1157" spans="1:7" hidden="1" x14ac:dyDescent="0.35">
      <c r="A1157" s="11">
        <v>49796</v>
      </c>
      <c r="B1157" s="12" t="s">
        <v>29</v>
      </c>
      <c r="C1157" s="13">
        <v>27.2</v>
      </c>
      <c r="D1157" s="14">
        <v>0.3</v>
      </c>
      <c r="E1157">
        <f t="shared" si="54"/>
        <v>0</v>
      </c>
      <c r="F1157">
        <f t="shared" si="56"/>
        <v>75.444199999999867</v>
      </c>
      <c r="G1157">
        <f t="shared" si="55"/>
        <v>0</v>
      </c>
    </row>
    <row r="1158" spans="1:7" hidden="1" x14ac:dyDescent="0.35">
      <c r="A1158" s="7">
        <v>49797</v>
      </c>
      <c r="B1158" s="8" t="s">
        <v>30</v>
      </c>
      <c r="C1158" s="9">
        <v>11</v>
      </c>
      <c r="D1158" s="10">
        <v>0</v>
      </c>
      <c r="E1158">
        <f t="shared" si="54"/>
        <v>0</v>
      </c>
      <c r="F1158">
        <f t="shared" si="56"/>
        <v>75.444199999999867</v>
      </c>
      <c r="G1158">
        <f t="shared" si="55"/>
        <v>0</v>
      </c>
    </row>
    <row r="1159" spans="1:7" hidden="1" x14ac:dyDescent="0.35">
      <c r="A1159" s="11">
        <v>49798</v>
      </c>
      <c r="B1159" s="12" t="s">
        <v>12</v>
      </c>
      <c r="C1159" s="13">
        <v>10.9</v>
      </c>
      <c r="D1159" s="14">
        <v>4.4000000000000004</v>
      </c>
      <c r="E1159">
        <f t="shared" si="54"/>
        <v>0.47960000000000008</v>
      </c>
      <c r="F1159">
        <f t="shared" si="56"/>
        <v>75.923799999999872</v>
      </c>
      <c r="G1159">
        <f t="shared" si="55"/>
        <v>0</v>
      </c>
    </row>
    <row r="1160" spans="1:7" hidden="1" x14ac:dyDescent="0.35">
      <c r="A1160" s="7">
        <v>49799</v>
      </c>
      <c r="B1160" s="8" t="s">
        <v>7</v>
      </c>
      <c r="C1160" s="9">
        <v>27.4</v>
      </c>
      <c r="D1160" s="10">
        <v>6</v>
      </c>
      <c r="E1160">
        <f t="shared" si="54"/>
        <v>1.6439999999999997</v>
      </c>
      <c r="F1160">
        <f t="shared" si="56"/>
        <v>77.567799999999878</v>
      </c>
      <c r="G1160">
        <f t="shared" si="55"/>
        <v>0</v>
      </c>
    </row>
    <row r="1161" spans="1:7" hidden="1" x14ac:dyDescent="0.35">
      <c r="A1161" s="11">
        <v>49800</v>
      </c>
      <c r="B1161" s="12" t="s">
        <v>6</v>
      </c>
      <c r="C1161" s="13">
        <v>20</v>
      </c>
      <c r="D1161" s="14">
        <v>7.6</v>
      </c>
      <c r="E1161">
        <f t="shared" si="54"/>
        <v>1.52</v>
      </c>
      <c r="F1161">
        <f t="shared" si="56"/>
        <v>79.087799999999874</v>
      </c>
      <c r="G1161">
        <f t="shared" si="55"/>
        <v>0</v>
      </c>
    </row>
    <row r="1162" spans="1:7" hidden="1" x14ac:dyDescent="0.35">
      <c r="A1162" s="7">
        <v>49801</v>
      </c>
      <c r="B1162" s="8" t="s">
        <v>18</v>
      </c>
      <c r="C1162" s="9">
        <v>23.5</v>
      </c>
      <c r="D1162" s="10">
        <v>2.5</v>
      </c>
      <c r="E1162">
        <f t="shared" si="54"/>
        <v>0.58750000000000002</v>
      </c>
      <c r="F1162">
        <f t="shared" si="56"/>
        <v>79.675299999999879</v>
      </c>
      <c r="G1162">
        <f t="shared" si="55"/>
        <v>0</v>
      </c>
    </row>
    <row r="1163" spans="1:7" hidden="1" x14ac:dyDescent="0.35">
      <c r="A1163" s="11">
        <v>49802</v>
      </c>
      <c r="B1163" s="12" t="s">
        <v>11</v>
      </c>
      <c r="C1163" s="13">
        <v>28.5</v>
      </c>
      <c r="D1163" s="14">
        <v>0</v>
      </c>
      <c r="E1163">
        <f t="shared" si="54"/>
        <v>0</v>
      </c>
      <c r="F1163">
        <f t="shared" si="56"/>
        <v>79.675299999999879</v>
      </c>
      <c r="G1163">
        <f t="shared" si="55"/>
        <v>0</v>
      </c>
    </row>
    <row r="1164" spans="1:7" hidden="1" x14ac:dyDescent="0.35">
      <c r="A1164" s="7">
        <v>49803</v>
      </c>
      <c r="B1164" s="8" t="s">
        <v>27</v>
      </c>
      <c r="C1164" s="9">
        <v>10.8</v>
      </c>
      <c r="D1164" s="10">
        <v>5.8</v>
      </c>
      <c r="E1164">
        <f t="shared" si="54"/>
        <v>0.62639999999999996</v>
      </c>
      <c r="F1164">
        <f t="shared" si="56"/>
        <v>80.301699999999883</v>
      </c>
      <c r="G1164">
        <f t="shared" si="55"/>
        <v>0</v>
      </c>
    </row>
    <row r="1165" spans="1:7" hidden="1" x14ac:dyDescent="0.35">
      <c r="A1165" s="11">
        <v>49804</v>
      </c>
      <c r="B1165" s="12" t="s">
        <v>15</v>
      </c>
      <c r="C1165" s="13">
        <v>18.899999999999999</v>
      </c>
      <c r="D1165" s="14">
        <v>9.5</v>
      </c>
      <c r="E1165">
        <f t="shared" si="54"/>
        <v>1.7954999999999999</v>
      </c>
      <c r="F1165">
        <f t="shared" si="56"/>
        <v>82.097199999999887</v>
      </c>
      <c r="G1165">
        <f t="shared" si="55"/>
        <v>0</v>
      </c>
    </row>
    <row r="1166" spans="1:7" hidden="1" x14ac:dyDescent="0.35">
      <c r="A1166" s="7">
        <v>49805</v>
      </c>
      <c r="B1166" s="8" t="s">
        <v>13</v>
      </c>
      <c r="C1166" s="9">
        <v>24</v>
      </c>
      <c r="D1166" s="10">
        <v>4</v>
      </c>
      <c r="E1166">
        <f t="shared" si="54"/>
        <v>0.96</v>
      </c>
      <c r="F1166">
        <f t="shared" si="56"/>
        <v>83.057199999999881</v>
      </c>
      <c r="G1166">
        <f t="shared" si="55"/>
        <v>0</v>
      </c>
    </row>
    <row r="1167" spans="1:7" hidden="1" x14ac:dyDescent="0.35">
      <c r="A1167" s="11">
        <v>49806</v>
      </c>
      <c r="B1167" s="12" t="s">
        <v>12</v>
      </c>
      <c r="C1167" s="13">
        <v>12.7</v>
      </c>
      <c r="D1167" s="14">
        <v>3</v>
      </c>
      <c r="E1167">
        <f t="shared" si="54"/>
        <v>0.38099999999999995</v>
      </c>
      <c r="F1167">
        <f t="shared" si="56"/>
        <v>83.438199999999881</v>
      </c>
      <c r="G1167">
        <f t="shared" si="55"/>
        <v>0</v>
      </c>
    </row>
    <row r="1168" spans="1:7" hidden="1" x14ac:dyDescent="0.35">
      <c r="A1168" s="7">
        <v>49807</v>
      </c>
      <c r="B1168" s="8" t="s">
        <v>7</v>
      </c>
      <c r="C1168" s="9">
        <v>13.4</v>
      </c>
      <c r="D1168" s="10">
        <v>6.2</v>
      </c>
      <c r="E1168">
        <f t="shared" si="54"/>
        <v>0.83079999999999998</v>
      </c>
      <c r="F1168">
        <f t="shared" si="56"/>
        <v>84.268999999999878</v>
      </c>
      <c r="G1168">
        <f t="shared" si="55"/>
        <v>0</v>
      </c>
    </row>
    <row r="1169" spans="1:7" hidden="1" x14ac:dyDescent="0.35">
      <c r="A1169" s="11">
        <v>49808</v>
      </c>
      <c r="B1169" s="12" t="s">
        <v>10</v>
      </c>
      <c r="C1169" s="13">
        <v>15.9</v>
      </c>
      <c r="D1169" s="14">
        <v>0</v>
      </c>
      <c r="E1169">
        <f t="shared" si="54"/>
        <v>0</v>
      </c>
      <c r="F1169">
        <f t="shared" si="56"/>
        <v>84.268999999999878</v>
      </c>
      <c r="G1169">
        <f t="shared" si="55"/>
        <v>0</v>
      </c>
    </row>
    <row r="1170" spans="1:7" hidden="1" x14ac:dyDescent="0.35">
      <c r="A1170" s="7">
        <v>49809</v>
      </c>
      <c r="B1170" s="8" t="s">
        <v>11</v>
      </c>
      <c r="C1170" s="9">
        <v>19.399999999999999</v>
      </c>
      <c r="D1170" s="10">
        <v>21.2</v>
      </c>
      <c r="E1170">
        <f t="shared" si="54"/>
        <v>4.1128</v>
      </c>
      <c r="F1170">
        <f t="shared" si="56"/>
        <v>88.381799999999885</v>
      </c>
      <c r="G1170">
        <f t="shared" si="55"/>
        <v>0</v>
      </c>
    </row>
    <row r="1171" spans="1:7" hidden="1" x14ac:dyDescent="0.35">
      <c r="A1171" s="11">
        <v>49810</v>
      </c>
      <c r="B1171" s="12" t="s">
        <v>15</v>
      </c>
      <c r="C1171" s="13">
        <v>16.3</v>
      </c>
      <c r="D1171" s="14">
        <v>17.600000000000001</v>
      </c>
      <c r="E1171">
        <f t="shared" si="54"/>
        <v>2.8688000000000007</v>
      </c>
      <c r="F1171">
        <f t="shared" si="56"/>
        <v>91.250599999999892</v>
      </c>
      <c r="G1171">
        <f t="shared" si="55"/>
        <v>0</v>
      </c>
    </row>
    <row r="1172" spans="1:7" hidden="1" x14ac:dyDescent="0.35">
      <c r="A1172" s="7">
        <v>49811</v>
      </c>
      <c r="B1172" s="8" t="s">
        <v>11</v>
      </c>
      <c r="C1172" s="9">
        <v>28</v>
      </c>
      <c r="D1172" s="10">
        <v>20.399999999999999</v>
      </c>
      <c r="E1172">
        <f t="shared" si="54"/>
        <v>5.7119999999999997</v>
      </c>
      <c r="F1172">
        <f t="shared" si="56"/>
        <v>96.962599999999895</v>
      </c>
      <c r="G1172">
        <f t="shared" si="55"/>
        <v>0</v>
      </c>
    </row>
    <row r="1173" spans="1:7" hidden="1" x14ac:dyDescent="0.35">
      <c r="A1173" s="11">
        <v>49812</v>
      </c>
      <c r="B1173" s="12" t="s">
        <v>12</v>
      </c>
      <c r="C1173" s="13">
        <v>19</v>
      </c>
      <c r="D1173" s="14">
        <v>5.2</v>
      </c>
      <c r="E1173">
        <f t="shared" si="54"/>
        <v>0.98799999999999999</v>
      </c>
      <c r="F1173">
        <f t="shared" si="56"/>
        <v>97.950599999999895</v>
      </c>
      <c r="G1173">
        <f t="shared" si="55"/>
        <v>0</v>
      </c>
    </row>
    <row r="1174" spans="1:7" hidden="1" x14ac:dyDescent="0.35">
      <c r="A1174" s="7">
        <v>49813</v>
      </c>
      <c r="B1174" s="8" t="s">
        <v>27</v>
      </c>
      <c r="C1174" s="9">
        <v>24.1</v>
      </c>
      <c r="D1174" s="10">
        <v>4.8</v>
      </c>
      <c r="E1174">
        <f t="shared" si="54"/>
        <v>1.1568000000000001</v>
      </c>
      <c r="F1174">
        <f t="shared" si="56"/>
        <v>99.107399999999899</v>
      </c>
      <c r="G1174">
        <f t="shared" si="55"/>
        <v>0</v>
      </c>
    </row>
    <row r="1175" spans="1:7" x14ac:dyDescent="0.35">
      <c r="A1175" s="11">
        <v>49814</v>
      </c>
      <c r="B1175" s="12" t="s">
        <v>10</v>
      </c>
      <c r="C1175" s="13">
        <v>15.2</v>
      </c>
      <c r="D1175" s="14">
        <v>25.7</v>
      </c>
      <c r="E1175">
        <f t="shared" si="54"/>
        <v>3.9063999999999997</v>
      </c>
      <c r="F1175">
        <f t="shared" si="56"/>
        <v>103.0137999999999</v>
      </c>
      <c r="G1175">
        <f t="shared" si="55"/>
        <v>1</v>
      </c>
    </row>
    <row r="1176" spans="1:7" hidden="1" x14ac:dyDescent="0.35">
      <c r="A1176" s="7">
        <v>49815</v>
      </c>
      <c r="B1176" s="8" t="s">
        <v>11</v>
      </c>
      <c r="C1176" s="9">
        <v>16.3</v>
      </c>
      <c r="D1176" s="10">
        <v>21</v>
      </c>
      <c r="E1176">
        <f t="shared" si="54"/>
        <v>3.423</v>
      </c>
      <c r="F1176">
        <f t="shared" si="56"/>
        <v>6.4367999999999057</v>
      </c>
      <c r="G1176">
        <f t="shared" si="55"/>
        <v>0</v>
      </c>
    </row>
    <row r="1177" spans="1:7" hidden="1" x14ac:dyDescent="0.35">
      <c r="A1177" s="11">
        <v>49816</v>
      </c>
      <c r="B1177" s="12" t="s">
        <v>7</v>
      </c>
      <c r="C1177" s="13">
        <v>26.9</v>
      </c>
      <c r="D1177" s="14">
        <v>0</v>
      </c>
      <c r="E1177">
        <f t="shared" si="54"/>
        <v>0</v>
      </c>
      <c r="F1177">
        <f t="shared" si="56"/>
        <v>6.4367999999999057</v>
      </c>
      <c r="G1177">
        <f t="shared" si="55"/>
        <v>0</v>
      </c>
    </row>
    <row r="1178" spans="1:7" hidden="1" x14ac:dyDescent="0.35">
      <c r="A1178" s="7">
        <v>49817</v>
      </c>
      <c r="B1178" s="8" t="s">
        <v>9</v>
      </c>
      <c r="C1178" s="9">
        <v>25</v>
      </c>
      <c r="D1178" s="10">
        <v>0.5</v>
      </c>
      <c r="E1178">
        <f t="shared" si="54"/>
        <v>0</v>
      </c>
      <c r="F1178">
        <f t="shared" si="56"/>
        <v>6.4367999999999057</v>
      </c>
      <c r="G1178">
        <f t="shared" si="55"/>
        <v>0</v>
      </c>
    </row>
    <row r="1179" spans="1:7" hidden="1" x14ac:dyDescent="0.35">
      <c r="A1179" s="11">
        <v>49818</v>
      </c>
      <c r="B1179" s="12" t="s">
        <v>17</v>
      </c>
      <c r="C1179" s="13">
        <v>25.1</v>
      </c>
      <c r="D1179" s="14">
        <v>5.2</v>
      </c>
      <c r="E1179">
        <f t="shared" si="54"/>
        <v>1.3052000000000001</v>
      </c>
      <c r="F1179">
        <f t="shared" si="56"/>
        <v>7.7419999999999058</v>
      </c>
      <c r="G1179">
        <f t="shared" si="55"/>
        <v>0</v>
      </c>
    </row>
    <row r="1180" spans="1:7" hidden="1" x14ac:dyDescent="0.35">
      <c r="A1180" s="7">
        <v>49819</v>
      </c>
      <c r="B1180" s="8" t="s">
        <v>12</v>
      </c>
      <c r="C1180" s="9">
        <v>29.2</v>
      </c>
      <c r="D1180" s="10">
        <v>7.1</v>
      </c>
      <c r="E1180">
        <f t="shared" si="54"/>
        <v>2.0731999999999999</v>
      </c>
      <c r="F1180">
        <f t="shared" si="56"/>
        <v>9.8151999999999049</v>
      </c>
      <c r="G1180">
        <f t="shared" si="55"/>
        <v>0</v>
      </c>
    </row>
    <row r="1181" spans="1:7" hidden="1" x14ac:dyDescent="0.35">
      <c r="A1181" s="11">
        <v>49820</v>
      </c>
      <c r="B1181" s="12" t="s">
        <v>13</v>
      </c>
      <c r="C1181" s="13">
        <v>18.100000000000001</v>
      </c>
      <c r="D1181" s="14">
        <v>5.0999999999999996</v>
      </c>
      <c r="E1181">
        <f t="shared" si="54"/>
        <v>0.92310000000000003</v>
      </c>
      <c r="F1181">
        <f t="shared" si="56"/>
        <v>10.738299999999905</v>
      </c>
      <c r="G1181">
        <f t="shared" si="55"/>
        <v>0</v>
      </c>
    </row>
    <row r="1182" spans="1:7" hidden="1" x14ac:dyDescent="0.35">
      <c r="A1182" s="7">
        <v>49821</v>
      </c>
      <c r="B1182" s="8" t="s">
        <v>11</v>
      </c>
      <c r="C1182" s="9">
        <v>12.5</v>
      </c>
      <c r="D1182" s="10">
        <v>0</v>
      </c>
      <c r="E1182">
        <f t="shared" si="54"/>
        <v>0</v>
      </c>
      <c r="F1182">
        <f t="shared" si="56"/>
        <v>10.738299999999905</v>
      </c>
      <c r="G1182">
        <f t="shared" si="55"/>
        <v>0</v>
      </c>
    </row>
    <row r="1183" spans="1:7" hidden="1" x14ac:dyDescent="0.35">
      <c r="A1183" s="11">
        <v>49822</v>
      </c>
      <c r="B1183" s="12" t="s">
        <v>11</v>
      </c>
      <c r="C1183" s="13">
        <v>19.100000000000001</v>
      </c>
      <c r="D1183" s="14">
        <v>0.3</v>
      </c>
      <c r="E1183">
        <f t="shared" si="54"/>
        <v>0</v>
      </c>
      <c r="F1183">
        <f t="shared" si="56"/>
        <v>10.738299999999905</v>
      </c>
      <c r="G1183">
        <f t="shared" si="55"/>
        <v>0</v>
      </c>
    </row>
    <row r="1184" spans="1:7" hidden="1" x14ac:dyDescent="0.35">
      <c r="A1184" s="7">
        <v>49823</v>
      </c>
      <c r="B1184" s="8" t="s">
        <v>19</v>
      </c>
      <c r="C1184" s="9">
        <v>27.4</v>
      </c>
      <c r="D1184" s="10">
        <v>0</v>
      </c>
      <c r="E1184">
        <f t="shared" si="54"/>
        <v>0</v>
      </c>
      <c r="F1184">
        <f t="shared" si="56"/>
        <v>10.738299999999905</v>
      </c>
      <c r="G1184">
        <f t="shared" si="55"/>
        <v>0</v>
      </c>
    </row>
    <row r="1185" spans="1:7" hidden="1" x14ac:dyDescent="0.35">
      <c r="A1185" s="11">
        <v>49824</v>
      </c>
      <c r="B1185" s="12" t="s">
        <v>7</v>
      </c>
      <c r="C1185" s="13">
        <v>21.1</v>
      </c>
      <c r="D1185" s="14">
        <v>10.4</v>
      </c>
      <c r="E1185">
        <f t="shared" si="54"/>
        <v>2.1944000000000004</v>
      </c>
      <c r="F1185">
        <f t="shared" si="56"/>
        <v>12.932699999999905</v>
      </c>
      <c r="G1185">
        <f t="shared" si="55"/>
        <v>0</v>
      </c>
    </row>
    <row r="1186" spans="1:7" hidden="1" x14ac:dyDescent="0.35">
      <c r="A1186" s="7">
        <v>49825</v>
      </c>
      <c r="B1186" s="8" t="s">
        <v>27</v>
      </c>
      <c r="C1186" s="9">
        <v>13.4</v>
      </c>
      <c r="D1186" s="10">
        <v>0</v>
      </c>
      <c r="E1186">
        <f t="shared" si="54"/>
        <v>0</v>
      </c>
      <c r="F1186">
        <f t="shared" si="56"/>
        <v>12.932699999999905</v>
      </c>
      <c r="G1186">
        <f t="shared" si="55"/>
        <v>0</v>
      </c>
    </row>
    <row r="1187" spans="1:7" hidden="1" x14ac:dyDescent="0.35">
      <c r="A1187" s="11">
        <v>49826</v>
      </c>
      <c r="B1187" s="12" t="s">
        <v>5</v>
      </c>
      <c r="C1187" s="13">
        <v>11.9</v>
      </c>
      <c r="D1187" s="14">
        <v>7.3</v>
      </c>
      <c r="E1187">
        <f t="shared" si="54"/>
        <v>0.86870000000000003</v>
      </c>
      <c r="F1187">
        <f t="shared" si="56"/>
        <v>13.801399999999905</v>
      </c>
      <c r="G1187">
        <f t="shared" si="55"/>
        <v>0</v>
      </c>
    </row>
    <row r="1188" spans="1:7" hidden="1" x14ac:dyDescent="0.35">
      <c r="A1188" s="7">
        <v>49827</v>
      </c>
      <c r="B1188" s="8" t="s">
        <v>13</v>
      </c>
      <c r="C1188" s="9">
        <v>20.399999999999999</v>
      </c>
      <c r="D1188" s="10">
        <v>4.3</v>
      </c>
      <c r="E1188">
        <f t="shared" si="54"/>
        <v>0.87719999999999987</v>
      </c>
      <c r="F1188">
        <f t="shared" si="56"/>
        <v>14.678599999999905</v>
      </c>
      <c r="G1188">
        <f t="shared" si="55"/>
        <v>0</v>
      </c>
    </row>
    <row r="1189" spans="1:7" hidden="1" x14ac:dyDescent="0.35">
      <c r="A1189" s="11">
        <v>49828</v>
      </c>
      <c r="B1189" s="12" t="s">
        <v>7</v>
      </c>
      <c r="C1189" s="13">
        <v>29.5</v>
      </c>
      <c r="D1189" s="14">
        <v>18.600000000000001</v>
      </c>
      <c r="E1189">
        <f t="shared" si="54"/>
        <v>5.4870000000000001</v>
      </c>
      <c r="F1189">
        <f t="shared" si="56"/>
        <v>20.165599999999905</v>
      </c>
      <c r="G1189">
        <f t="shared" si="55"/>
        <v>0</v>
      </c>
    </row>
    <row r="1190" spans="1:7" hidden="1" x14ac:dyDescent="0.35">
      <c r="A1190" s="7">
        <v>49829</v>
      </c>
      <c r="B1190" s="8" t="s">
        <v>12</v>
      </c>
      <c r="C1190" s="9">
        <v>24.1</v>
      </c>
      <c r="D1190" s="10">
        <v>5</v>
      </c>
      <c r="E1190">
        <f t="shared" si="54"/>
        <v>1.2050000000000001</v>
      </c>
      <c r="F1190">
        <f t="shared" si="56"/>
        <v>21.370599999999904</v>
      </c>
      <c r="G1190">
        <f t="shared" si="55"/>
        <v>0</v>
      </c>
    </row>
    <row r="1191" spans="1:7" hidden="1" x14ac:dyDescent="0.35">
      <c r="A1191" s="11">
        <v>49830</v>
      </c>
      <c r="B1191" s="12" t="s">
        <v>14</v>
      </c>
      <c r="C1191" s="13">
        <v>11.5</v>
      </c>
      <c r="D1191" s="14">
        <v>3.6</v>
      </c>
      <c r="E1191">
        <f t="shared" si="54"/>
        <v>0.41399999999999998</v>
      </c>
      <c r="F1191">
        <f t="shared" si="56"/>
        <v>21.784599999999905</v>
      </c>
      <c r="G1191">
        <f t="shared" si="55"/>
        <v>0</v>
      </c>
    </row>
    <row r="1192" spans="1:7" hidden="1" x14ac:dyDescent="0.35">
      <c r="A1192" s="7">
        <v>49831</v>
      </c>
      <c r="B1192" s="8" t="s">
        <v>25</v>
      </c>
      <c r="C1192" s="9">
        <v>21.2</v>
      </c>
      <c r="D1192" s="10">
        <v>1.8</v>
      </c>
      <c r="E1192">
        <f t="shared" si="54"/>
        <v>0.38159999999999994</v>
      </c>
      <c r="F1192">
        <f t="shared" si="56"/>
        <v>22.166199999999904</v>
      </c>
      <c r="G1192">
        <f t="shared" si="55"/>
        <v>0</v>
      </c>
    </row>
    <row r="1193" spans="1:7" hidden="1" x14ac:dyDescent="0.35">
      <c r="A1193" s="11">
        <v>49832</v>
      </c>
      <c r="B1193" s="12" t="s">
        <v>10</v>
      </c>
      <c r="C1193" s="13">
        <v>22.2</v>
      </c>
      <c r="D1193" s="14">
        <v>40.299999999999997</v>
      </c>
      <c r="E1193">
        <f t="shared" si="54"/>
        <v>8.9465999999999983</v>
      </c>
      <c r="F1193">
        <f t="shared" si="56"/>
        <v>31.112799999999901</v>
      </c>
      <c r="G1193">
        <f t="shared" si="55"/>
        <v>0</v>
      </c>
    </row>
    <row r="1194" spans="1:7" hidden="1" x14ac:dyDescent="0.35">
      <c r="A1194" s="7">
        <v>49833</v>
      </c>
      <c r="B1194" s="8" t="s">
        <v>10</v>
      </c>
      <c r="C1194" s="9">
        <v>14.6</v>
      </c>
      <c r="D1194" s="10">
        <v>2.6</v>
      </c>
      <c r="E1194">
        <f t="shared" si="54"/>
        <v>0.37959999999999999</v>
      </c>
      <c r="F1194">
        <f t="shared" si="56"/>
        <v>31.4923999999999</v>
      </c>
      <c r="G1194">
        <f t="shared" si="55"/>
        <v>0</v>
      </c>
    </row>
    <row r="1195" spans="1:7" hidden="1" x14ac:dyDescent="0.35">
      <c r="A1195" s="11">
        <v>49834</v>
      </c>
      <c r="B1195" s="12" t="s">
        <v>13</v>
      </c>
      <c r="C1195" s="13">
        <v>23.3</v>
      </c>
      <c r="D1195" s="14">
        <v>8.1</v>
      </c>
      <c r="E1195">
        <f t="shared" si="54"/>
        <v>1.8873</v>
      </c>
      <c r="F1195">
        <f t="shared" si="56"/>
        <v>33.3796999999999</v>
      </c>
      <c r="G1195">
        <f t="shared" si="55"/>
        <v>0</v>
      </c>
    </row>
    <row r="1196" spans="1:7" hidden="1" x14ac:dyDescent="0.35">
      <c r="A1196" s="7">
        <v>49835</v>
      </c>
      <c r="B1196" s="8" t="s">
        <v>13</v>
      </c>
      <c r="C1196" s="9">
        <v>16.2</v>
      </c>
      <c r="D1196" s="10">
        <v>10.4</v>
      </c>
      <c r="E1196">
        <f t="shared" si="54"/>
        <v>1.6847999999999999</v>
      </c>
      <c r="F1196">
        <f t="shared" si="56"/>
        <v>35.064499999999903</v>
      </c>
      <c r="G1196">
        <f t="shared" si="55"/>
        <v>0</v>
      </c>
    </row>
    <row r="1197" spans="1:7" hidden="1" x14ac:dyDescent="0.35">
      <c r="A1197" s="11">
        <v>49836</v>
      </c>
      <c r="B1197" s="12" t="s">
        <v>10</v>
      </c>
      <c r="C1197" s="13">
        <v>25.9</v>
      </c>
      <c r="D1197" s="14">
        <v>0</v>
      </c>
      <c r="E1197">
        <f t="shared" si="54"/>
        <v>0</v>
      </c>
      <c r="F1197">
        <f t="shared" si="56"/>
        <v>35.064499999999903</v>
      </c>
      <c r="G1197">
        <f t="shared" si="55"/>
        <v>0</v>
      </c>
    </row>
    <row r="1198" spans="1:7" hidden="1" x14ac:dyDescent="0.35">
      <c r="A1198" s="7">
        <v>49837</v>
      </c>
      <c r="B1198" s="8" t="s">
        <v>5</v>
      </c>
      <c r="C1198" s="9">
        <v>14.6</v>
      </c>
      <c r="D1198" s="10">
        <v>7</v>
      </c>
      <c r="E1198">
        <f t="shared" si="54"/>
        <v>1.022</v>
      </c>
      <c r="F1198">
        <f t="shared" si="56"/>
        <v>36.086499999999901</v>
      </c>
      <c r="G1198">
        <f t="shared" si="55"/>
        <v>0</v>
      </c>
    </row>
    <row r="1199" spans="1:7" hidden="1" x14ac:dyDescent="0.35">
      <c r="A1199" s="11">
        <v>49838</v>
      </c>
      <c r="B1199" s="12" t="s">
        <v>18</v>
      </c>
      <c r="C1199" s="13">
        <v>15.1</v>
      </c>
      <c r="D1199" s="14">
        <v>11.7</v>
      </c>
      <c r="E1199">
        <f t="shared" si="54"/>
        <v>1.7666999999999999</v>
      </c>
      <c r="F1199">
        <f t="shared" si="56"/>
        <v>37.853199999999902</v>
      </c>
      <c r="G1199">
        <f t="shared" si="55"/>
        <v>0</v>
      </c>
    </row>
    <row r="1200" spans="1:7" hidden="1" x14ac:dyDescent="0.35">
      <c r="A1200" s="7">
        <v>49839</v>
      </c>
      <c r="B1200" s="8" t="s">
        <v>19</v>
      </c>
      <c r="C1200" s="9">
        <v>14.1</v>
      </c>
      <c r="D1200" s="10">
        <v>6.5</v>
      </c>
      <c r="E1200">
        <f t="shared" si="54"/>
        <v>0.91649999999999987</v>
      </c>
      <c r="F1200">
        <f t="shared" si="56"/>
        <v>38.769699999999901</v>
      </c>
      <c r="G1200">
        <f t="shared" si="55"/>
        <v>0</v>
      </c>
    </row>
    <row r="1201" spans="1:7" hidden="1" x14ac:dyDescent="0.35">
      <c r="A1201" s="11">
        <v>49840</v>
      </c>
      <c r="B1201" s="12" t="s">
        <v>27</v>
      </c>
      <c r="C1201" s="13">
        <v>22.1</v>
      </c>
      <c r="D1201" s="14">
        <v>1.8</v>
      </c>
      <c r="E1201">
        <f t="shared" si="54"/>
        <v>0.39779999999999999</v>
      </c>
      <c r="F1201">
        <f t="shared" si="56"/>
        <v>39.167499999999897</v>
      </c>
      <c r="G1201">
        <f t="shared" si="55"/>
        <v>0</v>
      </c>
    </row>
    <row r="1202" spans="1:7" hidden="1" x14ac:dyDescent="0.35">
      <c r="A1202" s="7">
        <v>49841</v>
      </c>
      <c r="B1202" s="8" t="s">
        <v>11</v>
      </c>
      <c r="C1202" s="9">
        <v>27.2</v>
      </c>
      <c r="D1202" s="10">
        <v>21.9</v>
      </c>
      <c r="E1202">
        <f t="shared" si="54"/>
        <v>5.9567999999999994</v>
      </c>
      <c r="F1202">
        <f t="shared" si="56"/>
        <v>45.124299999999899</v>
      </c>
      <c r="G1202">
        <f t="shared" si="55"/>
        <v>0</v>
      </c>
    </row>
    <row r="1203" spans="1:7" hidden="1" x14ac:dyDescent="0.35">
      <c r="A1203" s="11">
        <v>49842</v>
      </c>
      <c r="B1203" s="12" t="s">
        <v>6</v>
      </c>
      <c r="C1203" s="13">
        <v>10.8</v>
      </c>
      <c r="D1203" s="14">
        <v>0</v>
      </c>
      <c r="E1203">
        <f t="shared" si="54"/>
        <v>0</v>
      </c>
      <c r="F1203">
        <f t="shared" si="56"/>
        <v>45.124299999999899</v>
      </c>
      <c r="G1203">
        <f t="shared" si="55"/>
        <v>0</v>
      </c>
    </row>
    <row r="1204" spans="1:7" hidden="1" x14ac:dyDescent="0.35">
      <c r="A1204" s="7">
        <v>49843</v>
      </c>
      <c r="B1204" s="8" t="s">
        <v>7</v>
      </c>
      <c r="C1204" s="9">
        <v>24.6</v>
      </c>
      <c r="D1204" s="10">
        <v>0</v>
      </c>
      <c r="E1204">
        <f t="shared" si="54"/>
        <v>0</v>
      </c>
      <c r="F1204">
        <f t="shared" si="56"/>
        <v>45.124299999999899</v>
      </c>
      <c r="G1204">
        <f t="shared" si="55"/>
        <v>0</v>
      </c>
    </row>
    <row r="1205" spans="1:7" hidden="1" x14ac:dyDescent="0.35">
      <c r="A1205" s="11">
        <v>49844</v>
      </c>
      <c r="B1205" s="12" t="s">
        <v>10</v>
      </c>
      <c r="C1205" s="13">
        <v>27.8</v>
      </c>
      <c r="D1205" s="14">
        <v>26.3</v>
      </c>
      <c r="E1205">
        <f t="shared" si="54"/>
        <v>7.3113999999999999</v>
      </c>
      <c r="F1205">
        <f t="shared" si="56"/>
        <v>52.435699999999898</v>
      </c>
      <c r="G1205">
        <f t="shared" si="55"/>
        <v>0</v>
      </c>
    </row>
    <row r="1206" spans="1:7" hidden="1" x14ac:dyDescent="0.35">
      <c r="A1206" s="7">
        <v>49845</v>
      </c>
      <c r="B1206" s="8" t="s">
        <v>14</v>
      </c>
      <c r="C1206" s="9">
        <v>12.9</v>
      </c>
      <c r="D1206" s="10">
        <v>2.8</v>
      </c>
      <c r="E1206">
        <f t="shared" si="54"/>
        <v>0.36119999999999997</v>
      </c>
      <c r="F1206">
        <f t="shared" si="56"/>
        <v>52.796899999999894</v>
      </c>
      <c r="G1206">
        <f t="shared" si="55"/>
        <v>0</v>
      </c>
    </row>
    <row r="1207" spans="1:7" hidden="1" x14ac:dyDescent="0.35">
      <c r="A1207" s="11">
        <v>49846</v>
      </c>
      <c r="B1207" s="12" t="s">
        <v>13</v>
      </c>
      <c r="C1207" s="13">
        <v>13.9</v>
      </c>
      <c r="D1207" s="14">
        <v>0.6</v>
      </c>
      <c r="E1207">
        <f t="shared" si="54"/>
        <v>0</v>
      </c>
      <c r="F1207">
        <f t="shared" si="56"/>
        <v>52.796899999999894</v>
      </c>
      <c r="G1207">
        <f t="shared" si="55"/>
        <v>0</v>
      </c>
    </row>
    <row r="1208" spans="1:7" hidden="1" x14ac:dyDescent="0.35">
      <c r="A1208" s="7">
        <v>49847</v>
      </c>
      <c r="B1208" s="8" t="s">
        <v>29</v>
      </c>
      <c r="C1208" s="9">
        <v>27.6</v>
      </c>
      <c r="D1208" s="10">
        <v>0.6</v>
      </c>
      <c r="E1208">
        <f t="shared" si="54"/>
        <v>0</v>
      </c>
      <c r="F1208">
        <f t="shared" si="56"/>
        <v>52.796899999999894</v>
      </c>
      <c r="G1208">
        <f t="shared" si="55"/>
        <v>0</v>
      </c>
    </row>
    <row r="1209" spans="1:7" hidden="1" x14ac:dyDescent="0.35">
      <c r="A1209" s="11">
        <v>49848</v>
      </c>
      <c r="B1209" s="12" t="s">
        <v>11</v>
      </c>
      <c r="C1209" s="13">
        <v>18.600000000000001</v>
      </c>
      <c r="D1209" s="14">
        <v>21.5</v>
      </c>
      <c r="E1209">
        <f t="shared" si="54"/>
        <v>3.9990000000000006</v>
      </c>
      <c r="F1209">
        <f t="shared" si="56"/>
        <v>56.795899999999897</v>
      </c>
      <c r="G1209">
        <f t="shared" si="55"/>
        <v>0</v>
      </c>
    </row>
    <row r="1210" spans="1:7" hidden="1" x14ac:dyDescent="0.35">
      <c r="A1210" s="7">
        <v>49849</v>
      </c>
      <c r="B1210" s="8" t="s">
        <v>6</v>
      </c>
      <c r="C1210" s="9">
        <v>17.8</v>
      </c>
      <c r="D1210" s="10">
        <v>0</v>
      </c>
      <c r="E1210">
        <f t="shared" si="54"/>
        <v>0</v>
      </c>
      <c r="F1210">
        <f t="shared" si="56"/>
        <v>56.795899999999897</v>
      </c>
      <c r="G1210">
        <f t="shared" si="55"/>
        <v>0</v>
      </c>
    </row>
    <row r="1211" spans="1:7" hidden="1" x14ac:dyDescent="0.35">
      <c r="A1211" s="11">
        <v>49850</v>
      </c>
      <c r="B1211" s="12" t="s">
        <v>15</v>
      </c>
      <c r="C1211" s="13">
        <v>20.8</v>
      </c>
      <c r="D1211" s="14">
        <v>8.5</v>
      </c>
      <c r="E1211">
        <f t="shared" si="54"/>
        <v>1.768</v>
      </c>
      <c r="F1211">
        <f t="shared" si="56"/>
        <v>58.563899999999897</v>
      </c>
      <c r="G1211">
        <f t="shared" si="55"/>
        <v>0</v>
      </c>
    </row>
    <row r="1212" spans="1:7" hidden="1" x14ac:dyDescent="0.35">
      <c r="A1212" s="7">
        <v>49851</v>
      </c>
      <c r="B1212" s="8" t="s">
        <v>22</v>
      </c>
      <c r="C1212" s="9">
        <v>16.399999999999999</v>
      </c>
      <c r="D1212" s="10">
        <v>6.8</v>
      </c>
      <c r="E1212">
        <f t="shared" si="54"/>
        <v>1.1151999999999997</v>
      </c>
      <c r="F1212">
        <f t="shared" si="56"/>
        <v>59.679099999999899</v>
      </c>
      <c r="G1212">
        <f t="shared" si="55"/>
        <v>0</v>
      </c>
    </row>
    <row r="1213" spans="1:7" hidden="1" x14ac:dyDescent="0.35">
      <c r="A1213" s="11">
        <v>49852</v>
      </c>
      <c r="B1213" s="12" t="s">
        <v>27</v>
      </c>
      <c r="C1213" s="13">
        <v>14.6</v>
      </c>
      <c r="D1213" s="14">
        <v>0</v>
      </c>
      <c r="E1213">
        <f t="shared" si="54"/>
        <v>0</v>
      </c>
      <c r="F1213">
        <f t="shared" si="56"/>
        <v>59.679099999999899</v>
      </c>
      <c r="G1213">
        <f t="shared" si="55"/>
        <v>0</v>
      </c>
    </row>
    <row r="1214" spans="1:7" hidden="1" x14ac:dyDescent="0.35">
      <c r="A1214" s="7">
        <v>49853</v>
      </c>
      <c r="B1214" s="8" t="s">
        <v>9</v>
      </c>
      <c r="C1214" s="9">
        <v>27.1</v>
      </c>
      <c r="D1214" s="10">
        <v>1.2</v>
      </c>
      <c r="E1214">
        <f t="shared" si="54"/>
        <v>0.32520000000000004</v>
      </c>
      <c r="F1214">
        <f t="shared" si="56"/>
        <v>60.004299999999901</v>
      </c>
      <c r="G1214">
        <f t="shared" si="55"/>
        <v>0</v>
      </c>
    </row>
    <row r="1215" spans="1:7" hidden="1" x14ac:dyDescent="0.35">
      <c r="A1215" s="11">
        <v>49854</v>
      </c>
      <c r="B1215" s="12" t="s">
        <v>10</v>
      </c>
      <c r="C1215" s="13">
        <v>18.3</v>
      </c>
      <c r="D1215" s="14">
        <v>3.7</v>
      </c>
      <c r="E1215">
        <f t="shared" si="54"/>
        <v>0.67710000000000004</v>
      </c>
      <c r="F1215">
        <f t="shared" si="56"/>
        <v>60.681399999999904</v>
      </c>
      <c r="G1215">
        <f t="shared" si="55"/>
        <v>0</v>
      </c>
    </row>
    <row r="1216" spans="1:7" hidden="1" x14ac:dyDescent="0.35">
      <c r="A1216" s="7">
        <v>49855</v>
      </c>
      <c r="B1216" s="8" t="s">
        <v>29</v>
      </c>
      <c r="C1216" s="9">
        <v>27.1</v>
      </c>
      <c r="D1216" s="10">
        <v>0.2</v>
      </c>
      <c r="E1216">
        <f t="shared" si="54"/>
        <v>0</v>
      </c>
      <c r="F1216">
        <f t="shared" si="56"/>
        <v>60.681399999999904</v>
      </c>
      <c r="G1216">
        <f t="shared" si="55"/>
        <v>0</v>
      </c>
    </row>
    <row r="1217" spans="1:7" hidden="1" x14ac:dyDescent="0.35">
      <c r="A1217" s="11">
        <v>49856</v>
      </c>
      <c r="B1217" s="12" t="s">
        <v>15</v>
      </c>
      <c r="C1217" s="13">
        <v>12.9</v>
      </c>
      <c r="D1217" s="14">
        <v>10.199999999999999</v>
      </c>
      <c r="E1217">
        <f t="shared" si="54"/>
        <v>1.3157999999999999</v>
      </c>
      <c r="F1217">
        <f t="shared" si="56"/>
        <v>61.997199999999907</v>
      </c>
      <c r="G1217">
        <f t="shared" si="55"/>
        <v>0</v>
      </c>
    </row>
    <row r="1218" spans="1:7" hidden="1" x14ac:dyDescent="0.35">
      <c r="A1218" s="7">
        <v>49857</v>
      </c>
      <c r="B1218" s="8" t="s">
        <v>19</v>
      </c>
      <c r="C1218" s="9">
        <v>19.100000000000001</v>
      </c>
      <c r="D1218" s="10">
        <v>19.600000000000001</v>
      </c>
      <c r="E1218">
        <f t="shared" si="54"/>
        <v>3.7436000000000007</v>
      </c>
      <c r="F1218">
        <f t="shared" si="56"/>
        <v>65.740799999999908</v>
      </c>
      <c r="G1218">
        <f t="shared" si="55"/>
        <v>0</v>
      </c>
    </row>
    <row r="1219" spans="1:7" hidden="1" x14ac:dyDescent="0.35">
      <c r="A1219" s="11">
        <v>49858</v>
      </c>
      <c r="B1219" s="12" t="s">
        <v>6</v>
      </c>
      <c r="C1219" s="13">
        <v>19.2</v>
      </c>
      <c r="D1219" s="14">
        <v>3.6</v>
      </c>
      <c r="E1219">
        <f t="shared" ref="E1219:E1282" si="57">IF(D1219&gt;=1,C1219*D1219/100,0)</f>
        <v>0.69120000000000004</v>
      </c>
      <c r="F1219">
        <f t="shared" si="56"/>
        <v>66.431999999999903</v>
      </c>
      <c r="G1219">
        <f t="shared" ref="G1219:G1282" si="58">IF(F1219&gt;=100,1,0)</f>
        <v>0</v>
      </c>
    </row>
    <row r="1220" spans="1:7" hidden="1" x14ac:dyDescent="0.35">
      <c r="A1220" s="7">
        <v>49859</v>
      </c>
      <c r="B1220" s="8" t="s">
        <v>9</v>
      </c>
      <c r="C1220" s="9">
        <v>25.2</v>
      </c>
      <c r="D1220" s="10">
        <v>0</v>
      </c>
      <c r="E1220">
        <f t="shared" si="57"/>
        <v>0</v>
      </c>
      <c r="F1220">
        <f t="shared" ref="F1220:F1283" si="59">IF(G1219=1,E1220+F1219-100,F1219+E1220)</f>
        <v>66.431999999999903</v>
      </c>
      <c r="G1220">
        <f t="shared" si="58"/>
        <v>0</v>
      </c>
    </row>
    <row r="1221" spans="1:7" hidden="1" x14ac:dyDescent="0.35">
      <c r="A1221" s="11">
        <v>49860</v>
      </c>
      <c r="B1221" s="12" t="s">
        <v>15</v>
      </c>
      <c r="C1221" s="13">
        <v>13.5</v>
      </c>
      <c r="D1221" s="14">
        <v>6.3</v>
      </c>
      <c r="E1221">
        <f t="shared" si="57"/>
        <v>0.85049999999999992</v>
      </c>
      <c r="F1221">
        <f t="shared" si="59"/>
        <v>67.282499999999899</v>
      </c>
      <c r="G1221">
        <f t="shared" si="58"/>
        <v>0</v>
      </c>
    </row>
    <row r="1222" spans="1:7" hidden="1" x14ac:dyDescent="0.35">
      <c r="A1222" s="7">
        <v>49861</v>
      </c>
      <c r="B1222" s="8" t="s">
        <v>12</v>
      </c>
      <c r="C1222" s="9">
        <v>19.2</v>
      </c>
      <c r="D1222" s="10">
        <v>7.7</v>
      </c>
      <c r="E1222">
        <f t="shared" si="57"/>
        <v>1.4783999999999999</v>
      </c>
      <c r="F1222">
        <f t="shared" si="59"/>
        <v>68.760899999999893</v>
      </c>
      <c r="G1222">
        <f t="shared" si="58"/>
        <v>0</v>
      </c>
    </row>
    <row r="1223" spans="1:7" hidden="1" x14ac:dyDescent="0.35">
      <c r="A1223" s="11">
        <v>49862</v>
      </c>
      <c r="B1223" s="12" t="s">
        <v>14</v>
      </c>
      <c r="C1223" s="13">
        <v>24.1</v>
      </c>
      <c r="D1223" s="14">
        <v>7.8</v>
      </c>
      <c r="E1223">
        <f t="shared" si="57"/>
        <v>1.8798000000000001</v>
      </c>
      <c r="F1223">
        <f t="shared" si="59"/>
        <v>70.640699999999896</v>
      </c>
      <c r="G1223">
        <f t="shared" si="58"/>
        <v>0</v>
      </c>
    </row>
    <row r="1224" spans="1:7" hidden="1" x14ac:dyDescent="0.35">
      <c r="A1224" s="7">
        <v>49863</v>
      </c>
      <c r="B1224" s="8" t="s">
        <v>10</v>
      </c>
      <c r="C1224" s="9">
        <v>17.8</v>
      </c>
      <c r="D1224" s="10">
        <v>13.4</v>
      </c>
      <c r="E1224">
        <f t="shared" si="57"/>
        <v>2.3852000000000002</v>
      </c>
      <c r="F1224">
        <f t="shared" si="59"/>
        <v>73.025899999999893</v>
      </c>
      <c r="G1224">
        <f t="shared" si="58"/>
        <v>0</v>
      </c>
    </row>
    <row r="1225" spans="1:7" hidden="1" x14ac:dyDescent="0.35">
      <c r="A1225" s="11">
        <v>49864</v>
      </c>
      <c r="B1225" s="12" t="s">
        <v>7</v>
      </c>
      <c r="C1225" s="13">
        <v>24.7</v>
      </c>
      <c r="D1225" s="14">
        <v>21.1</v>
      </c>
      <c r="E1225">
        <f t="shared" si="57"/>
        <v>5.2117000000000004</v>
      </c>
      <c r="F1225">
        <f t="shared" si="59"/>
        <v>78.237599999999901</v>
      </c>
      <c r="G1225">
        <f t="shared" si="58"/>
        <v>0</v>
      </c>
    </row>
    <row r="1226" spans="1:7" hidden="1" x14ac:dyDescent="0.35">
      <c r="A1226" s="7">
        <v>49865</v>
      </c>
      <c r="B1226" s="8" t="s">
        <v>20</v>
      </c>
      <c r="C1226" s="9">
        <v>16.8</v>
      </c>
      <c r="D1226" s="10">
        <v>0</v>
      </c>
      <c r="E1226">
        <f t="shared" si="57"/>
        <v>0</v>
      </c>
      <c r="F1226">
        <f t="shared" si="59"/>
        <v>78.237599999999901</v>
      </c>
      <c r="G1226">
        <f t="shared" si="58"/>
        <v>0</v>
      </c>
    </row>
    <row r="1227" spans="1:7" hidden="1" x14ac:dyDescent="0.35">
      <c r="A1227" s="11">
        <v>49866</v>
      </c>
      <c r="B1227" s="12" t="s">
        <v>5</v>
      </c>
      <c r="C1227" s="13">
        <v>10.7</v>
      </c>
      <c r="D1227" s="14">
        <v>3</v>
      </c>
      <c r="E1227">
        <f t="shared" si="57"/>
        <v>0.32099999999999995</v>
      </c>
      <c r="F1227">
        <f t="shared" si="59"/>
        <v>78.558599999999899</v>
      </c>
      <c r="G1227">
        <f t="shared" si="58"/>
        <v>0</v>
      </c>
    </row>
    <row r="1228" spans="1:7" hidden="1" x14ac:dyDescent="0.35">
      <c r="A1228" s="7">
        <v>49867</v>
      </c>
      <c r="B1228" s="8" t="s">
        <v>6</v>
      </c>
      <c r="C1228" s="9">
        <v>29.3</v>
      </c>
      <c r="D1228" s="10">
        <v>8.3000000000000007</v>
      </c>
      <c r="E1228">
        <f t="shared" si="57"/>
        <v>2.4319000000000002</v>
      </c>
      <c r="F1228">
        <f t="shared" si="59"/>
        <v>80.990499999999898</v>
      </c>
      <c r="G1228">
        <f t="shared" si="58"/>
        <v>0</v>
      </c>
    </row>
    <row r="1229" spans="1:7" hidden="1" x14ac:dyDescent="0.35">
      <c r="A1229" s="11">
        <v>49868</v>
      </c>
      <c r="B1229" s="12" t="s">
        <v>25</v>
      </c>
      <c r="C1229" s="13">
        <v>28.2</v>
      </c>
      <c r="D1229" s="14">
        <v>0</v>
      </c>
      <c r="E1229">
        <f t="shared" si="57"/>
        <v>0</v>
      </c>
      <c r="F1229">
        <f t="shared" si="59"/>
        <v>80.990499999999898</v>
      </c>
      <c r="G1229">
        <f t="shared" si="58"/>
        <v>0</v>
      </c>
    </row>
    <row r="1230" spans="1:7" hidden="1" x14ac:dyDescent="0.35">
      <c r="A1230" s="7">
        <v>49869</v>
      </c>
      <c r="B1230" s="8" t="s">
        <v>10</v>
      </c>
      <c r="C1230" s="9">
        <v>17.3</v>
      </c>
      <c r="D1230" s="10">
        <v>33.6</v>
      </c>
      <c r="E1230">
        <f t="shared" si="57"/>
        <v>5.8128000000000011</v>
      </c>
      <c r="F1230">
        <f t="shared" si="59"/>
        <v>86.803299999999894</v>
      </c>
      <c r="G1230">
        <f t="shared" si="58"/>
        <v>0</v>
      </c>
    </row>
    <row r="1231" spans="1:7" hidden="1" x14ac:dyDescent="0.35">
      <c r="A1231" s="11">
        <v>49870</v>
      </c>
      <c r="B1231" s="12" t="s">
        <v>6</v>
      </c>
      <c r="C1231" s="13">
        <v>24.6</v>
      </c>
      <c r="D1231" s="14">
        <v>0</v>
      </c>
      <c r="E1231">
        <f t="shared" si="57"/>
        <v>0</v>
      </c>
      <c r="F1231">
        <f t="shared" si="59"/>
        <v>86.803299999999894</v>
      </c>
      <c r="G1231">
        <f t="shared" si="58"/>
        <v>0</v>
      </c>
    </row>
    <row r="1232" spans="1:7" hidden="1" x14ac:dyDescent="0.35">
      <c r="A1232" s="7">
        <v>49871</v>
      </c>
      <c r="B1232" s="8" t="s">
        <v>12</v>
      </c>
      <c r="C1232" s="9">
        <v>12.6</v>
      </c>
      <c r="D1232" s="10">
        <v>0.6</v>
      </c>
      <c r="E1232">
        <f t="shared" si="57"/>
        <v>0</v>
      </c>
      <c r="F1232">
        <f t="shared" si="59"/>
        <v>86.803299999999894</v>
      </c>
      <c r="G1232">
        <f t="shared" si="58"/>
        <v>0</v>
      </c>
    </row>
    <row r="1233" spans="1:7" hidden="1" x14ac:dyDescent="0.35">
      <c r="A1233" s="11">
        <v>49872</v>
      </c>
      <c r="B1233" s="12" t="s">
        <v>19</v>
      </c>
      <c r="C1233" s="13">
        <v>27.3</v>
      </c>
      <c r="D1233" s="14">
        <v>0</v>
      </c>
      <c r="E1233">
        <f t="shared" si="57"/>
        <v>0</v>
      </c>
      <c r="F1233">
        <f t="shared" si="59"/>
        <v>86.803299999999894</v>
      </c>
      <c r="G1233">
        <f t="shared" si="58"/>
        <v>0</v>
      </c>
    </row>
    <row r="1234" spans="1:7" hidden="1" x14ac:dyDescent="0.35">
      <c r="A1234" s="7">
        <v>49873</v>
      </c>
      <c r="B1234" s="8" t="s">
        <v>8</v>
      </c>
      <c r="C1234" s="9">
        <v>14.4</v>
      </c>
      <c r="D1234" s="10">
        <v>2</v>
      </c>
      <c r="E1234">
        <f t="shared" si="57"/>
        <v>0.28800000000000003</v>
      </c>
      <c r="F1234">
        <f t="shared" si="59"/>
        <v>87.09129999999989</v>
      </c>
      <c r="G1234">
        <f t="shared" si="58"/>
        <v>0</v>
      </c>
    </row>
    <row r="1235" spans="1:7" hidden="1" x14ac:dyDescent="0.35">
      <c r="A1235" s="11">
        <v>49874</v>
      </c>
      <c r="B1235" s="12" t="s">
        <v>10</v>
      </c>
      <c r="C1235" s="13">
        <v>11.2</v>
      </c>
      <c r="D1235" s="14">
        <v>32.6</v>
      </c>
      <c r="E1235">
        <f t="shared" si="57"/>
        <v>3.6512000000000002</v>
      </c>
      <c r="F1235">
        <f t="shared" si="59"/>
        <v>90.742499999999893</v>
      </c>
      <c r="G1235">
        <f t="shared" si="58"/>
        <v>0</v>
      </c>
    </row>
    <row r="1236" spans="1:7" hidden="1" x14ac:dyDescent="0.35">
      <c r="A1236" s="7">
        <v>49875</v>
      </c>
      <c r="B1236" s="8" t="s">
        <v>19</v>
      </c>
      <c r="C1236" s="9">
        <v>11.4</v>
      </c>
      <c r="D1236" s="10">
        <v>5.5</v>
      </c>
      <c r="E1236">
        <f t="shared" si="57"/>
        <v>0.627</v>
      </c>
      <c r="F1236">
        <f t="shared" si="59"/>
        <v>91.369499999999888</v>
      </c>
      <c r="G1236">
        <f t="shared" si="58"/>
        <v>0</v>
      </c>
    </row>
    <row r="1237" spans="1:7" hidden="1" x14ac:dyDescent="0.35">
      <c r="A1237" s="11">
        <v>49876</v>
      </c>
      <c r="B1237" s="12" t="s">
        <v>14</v>
      </c>
      <c r="C1237" s="13">
        <v>22.9</v>
      </c>
      <c r="D1237" s="14">
        <v>0</v>
      </c>
      <c r="E1237">
        <f t="shared" si="57"/>
        <v>0</v>
      </c>
      <c r="F1237">
        <f t="shared" si="59"/>
        <v>91.369499999999888</v>
      </c>
      <c r="G1237">
        <f t="shared" si="58"/>
        <v>0</v>
      </c>
    </row>
    <row r="1238" spans="1:7" hidden="1" x14ac:dyDescent="0.35">
      <c r="A1238" s="7">
        <v>49877</v>
      </c>
      <c r="B1238" s="8" t="s">
        <v>7</v>
      </c>
      <c r="C1238" s="9">
        <v>14.3</v>
      </c>
      <c r="D1238" s="10">
        <v>13.2</v>
      </c>
      <c r="E1238">
        <f t="shared" si="57"/>
        <v>1.8875999999999999</v>
      </c>
      <c r="F1238">
        <f t="shared" si="59"/>
        <v>93.257099999999895</v>
      </c>
      <c r="G1238">
        <f t="shared" si="58"/>
        <v>0</v>
      </c>
    </row>
    <row r="1239" spans="1:7" hidden="1" x14ac:dyDescent="0.35">
      <c r="A1239" s="11">
        <v>49878</v>
      </c>
      <c r="B1239" s="12" t="s">
        <v>10</v>
      </c>
      <c r="C1239" s="13">
        <v>22.9</v>
      </c>
      <c r="D1239" s="14">
        <v>22.9</v>
      </c>
      <c r="E1239">
        <f t="shared" si="57"/>
        <v>5.2440999999999995</v>
      </c>
      <c r="F1239">
        <f t="shared" si="59"/>
        <v>98.501199999999898</v>
      </c>
      <c r="G1239">
        <f t="shared" si="58"/>
        <v>0</v>
      </c>
    </row>
    <row r="1240" spans="1:7" hidden="1" x14ac:dyDescent="0.35">
      <c r="A1240" s="7">
        <v>49879</v>
      </c>
      <c r="B1240" s="8" t="s">
        <v>11</v>
      </c>
      <c r="C1240" s="9">
        <v>11.8</v>
      </c>
      <c r="D1240" s="10">
        <v>0</v>
      </c>
      <c r="E1240">
        <f t="shared" si="57"/>
        <v>0</v>
      </c>
      <c r="F1240">
        <f t="shared" si="59"/>
        <v>98.501199999999898</v>
      </c>
      <c r="G1240">
        <f t="shared" si="58"/>
        <v>0</v>
      </c>
    </row>
    <row r="1241" spans="1:7" hidden="1" x14ac:dyDescent="0.35">
      <c r="A1241" s="11">
        <v>49880</v>
      </c>
      <c r="B1241" s="12" t="s">
        <v>18</v>
      </c>
      <c r="C1241" s="13">
        <v>24.5</v>
      </c>
      <c r="D1241" s="14">
        <v>0</v>
      </c>
      <c r="E1241">
        <f t="shared" si="57"/>
        <v>0</v>
      </c>
      <c r="F1241">
        <f t="shared" si="59"/>
        <v>98.501199999999898</v>
      </c>
      <c r="G1241">
        <f t="shared" si="58"/>
        <v>0</v>
      </c>
    </row>
    <row r="1242" spans="1:7" x14ac:dyDescent="0.35">
      <c r="A1242" s="7">
        <v>49881</v>
      </c>
      <c r="B1242" s="8" t="s">
        <v>15</v>
      </c>
      <c r="C1242" s="9">
        <v>25.5</v>
      </c>
      <c r="D1242" s="10">
        <v>19.3</v>
      </c>
      <c r="E1242">
        <f t="shared" si="57"/>
        <v>4.9215</v>
      </c>
      <c r="F1242">
        <f t="shared" si="59"/>
        <v>103.42269999999989</v>
      </c>
      <c r="G1242">
        <f t="shared" si="58"/>
        <v>1</v>
      </c>
    </row>
    <row r="1243" spans="1:7" hidden="1" x14ac:dyDescent="0.35">
      <c r="A1243" s="11">
        <v>49882</v>
      </c>
      <c r="B1243" s="12" t="s">
        <v>19</v>
      </c>
      <c r="C1243" s="13">
        <v>14.7</v>
      </c>
      <c r="D1243" s="14">
        <v>18.3</v>
      </c>
      <c r="E1243">
        <f t="shared" si="57"/>
        <v>2.6900999999999997</v>
      </c>
      <c r="F1243">
        <f t="shared" si="59"/>
        <v>6.1127999999998934</v>
      </c>
      <c r="G1243">
        <f t="shared" si="58"/>
        <v>0</v>
      </c>
    </row>
    <row r="1244" spans="1:7" hidden="1" x14ac:dyDescent="0.35">
      <c r="A1244" s="7">
        <v>49883</v>
      </c>
      <c r="B1244" s="8" t="s">
        <v>15</v>
      </c>
      <c r="C1244" s="9">
        <v>28.7</v>
      </c>
      <c r="D1244" s="10">
        <v>0</v>
      </c>
      <c r="E1244">
        <f t="shared" si="57"/>
        <v>0</v>
      </c>
      <c r="F1244">
        <f t="shared" si="59"/>
        <v>6.1127999999998934</v>
      </c>
      <c r="G1244">
        <f t="shared" si="58"/>
        <v>0</v>
      </c>
    </row>
    <row r="1245" spans="1:7" hidden="1" x14ac:dyDescent="0.35">
      <c r="A1245" s="11">
        <v>49884</v>
      </c>
      <c r="B1245" s="12" t="s">
        <v>10</v>
      </c>
      <c r="C1245" s="13">
        <v>16.7</v>
      </c>
      <c r="D1245" s="14">
        <v>0</v>
      </c>
      <c r="E1245">
        <f t="shared" si="57"/>
        <v>0</v>
      </c>
      <c r="F1245">
        <f t="shared" si="59"/>
        <v>6.1127999999998934</v>
      </c>
      <c r="G1245">
        <f t="shared" si="58"/>
        <v>0</v>
      </c>
    </row>
    <row r="1246" spans="1:7" hidden="1" x14ac:dyDescent="0.35">
      <c r="A1246" s="7">
        <v>49885</v>
      </c>
      <c r="B1246" s="8" t="s">
        <v>15</v>
      </c>
      <c r="C1246" s="9">
        <v>17.399999999999999</v>
      </c>
      <c r="D1246" s="10">
        <v>13.7</v>
      </c>
      <c r="E1246">
        <f t="shared" si="57"/>
        <v>2.3837999999999995</v>
      </c>
      <c r="F1246">
        <f t="shared" si="59"/>
        <v>8.4965999999998925</v>
      </c>
      <c r="G1246">
        <f t="shared" si="58"/>
        <v>0</v>
      </c>
    </row>
    <row r="1247" spans="1:7" hidden="1" x14ac:dyDescent="0.35">
      <c r="A1247" s="11">
        <v>49886</v>
      </c>
      <c r="B1247" s="12" t="s">
        <v>10</v>
      </c>
      <c r="C1247" s="13">
        <v>15.6</v>
      </c>
      <c r="D1247" s="14">
        <v>0</v>
      </c>
      <c r="E1247">
        <f t="shared" si="57"/>
        <v>0</v>
      </c>
      <c r="F1247">
        <f t="shared" si="59"/>
        <v>8.4965999999998925</v>
      </c>
      <c r="G1247">
        <f t="shared" si="58"/>
        <v>0</v>
      </c>
    </row>
    <row r="1248" spans="1:7" hidden="1" x14ac:dyDescent="0.35">
      <c r="A1248" s="7">
        <v>49887</v>
      </c>
      <c r="B1248" s="8" t="s">
        <v>19</v>
      </c>
      <c r="C1248" s="9">
        <v>21.7</v>
      </c>
      <c r="D1248" s="10">
        <v>0</v>
      </c>
      <c r="E1248">
        <f t="shared" si="57"/>
        <v>0</v>
      </c>
      <c r="F1248">
        <f t="shared" si="59"/>
        <v>8.4965999999998925</v>
      </c>
      <c r="G1248">
        <f t="shared" si="58"/>
        <v>0</v>
      </c>
    </row>
    <row r="1249" spans="1:7" hidden="1" x14ac:dyDescent="0.35">
      <c r="A1249" s="11">
        <v>49888</v>
      </c>
      <c r="B1249" s="12" t="s">
        <v>7</v>
      </c>
      <c r="C1249" s="13">
        <v>26</v>
      </c>
      <c r="D1249" s="14">
        <v>0</v>
      </c>
      <c r="E1249">
        <f t="shared" si="57"/>
        <v>0</v>
      </c>
      <c r="F1249">
        <f t="shared" si="59"/>
        <v>8.4965999999998925</v>
      </c>
      <c r="G1249">
        <f t="shared" si="58"/>
        <v>0</v>
      </c>
    </row>
    <row r="1250" spans="1:7" hidden="1" x14ac:dyDescent="0.35">
      <c r="A1250" s="7">
        <v>49889</v>
      </c>
      <c r="B1250" s="8" t="s">
        <v>22</v>
      </c>
      <c r="C1250" s="9">
        <v>24.5</v>
      </c>
      <c r="D1250" s="10">
        <v>9</v>
      </c>
      <c r="E1250">
        <f t="shared" si="57"/>
        <v>2.2050000000000001</v>
      </c>
      <c r="F1250">
        <f t="shared" si="59"/>
        <v>10.701599999999893</v>
      </c>
      <c r="G1250">
        <f t="shared" si="58"/>
        <v>0</v>
      </c>
    </row>
    <row r="1251" spans="1:7" hidden="1" x14ac:dyDescent="0.35">
      <c r="A1251" s="11">
        <v>49890</v>
      </c>
      <c r="B1251" s="12" t="s">
        <v>17</v>
      </c>
      <c r="C1251" s="13">
        <v>23.2</v>
      </c>
      <c r="D1251" s="14">
        <v>0</v>
      </c>
      <c r="E1251">
        <f t="shared" si="57"/>
        <v>0</v>
      </c>
      <c r="F1251">
        <f t="shared" si="59"/>
        <v>10.701599999999893</v>
      </c>
      <c r="G1251">
        <f t="shared" si="58"/>
        <v>0</v>
      </c>
    </row>
    <row r="1252" spans="1:7" hidden="1" x14ac:dyDescent="0.35">
      <c r="A1252" s="7">
        <v>49891</v>
      </c>
      <c r="B1252" s="8" t="s">
        <v>24</v>
      </c>
      <c r="C1252" s="9">
        <v>17.600000000000001</v>
      </c>
      <c r="D1252" s="10">
        <v>0.8</v>
      </c>
      <c r="E1252">
        <f t="shared" si="57"/>
        <v>0</v>
      </c>
      <c r="F1252">
        <f t="shared" si="59"/>
        <v>10.701599999999893</v>
      </c>
      <c r="G1252">
        <f t="shared" si="58"/>
        <v>0</v>
      </c>
    </row>
    <row r="1253" spans="1:7" hidden="1" x14ac:dyDescent="0.35">
      <c r="A1253" s="11">
        <v>49892</v>
      </c>
      <c r="B1253" s="12" t="s">
        <v>7</v>
      </c>
      <c r="C1253" s="13">
        <v>13.9</v>
      </c>
      <c r="D1253" s="14">
        <v>8.8000000000000007</v>
      </c>
      <c r="E1253">
        <f t="shared" si="57"/>
        <v>1.2232000000000001</v>
      </c>
      <c r="F1253">
        <f t="shared" si="59"/>
        <v>11.924799999999893</v>
      </c>
      <c r="G1253">
        <f t="shared" si="58"/>
        <v>0</v>
      </c>
    </row>
    <row r="1254" spans="1:7" hidden="1" x14ac:dyDescent="0.35">
      <c r="A1254" s="7">
        <v>49893</v>
      </c>
      <c r="B1254" s="8" t="s">
        <v>27</v>
      </c>
      <c r="C1254" s="9">
        <v>20.7</v>
      </c>
      <c r="D1254" s="10">
        <v>4.3</v>
      </c>
      <c r="E1254">
        <f t="shared" si="57"/>
        <v>0.89009999999999989</v>
      </c>
      <c r="F1254">
        <f t="shared" si="59"/>
        <v>12.814899999999893</v>
      </c>
      <c r="G1254">
        <f t="shared" si="58"/>
        <v>0</v>
      </c>
    </row>
    <row r="1255" spans="1:7" hidden="1" x14ac:dyDescent="0.35">
      <c r="A1255" s="11">
        <v>49894</v>
      </c>
      <c r="B1255" s="12" t="s">
        <v>5</v>
      </c>
      <c r="C1255" s="13">
        <v>10.1</v>
      </c>
      <c r="D1255" s="14">
        <v>1.7</v>
      </c>
      <c r="E1255">
        <f t="shared" si="57"/>
        <v>0.17169999999999999</v>
      </c>
      <c r="F1255">
        <f t="shared" si="59"/>
        <v>12.986599999999893</v>
      </c>
      <c r="G1255">
        <f t="shared" si="58"/>
        <v>0</v>
      </c>
    </row>
    <row r="1256" spans="1:7" hidden="1" x14ac:dyDescent="0.35">
      <c r="A1256" s="7">
        <v>49895</v>
      </c>
      <c r="B1256" s="8" t="s">
        <v>7</v>
      </c>
      <c r="C1256" s="9">
        <v>26.2</v>
      </c>
      <c r="D1256" s="10">
        <v>22.7</v>
      </c>
      <c r="E1256">
        <f t="shared" si="57"/>
        <v>5.9474</v>
      </c>
      <c r="F1256">
        <f t="shared" si="59"/>
        <v>18.933999999999891</v>
      </c>
      <c r="G1256">
        <f t="shared" si="58"/>
        <v>0</v>
      </c>
    </row>
    <row r="1257" spans="1:7" hidden="1" x14ac:dyDescent="0.35">
      <c r="A1257" s="11">
        <v>49896</v>
      </c>
      <c r="B1257" s="12" t="s">
        <v>19</v>
      </c>
      <c r="C1257" s="13">
        <v>27.6</v>
      </c>
      <c r="D1257" s="14">
        <v>13.8</v>
      </c>
      <c r="E1257">
        <f t="shared" si="57"/>
        <v>3.8088000000000006</v>
      </c>
      <c r="F1257">
        <f t="shared" si="59"/>
        <v>22.742799999999892</v>
      </c>
      <c r="G1257">
        <f t="shared" si="58"/>
        <v>0</v>
      </c>
    </row>
    <row r="1258" spans="1:7" hidden="1" x14ac:dyDescent="0.35">
      <c r="A1258" s="7">
        <v>49897</v>
      </c>
      <c r="B1258" s="8" t="s">
        <v>6</v>
      </c>
      <c r="C1258" s="9">
        <v>20.6</v>
      </c>
      <c r="D1258" s="10">
        <v>4.7</v>
      </c>
      <c r="E1258">
        <f t="shared" si="57"/>
        <v>0.96820000000000006</v>
      </c>
      <c r="F1258">
        <f t="shared" si="59"/>
        <v>23.710999999999892</v>
      </c>
      <c r="G1258">
        <f t="shared" si="58"/>
        <v>0</v>
      </c>
    </row>
    <row r="1259" spans="1:7" hidden="1" x14ac:dyDescent="0.35">
      <c r="A1259" s="11">
        <v>49898</v>
      </c>
      <c r="B1259" s="12" t="s">
        <v>9</v>
      </c>
      <c r="C1259" s="13">
        <v>21.4</v>
      </c>
      <c r="D1259" s="14">
        <v>5</v>
      </c>
      <c r="E1259">
        <f t="shared" si="57"/>
        <v>1.07</v>
      </c>
      <c r="F1259">
        <f t="shared" si="59"/>
        <v>24.780999999999892</v>
      </c>
      <c r="G1259">
        <f t="shared" si="58"/>
        <v>0</v>
      </c>
    </row>
    <row r="1260" spans="1:7" hidden="1" x14ac:dyDescent="0.35">
      <c r="A1260" s="7">
        <v>49899</v>
      </c>
      <c r="B1260" s="8" t="s">
        <v>6</v>
      </c>
      <c r="C1260" s="9">
        <v>17.100000000000001</v>
      </c>
      <c r="D1260" s="10">
        <v>0</v>
      </c>
      <c r="E1260">
        <f t="shared" si="57"/>
        <v>0</v>
      </c>
      <c r="F1260">
        <f t="shared" si="59"/>
        <v>24.780999999999892</v>
      </c>
      <c r="G1260">
        <f t="shared" si="58"/>
        <v>0</v>
      </c>
    </row>
    <row r="1261" spans="1:7" hidden="1" x14ac:dyDescent="0.35">
      <c r="A1261" s="11">
        <v>49900</v>
      </c>
      <c r="B1261" s="12" t="s">
        <v>10</v>
      </c>
      <c r="C1261" s="13">
        <v>19.5</v>
      </c>
      <c r="D1261" s="14">
        <v>20.5</v>
      </c>
      <c r="E1261">
        <f t="shared" si="57"/>
        <v>3.9975000000000001</v>
      </c>
      <c r="F1261">
        <f t="shared" si="59"/>
        <v>28.778499999999891</v>
      </c>
      <c r="G1261">
        <f t="shared" si="58"/>
        <v>0</v>
      </c>
    </row>
    <row r="1262" spans="1:7" hidden="1" x14ac:dyDescent="0.35">
      <c r="A1262" s="7">
        <v>49901</v>
      </c>
      <c r="B1262" s="8" t="s">
        <v>13</v>
      </c>
      <c r="C1262" s="9">
        <v>15.9</v>
      </c>
      <c r="D1262" s="10">
        <v>0</v>
      </c>
      <c r="E1262">
        <f t="shared" si="57"/>
        <v>0</v>
      </c>
      <c r="F1262">
        <f t="shared" si="59"/>
        <v>28.778499999999891</v>
      </c>
      <c r="G1262">
        <f t="shared" si="58"/>
        <v>0</v>
      </c>
    </row>
    <row r="1263" spans="1:7" hidden="1" x14ac:dyDescent="0.35">
      <c r="A1263" s="11">
        <v>49902</v>
      </c>
      <c r="B1263" s="12" t="s">
        <v>10</v>
      </c>
      <c r="C1263" s="13">
        <v>21.1</v>
      </c>
      <c r="D1263" s="14">
        <v>46.8</v>
      </c>
      <c r="E1263">
        <f t="shared" si="57"/>
        <v>9.8748000000000005</v>
      </c>
      <c r="F1263">
        <f t="shared" si="59"/>
        <v>38.653299999999888</v>
      </c>
      <c r="G1263">
        <f t="shared" si="58"/>
        <v>0</v>
      </c>
    </row>
    <row r="1264" spans="1:7" hidden="1" x14ac:dyDescent="0.35">
      <c r="A1264" s="7">
        <v>49903</v>
      </c>
      <c r="B1264" s="8" t="s">
        <v>19</v>
      </c>
      <c r="C1264" s="9">
        <v>20.2</v>
      </c>
      <c r="D1264" s="10">
        <v>36.6</v>
      </c>
      <c r="E1264">
        <f t="shared" si="57"/>
        <v>7.3932000000000002</v>
      </c>
      <c r="F1264">
        <f t="shared" si="59"/>
        <v>46.046499999999888</v>
      </c>
      <c r="G1264">
        <f t="shared" si="58"/>
        <v>0</v>
      </c>
    </row>
    <row r="1265" spans="1:7" hidden="1" x14ac:dyDescent="0.35">
      <c r="A1265" s="11">
        <v>49904</v>
      </c>
      <c r="B1265" s="12" t="s">
        <v>12</v>
      </c>
      <c r="C1265" s="13">
        <v>25</v>
      </c>
      <c r="D1265" s="14">
        <v>7.8</v>
      </c>
      <c r="E1265">
        <f t="shared" si="57"/>
        <v>1.95</v>
      </c>
      <c r="F1265">
        <f t="shared" si="59"/>
        <v>47.996499999999891</v>
      </c>
      <c r="G1265">
        <f t="shared" si="58"/>
        <v>0</v>
      </c>
    </row>
    <row r="1266" spans="1:7" hidden="1" x14ac:dyDescent="0.35">
      <c r="A1266" s="7">
        <v>49905</v>
      </c>
      <c r="B1266" s="8" t="s">
        <v>10</v>
      </c>
      <c r="C1266" s="9">
        <v>22.1</v>
      </c>
      <c r="D1266" s="10">
        <v>8.8000000000000007</v>
      </c>
      <c r="E1266">
        <f t="shared" si="57"/>
        <v>1.9448000000000001</v>
      </c>
      <c r="F1266">
        <f t="shared" si="59"/>
        <v>49.941299999999892</v>
      </c>
      <c r="G1266">
        <f t="shared" si="58"/>
        <v>0</v>
      </c>
    </row>
    <row r="1267" spans="1:7" hidden="1" x14ac:dyDescent="0.35">
      <c r="A1267" s="11">
        <v>49906</v>
      </c>
      <c r="B1267" s="12" t="s">
        <v>33</v>
      </c>
      <c r="C1267" s="13">
        <v>28.9</v>
      </c>
      <c r="D1267" s="14">
        <v>0.5</v>
      </c>
      <c r="E1267">
        <f t="shared" si="57"/>
        <v>0</v>
      </c>
      <c r="F1267">
        <f t="shared" si="59"/>
        <v>49.941299999999892</v>
      </c>
      <c r="G1267">
        <f t="shared" si="58"/>
        <v>0</v>
      </c>
    </row>
    <row r="1268" spans="1:7" hidden="1" x14ac:dyDescent="0.35">
      <c r="A1268" s="7">
        <v>49907</v>
      </c>
      <c r="B1268" s="8" t="s">
        <v>11</v>
      </c>
      <c r="C1268" s="9">
        <v>19.600000000000001</v>
      </c>
      <c r="D1268" s="10">
        <v>0</v>
      </c>
      <c r="E1268">
        <f t="shared" si="57"/>
        <v>0</v>
      </c>
      <c r="F1268">
        <f t="shared" si="59"/>
        <v>49.941299999999892</v>
      </c>
      <c r="G1268">
        <f t="shared" si="58"/>
        <v>0</v>
      </c>
    </row>
    <row r="1269" spans="1:7" hidden="1" x14ac:dyDescent="0.35">
      <c r="A1269" s="11">
        <v>49908</v>
      </c>
      <c r="B1269" s="12" t="s">
        <v>7</v>
      </c>
      <c r="C1269" s="13">
        <v>18</v>
      </c>
      <c r="D1269" s="14">
        <v>13.2</v>
      </c>
      <c r="E1269">
        <f t="shared" si="57"/>
        <v>2.3759999999999999</v>
      </c>
      <c r="F1269">
        <f t="shared" si="59"/>
        <v>52.317299999999889</v>
      </c>
      <c r="G1269">
        <f t="shared" si="58"/>
        <v>0</v>
      </c>
    </row>
    <row r="1270" spans="1:7" hidden="1" x14ac:dyDescent="0.35">
      <c r="A1270" s="7">
        <v>49909</v>
      </c>
      <c r="B1270" s="8" t="s">
        <v>12</v>
      </c>
      <c r="C1270" s="9">
        <v>28.3</v>
      </c>
      <c r="D1270" s="10">
        <v>0</v>
      </c>
      <c r="E1270">
        <f t="shared" si="57"/>
        <v>0</v>
      </c>
      <c r="F1270">
        <f t="shared" si="59"/>
        <v>52.317299999999889</v>
      </c>
      <c r="G1270">
        <f t="shared" si="58"/>
        <v>0</v>
      </c>
    </row>
    <row r="1271" spans="1:7" hidden="1" x14ac:dyDescent="0.35">
      <c r="A1271" s="11">
        <v>49910</v>
      </c>
      <c r="B1271" s="12" t="s">
        <v>6</v>
      </c>
      <c r="C1271" s="13">
        <v>25.2</v>
      </c>
      <c r="D1271" s="14">
        <v>0</v>
      </c>
      <c r="E1271">
        <f t="shared" si="57"/>
        <v>0</v>
      </c>
      <c r="F1271">
        <f t="shared" si="59"/>
        <v>52.317299999999889</v>
      </c>
      <c r="G1271">
        <f t="shared" si="58"/>
        <v>0</v>
      </c>
    </row>
    <row r="1272" spans="1:7" hidden="1" x14ac:dyDescent="0.35">
      <c r="A1272" s="7">
        <v>49911</v>
      </c>
      <c r="B1272" s="8" t="s">
        <v>10</v>
      </c>
      <c r="C1272" s="9">
        <v>22.5</v>
      </c>
      <c r="D1272" s="10">
        <v>0</v>
      </c>
      <c r="E1272">
        <f t="shared" si="57"/>
        <v>0</v>
      </c>
      <c r="F1272">
        <f t="shared" si="59"/>
        <v>52.317299999999889</v>
      </c>
      <c r="G1272">
        <f t="shared" si="58"/>
        <v>0</v>
      </c>
    </row>
    <row r="1273" spans="1:7" hidden="1" x14ac:dyDescent="0.35">
      <c r="A1273" s="11">
        <v>49912</v>
      </c>
      <c r="B1273" s="12" t="s">
        <v>13</v>
      </c>
      <c r="C1273" s="13">
        <v>19.899999999999999</v>
      </c>
      <c r="D1273" s="14">
        <v>6.7</v>
      </c>
      <c r="E1273">
        <f t="shared" si="57"/>
        <v>1.3332999999999999</v>
      </c>
      <c r="F1273">
        <f t="shared" si="59"/>
        <v>53.650599999999891</v>
      </c>
      <c r="G1273">
        <f t="shared" si="58"/>
        <v>0</v>
      </c>
    </row>
    <row r="1274" spans="1:7" hidden="1" x14ac:dyDescent="0.35">
      <c r="A1274" s="7">
        <v>49913</v>
      </c>
      <c r="B1274" s="8" t="s">
        <v>11</v>
      </c>
      <c r="C1274" s="9">
        <v>10.8</v>
      </c>
      <c r="D1274" s="10">
        <v>19.600000000000001</v>
      </c>
      <c r="E1274">
        <f t="shared" si="57"/>
        <v>2.1168000000000005</v>
      </c>
      <c r="F1274">
        <f t="shared" si="59"/>
        <v>55.767399999999888</v>
      </c>
      <c r="G1274">
        <f t="shared" si="58"/>
        <v>0</v>
      </c>
    </row>
    <row r="1275" spans="1:7" hidden="1" x14ac:dyDescent="0.35">
      <c r="A1275" s="11">
        <v>49914</v>
      </c>
      <c r="B1275" s="12" t="s">
        <v>19</v>
      </c>
      <c r="C1275" s="13">
        <v>18.399999999999999</v>
      </c>
      <c r="D1275" s="14">
        <v>0.6</v>
      </c>
      <c r="E1275">
        <f t="shared" si="57"/>
        <v>0</v>
      </c>
      <c r="F1275">
        <f t="shared" si="59"/>
        <v>55.767399999999888</v>
      </c>
      <c r="G1275">
        <f t="shared" si="58"/>
        <v>0</v>
      </c>
    </row>
    <row r="1276" spans="1:7" hidden="1" x14ac:dyDescent="0.35">
      <c r="A1276" s="7">
        <v>49915</v>
      </c>
      <c r="B1276" s="8" t="s">
        <v>26</v>
      </c>
      <c r="C1276" s="9">
        <v>27.6</v>
      </c>
      <c r="D1276" s="10">
        <v>3.7</v>
      </c>
      <c r="E1276">
        <f t="shared" si="57"/>
        <v>1.0212000000000001</v>
      </c>
      <c r="F1276">
        <f t="shared" si="59"/>
        <v>56.788599999999889</v>
      </c>
      <c r="G1276">
        <f t="shared" si="58"/>
        <v>0</v>
      </c>
    </row>
    <row r="1277" spans="1:7" hidden="1" x14ac:dyDescent="0.35">
      <c r="A1277" s="11">
        <v>49916</v>
      </c>
      <c r="B1277" s="12" t="s">
        <v>26</v>
      </c>
      <c r="C1277" s="13">
        <v>11.3</v>
      </c>
      <c r="D1277" s="14">
        <v>1.9</v>
      </c>
      <c r="E1277">
        <f t="shared" si="57"/>
        <v>0.2147</v>
      </c>
      <c r="F1277">
        <f t="shared" si="59"/>
        <v>57.003299999999889</v>
      </c>
      <c r="G1277">
        <f t="shared" si="58"/>
        <v>0</v>
      </c>
    </row>
    <row r="1278" spans="1:7" hidden="1" x14ac:dyDescent="0.35">
      <c r="A1278" s="7">
        <v>49917</v>
      </c>
      <c r="B1278" s="8" t="s">
        <v>26</v>
      </c>
      <c r="C1278" s="9">
        <v>28.7</v>
      </c>
      <c r="D1278" s="10">
        <v>0</v>
      </c>
      <c r="E1278">
        <f t="shared" si="57"/>
        <v>0</v>
      </c>
      <c r="F1278">
        <f t="shared" si="59"/>
        <v>57.003299999999889</v>
      </c>
      <c r="G1278">
        <f t="shared" si="58"/>
        <v>0</v>
      </c>
    </row>
    <row r="1279" spans="1:7" hidden="1" x14ac:dyDescent="0.35">
      <c r="A1279" s="11">
        <v>49918</v>
      </c>
      <c r="B1279" s="12" t="s">
        <v>21</v>
      </c>
      <c r="C1279" s="13">
        <v>15</v>
      </c>
      <c r="D1279" s="14">
        <v>1.7</v>
      </c>
      <c r="E1279">
        <f t="shared" si="57"/>
        <v>0.255</v>
      </c>
      <c r="F1279">
        <f t="shared" si="59"/>
        <v>57.258299999999892</v>
      </c>
      <c r="G1279">
        <f t="shared" si="58"/>
        <v>0</v>
      </c>
    </row>
    <row r="1280" spans="1:7" hidden="1" x14ac:dyDescent="0.35">
      <c r="A1280" s="7">
        <v>49919</v>
      </c>
      <c r="B1280" s="8" t="s">
        <v>7</v>
      </c>
      <c r="C1280" s="9">
        <v>15.1</v>
      </c>
      <c r="D1280" s="10">
        <v>13.5</v>
      </c>
      <c r="E1280">
        <f t="shared" si="57"/>
        <v>2.0385</v>
      </c>
      <c r="F1280">
        <f t="shared" si="59"/>
        <v>59.296799999999891</v>
      </c>
      <c r="G1280">
        <f t="shared" si="58"/>
        <v>0</v>
      </c>
    </row>
    <row r="1281" spans="1:7" hidden="1" x14ac:dyDescent="0.35">
      <c r="A1281" s="11">
        <v>49920</v>
      </c>
      <c r="B1281" s="12" t="s">
        <v>19</v>
      </c>
      <c r="C1281" s="13">
        <v>19.399999999999999</v>
      </c>
      <c r="D1281" s="14">
        <v>29.6</v>
      </c>
      <c r="E1281">
        <f t="shared" si="57"/>
        <v>5.7423999999999999</v>
      </c>
      <c r="F1281">
        <f t="shared" si="59"/>
        <v>65.039199999999894</v>
      </c>
      <c r="G1281">
        <f t="shared" si="58"/>
        <v>0</v>
      </c>
    </row>
    <row r="1282" spans="1:7" hidden="1" x14ac:dyDescent="0.35">
      <c r="A1282" s="7">
        <v>49921</v>
      </c>
      <c r="B1282" s="8" t="s">
        <v>7</v>
      </c>
      <c r="C1282" s="9">
        <v>21.9</v>
      </c>
      <c r="D1282" s="10">
        <v>1.6</v>
      </c>
      <c r="E1282">
        <f t="shared" si="57"/>
        <v>0.35039999999999999</v>
      </c>
      <c r="F1282">
        <f t="shared" si="59"/>
        <v>65.389599999999888</v>
      </c>
      <c r="G1282">
        <f t="shared" si="58"/>
        <v>0</v>
      </c>
    </row>
    <row r="1283" spans="1:7" hidden="1" x14ac:dyDescent="0.35">
      <c r="A1283" s="11">
        <v>49922</v>
      </c>
      <c r="B1283" s="12" t="s">
        <v>18</v>
      </c>
      <c r="C1283" s="13">
        <v>19.399999999999999</v>
      </c>
      <c r="D1283" s="14">
        <v>9.8000000000000007</v>
      </c>
      <c r="E1283">
        <f t="shared" ref="E1283:E1346" si="60">IF(D1283&gt;=1,C1283*D1283/100,0)</f>
        <v>1.9012</v>
      </c>
      <c r="F1283">
        <f t="shared" si="59"/>
        <v>67.290799999999891</v>
      </c>
      <c r="G1283">
        <f t="shared" ref="G1283:G1346" si="61">IF(F1283&gt;=100,1,0)</f>
        <v>0</v>
      </c>
    </row>
    <row r="1284" spans="1:7" hidden="1" x14ac:dyDescent="0.35">
      <c r="A1284" s="7">
        <v>49923</v>
      </c>
      <c r="B1284" s="8" t="s">
        <v>7</v>
      </c>
      <c r="C1284" s="9">
        <v>21.8</v>
      </c>
      <c r="D1284" s="10">
        <v>18.5</v>
      </c>
      <c r="E1284">
        <f t="shared" si="60"/>
        <v>4.0330000000000004</v>
      </c>
      <c r="F1284">
        <f t="shared" ref="F1284:F1347" si="62">IF(G1283=1,E1284+F1283-100,F1283+E1284)</f>
        <v>71.323799999999892</v>
      </c>
      <c r="G1284">
        <f t="shared" si="61"/>
        <v>0</v>
      </c>
    </row>
    <row r="1285" spans="1:7" hidden="1" x14ac:dyDescent="0.35">
      <c r="A1285" s="11">
        <v>49924</v>
      </c>
      <c r="B1285" s="12" t="s">
        <v>17</v>
      </c>
      <c r="C1285" s="13">
        <v>29.3</v>
      </c>
      <c r="D1285" s="14">
        <v>2.8</v>
      </c>
      <c r="E1285">
        <f t="shared" si="60"/>
        <v>0.82039999999999991</v>
      </c>
      <c r="F1285">
        <f t="shared" si="62"/>
        <v>72.144199999999898</v>
      </c>
      <c r="G1285">
        <f t="shared" si="61"/>
        <v>0</v>
      </c>
    </row>
    <row r="1286" spans="1:7" hidden="1" x14ac:dyDescent="0.35">
      <c r="A1286" s="7">
        <v>49925</v>
      </c>
      <c r="B1286" s="8" t="s">
        <v>19</v>
      </c>
      <c r="C1286" s="9">
        <v>14.4</v>
      </c>
      <c r="D1286" s="10">
        <v>0</v>
      </c>
      <c r="E1286">
        <f t="shared" si="60"/>
        <v>0</v>
      </c>
      <c r="F1286">
        <f t="shared" si="62"/>
        <v>72.144199999999898</v>
      </c>
      <c r="G1286">
        <f t="shared" si="61"/>
        <v>0</v>
      </c>
    </row>
    <row r="1287" spans="1:7" hidden="1" x14ac:dyDescent="0.35">
      <c r="A1287" s="11">
        <v>49926</v>
      </c>
      <c r="B1287" s="12" t="s">
        <v>10</v>
      </c>
      <c r="C1287" s="13">
        <v>14.5</v>
      </c>
      <c r="D1287" s="14">
        <v>0</v>
      </c>
      <c r="E1287">
        <f t="shared" si="60"/>
        <v>0</v>
      </c>
      <c r="F1287">
        <f t="shared" si="62"/>
        <v>72.144199999999898</v>
      </c>
      <c r="G1287">
        <f t="shared" si="61"/>
        <v>0</v>
      </c>
    </row>
    <row r="1288" spans="1:7" hidden="1" x14ac:dyDescent="0.35">
      <c r="A1288" s="7">
        <v>49927</v>
      </c>
      <c r="B1288" s="8" t="s">
        <v>15</v>
      </c>
      <c r="C1288" s="9">
        <v>18.399999999999999</v>
      </c>
      <c r="D1288" s="10">
        <v>10.1</v>
      </c>
      <c r="E1288">
        <f t="shared" si="60"/>
        <v>1.8583999999999998</v>
      </c>
      <c r="F1288">
        <f t="shared" si="62"/>
        <v>74.002599999999902</v>
      </c>
      <c r="G1288">
        <f t="shared" si="61"/>
        <v>0</v>
      </c>
    </row>
    <row r="1289" spans="1:7" hidden="1" x14ac:dyDescent="0.35">
      <c r="A1289" s="11">
        <v>49928</v>
      </c>
      <c r="B1289" s="12" t="s">
        <v>18</v>
      </c>
      <c r="C1289" s="13">
        <v>29.8</v>
      </c>
      <c r="D1289" s="14">
        <v>0</v>
      </c>
      <c r="E1289">
        <f t="shared" si="60"/>
        <v>0</v>
      </c>
      <c r="F1289">
        <f t="shared" si="62"/>
        <v>74.002599999999902</v>
      </c>
      <c r="G1289">
        <f t="shared" si="61"/>
        <v>0</v>
      </c>
    </row>
    <row r="1290" spans="1:7" hidden="1" x14ac:dyDescent="0.35">
      <c r="A1290" s="7">
        <v>49929</v>
      </c>
      <c r="B1290" s="8" t="s">
        <v>7</v>
      </c>
      <c r="C1290" s="9">
        <v>27.3</v>
      </c>
      <c r="D1290" s="10">
        <v>18.600000000000001</v>
      </c>
      <c r="E1290">
        <f t="shared" si="60"/>
        <v>5.0777999999999999</v>
      </c>
      <c r="F1290">
        <f t="shared" si="62"/>
        <v>79.080399999999898</v>
      </c>
      <c r="G1290">
        <f t="shared" si="61"/>
        <v>0</v>
      </c>
    </row>
    <row r="1291" spans="1:7" hidden="1" x14ac:dyDescent="0.35">
      <c r="A1291" s="11">
        <v>49930</v>
      </c>
      <c r="B1291" s="12" t="s">
        <v>9</v>
      </c>
      <c r="C1291" s="13">
        <v>22.7</v>
      </c>
      <c r="D1291" s="14">
        <v>0</v>
      </c>
      <c r="E1291">
        <f t="shared" si="60"/>
        <v>0</v>
      </c>
      <c r="F1291">
        <f t="shared" si="62"/>
        <v>79.080399999999898</v>
      </c>
      <c r="G1291">
        <f t="shared" si="61"/>
        <v>0</v>
      </c>
    </row>
    <row r="1292" spans="1:7" hidden="1" x14ac:dyDescent="0.35">
      <c r="A1292" s="7">
        <v>49931</v>
      </c>
      <c r="B1292" s="8" t="s">
        <v>10</v>
      </c>
      <c r="C1292" s="9">
        <v>27.3</v>
      </c>
      <c r="D1292" s="10">
        <v>18.399999999999999</v>
      </c>
      <c r="E1292">
        <f t="shared" si="60"/>
        <v>5.0232000000000001</v>
      </c>
      <c r="F1292">
        <f t="shared" si="62"/>
        <v>84.103599999999901</v>
      </c>
      <c r="G1292">
        <f t="shared" si="61"/>
        <v>0</v>
      </c>
    </row>
    <row r="1293" spans="1:7" hidden="1" x14ac:dyDescent="0.35">
      <c r="A1293" s="11">
        <v>49932</v>
      </c>
      <c r="B1293" s="12" t="s">
        <v>18</v>
      </c>
      <c r="C1293" s="13">
        <v>12.9</v>
      </c>
      <c r="D1293" s="14">
        <v>0</v>
      </c>
      <c r="E1293">
        <f t="shared" si="60"/>
        <v>0</v>
      </c>
      <c r="F1293">
        <f t="shared" si="62"/>
        <v>84.103599999999901</v>
      </c>
      <c r="G1293">
        <f t="shared" si="61"/>
        <v>0</v>
      </c>
    </row>
    <row r="1294" spans="1:7" hidden="1" x14ac:dyDescent="0.35">
      <c r="A1294" s="7">
        <v>49933</v>
      </c>
      <c r="B1294" s="8" t="s">
        <v>19</v>
      </c>
      <c r="C1294" s="9">
        <v>24.3</v>
      </c>
      <c r="D1294" s="10">
        <v>1.9</v>
      </c>
      <c r="E1294">
        <f t="shared" si="60"/>
        <v>0.4617</v>
      </c>
      <c r="F1294">
        <f t="shared" si="62"/>
        <v>84.565299999999894</v>
      </c>
      <c r="G1294">
        <f t="shared" si="61"/>
        <v>0</v>
      </c>
    </row>
    <row r="1295" spans="1:7" hidden="1" x14ac:dyDescent="0.35">
      <c r="A1295" s="11">
        <v>49934</v>
      </c>
      <c r="B1295" s="12" t="s">
        <v>18</v>
      </c>
      <c r="C1295" s="13">
        <v>20.6</v>
      </c>
      <c r="D1295" s="14">
        <v>14.6</v>
      </c>
      <c r="E1295">
        <f t="shared" si="60"/>
        <v>3.0076000000000001</v>
      </c>
      <c r="F1295">
        <f t="shared" si="62"/>
        <v>87.57289999999989</v>
      </c>
      <c r="G1295">
        <f t="shared" si="61"/>
        <v>0</v>
      </c>
    </row>
    <row r="1296" spans="1:7" hidden="1" x14ac:dyDescent="0.35">
      <c r="A1296" s="7">
        <v>49935</v>
      </c>
      <c r="B1296" s="8" t="s">
        <v>5</v>
      </c>
      <c r="C1296" s="9">
        <v>24.2</v>
      </c>
      <c r="D1296" s="10">
        <v>0</v>
      </c>
      <c r="E1296">
        <f t="shared" si="60"/>
        <v>0</v>
      </c>
      <c r="F1296">
        <f t="shared" si="62"/>
        <v>87.57289999999989</v>
      </c>
      <c r="G1296">
        <f t="shared" si="61"/>
        <v>0</v>
      </c>
    </row>
    <row r="1297" spans="1:7" hidden="1" x14ac:dyDescent="0.35">
      <c r="A1297" s="11">
        <v>49936</v>
      </c>
      <c r="B1297" s="12" t="s">
        <v>10</v>
      </c>
      <c r="C1297" s="13">
        <v>15.2</v>
      </c>
      <c r="D1297" s="14">
        <v>0</v>
      </c>
      <c r="E1297">
        <f t="shared" si="60"/>
        <v>0</v>
      </c>
      <c r="F1297">
        <f t="shared" si="62"/>
        <v>87.57289999999989</v>
      </c>
      <c r="G1297">
        <f t="shared" si="61"/>
        <v>0</v>
      </c>
    </row>
    <row r="1298" spans="1:7" hidden="1" x14ac:dyDescent="0.35">
      <c r="A1298" s="7">
        <v>49937</v>
      </c>
      <c r="B1298" s="8" t="s">
        <v>25</v>
      </c>
      <c r="C1298" s="9">
        <v>27.3</v>
      </c>
      <c r="D1298" s="10">
        <v>2.5</v>
      </c>
      <c r="E1298">
        <f t="shared" si="60"/>
        <v>0.6825</v>
      </c>
      <c r="F1298">
        <f t="shared" si="62"/>
        <v>88.255399999999895</v>
      </c>
      <c r="G1298">
        <f t="shared" si="61"/>
        <v>0</v>
      </c>
    </row>
    <row r="1299" spans="1:7" hidden="1" x14ac:dyDescent="0.35">
      <c r="A1299" s="11">
        <v>49938</v>
      </c>
      <c r="B1299" s="12" t="s">
        <v>25</v>
      </c>
      <c r="C1299" s="13">
        <v>28</v>
      </c>
      <c r="D1299" s="14">
        <v>0</v>
      </c>
      <c r="E1299">
        <f t="shared" si="60"/>
        <v>0</v>
      </c>
      <c r="F1299">
        <f t="shared" si="62"/>
        <v>88.255399999999895</v>
      </c>
      <c r="G1299">
        <f t="shared" si="61"/>
        <v>0</v>
      </c>
    </row>
    <row r="1300" spans="1:7" hidden="1" x14ac:dyDescent="0.35">
      <c r="A1300" s="7">
        <v>49939</v>
      </c>
      <c r="B1300" s="8" t="s">
        <v>31</v>
      </c>
      <c r="C1300" s="9">
        <v>16.100000000000001</v>
      </c>
      <c r="D1300" s="10">
        <v>0</v>
      </c>
      <c r="E1300">
        <f t="shared" si="60"/>
        <v>0</v>
      </c>
      <c r="F1300">
        <f t="shared" si="62"/>
        <v>88.255399999999895</v>
      </c>
      <c r="G1300">
        <f t="shared" si="61"/>
        <v>0</v>
      </c>
    </row>
    <row r="1301" spans="1:7" hidden="1" x14ac:dyDescent="0.35">
      <c r="A1301" s="11">
        <v>49940</v>
      </c>
      <c r="B1301" s="12" t="s">
        <v>19</v>
      </c>
      <c r="C1301" s="13">
        <v>18.8</v>
      </c>
      <c r="D1301" s="14">
        <v>16.899999999999999</v>
      </c>
      <c r="E1301">
        <f t="shared" si="60"/>
        <v>3.1771999999999996</v>
      </c>
      <c r="F1301">
        <f t="shared" si="62"/>
        <v>91.432599999999894</v>
      </c>
      <c r="G1301">
        <f t="shared" si="61"/>
        <v>0</v>
      </c>
    </row>
    <row r="1302" spans="1:7" hidden="1" x14ac:dyDescent="0.35">
      <c r="A1302" s="7">
        <v>49941</v>
      </c>
      <c r="B1302" s="8" t="s">
        <v>10</v>
      </c>
      <c r="C1302" s="9">
        <v>13.2</v>
      </c>
      <c r="D1302" s="10">
        <v>10.4</v>
      </c>
      <c r="E1302">
        <f t="shared" si="60"/>
        <v>1.3728</v>
      </c>
      <c r="F1302">
        <f t="shared" si="62"/>
        <v>92.805399999999892</v>
      </c>
      <c r="G1302">
        <f t="shared" si="61"/>
        <v>0</v>
      </c>
    </row>
    <row r="1303" spans="1:7" hidden="1" x14ac:dyDescent="0.35">
      <c r="A1303" s="11">
        <v>49942</v>
      </c>
      <c r="B1303" s="12" t="s">
        <v>5</v>
      </c>
      <c r="C1303" s="13">
        <v>17.899999999999999</v>
      </c>
      <c r="D1303" s="14">
        <v>3.5</v>
      </c>
      <c r="E1303">
        <f t="shared" si="60"/>
        <v>0.62649999999999995</v>
      </c>
      <c r="F1303">
        <f t="shared" si="62"/>
        <v>93.431899999999885</v>
      </c>
      <c r="G1303">
        <f t="shared" si="61"/>
        <v>0</v>
      </c>
    </row>
    <row r="1304" spans="1:7" hidden="1" x14ac:dyDescent="0.35">
      <c r="A1304" s="7">
        <v>49943</v>
      </c>
      <c r="B1304" s="8" t="s">
        <v>7</v>
      </c>
      <c r="C1304" s="9">
        <v>18.3</v>
      </c>
      <c r="D1304" s="10">
        <v>16.7</v>
      </c>
      <c r="E1304">
        <f t="shared" si="60"/>
        <v>3.0561000000000003</v>
      </c>
      <c r="F1304">
        <f t="shared" si="62"/>
        <v>96.487999999999886</v>
      </c>
      <c r="G1304">
        <f t="shared" si="61"/>
        <v>0</v>
      </c>
    </row>
    <row r="1305" spans="1:7" hidden="1" x14ac:dyDescent="0.35">
      <c r="A1305" s="11">
        <v>49944</v>
      </c>
      <c r="B1305" s="12" t="s">
        <v>17</v>
      </c>
      <c r="C1305" s="13">
        <v>25.7</v>
      </c>
      <c r="D1305" s="14">
        <v>2</v>
      </c>
      <c r="E1305">
        <f t="shared" si="60"/>
        <v>0.51400000000000001</v>
      </c>
      <c r="F1305">
        <f t="shared" si="62"/>
        <v>97.001999999999882</v>
      </c>
      <c r="G1305">
        <f t="shared" si="61"/>
        <v>0</v>
      </c>
    </row>
    <row r="1306" spans="1:7" x14ac:dyDescent="0.35">
      <c r="A1306" s="7">
        <v>49945</v>
      </c>
      <c r="B1306" s="8" t="s">
        <v>10</v>
      </c>
      <c r="C1306" s="9">
        <v>29.2</v>
      </c>
      <c r="D1306" s="10">
        <v>31.5</v>
      </c>
      <c r="E1306">
        <f t="shared" si="60"/>
        <v>9.1980000000000004</v>
      </c>
      <c r="F1306">
        <f t="shared" si="62"/>
        <v>106.19999999999987</v>
      </c>
      <c r="G1306">
        <f t="shared" si="61"/>
        <v>1</v>
      </c>
    </row>
    <row r="1307" spans="1:7" hidden="1" x14ac:dyDescent="0.35">
      <c r="A1307" s="11">
        <v>49946</v>
      </c>
      <c r="B1307" s="12" t="s">
        <v>7</v>
      </c>
      <c r="C1307" s="13">
        <v>21.5</v>
      </c>
      <c r="D1307" s="14">
        <v>0</v>
      </c>
      <c r="E1307">
        <f t="shared" si="60"/>
        <v>0</v>
      </c>
      <c r="F1307">
        <f t="shared" si="62"/>
        <v>6.1999999999998749</v>
      </c>
      <c r="G1307">
        <f t="shared" si="61"/>
        <v>0</v>
      </c>
    </row>
    <row r="1308" spans="1:7" hidden="1" x14ac:dyDescent="0.35">
      <c r="A1308" s="7">
        <v>49947</v>
      </c>
      <c r="B1308" s="8" t="s">
        <v>11</v>
      </c>
      <c r="C1308" s="9">
        <v>29.5</v>
      </c>
      <c r="D1308" s="10">
        <v>12.2</v>
      </c>
      <c r="E1308">
        <f t="shared" si="60"/>
        <v>3.5989999999999998</v>
      </c>
      <c r="F1308">
        <f t="shared" si="62"/>
        <v>9.7989999999998751</v>
      </c>
      <c r="G1308">
        <f t="shared" si="61"/>
        <v>0</v>
      </c>
    </row>
    <row r="1309" spans="1:7" hidden="1" x14ac:dyDescent="0.35">
      <c r="A1309" s="11">
        <v>49948</v>
      </c>
      <c r="B1309" s="12" t="s">
        <v>7</v>
      </c>
      <c r="C1309" s="13">
        <v>17.7</v>
      </c>
      <c r="D1309" s="14">
        <v>10.1</v>
      </c>
      <c r="E1309">
        <f t="shared" si="60"/>
        <v>1.7876999999999998</v>
      </c>
      <c r="F1309">
        <f t="shared" si="62"/>
        <v>11.586699999999874</v>
      </c>
      <c r="G1309">
        <f t="shared" si="61"/>
        <v>0</v>
      </c>
    </row>
    <row r="1310" spans="1:7" hidden="1" x14ac:dyDescent="0.35">
      <c r="A1310" s="7">
        <v>49949</v>
      </c>
      <c r="B1310" s="8" t="s">
        <v>19</v>
      </c>
      <c r="C1310" s="9">
        <v>26.7</v>
      </c>
      <c r="D1310" s="10">
        <v>1.2</v>
      </c>
      <c r="E1310">
        <f t="shared" si="60"/>
        <v>0.32040000000000002</v>
      </c>
      <c r="F1310">
        <f t="shared" si="62"/>
        <v>11.907099999999874</v>
      </c>
      <c r="G1310">
        <f t="shared" si="61"/>
        <v>0</v>
      </c>
    </row>
    <row r="1311" spans="1:7" hidden="1" x14ac:dyDescent="0.35">
      <c r="A1311" s="11">
        <v>49950</v>
      </c>
      <c r="B1311" s="12" t="s">
        <v>10</v>
      </c>
      <c r="C1311" s="13">
        <v>13.3</v>
      </c>
      <c r="D1311" s="14">
        <v>0.5</v>
      </c>
      <c r="E1311">
        <f t="shared" si="60"/>
        <v>0</v>
      </c>
      <c r="F1311">
        <f t="shared" si="62"/>
        <v>11.907099999999874</v>
      </c>
      <c r="G1311">
        <f t="shared" si="61"/>
        <v>0</v>
      </c>
    </row>
    <row r="1312" spans="1:7" hidden="1" x14ac:dyDescent="0.35">
      <c r="A1312" s="7">
        <v>49951</v>
      </c>
      <c r="B1312" s="8" t="s">
        <v>7</v>
      </c>
      <c r="C1312" s="9">
        <v>13.4</v>
      </c>
      <c r="D1312" s="10">
        <v>23.4</v>
      </c>
      <c r="E1312">
        <f t="shared" si="60"/>
        <v>3.1356000000000002</v>
      </c>
      <c r="F1312">
        <f t="shared" si="62"/>
        <v>15.042699999999874</v>
      </c>
      <c r="G1312">
        <f t="shared" si="61"/>
        <v>0</v>
      </c>
    </row>
    <row r="1313" spans="1:7" hidden="1" x14ac:dyDescent="0.35">
      <c r="A1313" s="11">
        <v>49952</v>
      </c>
      <c r="B1313" s="12" t="s">
        <v>11</v>
      </c>
      <c r="C1313" s="13">
        <v>22.1</v>
      </c>
      <c r="D1313" s="14">
        <v>17.7</v>
      </c>
      <c r="E1313">
        <f t="shared" si="60"/>
        <v>3.9117000000000002</v>
      </c>
      <c r="F1313">
        <f t="shared" si="62"/>
        <v>18.954399999999875</v>
      </c>
      <c r="G1313">
        <f t="shared" si="61"/>
        <v>0</v>
      </c>
    </row>
    <row r="1314" spans="1:7" hidden="1" x14ac:dyDescent="0.35">
      <c r="A1314" s="7">
        <v>49953</v>
      </c>
      <c r="B1314" s="8" t="s">
        <v>22</v>
      </c>
      <c r="C1314" s="9">
        <v>11.4</v>
      </c>
      <c r="D1314" s="10">
        <v>0</v>
      </c>
      <c r="E1314">
        <f t="shared" si="60"/>
        <v>0</v>
      </c>
      <c r="F1314">
        <f t="shared" si="62"/>
        <v>18.954399999999875</v>
      </c>
      <c r="G1314">
        <f t="shared" si="61"/>
        <v>0</v>
      </c>
    </row>
    <row r="1315" spans="1:7" hidden="1" x14ac:dyDescent="0.35">
      <c r="A1315" s="11">
        <v>49954</v>
      </c>
      <c r="B1315" s="12" t="s">
        <v>15</v>
      </c>
      <c r="C1315" s="13">
        <v>26</v>
      </c>
      <c r="D1315" s="14">
        <v>4.9000000000000004</v>
      </c>
      <c r="E1315">
        <f t="shared" si="60"/>
        <v>1.274</v>
      </c>
      <c r="F1315">
        <f t="shared" si="62"/>
        <v>20.228399999999876</v>
      </c>
      <c r="G1315">
        <f t="shared" si="61"/>
        <v>0</v>
      </c>
    </row>
    <row r="1316" spans="1:7" hidden="1" x14ac:dyDescent="0.35">
      <c r="A1316" s="7">
        <v>49955</v>
      </c>
      <c r="B1316" s="8" t="s">
        <v>15</v>
      </c>
      <c r="C1316" s="9">
        <v>27.8</v>
      </c>
      <c r="D1316" s="10">
        <v>6.7</v>
      </c>
      <c r="E1316">
        <f t="shared" si="60"/>
        <v>1.8626000000000003</v>
      </c>
      <c r="F1316">
        <f t="shared" si="62"/>
        <v>22.090999999999877</v>
      </c>
      <c r="G1316">
        <f t="shared" si="61"/>
        <v>0</v>
      </c>
    </row>
    <row r="1317" spans="1:7" hidden="1" x14ac:dyDescent="0.35">
      <c r="A1317" s="11">
        <v>49956</v>
      </c>
      <c r="B1317" s="12" t="s">
        <v>7</v>
      </c>
      <c r="C1317" s="13">
        <v>29.3</v>
      </c>
      <c r="D1317" s="14">
        <v>1.7</v>
      </c>
      <c r="E1317">
        <f t="shared" si="60"/>
        <v>0.49810000000000004</v>
      </c>
      <c r="F1317">
        <f t="shared" si="62"/>
        <v>22.589099999999878</v>
      </c>
      <c r="G1317">
        <f t="shared" si="61"/>
        <v>0</v>
      </c>
    </row>
    <row r="1318" spans="1:7" hidden="1" x14ac:dyDescent="0.35">
      <c r="A1318" s="7">
        <v>49957</v>
      </c>
      <c r="B1318" s="8" t="s">
        <v>23</v>
      </c>
      <c r="C1318" s="9">
        <v>24.7</v>
      </c>
      <c r="D1318" s="10">
        <v>2.5</v>
      </c>
      <c r="E1318">
        <f t="shared" si="60"/>
        <v>0.61750000000000005</v>
      </c>
      <c r="F1318">
        <f t="shared" si="62"/>
        <v>23.206599999999877</v>
      </c>
      <c r="G1318">
        <f t="shared" si="61"/>
        <v>0</v>
      </c>
    </row>
    <row r="1319" spans="1:7" hidden="1" x14ac:dyDescent="0.35">
      <c r="A1319" s="11">
        <v>49958</v>
      </c>
      <c r="B1319" s="12" t="s">
        <v>4</v>
      </c>
      <c r="C1319" s="13">
        <v>16.600000000000001</v>
      </c>
      <c r="D1319" s="14">
        <v>0.1</v>
      </c>
      <c r="E1319">
        <f t="shared" si="60"/>
        <v>0</v>
      </c>
      <c r="F1319">
        <f t="shared" si="62"/>
        <v>23.206599999999877</v>
      </c>
      <c r="G1319">
        <f t="shared" si="61"/>
        <v>0</v>
      </c>
    </row>
    <row r="1320" spans="1:7" hidden="1" x14ac:dyDescent="0.35">
      <c r="A1320" s="7">
        <v>49959</v>
      </c>
      <c r="B1320" s="8" t="s">
        <v>18</v>
      </c>
      <c r="C1320" s="9">
        <v>27.5</v>
      </c>
      <c r="D1320" s="10">
        <v>0</v>
      </c>
      <c r="E1320">
        <f t="shared" si="60"/>
        <v>0</v>
      </c>
      <c r="F1320">
        <f t="shared" si="62"/>
        <v>23.206599999999877</v>
      </c>
      <c r="G1320">
        <f t="shared" si="61"/>
        <v>0</v>
      </c>
    </row>
    <row r="1321" spans="1:7" hidden="1" x14ac:dyDescent="0.35">
      <c r="A1321" s="11">
        <v>49960</v>
      </c>
      <c r="B1321" s="12" t="s">
        <v>15</v>
      </c>
      <c r="C1321" s="13">
        <v>22.7</v>
      </c>
      <c r="D1321" s="14">
        <v>0</v>
      </c>
      <c r="E1321">
        <f t="shared" si="60"/>
        <v>0</v>
      </c>
      <c r="F1321">
        <f t="shared" si="62"/>
        <v>23.206599999999877</v>
      </c>
      <c r="G1321">
        <f t="shared" si="61"/>
        <v>0</v>
      </c>
    </row>
    <row r="1322" spans="1:7" hidden="1" x14ac:dyDescent="0.35">
      <c r="A1322" s="7">
        <v>49961</v>
      </c>
      <c r="B1322" s="8" t="s">
        <v>12</v>
      </c>
      <c r="C1322" s="9">
        <v>20.100000000000001</v>
      </c>
      <c r="D1322" s="10">
        <v>10.5</v>
      </c>
      <c r="E1322">
        <f t="shared" si="60"/>
        <v>2.1105</v>
      </c>
      <c r="F1322">
        <f t="shared" si="62"/>
        <v>25.317099999999876</v>
      </c>
      <c r="G1322">
        <f t="shared" si="61"/>
        <v>0</v>
      </c>
    </row>
    <row r="1323" spans="1:7" hidden="1" x14ac:dyDescent="0.35">
      <c r="A1323" s="11">
        <v>49962</v>
      </c>
      <c r="B1323" s="12" t="s">
        <v>7</v>
      </c>
      <c r="C1323" s="13">
        <v>16.100000000000001</v>
      </c>
      <c r="D1323" s="14">
        <v>8.1</v>
      </c>
      <c r="E1323">
        <f t="shared" si="60"/>
        <v>1.3041</v>
      </c>
      <c r="F1323">
        <f t="shared" si="62"/>
        <v>26.621199999999874</v>
      </c>
      <c r="G1323">
        <f t="shared" si="61"/>
        <v>0</v>
      </c>
    </row>
    <row r="1324" spans="1:7" hidden="1" x14ac:dyDescent="0.35">
      <c r="A1324" s="7">
        <v>49963</v>
      </c>
      <c r="B1324" s="8" t="s">
        <v>7</v>
      </c>
      <c r="C1324" s="9">
        <v>13.9</v>
      </c>
      <c r="D1324" s="10">
        <v>0</v>
      </c>
      <c r="E1324">
        <f t="shared" si="60"/>
        <v>0</v>
      </c>
      <c r="F1324">
        <f t="shared" si="62"/>
        <v>26.621199999999874</v>
      </c>
      <c r="G1324">
        <f t="shared" si="61"/>
        <v>0</v>
      </c>
    </row>
    <row r="1325" spans="1:7" hidden="1" x14ac:dyDescent="0.35">
      <c r="A1325" s="11">
        <v>49964</v>
      </c>
      <c r="B1325" s="12" t="s">
        <v>12</v>
      </c>
      <c r="C1325" s="13">
        <v>22.3</v>
      </c>
      <c r="D1325" s="14">
        <v>0</v>
      </c>
      <c r="E1325">
        <f t="shared" si="60"/>
        <v>0</v>
      </c>
      <c r="F1325">
        <f t="shared" si="62"/>
        <v>26.621199999999874</v>
      </c>
      <c r="G1325">
        <f t="shared" si="61"/>
        <v>0</v>
      </c>
    </row>
    <row r="1326" spans="1:7" hidden="1" x14ac:dyDescent="0.35">
      <c r="A1326" s="7">
        <v>49965</v>
      </c>
      <c r="B1326" s="8" t="s">
        <v>26</v>
      </c>
      <c r="C1326" s="9">
        <v>13</v>
      </c>
      <c r="D1326" s="10">
        <v>0</v>
      </c>
      <c r="E1326">
        <f t="shared" si="60"/>
        <v>0</v>
      </c>
      <c r="F1326">
        <f t="shared" si="62"/>
        <v>26.621199999999874</v>
      </c>
      <c r="G1326">
        <f t="shared" si="61"/>
        <v>0</v>
      </c>
    </row>
    <row r="1327" spans="1:7" hidden="1" x14ac:dyDescent="0.35">
      <c r="A1327" s="11">
        <v>49966</v>
      </c>
      <c r="B1327" s="12" t="s">
        <v>11</v>
      </c>
      <c r="C1327" s="13">
        <v>16.2</v>
      </c>
      <c r="D1327" s="14">
        <v>0</v>
      </c>
      <c r="E1327">
        <f t="shared" si="60"/>
        <v>0</v>
      </c>
      <c r="F1327">
        <f t="shared" si="62"/>
        <v>26.621199999999874</v>
      </c>
      <c r="G1327">
        <f t="shared" si="61"/>
        <v>0</v>
      </c>
    </row>
    <row r="1328" spans="1:7" hidden="1" x14ac:dyDescent="0.35">
      <c r="A1328" s="7">
        <v>49967</v>
      </c>
      <c r="B1328" s="8" t="s">
        <v>14</v>
      </c>
      <c r="C1328" s="9">
        <v>24.8</v>
      </c>
      <c r="D1328" s="10">
        <v>0</v>
      </c>
      <c r="E1328">
        <f t="shared" si="60"/>
        <v>0</v>
      </c>
      <c r="F1328">
        <f t="shared" si="62"/>
        <v>26.621199999999874</v>
      </c>
      <c r="G1328">
        <f t="shared" si="61"/>
        <v>0</v>
      </c>
    </row>
    <row r="1329" spans="1:7" hidden="1" x14ac:dyDescent="0.35">
      <c r="A1329" s="11">
        <v>49968</v>
      </c>
      <c r="B1329" s="12" t="s">
        <v>13</v>
      </c>
      <c r="C1329" s="13">
        <v>29.7</v>
      </c>
      <c r="D1329" s="14">
        <v>0</v>
      </c>
      <c r="E1329">
        <f t="shared" si="60"/>
        <v>0</v>
      </c>
      <c r="F1329">
        <f t="shared" si="62"/>
        <v>26.621199999999874</v>
      </c>
      <c r="G1329">
        <f t="shared" si="61"/>
        <v>0</v>
      </c>
    </row>
    <row r="1330" spans="1:7" hidden="1" x14ac:dyDescent="0.35">
      <c r="A1330" s="7">
        <v>49969</v>
      </c>
      <c r="B1330" s="8" t="s">
        <v>10</v>
      </c>
      <c r="C1330" s="9">
        <v>17.600000000000001</v>
      </c>
      <c r="D1330" s="10">
        <v>14.7</v>
      </c>
      <c r="E1330">
        <f t="shared" si="60"/>
        <v>2.5872000000000002</v>
      </c>
      <c r="F1330">
        <f t="shared" si="62"/>
        <v>29.208399999999873</v>
      </c>
      <c r="G1330">
        <f t="shared" si="61"/>
        <v>0</v>
      </c>
    </row>
    <row r="1331" spans="1:7" hidden="1" x14ac:dyDescent="0.35">
      <c r="A1331" s="11">
        <v>49970</v>
      </c>
      <c r="B1331" s="12" t="s">
        <v>10</v>
      </c>
      <c r="C1331" s="13">
        <v>10.4</v>
      </c>
      <c r="D1331" s="14">
        <v>27.7</v>
      </c>
      <c r="E1331">
        <f t="shared" si="60"/>
        <v>2.8807999999999998</v>
      </c>
      <c r="F1331">
        <f t="shared" si="62"/>
        <v>32.08919999999987</v>
      </c>
      <c r="G1331">
        <f t="shared" si="61"/>
        <v>0</v>
      </c>
    </row>
    <row r="1332" spans="1:7" hidden="1" x14ac:dyDescent="0.35">
      <c r="A1332" s="7">
        <v>49971</v>
      </c>
      <c r="B1332" s="8" t="s">
        <v>15</v>
      </c>
      <c r="C1332" s="9">
        <v>17</v>
      </c>
      <c r="D1332" s="10">
        <v>1.1000000000000001</v>
      </c>
      <c r="E1332">
        <f t="shared" si="60"/>
        <v>0.18700000000000003</v>
      </c>
      <c r="F1332">
        <f t="shared" si="62"/>
        <v>32.276199999999868</v>
      </c>
      <c r="G1332">
        <f t="shared" si="61"/>
        <v>0</v>
      </c>
    </row>
    <row r="1333" spans="1:7" hidden="1" x14ac:dyDescent="0.35">
      <c r="A1333" s="11">
        <v>49972</v>
      </c>
      <c r="B1333" s="12" t="s">
        <v>18</v>
      </c>
      <c r="C1333" s="13">
        <v>15.7</v>
      </c>
      <c r="D1333" s="14">
        <v>5.9</v>
      </c>
      <c r="E1333">
        <f t="shared" si="60"/>
        <v>0.9262999999999999</v>
      </c>
      <c r="F1333">
        <f t="shared" si="62"/>
        <v>33.202499999999866</v>
      </c>
      <c r="G1333">
        <f t="shared" si="61"/>
        <v>0</v>
      </c>
    </row>
    <row r="1334" spans="1:7" hidden="1" x14ac:dyDescent="0.35">
      <c r="A1334" s="7">
        <v>49973</v>
      </c>
      <c r="B1334" s="8" t="s">
        <v>19</v>
      </c>
      <c r="C1334" s="9">
        <v>23.8</v>
      </c>
      <c r="D1334" s="10">
        <v>4.3</v>
      </c>
      <c r="E1334">
        <f t="shared" si="60"/>
        <v>1.0234000000000001</v>
      </c>
      <c r="F1334">
        <f t="shared" si="62"/>
        <v>34.225899999999868</v>
      </c>
      <c r="G1334">
        <f t="shared" si="61"/>
        <v>0</v>
      </c>
    </row>
    <row r="1335" spans="1:7" hidden="1" x14ac:dyDescent="0.35">
      <c r="A1335" s="11">
        <v>49974</v>
      </c>
      <c r="B1335" s="12" t="s">
        <v>11</v>
      </c>
      <c r="C1335" s="13">
        <v>16.2</v>
      </c>
      <c r="D1335" s="14">
        <v>8.6999999999999993</v>
      </c>
      <c r="E1335">
        <f t="shared" si="60"/>
        <v>1.4093999999999998</v>
      </c>
      <c r="F1335">
        <f t="shared" si="62"/>
        <v>35.635299999999866</v>
      </c>
      <c r="G1335">
        <f t="shared" si="61"/>
        <v>0</v>
      </c>
    </row>
    <row r="1336" spans="1:7" hidden="1" x14ac:dyDescent="0.35">
      <c r="A1336" s="7">
        <v>49975</v>
      </c>
      <c r="B1336" s="8" t="s">
        <v>5</v>
      </c>
      <c r="C1336" s="9">
        <v>23.3</v>
      </c>
      <c r="D1336" s="10">
        <v>5.8</v>
      </c>
      <c r="E1336">
        <f t="shared" si="60"/>
        <v>1.3513999999999999</v>
      </c>
      <c r="F1336">
        <f t="shared" si="62"/>
        <v>36.986699999999864</v>
      </c>
      <c r="G1336">
        <f t="shared" si="61"/>
        <v>0</v>
      </c>
    </row>
    <row r="1337" spans="1:7" hidden="1" x14ac:dyDescent="0.35">
      <c r="A1337" s="11">
        <v>49976</v>
      </c>
      <c r="B1337" s="12" t="s">
        <v>7</v>
      </c>
      <c r="C1337" s="13">
        <v>18.7</v>
      </c>
      <c r="D1337" s="14">
        <v>1.1000000000000001</v>
      </c>
      <c r="E1337">
        <f t="shared" si="60"/>
        <v>0.20569999999999999</v>
      </c>
      <c r="F1337">
        <f t="shared" si="62"/>
        <v>37.192399999999864</v>
      </c>
      <c r="G1337">
        <f t="shared" si="61"/>
        <v>0</v>
      </c>
    </row>
    <row r="1338" spans="1:7" hidden="1" x14ac:dyDescent="0.35">
      <c r="A1338" s="7">
        <v>49977</v>
      </c>
      <c r="B1338" s="8" t="s">
        <v>17</v>
      </c>
      <c r="C1338" s="9">
        <v>27.9</v>
      </c>
      <c r="D1338" s="10">
        <v>2.6</v>
      </c>
      <c r="E1338">
        <f t="shared" si="60"/>
        <v>0.72539999999999993</v>
      </c>
      <c r="F1338">
        <f t="shared" si="62"/>
        <v>37.917799999999865</v>
      </c>
      <c r="G1338">
        <f t="shared" si="61"/>
        <v>0</v>
      </c>
    </row>
    <row r="1339" spans="1:7" hidden="1" x14ac:dyDescent="0.35">
      <c r="A1339" s="11">
        <v>49978</v>
      </c>
      <c r="B1339" s="12" t="s">
        <v>18</v>
      </c>
      <c r="C1339" s="13">
        <v>19.8</v>
      </c>
      <c r="D1339" s="14">
        <v>0</v>
      </c>
      <c r="E1339">
        <f t="shared" si="60"/>
        <v>0</v>
      </c>
      <c r="F1339">
        <f t="shared" si="62"/>
        <v>37.917799999999865</v>
      </c>
      <c r="G1339">
        <f t="shared" si="61"/>
        <v>0</v>
      </c>
    </row>
    <row r="1340" spans="1:7" hidden="1" x14ac:dyDescent="0.35">
      <c r="A1340" s="7">
        <v>49979</v>
      </c>
      <c r="B1340" s="8" t="s">
        <v>11</v>
      </c>
      <c r="C1340" s="9">
        <v>16.7</v>
      </c>
      <c r="D1340" s="10">
        <v>3.5</v>
      </c>
      <c r="E1340">
        <f t="shared" si="60"/>
        <v>0.58449999999999991</v>
      </c>
      <c r="F1340">
        <f t="shared" si="62"/>
        <v>38.502299999999863</v>
      </c>
      <c r="G1340">
        <f t="shared" si="61"/>
        <v>0</v>
      </c>
    </row>
    <row r="1341" spans="1:7" hidden="1" x14ac:dyDescent="0.35">
      <c r="A1341" s="11">
        <v>49980</v>
      </c>
      <c r="B1341" s="12" t="s">
        <v>23</v>
      </c>
      <c r="C1341" s="13">
        <v>28.6</v>
      </c>
      <c r="D1341" s="14">
        <v>0</v>
      </c>
      <c r="E1341">
        <f t="shared" si="60"/>
        <v>0</v>
      </c>
      <c r="F1341">
        <f t="shared" si="62"/>
        <v>38.502299999999863</v>
      </c>
      <c r="G1341">
        <f t="shared" si="61"/>
        <v>0</v>
      </c>
    </row>
    <row r="1342" spans="1:7" hidden="1" x14ac:dyDescent="0.35">
      <c r="A1342" s="7">
        <v>49981</v>
      </c>
      <c r="B1342" s="8" t="s">
        <v>10</v>
      </c>
      <c r="C1342" s="9">
        <v>10.8</v>
      </c>
      <c r="D1342" s="10">
        <v>32.9</v>
      </c>
      <c r="E1342">
        <f t="shared" si="60"/>
        <v>3.5531999999999999</v>
      </c>
      <c r="F1342">
        <f t="shared" si="62"/>
        <v>42.05549999999986</v>
      </c>
      <c r="G1342">
        <f t="shared" si="61"/>
        <v>0</v>
      </c>
    </row>
    <row r="1343" spans="1:7" hidden="1" x14ac:dyDescent="0.35">
      <c r="A1343" s="11">
        <v>49982</v>
      </c>
      <c r="B1343" s="12" t="s">
        <v>18</v>
      </c>
      <c r="C1343" s="13">
        <v>12.8</v>
      </c>
      <c r="D1343" s="14">
        <v>0</v>
      </c>
      <c r="E1343">
        <f t="shared" si="60"/>
        <v>0</v>
      </c>
      <c r="F1343">
        <f t="shared" si="62"/>
        <v>42.05549999999986</v>
      </c>
      <c r="G1343">
        <f t="shared" si="61"/>
        <v>0</v>
      </c>
    </row>
    <row r="1344" spans="1:7" hidden="1" x14ac:dyDescent="0.35">
      <c r="A1344" s="7">
        <v>49983</v>
      </c>
      <c r="B1344" s="8" t="s">
        <v>26</v>
      </c>
      <c r="C1344" s="9">
        <v>17.600000000000001</v>
      </c>
      <c r="D1344" s="10">
        <v>0</v>
      </c>
      <c r="E1344">
        <f t="shared" si="60"/>
        <v>0</v>
      </c>
      <c r="F1344">
        <f t="shared" si="62"/>
        <v>42.05549999999986</v>
      </c>
      <c r="G1344">
        <f t="shared" si="61"/>
        <v>0</v>
      </c>
    </row>
    <row r="1345" spans="1:7" hidden="1" x14ac:dyDescent="0.35">
      <c r="A1345" s="11">
        <v>49984</v>
      </c>
      <c r="B1345" s="12" t="s">
        <v>22</v>
      </c>
      <c r="C1345" s="13">
        <v>24.1</v>
      </c>
      <c r="D1345" s="14">
        <v>0</v>
      </c>
      <c r="E1345">
        <f t="shared" si="60"/>
        <v>0</v>
      </c>
      <c r="F1345">
        <f t="shared" si="62"/>
        <v>42.05549999999986</v>
      </c>
      <c r="G1345">
        <f t="shared" si="61"/>
        <v>0</v>
      </c>
    </row>
    <row r="1346" spans="1:7" hidden="1" x14ac:dyDescent="0.35">
      <c r="A1346" s="7">
        <v>49985</v>
      </c>
      <c r="B1346" s="8" t="s">
        <v>11</v>
      </c>
      <c r="C1346" s="9">
        <v>11.4</v>
      </c>
      <c r="D1346" s="10">
        <v>18.2</v>
      </c>
      <c r="E1346">
        <f t="shared" si="60"/>
        <v>2.0747999999999998</v>
      </c>
      <c r="F1346">
        <f t="shared" si="62"/>
        <v>44.130299999999863</v>
      </c>
      <c r="G1346">
        <f t="shared" si="61"/>
        <v>0</v>
      </c>
    </row>
    <row r="1347" spans="1:7" hidden="1" x14ac:dyDescent="0.35">
      <c r="A1347" s="11">
        <v>49986</v>
      </c>
      <c r="B1347" s="12" t="s">
        <v>9</v>
      </c>
      <c r="C1347" s="13">
        <v>21.9</v>
      </c>
      <c r="D1347" s="14">
        <v>5.4</v>
      </c>
      <c r="E1347">
        <f t="shared" ref="E1347:E1410" si="63">IF(D1347&gt;=1,C1347*D1347/100,0)</f>
        <v>1.1826000000000001</v>
      </c>
      <c r="F1347">
        <f t="shared" si="62"/>
        <v>45.312899999999864</v>
      </c>
      <c r="G1347">
        <f t="shared" ref="G1347:G1410" si="64">IF(F1347&gt;=100,1,0)</f>
        <v>0</v>
      </c>
    </row>
    <row r="1348" spans="1:7" hidden="1" x14ac:dyDescent="0.35">
      <c r="A1348" s="7">
        <v>49987</v>
      </c>
      <c r="B1348" s="8" t="s">
        <v>26</v>
      </c>
      <c r="C1348" s="9">
        <v>16.8</v>
      </c>
      <c r="D1348" s="10">
        <v>1.6</v>
      </c>
      <c r="E1348">
        <f t="shared" si="63"/>
        <v>0.26880000000000004</v>
      </c>
      <c r="F1348">
        <f t="shared" ref="F1348:F1411" si="65">IF(G1347=1,E1348+F1347-100,F1347+E1348)</f>
        <v>45.581699999999863</v>
      </c>
      <c r="G1348">
        <f t="shared" si="64"/>
        <v>0</v>
      </c>
    </row>
    <row r="1349" spans="1:7" hidden="1" x14ac:dyDescent="0.35">
      <c r="A1349" s="11">
        <v>49988</v>
      </c>
      <c r="B1349" s="12" t="s">
        <v>6</v>
      </c>
      <c r="C1349" s="13">
        <v>26</v>
      </c>
      <c r="D1349" s="14">
        <v>0</v>
      </c>
      <c r="E1349">
        <f t="shared" si="63"/>
        <v>0</v>
      </c>
      <c r="F1349">
        <f t="shared" si="65"/>
        <v>45.581699999999863</v>
      </c>
      <c r="G1349">
        <f t="shared" si="64"/>
        <v>0</v>
      </c>
    </row>
    <row r="1350" spans="1:7" hidden="1" x14ac:dyDescent="0.35">
      <c r="A1350" s="7">
        <v>49989</v>
      </c>
      <c r="B1350" s="8" t="s">
        <v>11</v>
      </c>
      <c r="C1350" s="9">
        <v>20.2</v>
      </c>
      <c r="D1350" s="10">
        <v>10</v>
      </c>
      <c r="E1350">
        <f t="shared" si="63"/>
        <v>2.02</v>
      </c>
      <c r="F1350">
        <f t="shared" si="65"/>
        <v>47.601699999999866</v>
      </c>
      <c r="G1350">
        <f t="shared" si="64"/>
        <v>0</v>
      </c>
    </row>
    <row r="1351" spans="1:7" hidden="1" x14ac:dyDescent="0.35">
      <c r="A1351" s="11">
        <v>49990</v>
      </c>
      <c r="B1351" s="12" t="s">
        <v>19</v>
      </c>
      <c r="C1351" s="13">
        <v>20.3</v>
      </c>
      <c r="D1351" s="14">
        <v>37.799999999999997</v>
      </c>
      <c r="E1351">
        <f t="shared" si="63"/>
        <v>7.6733999999999991</v>
      </c>
      <c r="F1351">
        <f t="shared" si="65"/>
        <v>55.275099999999867</v>
      </c>
      <c r="G1351">
        <f t="shared" si="64"/>
        <v>0</v>
      </c>
    </row>
    <row r="1352" spans="1:7" hidden="1" x14ac:dyDescent="0.35">
      <c r="A1352" s="7">
        <v>49991</v>
      </c>
      <c r="B1352" s="8" t="s">
        <v>7</v>
      </c>
      <c r="C1352" s="9">
        <v>27.5</v>
      </c>
      <c r="D1352" s="10">
        <v>20.8</v>
      </c>
      <c r="E1352">
        <f t="shared" si="63"/>
        <v>5.72</v>
      </c>
      <c r="F1352">
        <f t="shared" si="65"/>
        <v>60.995099999999866</v>
      </c>
      <c r="G1352">
        <f t="shared" si="64"/>
        <v>0</v>
      </c>
    </row>
    <row r="1353" spans="1:7" hidden="1" x14ac:dyDescent="0.35">
      <c r="A1353" s="11">
        <v>49992</v>
      </c>
      <c r="B1353" s="12" t="s">
        <v>19</v>
      </c>
      <c r="C1353" s="13">
        <v>24.2</v>
      </c>
      <c r="D1353" s="14">
        <v>2.9</v>
      </c>
      <c r="E1353">
        <f t="shared" si="63"/>
        <v>0.70179999999999998</v>
      </c>
      <c r="F1353">
        <f t="shared" si="65"/>
        <v>61.696899999999864</v>
      </c>
      <c r="G1353">
        <f t="shared" si="64"/>
        <v>0</v>
      </c>
    </row>
    <row r="1354" spans="1:7" hidden="1" x14ac:dyDescent="0.35">
      <c r="A1354" s="7">
        <v>49993</v>
      </c>
      <c r="B1354" s="8" t="s">
        <v>11</v>
      </c>
      <c r="C1354" s="9">
        <v>10.7</v>
      </c>
      <c r="D1354" s="10">
        <v>14.3</v>
      </c>
      <c r="E1354">
        <f t="shared" si="63"/>
        <v>1.5301</v>
      </c>
      <c r="F1354">
        <f t="shared" si="65"/>
        <v>63.226999999999862</v>
      </c>
      <c r="G1354">
        <f t="shared" si="64"/>
        <v>0</v>
      </c>
    </row>
    <row r="1355" spans="1:7" hidden="1" x14ac:dyDescent="0.35">
      <c r="A1355" s="11">
        <v>49994</v>
      </c>
      <c r="B1355" s="12" t="s">
        <v>19</v>
      </c>
      <c r="C1355" s="13">
        <v>17.3</v>
      </c>
      <c r="D1355" s="14">
        <v>0</v>
      </c>
      <c r="E1355">
        <f t="shared" si="63"/>
        <v>0</v>
      </c>
      <c r="F1355">
        <f t="shared" si="65"/>
        <v>63.226999999999862</v>
      </c>
      <c r="G1355">
        <f t="shared" si="64"/>
        <v>0</v>
      </c>
    </row>
    <row r="1356" spans="1:7" hidden="1" x14ac:dyDescent="0.35">
      <c r="A1356" s="7">
        <v>49995</v>
      </c>
      <c r="B1356" s="8" t="s">
        <v>11</v>
      </c>
      <c r="C1356" s="9">
        <v>13.5</v>
      </c>
      <c r="D1356" s="10">
        <v>21.1</v>
      </c>
      <c r="E1356">
        <f t="shared" si="63"/>
        <v>2.8485</v>
      </c>
      <c r="F1356">
        <f t="shared" si="65"/>
        <v>66.075499999999863</v>
      </c>
      <c r="G1356">
        <f t="shared" si="64"/>
        <v>0</v>
      </c>
    </row>
    <row r="1357" spans="1:7" hidden="1" x14ac:dyDescent="0.35">
      <c r="A1357" s="11">
        <v>49996</v>
      </c>
      <c r="B1357" s="12" t="s">
        <v>6</v>
      </c>
      <c r="C1357" s="13">
        <v>13.6</v>
      </c>
      <c r="D1357" s="14">
        <v>6</v>
      </c>
      <c r="E1357">
        <f t="shared" si="63"/>
        <v>0.81599999999999995</v>
      </c>
      <c r="F1357">
        <f t="shared" si="65"/>
        <v>66.891499999999866</v>
      </c>
      <c r="G1357">
        <f t="shared" si="64"/>
        <v>0</v>
      </c>
    </row>
    <row r="1358" spans="1:7" hidden="1" x14ac:dyDescent="0.35">
      <c r="A1358" s="7">
        <v>49997</v>
      </c>
      <c r="B1358" s="8" t="s">
        <v>5</v>
      </c>
      <c r="C1358" s="9">
        <v>19.899999999999999</v>
      </c>
      <c r="D1358" s="10">
        <v>0</v>
      </c>
      <c r="E1358">
        <f t="shared" si="63"/>
        <v>0</v>
      </c>
      <c r="F1358">
        <f t="shared" si="65"/>
        <v>66.891499999999866</v>
      </c>
      <c r="G1358">
        <f t="shared" si="64"/>
        <v>0</v>
      </c>
    </row>
    <row r="1359" spans="1:7" hidden="1" x14ac:dyDescent="0.35">
      <c r="A1359" s="11">
        <v>49998</v>
      </c>
      <c r="B1359" s="12" t="s">
        <v>18</v>
      </c>
      <c r="C1359" s="13">
        <v>13.1</v>
      </c>
      <c r="D1359" s="14">
        <v>10.199999999999999</v>
      </c>
      <c r="E1359">
        <f t="shared" si="63"/>
        <v>1.3361999999999998</v>
      </c>
      <c r="F1359">
        <f t="shared" si="65"/>
        <v>68.227699999999871</v>
      </c>
      <c r="G1359">
        <f t="shared" si="64"/>
        <v>0</v>
      </c>
    </row>
    <row r="1360" spans="1:7" hidden="1" x14ac:dyDescent="0.35">
      <c r="A1360" s="7">
        <v>49999</v>
      </c>
      <c r="B1360" s="8" t="s">
        <v>21</v>
      </c>
      <c r="C1360" s="9">
        <v>29.8</v>
      </c>
      <c r="D1360" s="10">
        <v>1.9</v>
      </c>
      <c r="E1360">
        <f t="shared" si="63"/>
        <v>0.56619999999999993</v>
      </c>
      <c r="F1360">
        <f t="shared" si="65"/>
        <v>68.793899999999866</v>
      </c>
      <c r="G1360">
        <f t="shared" si="64"/>
        <v>0</v>
      </c>
    </row>
    <row r="1361" spans="1:7" hidden="1" x14ac:dyDescent="0.35">
      <c r="A1361" s="11">
        <v>50000</v>
      </c>
      <c r="B1361" s="12" t="s">
        <v>28</v>
      </c>
      <c r="C1361" s="13">
        <v>23.7</v>
      </c>
      <c r="D1361" s="14">
        <v>0.3</v>
      </c>
      <c r="E1361">
        <f t="shared" si="63"/>
        <v>0</v>
      </c>
      <c r="F1361">
        <f t="shared" si="65"/>
        <v>68.793899999999866</v>
      </c>
      <c r="G1361">
        <f t="shared" si="64"/>
        <v>0</v>
      </c>
    </row>
    <row r="1362" spans="1:7" hidden="1" x14ac:dyDescent="0.35">
      <c r="A1362" s="7">
        <v>50001</v>
      </c>
      <c r="B1362" s="8" t="s">
        <v>19</v>
      </c>
      <c r="C1362" s="9">
        <v>14</v>
      </c>
      <c r="D1362" s="10">
        <v>0</v>
      </c>
      <c r="E1362">
        <f t="shared" si="63"/>
        <v>0</v>
      </c>
      <c r="F1362">
        <f t="shared" si="65"/>
        <v>68.793899999999866</v>
      </c>
      <c r="G1362">
        <f t="shared" si="64"/>
        <v>0</v>
      </c>
    </row>
    <row r="1363" spans="1:7" hidden="1" x14ac:dyDescent="0.35">
      <c r="A1363" s="11">
        <v>50002</v>
      </c>
      <c r="B1363" s="12" t="s">
        <v>30</v>
      </c>
      <c r="C1363" s="13">
        <v>19</v>
      </c>
      <c r="D1363" s="14">
        <v>0.5</v>
      </c>
      <c r="E1363">
        <f t="shared" si="63"/>
        <v>0</v>
      </c>
      <c r="F1363">
        <f t="shared" si="65"/>
        <v>68.793899999999866</v>
      </c>
      <c r="G1363">
        <f t="shared" si="64"/>
        <v>0</v>
      </c>
    </row>
    <row r="1364" spans="1:7" hidden="1" x14ac:dyDescent="0.35">
      <c r="A1364" s="7">
        <v>50003</v>
      </c>
      <c r="B1364" s="8" t="s">
        <v>32</v>
      </c>
      <c r="C1364" s="9">
        <v>23.9</v>
      </c>
      <c r="D1364" s="10">
        <v>0.5</v>
      </c>
      <c r="E1364">
        <f t="shared" si="63"/>
        <v>0</v>
      </c>
      <c r="F1364">
        <f t="shared" si="65"/>
        <v>68.793899999999866</v>
      </c>
      <c r="G1364">
        <f t="shared" si="64"/>
        <v>0</v>
      </c>
    </row>
    <row r="1365" spans="1:7" hidden="1" x14ac:dyDescent="0.35">
      <c r="A1365" s="11">
        <v>50004</v>
      </c>
      <c r="B1365" s="12" t="s">
        <v>19</v>
      </c>
      <c r="C1365" s="13">
        <v>12.8</v>
      </c>
      <c r="D1365" s="14">
        <v>26.7</v>
      </c>
      <c r="E1365">
        <f t="shared" si="63"/>
        <v>3.4175999999999997</v>
      </c>
      <c r="F1365">
        <f t="shared" si="65"/>
        <v>72.211499999999859</v>
      </c>
      <c r="G1365">
        <f t="shared" si="64"/>
        <v>0</v>
      </c>
    </row>
    <row r="1366" spans="1:7" hidden="1" x14ac:dyDescent="0.35">
      <c r="A1366" s="7">
        <v>50005</v>
      </c>
      <c r="B1366" s="8" t="s">
        <v>7</v>
      </c>
      <c r="C1366" s="9">
        <v>26.9</v>
      </c>
      <c r="D1366" s="10">
        <v>4.5</v>
      </c>
      <c r="E1366">
        <f t="shared" si="63"/>
        <v>1.2104999999999999</v>
      </c>
      <c r="F1366">
        <f t="shared" si="65"/>
        <v>73.421999999999855</v>
      </c>
      <c r="G1366">
        <f t="shared" si="64"/>
        <v>0</v>
      </c>
    </row>
    <row r="1367" spans="1:7" hidden="1" x14ac:dyDescent="0.35">
      <c r="A1367" s="11">
        <v>50006</v>
      </c>
      <c r="B1367" s="12" t="s">
        <v>26</v>
      </c>
      <c r="C1367" s="13">
        <v>10.6</v>
      </c>
      <c r="D1367" s="14">
        <v>0</v>
      </c>
      <c r="E1367">
        <f t="shared" si="63"/>
        <v>0</v>
      </c>
      <c r="F1367">
        <f t="shared" si="65"/>
        <v>73.421999999999855</v>
      </c>
      <c r="G1367">
        <f t="shared" si="64"/>
        <v>0</v>
      </c>
    </row>
    <row r="1368" spans="1:7" hidden="1" x14ac:dyDescent="0.35">
      <c r="A1368" s="7">
        <v>50007</v>
      </c>
      <c r="B1368" s="8" t="s">
        <v>11</v>
      </c>
      <c r="C1368" s="9">
        <v>21.1</v>
      </c>
      <c r="D1368" s="10">
        <v>10.6</v>
      </c>
      <c r="E1368">
        <f t="shared" si="63"/>
        <v>2.2366000000000001</v>
      </c>
      <c r="F1368">
        <f t="shared" si="65"/>
        <v>75.658599999999851</v>
      </c>
      <c r="G1368">
        <f t="shared" si="64"/>
        <v>0</v>
      </c>
    </row>
    <row r="1369" spans="1:7" hidden="1" x14ac:dyDescent="0.35">
      <c r="A1369" s="11">
        <v>50008</v>
      </c>
      <c r="B1369" s="12" t="s">
        <v>6</v>
      </c>
      <c r="C1369" s="13">
        <v>11.7</v>
      </c>
      <c r="D1369" s="14">
        <v>9.9</v>
      </c>
      <c r="E1369">
        <f t="shared" si="63"/>
        <v>1.1582999999999999</v>
      </c>
      <c r="F1369">
        <f t="shared" si="65"/>
        <v>76.816899999999848</v>
      </c>
      <c r="G1369">
        <f t="shared" si="64"/>
        <v>0</v>
      </c>
    </row>
    <row r="1370" spans="1:7" hidden="1" x14ac:dyDescent="0.35">
      <c r="A1370" s="7">
        <v>50009</v>
      </c>
      <c r="B1370" s="8" t="s">
        <v>8</v>
      </c>
      <c r="C1370" s="9">
        <v>20.5</v>
      </c>
      <c r="D1370" s="10">
        <v>3.7</v>
      </c>
      <c r="E1370">
        <f t="shared" si="63"/>
        <v>0.75850000000000006</v>
      </c>
      <c r="F1370">
        <f t="shared" si="65"/>
        <v>77.575399999999846</v>
      </c>
      <c r="G1370">
        <f t="shared" si="64"/>
        <v>0</v>
      </c>
    </row>
    <row r="1371" spans="1:7" hidden="1" x14ac:dyDescent="0.35">
      <c r="A1371" s="11">
        <v>50010</v>
      </c>
      <c r="B1371" s="12" t="s">
        <v>19</v>
      </c>
      <c r="C1371" s="13">
        <v>27.4</v>
      </c>
      <c r="D1371" s="14">
        <v>10.4</v>
      </c>
      <c r="E1371">
        <f t="shared" si="63"/>
        <v>2.8495999999999997</v>
      </c>
      <c r="F1371">
        <f t="shared" si="65"/>
        <v>80.424999999999841</v>
      </c>
      <c r="G1371">
        <f t="shared" si="64"/>
        <v>0</v>
      </c>
    </row>
    <row r="1372" spans="1:7" hidden="1" x14ac:dyDescent="0.35">
      <c r="A1372" s="7">
        <v>50011</v>
      </c>
      <c r="B1372" s="8" t="s">
        <v>10</v>
      </c>
      <c r="C1372" s="9">
        <v>15.8</v>
      </c>
      <c r="D1372" s="10">
        <v>10.199999999999999</v>
      </c>
      <c r="E1372">
        <f t="shared" si="63"/>
        <v>1.6115999999999999</v>
      </c>
      <c r="F1372">
        <f t="shared" si="65"/>
        <v>82.036599999999837</v>
      </c>
      <c r="G1372">
        <f t="shared" si="64"/>
        <v>0</v>
      </c>
    </row>
    <row r="1373" spans="1:7" hidden="1" x14ac:dyDescent="0.35">
      <c r="A1373" s="11">
        <v>50012</v>
      </c>
      <c r="B1373" s="12" t="s">
        <v>19</v>
      </c>
      <c r="C1373" s="13">
        <v>19.600000000000001</v>
      </c>
      <c r="D1373" s="14">
        <v>0</v>
      </c>
      <c r="E1373">
        <f t="shared" si="63"/>
        <v>0</v>
      </c>
      <c r="F1373">
        <f t="shared" si="65"/>
        <v>82.036599999999837</v>
      </c>
      <c r="G1373">
        <f t="shared" si="64"/>
        <v>0</v>
      </c>
    </row>
    <row r="1374" spans="1:7" hidden="1" x14ac:dyDescent="0.35">
      <c r="A1374" s="7">
        <v>50013</v>
      </c>
      <c r="B1374" s="8" t="s">
        <v>10</v>
      </c>
      <c r="C1374" s="9">
        <v>16.899999999999999</v>
      </c>
      <c r="D1374" s="10">
        <v>48.4</v>
      </c>
      <c r="E1374">
        <f t="shared" si="63"/>
        <v>8.1795999999999989</v>
      </c>
      <c r="F1374">
        <f t="shared" si="65"/>
        <v>90.21619999999983</v>
      </c>
      <c r="G1374">
        <f t="shared" si="64"/>
        <v>0</v>
      </c>
    </row>
    <row r="1375" spans="1:7" hidden="1" x14ac:dyDescent="0.35">
      <c r="A1375" s="11">
        <v>50014</v>
      </c>
      <c r="B1375" s="12" t="s">
        <v>19</v>
      </c>
      <c r="C1375" s="13">
        <v>12.2</v>
      </c>
      <c r="D1375" s="14">
        <v>0</v>
      </c>
      <c r="E1375">
        <f t="shared" si="63"/>
        <v>0</v>
      </c>
      <c r="F1375">
        <f t="shared" si="65"/>
        <v>90.21619999999983</v>
      </c>
      <c r="G1375">
        <f t="shared" si="64"/>
        <v>0</v>
      </c>
    </row>
    <row r="1376" spans="1:7" hidden="1" x14ac:dyDescent="0.35">
      <c r="A1376" s="7">
        <v>50015</v>
      </c>
      <c r="B1376" s="8" t="s">
        <v>10</v>
      </c>
      <c r="C1376" s="9">
        <v>16.600000000000001</v>
      </c>
      <c r="D1376" s="10">
        <v>14.1</v>
      </c>
      <c r="E1376">
        <f t="shared" si="63"/>
        <v>2.3406000000000002</v>
      </c>
      <c r="F1376">
        <f t="shared" si="65"/>
        <v>92.556799999999825</v>
      </c>
      <c r="G1376">
        <f t="shared" si="64"/>
        <v>0</v>
      </c>
    </row>
    <row r="1377" spans="1:7" hidden="1" x14ac:dyDescent="0.35">
      <c r="A1377" s="11">
        <v>50016</v>
      </c>
      <c r="B1377" s="12" t="s">
        <v>11</v>
      </c>
      <c r="C1377" s="13">
        <v>27.6</v>
      </c>
      <c r="D1377" s="14">
        <v>0</v>
      </c>
      <c r="E1377">
        <f t="shared" si="63"/>
        <v>0</v>
      </c>
      <c r="F1377">
        <f t="shared" si="65"/>
        <v>92.556799999999825</v>
      </c>
      <c r="G1377">
        <f t="shared" si="64"/>
        <v>0</v>
      </c>
    </row>
    <row r="1378" spans="1:7" hidden="1" x14ac:dyDescent="0.35">
      <c r="A1378" s="7">
        <v>50017</v>
      </c>
      <c r="B1378" s="8" t="s">
        <v>15</v>
      </c>
      <c r="C1378" s="9">
        <v>24.8</v>
      </c>
      <c r="D1378" s="10">
        <v>0</v>
      </c>
      <c r="E1378">
        <f t="shared" si="63"/>
        <v>0</v>
      </c>
      <c r="F1378">
        <f t="shared" si="65"/>
        <v>92.556799999999825</v>
      </c>
      <c r="G1378">
        <f t="shared" si="64"/>
        <v>0</v>
      </c>
    </row>
    <row r="1379" spans="1:7" hidden="1" x14ac:dyDescent="0.35">
      <c r="A1379" s="11">
        <v>50018</v>
      </c>
      <c r="B1379" s="12" t="s">
        <v>10</v>
      </c>
      <c r="C1379" s="13">
        <v>23.1</v>
      </c>
      <c r="D1379" s="14">
        <v>29.8</v>
      </c>
      <c r="E1379">
        <f t="shared" si="63"/>
        <v>6.8838000000000008</v>
      </c>
      <c r="F1379">
        <f t="shared" si="65"/>
        <v>99.440599999999819</v>
      </c>
      <c r="G1379">
        <f t="shared" si="64"/>
        <v>0</v>
      </c>
    </row>
    <row r="1380" spans="1:7" x14ac:dyDescent="0.35">
      <c r="A1380" s="7">
        <v>50019</v>
      </c>
      <c r="B1380" s="8" t="s">
        <v>27</v>
      </c>
      <c r="C1380" s="9">
        <v>12.4</v>
      </c>
      <c r="D1380" s="10">
        <v>6.1</v>
      </c>
      <c r="E1380">
        <f t="shared" si="63"/>
        <v>0.75639999999999996</v>
      </c>
      <c r="F1380">
        <f t="shared" si="65"/>
        <v>100.19699999999982</v>
      </c>
      <c r="G1380">
        <f t="shared" si="64"/>
        <v>1</v>
      </c>
    </row>
    <row r="1381" spans="1:7" hidden="1" x14ac:dyDescent="0.35">
      <c r="A1381" s="11">
        <v>50020</v>
      </c>
      <c r="B1381" s="12" t="s">
        <v>19</v>
      </c>
      <c r="C1381" s="13">
        <v>13.9</v>
      </c>
      <c r="D1381" s="14">
        <v>21.5</v>
      </c>
      <c r="E1381">
        <f t="shared" si="63"/>
        <v>2.9885000000000002</v>
      </c>
      <c r="F1381">
        <f t="shared" si="65"/>
        <v>3.1854999999998199</v>
      </c>
      <c r="G1381">
        <f t="shared" si="64"/>
        <v>0</v>
      </c>
    </row>
    <row r="1382" spans="1:7" hidden="1" x14ac:dyDescent="0.35">
      <c r="A1382" s="7">
        <v>50021</v>
      </c>
      <c r="B1382" s="8" t="s">
        <v>20</v>
      </c>
      <c r="C1382" s="9">
        <v>16.600000000000001</v>
      </c>
      <c r="D1382" s="10">
        <v>4.7</v>
      </c>
      <c r="E1382">
        <f t="shared" si="63"/>
        <v>0.78020000000000012</v>
      </c>
      <c r="F1382">
        <f t="shared" si="65"/>
        <v>3.9656999999998201</v>
      </c>
      <c r="G1382">
        <f t="shared" si="64"/>
        <v>0</v>
      </c>
    </row>
    <row r="1383" spans="1:7" hidden="1" x14ac:dyDescent="0.35">
      <c r="A1383" s="11">
        <v>50022</v>
      </c>
      <c r="B1383" s="12" t="s">
        <v>13</v>
      </c>
      <c r="C1383" s="13">
        <v>17.7</v>
      </c>
      <c r="D1383" s="14">
        <v>14</v>
      </c>
      <c r="E1383">
        <f t="shared" si="63"/>
        <v>2.4779999999999998</v>
      </c>
      <c r="F1383">
        <f t="shared" si="65"/>
        <v>6.4436999999998203</v>
      </c>
      <c r="G1383">
        <f t="shared" si="64"/>
        <v>0</v>
      </c>
    </row>
    <row r="1384" spans="1:7" hidden="1" x14ac:dyDescent="0.35">
      <c r="A1384" s="7">
        <v>50023</v>
      </c>
      <c r="B1384" s="8" t="s">
        <v>11</v>
      </c>
      <c r="C1384" s="9">
        <v>19</v>
      </c>
      <c r="D1384" s="10">
        <v>1.7</v>
      </c>
      <c r="E1384">
        <f t="shared" si="63"/>
        <v>0.32299999999999995</v>
      </c>
      <c r="F1384">
        <f t="shared" si="65"/>
        <v>6.7666999999998207</v>
      </c>
      <c r="G1384">
        <f t="shared" si="64"/>
        <v>0</v>
      </c>
    </row>
    <row r="1385" spans="1:7" hidden="1" x14ac:dyDescent="0.35">
      <c r="A1385" s="11">
        <v>50024</v>
      </c>
      <c r="B1385" s="12" t="s">
        <v>7</v>
      </c>
      <c r="C1385" s="13">
        <v>29.9</v>
      </c>
      <c r="D1385" s="14">
        <v>0</v>
      </c>
      <c r="E1385">
        <f t="shared" si="63"/>
        <v>0</v>
      </c>
      <c r="F1385">
        <f t="shared" si="65"/>
        <v>6.7666999999998207</v>
      </c>
      <c r="G1385">
        <f t="shared" si="64"/>
        <v>0</v>
      </c>
    </row>
    <row r="1386" spans="1:7" hidden="1" x14ac:dyDescent="0.35">
      <c r="A1386" s="7">
        <v>50025</v>
      </c>
      <c r="B1386" s="8" t="s">
        <v>19</v>
      </c>
      <c r="C1386" s="9">
        <v>23.7</v>
      </c>
      <c r="D1386" s="10">
        <v>31.4</v>
      </c>
      <c r="E1386">
        <f t="shared" si="63"/>
        <v>7.4417999999999997</v>
      </c>
      <c r="F1386">
        <f t="shared" si="65"/>
        <v>14.20849999999982</v>
      </c>
      <c r="G1386">
        <f t="shared" si="64"/>
        <v>0</v>
      </c>
    </row>
    <row r="1387" spans="1:7" hidden="1" x14ac:dyDescent="0.35">
      <c r="A1387" s="11">
        <v>50026</v>
      </c>
      <c r="B1387" s="12" t="s">
        <v>10</v>
      </c>
      <c r="C1387" s="13">
        <v>25.4</v>
      </c>
      <c r="D1387" s="14">
        <v>0</v>
      </c>
      <c r="E1387">
        <f t="shared" si="63"/>
        <v>0</v>
      </c>
      <c r="F1387">
        <f t="shared" si="65"/>
        <v>14.20849999999982</v>
      </c>
      <c r="G1387">
        <f t="shared" si="64"/>
        <v>0</v>
      </c>
    </row>
    <row r="1388" spans="1:7" hidden="1" x14ac:dyDescent="0.35">
      <c r="A1388" s="7">
        <v>50027</v>
      </c>
      <c r="B1388" s="8" t="s">
        <v>18</v>
      </c>
      <c r="C1388" s="9">
        <v>24.3</v>
      </c>
      <c r="D1388" s="10">
        <v>15.8</v>
      </c>
      <c r="E1388">
        <f t="shared" si="63"/>
        <v>3.8394000000000004</v>
      </c>
      <c r="F1388">
        <f t="shared" si="65"/>
        <v>18.047899999999821</v>
      </c>
      <c r="G1388">
        <f t="shared" si="64"/>
        <v>0</v>
      </c>
    </row>
    <row r="1389" spans="1:7" hidden="1" x14ac:dyDescent="0.35">
      <c r="A1389" s="11">
        <v>50028</v>
      </c>
      <c r="B1389" s="12" t="s">
        <v>7</v>
      </c>
      <c r="C1389" s="13">
        <v>10.8</v>
      </c>
      <c r="D1389" s="14">
        <v>0</v>
      </c>
      <c r="E1389">
        <f t="shared" si="63"/>
        <v>0</v>
      </c>
      <c r="F1389">
        <f t="shared" si="65"/>
        <v>18.047899999999821</v>
      </c>
      <c r="G1389">
        <f t="shared" si="64"/>
        <v>0</v>
      </c>
    </row>
    <row r="1390" spans="1:7" hidden="1" x14ac:dyDescent="0.35">
      <c r="A1390" s="7">
        <v>50029</v>
      </c>
      <c r="B1390" s="8" t="s">
        <v>10</v>
      </c>
      <c r="C1390" s="9">
        <v>19</v>
      </c>
      <c r="D1390" s="10">
        <v>9.1</v>
      </c>
      <c r="E1390">
        <f t="shared" si="63"/>
        <v>1.7290000000000001</v>
      </c>
      <c r="F1390">
        <f t="shared" si="65"/>
        <v>19.77689999999982</v>
      </c>
      <c r="G1390">
        <f t="shared" si="64"/>
        <v>0</v>
      </c>
    </row>
    <row r="1391" spans="1:7" hidden="1" x14ac:dyDescent="0.35">
      <c r="A1391" s="11">
        <v>50030</v>
      </c>
      <c r="B1391" s="12" t="s">
        <v>15</v>
      </c>
      <c r="C1391" s="13">
        <v>27.8</v>
      </c>
      <c r="D1391" s="14">
        <v>15.2</v>
      </c>
      <c r="E1391">
        <f t="shared" si="63"/>
        <v>4.2256</v>
      </c>
      <c r="F1391">
        <f t="shared" si="65"/>
        <v>24.00249999999982</v>
      </c>
      <c r="G1391">
        <f t="shared" si="64"/>
        <v>0</v>
      </c>
    </row>
    <row r="1392" spans="1:7" hidden="1" x14ac:dyDescent="0.35">
      <c r="A1392" s="7">
        <v>50031</v>
      </c>
      <c r="B1392" s="8" t="s">
        <v>7</v>
      </c>
      <c r="C1392" s="9">
        <v>28.8</v>
      </c>
      <c r="D1392" s="10">
        <v>0</v>
      </c>
      <c r="E1392">
        <f t="shared" si="63"/>
        <v>0</v>
      </c>
      <c r="F1392">
        <f t="shared" si="65"/>
        <v>24.00249999999982</v>
      </c>
      <c r="G1392">
        <f t="shared" si="64"/>
        <v>0</v>
      </c>
    </row>
    <row r="1393" spans="1:7" hidden="1" x14ac:dyDescent="0.35">
      <c r="A1393" s="11">
        <v>50032</v>
      </c>
      <c r="B1393" s="12" t="s">
        <v>5</v>
      </c>
      <c r="C1393" s="13">
        <v>12.6</v>
      </c>
      <c r="D1393" s="14">
        <v>0.8</v>
      </c>
      <c r="E1393">
        <f t="shared" si="63"/>
        <v>0</v>
      </c>
      <c r="F1393">
        <f t="shared" si="65"/>
        <v>24.00249999999982</v>
      </c>
      <c r="G1393">
        <f t="shared" si="64"/>
        <v>0</v>
      </c>
    </row>
    <row r="1394" spans="1:7" hidden="1" x14ac:dyDescent="0.35">
      <c r="A1394" s="7">
        <v>50033</v>
      </c>
      <c r="B1394" s="8" t="s">
        <v>5</v>
      </c>
      <c r="C1394" s="9">
        <v>20.7</v>
      </c>
      <c r="D1394" s="10">
        <v>0</v>
      </c>
      <c r="E1394">
        <f t="shared" si="63"/>
        <v>0</v>
      </c>
      <c r="F1394">
        <f t="shared" si="65"/>
        <v>24.00249999999982</v>
      </c>
      <c r="G1394">
        <f t="shared" si="64"/>
        <v>0</v>
      </c>
    </row>
    <row r="1395" spans="1:7" hidden="1" x14ac:dyDescent="0.35">
      <c r="A1395" s="11">
        <v>50034</v>
      </c>
      <c r="B1395" s="12" t="s">
        <v>19</v>
      </c>
      <c r="C1395" s="13">
        <v>19.399999999999999</v>
      </c>
      <c r="D1395" s="14">
        <v>19.3</v>
      </c>
      <c r="E1395">
        <f t="shared" si="63"/>
        <v>3.7441999999999998</v>
      </c>
      <c r="F1395">
        <f t="shared" si="65"/>
        <v>27.746699999999819</v>
      </c>
      <c r="G1395">
        <f t="shared" si="64"/>
        <v>0</v>
      </c>
    </row>
    <row r="1396" spans="1:7" hidden="1" x14ac:dyDescent="0.35">
      <c r="A1396" s="7">
        <v>50035</v>
      </c>
      <c r="B1396" s="8" t="s">
        <v>10</v>
      </c>
      <c r="C1396" s="9">
        <v>24.3</v>
      </c>
      <c r="D1396" s="10">
        <v>8.8000000000000007</v>
      </c>
      <c r="E1396">
        <f t="shared" si="63"/>
        <v>2.1384000000000003</v>
      </c>
      <c r="F1396">
        <f t="shared" si="65"/>
        <v>29.88509999999982</v>
      </c>
      <c r="G1396">
        <f t="shared" si="64"/>
        <v>0</v>
      </c>
    </row>
    <row r="1397" spans="1:7" hidden="1" x14ac:dyDescent="0.35">
      <c r="A1397" s="11">
        <v>50036</v>
      </c>
      <c r="B1397" s="12" t="s">
        <v>19</v>
      </c>
      <c r="C1397" s="13">
        <v>21.2</v>
      </c>
      <c r="D1397" s="14">
        <v>36</v>
      </c>
      <c r="E1397">
        <f t="shared" si="63"/>
        <v>7.6319999999999997</v>
      </c>
      <c r="F1397">
        <f t="shared" si="65"/>
        <v>37.517099999999822</v>
      </c>
      <c r="G1397">
        <f t="shared" si="64"/>
        <v>0</v>
      </c>
    </row>
    <row r="1398" spans="1:7" hidden="1" x14ac:dyDescent="0.35">
      <c r="A1398" s="7">
        <v>50037</v>
      </c>
      <c r="B1398" s="8" t="s">
        <v>5</v>
      </c>
      <c r="C1398" s="9">
        <v>28.4</v>
      </c>
      <c r="D1398" s="10">
        <v>0</v>
      </c>
      <c r="E1398">
        <f t="shared" si="63"/>
        <v>0</v>
      </c>
      <c r="F1398">
        <f t="shared" si="65"/>
        <v>37.517099999999822</v>
      </c>
      <c r="G1398">
        <f t="shared" si="64"/>
        <v>0</v>
      </c>
    </row>
    <row r="1399" spans="1:7" hidden="1" x14ac:dyDescent="0.35">
      <c r="A1399" s="11">
        <v>50038</v>
      </c>
      <c r="B1399" s="12" t="s">
        <v>27</v>
      </c>
      <c r="C1399" s="13">
        <v>17.100000000000001</v>
      </c>
      <c r="D1399" s="14">
        <v>5.4</v>
      </c>
      <c r="E1399">
        <f t="shared" si="63"/>
        <v>0.92340000000000022</v>
      </c>
      <c r="F1399">
        <f t="shared" si="65"/>
        <v>38.440499999999822</v>
      </c>
      <c r="G1399">
        <f t="shared" si="64"/>
        <v>0</v>
      </c>
    </row>
    <row r="1400" spans="1:7" hidden="1" x14ac:dyDescent="0.35">
      <c r="A1400" s="7">
        <v>50039</v>
      </c>
      <c r="B1400" s="8" t="s">
        <v>10</v>
      </c>
      <c r="C1400" s="9">
        <v>24.4</v>
      </c>
      <c r="D1400" s="10">
        <v>23.8</v>
      </c>
      <c r="E1400">
        <f t="shared" si="63"/>
        <v>5.8071999999999999</v>
      </c>
      <c r="F1400">
        <f t="shared" si="65"/>
        <v>44.247699999999824</v>
      </c>
      <c r="G1400">
        <f t="shared" si="64"/>
        <v>0</v>
      </c>
    </row>
    <row r="1401" spans="1:7" hidden="1" x14ac:dyDescent="0.35">
      <c r="A1401" s="11">
        <v>50040</v>
      </c>
      <c r="B1401" s="12" t="s">
        <v>18</v>
      </c>
      <c r="C1401" s="13">
        <v>18.5</v>
      </c>
      <c r="D1401" s="14">
        <v>6</v>
      </c>
      <c r="E1401">
        <f t="shared" si="63"/>
        <v>1.1100000000000001</v>
      </c>
      <c r="F1401">
        <f t="shared" si="65"/>
        <v>45.357699999999824</v>
      </c>
      <c r="G1401">
        <f t="shared" si="64"/>
        <v>0</v>
      </c>
    </row>
    <row r="1402" spans="1:7" hidden="1" x14ac:dyDescent="0.35">
      <c r="A1402" s="7">
        <v>50041</v>
      </c>
      <c r="B1402" s="8" t="s">
        <v>19</v>
      </c>
      <c r="C1402" s="9">
        <v>24.1</v>
      </c>
      <c r="D1402" s="10">
        <v>21.5</v>
      </c>
      <c r="E1402">
        <f t="shared" si="63"/>
        <v>5.1814999999999998</v>
      </c>
      <c r="F1402">
        <f t="shared" si="65"/>
        <v>50.539199999999823</v>
      </c>
      <c r="G1402">
        <f t="shared" si="64"/>
        <v>0</v>
      </c>
    </row>
    <row r="1403" spans="1:7" hidden="1" x14ac:dyDescent="0.35">
      <c r="A1403" s="11">
        <v>50042</v>
      </c>
      <c r="B1403" s="12" t="s">
        <v>22</v>
      </c>
      <c r="C1403" s="13">
        <v>17.899999999999999</v>
      </c>
      <c r="D1403" s="14">
        <v>5.4</v>
      </c>
      <c r="E1403">
        <f t="shared" si="63"/>
        <v>0.96660000000000001</v>
      </c>
      <c r="F1403">
        <f t="shared" si="65"/>
        <v>51.505799999999823</v>
      </c>
      <c r="G1403">
        <f t="shared" si="64"/>
        <v>0</v>
      </c>
    </row>
    <row r="1404" spans="1:7" hidden="1" x14ac:dyDescent="0.35">
      <c r="A1404" s="7">
        <v>50043</v>
      </c>
      <c r="B1404" s="8" t="s">
        <v>22</v>
      </c>
      <c r="C1404" s="9">
        <v>15.8</v>
      </c>
      <c r="D1404" s="10">
        <v>7.4</v>
      </c>
      <c r="E1404">
        <f t="shared" si="63"/>
        <v>1.1692000000000002</v>
      </c>
      <c r="F1404">
        <f t="shared" si="65"/>
        <v>52.674999999999827</v>
      </c>
      <c r="G1404">
        <f t="shared" si="64"/>
        <v>0</v>
      </c>
    </row>
    <row r="1405" spans="1:7" hidden="1" x14ac:dyDescent="0.35">
      <c r="A1405" s="11">
        <v>50044</v>
      </c>
      <c r="B1405" s="12" t="s">
        <v>30</v>
      </c>
      <c r="C1405" s="13">
        <v>19.600000000000001</v>
      </c>
      <c r="D1405" s="14">
        <v>0.3</v>
      </c>
      <c r="E1405">
        <f t="shared" si="63"/>
        <v>0</v>
      </c>
      <c r="F1405">
        <f t="shared" si="65"/>
        <v>52.674999999999827</v>
      </c>
      <c r="G1405">
        <f t="shared" si="64"/>
        <v>0</v>
      </c>
    </row>
    <row r="1406" spans="1:7" hidden="1" x14ac:dyDescent="0.35">
      <c r="A1406" s="7">
        <v>50045</v>
      </c>
      <c r="B1406" s="8" t="s">
        <v>19</v>
      </c>
      <c r="C1406" s="9">
        <v>17.7</v>
      </c>
      <c r="D1406" s="10">
        <v>0</v>
      </c>
      <c r="E1406">
        <f t="shared" si="63"/>
        <v>0</v>
      </c>
      <c r="F1406">
        <f t="shared" si="65"/>
        <v>52.674999999999827</v>
      </c>
      <c r="G1406">
        <f t="shared" si="64"/>
        <v>0</v>
      </c>
    </row>
    <row r="1407" spans="1:7" hidden="1" x14ac:dyDescent="0.35">
      <c r="A1407" s="11">
        <v>50046</v>
      </c>
      <c r="B1407" s="12" t="s">
        <v>27</v>
      </c>
      <c r="C1407" s="13">
        <v>19.899999999999999</v>
      </c>
      <c r="D1407" s="14">
        <v>4.7</v>
      </c>
      <c r="E1407">
        <f t="shared" si="63"/>
        <v>0.93530000000000002</v>
      </c>
      <c r="F1407">
        <f t="shared" si="65"/>
        <v>53.610299999999825</v>
      </c>
      <c r="G1407">
        <f t="shared" si="64"/>
        <v>0</v>
      </c>
    </row>
    <row r="1408" spans="1:7" hidden="1" x14ac:dyDescent="0.35">
      <c r="A1408" s="7">
        <v>50047</v>
      </c>
      <c r="B1408" s="8" t="s">
        <v>5</v>
      </c>
      <c r="C1408" s="9">
        <v>10.6</v>
      </c>
      <c r="D1408" s="10">
        <v>4.8</v>
      </c>
      <c r="E1408">
        <f t="shared" si="63"/>
        <v>0.50879999999999992</v>
      </c>
      <c r="F1408">
        <f t="shared" si="65"/>
        <v>54.119099999999825</v>
      </c>
      <c r="G1408">
        <f t="shared" si="64"/>
        <v>0</v>
      </c>
    </row>
    <row r="1409" spans="1:7" hidden="1" x14ac:dyDescent="0.35">
      <c r="A1409" s="11">
        <v>50048</v>
      </c>
      <c r="B1409" s="12" t="s">
        <v>19</v>
      </c>
      <c r="C1409" s="13">
        <v>25.6</v>
      </c>
      <c r="D1409" s="14">
        <v>17.399999999999999</v>
      </c>
      <c r="E1409">
        <f t="shared" si="63"/>
        <v>4.4543999999999997</v>
      </c>
      <c r="F1409">
        <f t="shared" si="65"/>
        <v>58.573499999999825</v>
      </c>
      <c r="G1409">
        <f t="shared" si="64"/>
        <v>0</v>
      </c>
    </row>
    <row r="1410" spans="1:7" hidden="1" x14ac:dyDescent="0.35">
      <c r="A1410" s="7">
        <v>50049</v>
      </c>
      <c r="B1410" s="8" t="s">
        <v>9</v>
      </c>
      <c r="C1410" s="9">
        <v>22.4</v>
      </c>
      <c r="D1410" s="10">
        <v>7.7</v>
      </c>
      <c r="E1410">
        <f t="shared" si="63"/>
        <v>1.7247999999999999</v>
      </c>
      <c r="F1410">
        <f t="shared" si="65"/>
        <v>60.298299999999827</v>
      </c>
      <c r="G1410">
        <f t="shared" si="64"/>
        <v>0</v>
      </c>
    </row>
    <row r="1411" spans="1:7" hidden="1" x14ac:dyDescent="0.35">
      <c r="A1411" s="11">
        <v>50050</v>
      </c>
      <c r="B1411" s="12" t="s">
        <v>8</v>
      </c>
      <c r="C1411" s="13">
        <v>14.5</v>
      </c>
      <c r="D1411" s="14">
        <v>3.8</v>
      </c>
      <c r="E1411">
        <f t="shared" ref="E1411:E1474" si="66">IF(D1411&gt;=1,C1411*D1411/100,0)</f>
        <v>0.55099999999999993</v>
      </c>
      <c r="F1411">
        <f t="shared" si="65"/>
        <v>60.849299999999829</v>
      </c>
      <c r="G1411">
        <f t="shared" ref="G1411:G1474" si="67">IF(F1411&gt;=100,1,0)</f>
        <v>0</v>
      </c>
    </row>
    <row r="1412" spans="1:7" hidden="1" x14ac:dyDescent="0.35">
      <c r="A1412" s="7">
        <v>50051</v>
      </c>
      <c r="B1412" s="8" t="s">
        <v>9</v>
      </c>
      <c r="C1412" s="9">
        <v>15</v>
      </c>
      <c r="D1412" s="10">
        <v>4.2</v>
      </c>
      <c r="E1412">
        <f t="shared" si="66"/>
        <v>0.63</v>
      </c>
      <c r="F1412">
        <f t="shared" ref="F1412:F1475" si="68">IF(G1411=1,E1412+F1411-100,F1411+E1412)</f>
        <v>61.479299999999832</v>
      </c>
      <c r="G1412">
        <f t="shared" si="67"/>
        <v>0</v>
      </c>
    </row>
    <row r="1413" spans="1:7" hidden="1" x14ac:dyDescent="0.35">
      <c r="A1413" s="11">
        <v>50052</v>
      </c>
      <c r="B1413" s="12" t="s">
        <v>13</v>
      </c>
      <c r="C1413" s="13">
        <v>24</v>
      </c>
      <c r="D1413" s="14">
        <v>11.5</v>
      </c>
      <c r="E1413">
        <f t="shared" si="66"/>
        <v>2.76</v>
      </c>
      <c r="F1413">
        <f t="shared" si="68"/>
        <v>64.23929999999983</v>
      </c>
      <c r="G1413">
        <f t="shared" si="67"/>
        <v>0</v>
      </c>
    </row>
    <row r="1414" spans="1:7" hidden="1" x14ac:dyDescent="0.35">
      <c r="A1414" s="7">
        <v>50053</v>
      </c>
      <c r="B1414" s="8" t="s">
        <v>23</v>
      </c>
      <c r="C1414" s="9">
        <v>20.7</v>
      </c>
      <c r="D1414" s="10">
        <v>2.9</v>
      </c>
      <c r="E1414">
        <f t="shared" si="66"/>
        <v>0.60029999999999994</v>
      </c>
      <c r="F1414">
        <f t="shared" si="68"/>
        <v>64.839599999999834</v>
      </c>
      <c r="G1414">
        <f t="shared" si="67"/>
        <v>0</v>
      </c>
    </row>
    <row r="1415" spans="1:7" hidden="1" x14ac:dyDescent="0.35">
      <c r="A1415" s="11">
        <v>50054</v>
      </c>
      <c r="B1415" s="12" t="s">
        <v>28</v>
      </c>
      <c r="C1415" s="13">
        <v>13.5</v>
      </c>
      <c r="D1415" s="14">
        <v>0.7</v>
      </c>
      <c r="E1415">
        <f t="shared" si="66"/>
        <v>0</v>
      </c>
      <c r="F1415">
        <f t="shared" si="68"/>
        <v>64.839599999999834</v>
      </c>
      <c r="G1415">
        <f t="shared" si="67"/>
        <v>0</v>
      </c>
    </row>
    <row r="1416" spans="1:7" hidden="1" x14ac:dyDescent="0.35">
      <c r="A1416" s="7">
        <v>50055</v>
      </c>
      <c r="B1416" s="8" t="s">
        <v>19</v>
      </c>
      <c r="C1416" s="9">
        <v>23.7</v>
      </c>
      <c r="D1416" s="10">
        <v>13.1</v>
      </c>
      <c r="E1416">
        <f t="shared" si="66"/>
        <v>3.1046999999999998</v>
      </c>
      <c r="F1416">
        <f t="shared" si="68"/>
        <v>67.944299999999828</v>
      </c>
      <c r="G1416">
        <f t="shared" si="67"/>
        <v>0</v>
      </c>
    </row>
    <row r="1417" spans="1:7" hidden="1" x14ac:dyDescent="0.35">
      <c r="A1417" s="11">
        <v>50056</v>
      </c>
      <c r="B1417" s="12" t="s">
        <v>10</v>
      </c>
      <c r="C1417" s="13">
        <v>12.1</v>
      </c>
      <c r="D1417" s="14">
        <v>36</v>
      </c>
      <c r="E1417">
        <f t="shared" si="66"/>
        <v>4.3559999999999999</v>
      </c>
      <c r="F1417">
        <f t="shared" si="68"/>
        <v>72.300299999999822</v>
      </c>
      <c r="G1417">
        <f t="shared" si="67"/>
        <v>0</v>
      </c>
    </row>
    <row r="1418" spans="1:7" hidden="1" x14ac:dyDescent="0.35">
      <c r="A1418" s="7">
        <v>50057</v>
      </c>
      <c r="B1418" s="8" t="s">
        <v>13</v>
      </c>
      <c r="C1418" s="9">
        <v>21.8</v>
      </c>
      <c r="D1418" s="10">
        <v>10.9</v>
      </c>
      <c r="E1418">
        <f t="shared" si="66"/>
        <v>2.3761999999999999</v>
      </c>
      <c r="F1418">
        <f t="shared" si="68"/>
        <v>74.67649999999982</v>
      </c>
      <c r="G1418">
        <f t="shared" si="67"/>
        <v>0</v>
      </c>
    </row>
    <row r="1419" spans="1:7" hidden="1" x14ac:dyDescent="0.35">
      <c r="A1419" s="11">
        <v>50058</v>
      </c>
      <c r="B1419" s="12" t="s">
        <v>22</v>
      </c>
      <c r="C1419" s="13">
        <v>17.399999999999999</v>
      </c>
      <c r="D1419" s="14">
        <v>0</v>
      </c>
      <c r="E1419">
        <f t="shared" si="66"/>
        <v>0</v>
      </c>
      <c r="F1419">
        <f t="shared" si="68"/>
        <v>74.67649999999982</v>
      </c>
      <c r="G1419">
        <f t="shared" si="67"/>
        <v>0</v>
      </c>
    </row>
    <row r="1420" spans="1:7" hidden="1" x14ac:dyDescent="0.35">
      <c r="A1420" s="7">
        <v>50059</v>
      </c>
      <c r="B1420" s="8" t="s">
        <v>6</v>
      </c>
      <c r="C1420" s="9">
        <v>15.6</v>
      </c>
      <c r="D1420" s="10">
        <v>0</v>
      </c>
      <c r="E1420">
        <f t="shared" si="66"/>
        <v>0</v>
      </c>
      <c r="F1420">
        <f t="shared" si="68"/>
        <v>74.67649999999982</v>
      </c>
      <c r="G1420">
        <f t="shared" si="67"/>
        <v>0</v>
      </c>
    </row>
    <row r="1421" spans="1:7" hidden="1" x14ac:dyDescent="0.35">
      <c r="A1421" s="11">
        <v>50060</v>
      </c>
      <c r="B1421" s="12" t="s">
        <v>13</v>
      </c>
      <c r="C1421" s="13">
        <v>13.7</v>
      </c>
      <c r="D1421" s="14">
        <v>0</v>
      </c>
      <c r="E1421">
        <f t="shared" si="66"/>
        <v>0</v>
      </c>
      <c r="F1421">
        <f t="shared" si="68"/>
        <v>74.67649999999982</v>
      </c>
      <c r="G1421">
        <f t="shared" si="67"/>
        <v>0</v>
      </c>
    </row>
    <row r="1422" spans="1:7" hidden="1" x14ac:dyDescent="0.35">
      <c r="A1422" s="7">
        <v>50061</v>
      </c>
      <c r="B1422" s="8" t="s">
        <v>10</v>
      </c>
      <c r="C1422" s="9">
        <v>24.7</v>
      </c>
      <c r="D1422" s="10">
        <v>16.2</v>
      </c>
      <c r="E1422">
        <f t="shared" si="66"/>
        <v>4.0014000000000003</v>
      </c>
      <c r="F1422">
        <f t="shared" si="68"/>
        <v>78.677899999999823</v>
      </c>
      <c r="G1422">
        <f t="shared" si="67"/>
        <v>0</v>
      </c>
    </row>
    <row r="1423" spans="1:7" hidden="1" x14ac:dyDescent="0.35">
      <c r="A1423" s="11">
        <v>50062</v>
      </c>
      <c r="B1423" s="12" t="s">
        <v>15</v>
      </c>
      <c r="C1423" s="13">
        <v>25.3</v>
      </c>
      <c r="D1423" s="14">
        <v>14.2</v>
      </c>
      <c r="E1423">
        <f t="shared" si="66"/>
        <v>3.5926</v>
      </c>
      <c r="F1423">
        <f t="shared" si="68"/>
        <v>82.270499999999828</v>
      </c>
      <c r="G1423">
        <f t="shared" si="67"/>
        <v>0</v>
      </c>
    </row>
    <row r="1424" spans="1:7" hidden="1" x14ac:dyDescent="0.35">
      <c r="A1424" s="7">
        <v>50063</v>
      </c>
      <c r="B1424" s="8" t="s">
        <v>15</v>
      </c>
      <c r="C1424" s="9">
        <v>18.399999999999999</v>
      </c>
      <c r="D1424" s="10">
        <v>0</v>
      </c>
      <c r="E1424">
        <f t="shared" si="66"/>
        <v>0</v>
      </c>
      <c r="F1424">
        <f t="shared" si="68"/>
        <v>82.270499999999828</v>
      </c>
      <c r="G1424">
        <f t="shared" si="67"/>
        <v>0</v>
      </c>
    </row>
    <row r="1425" spans="1:7" hidden="1" x14ac:dyDescent="0.35">
      <c r="A1425" s="11">
        <v>50064</v>
      </c>
      <c r="B1425" s="12" t="s">
        <v>14</v>
      </c>
      <c r="C1425" s="13">
        <v>10.199999999999999</v>
      </c>
      <c r="D1425" s="14">
        <v>0</v>
      </c>
      <c r="E1425">
        <f t="shared" si="66"/>
        <v>0</v>
      </c>
      <c r="F1425">
        <f t="shared" si="68"/>
        <v>82.270499999999828</v>
      </c>
      <c r="G1425">
        <f t="shared" si="67"/>
        <v>0</v>
      </c>
    </row>
    <row r="1426" spans="1:7" hidden="1" x14ac:dyDescent="0.35">
      <c r="A1426" s="7">
        <v>50065</v>
      </c>
      <c r="B1426" s="8" t="s">
        <v>33</v>
      </c>
      <c r="C1426" s="9">
        <v>26.9</v>
      </c>
      <c r="D1426" s="10">
        <v>0</v>
      </c>
      <c r="E1426">
        <f t="shared" si="66"/>
        <v>0</v>
      </c>
      <c r="F1426">
        <f t="shared" si="68"/>
        <v>82.270499999999828</v>
      </c>
      <c r="G1426">
        <f t="shared" si="67"/>
        <v>0</v>
      </c>
    </row>
    <row r="1427" spans="1:7" hidden="1" x14ac:dyDescent="0.35">
      <c r="A1427" s="11">
        <v>50066</v>
      </c>
      <c r="B1427" s="12" t="s">
        <v>8</v>
      </c>
      <c r="C1427" s="13">
        <v>28.2</v>
      </c>
      <c r="D1427" s="14">
        <v>0</v>
      </c>
      <c r="E1427">
        <f t="shared" si="66"/>
        <v>0</v>
      </c>
      <c r="F1427">
        <f t="shared" si="68"/>
        <v>82.270499999999828</v>
      </c>
      <c r="G1427">
        <f t="shared" si="67"/>
        <v>0</v>
      </c>
    </row>
    <row r="1428" spans="1:7" hidden="1" x14ac:dyDescent="0.35">
      <c r="A1428" s="7">
        <v>50067</v>
      </c>
      <c r="B1428" s="8" t="s">
        <v>7</v>
      </c>
      <c r="C1428" s="9">
        <v>15.9</v>
      </c>
      <c r="D1428" s="10">
        <v>0</v>
      </c>
      <c r="E1428">
        <f t="shared" si="66"/>
        <v>0</v>
      </c>
      <c r="F1428">
        <f t="shared" si="68"/>
        <v>82.270499999999828</v>
      </c>
      <c r="G1428">
        <f t="shared" si="67"/>
        <v>0</v>
      </c>
    </row>
    <row r="1429" spans="1:7" hidden="1" x14ac:dyDescent="0.35">
      <c r="A1429" s="11">
        <v>50068</v>
      </c>
      <c r="B1429" s="12" t="s">
        <v>10</v>
      </c>
      <c r="C1429" s="13">
        <v>19.7</v>
      </c>
      <c r="D1429" s="14">
        <v>0</v>
      </c>
      <c r="E1429">
        <f t="shared" si="66"/>
        <v>0</v>
      </c>
      <c r="F1429">
        <f t="shared" si="68"/>
        <v>82.270499999999828</v>
      </c>
      <c r="G1429">
        <f t="shared" si="67"/>
        <v>0</v>
      </c>
    </row>
    <row r="1430" spans="1:7" hidden="1" x14ac:dyDescent="0.35">
      <c r="A1430" s="7">
        <v>50069</v>
      </c>
      <c r="B1430" s="8" t="s">
        <v>7</v>
      </c>
      <c r="C1430" s="9">
        <v>16</v>
      </c>
      <c r="D1430" s="10">
        <v>0</v>
      </c>
      <c r="E1430">
        <f t="shared" si="66"/>
        <v>0</v>
      </c>
      <c r="F1430">
        <f t="shared" si="68"/>
        <v>82.270499999999828</v>
      </c>
      <c r="G1430">
        <f t="shared" si="67"/>
        <v>0</v>
      </c>
    </row>
    <row r="1431" spans="1:7" hidden="1" x14ac:dyDescent="0.35">
      <c r="A1431" s="11">
        <v>50070</v>
      </c>
      <c r="B1431" s="12" t="s">
        <v>6</v>
      </c>
      <c r="C1431" s="13">
        <v>20.8</v>
      </c>
      <c r="D1431" s="14">
        <v>0</v>
      </c>
      <c r="E1431">
        <f t="shared" si="66"/>
        <v>0</v>
      </c>
      <c r="F1431">
        <f t="shared" si="68"/>
        <v>82.270499999999828</v>
      </c>
      <c r="G1431">
        <f t="shared" si="67"/>
        <v>0</v>
      </c>
    </row>
    <row r="1432" spans="1:7" hidden="1" x14ac:dyDescent="0.35">
      <c r="A1432" s="7">
        <v>50071</v>
      </c>
      <c r="B1432" s="8" t="s">
        <v>23</v>
      </c>
      <c r="C1432" s="9">
        <v>12.5</v>
      </c>
      <c r="D1432" s="10">
        <v>0</v>
      </c>
      <c r="E1432">
        <f t="shared" si="66"/>
        <v>0</v>
      </c>
      <c r="F1432">
        <f t="shared" si="68"/>
        <v>82.270499999999828</v>
      </c>
      <c r="G1432">
        <f t="shared" si="67"/>
        <v>0</v>
      </c>
    </row>
    <row r="1433" spans="1:7" hidden="1" x14ac:dyDescent="0.35">
      <c r="A1433" s="11">
        <v>50072</v>
      </c>
      <c r="B1433" s="12" t="s">
        <v>15</v>
      </c>
      <c r="C1433" s="13">
        <v>12.7</v>
      </c>
      <c r="D1433" s="14">
        <v>2.4</v>
      </c>
      <c r="E1433">
        <f t="shared" si="66"/>
        <v>0.30479999999999996</v>
      </c>
      <c r="F1433">
        <f t="shared" si="68"/>
        <v>82.575299999999828</v>
      </c>
      <c r="G1433">
        <f t="shared" si="67"/>
        <v>0</v>
      </c>
    </row>
    <row r="1434" spans="1:7" hidden="1" x14ac:dyDescent="0.35">
      <c r="A1434" s="7">
        <v>50073</v>
      </c>
      <c r="B1434" s="8" t="s">
        <v>18</v>
      </c>
      <c r="C1434" s="9">
        <v>23.5</v>
      </c>
      <c r="D1434" s="10">
        <v>11.5</v>
      </c>
      <c r="E1434">
        <f t="shared" si="66"/>
        <v>2.7025000000000001</v>
      </c>
      <c r="F1434">
        <f t="shared" si="68"/>
        <v>85.277799999999829</v>
      </c>
      <c r="G1434">
        <f t="shared" si="67"/>
        <v>0</v>
      </c>
    </row>
    <row r="1435" spans="1:7" hidden="1" x14ac:dyDescent="0.35">
      <c r="A1435" s="11">
        <v>50074</v>
      </c>
      <c r="B1435" s="12" t="s">
        <v>14</v>
      </c>
      <c r="C1435" s="13">
        <v>17.8</v>
      </c>
      <c r="D1435" s="14">
        <v>1.8</v>
      </c>
      <c r="E1435">
        <f t="shared" si="66"/>
        <v>0.32040000000000002</v>
      </c>
      <c r="F1435">
        <f t="shared" si="68"/>
        <v>85.598199999999835</v>
      </c>
      <c r="G1435">
        <f t="shared" si="67"/>
        <v>0</v>
      </c>
    </row>
    <row r="1436" spans="1:7" hidden="1" x14ac:dyDescent="0.35">
      <c r="A1436" s="7">
        <v>50075</v>
      </c>
      <c r="B1436" s="8" t="s">
        <v>11</v>
      </c>
      <c r="C1436" s="9">
        <v>11</v>
      </c>
      <c r="D1436" s="10">
        <v>0</v>
      </c>
      <c r="E1436">
        <f t="shared" si="66"/>
        <v>0</v>
      </c>
      <c r="F1436">
        <f t="shared" si="68"/>
        <v>85.598199999999835</v>
      </c>
      <c r="G1436">
        <f t="shared" si="67"/>
        <v>0</v>
      </c>
    </row>
    <row r="1437" spans="1:7" hidden="1" x14ac:dyDescent="0.35">
      <c r="A1437" s="11">
        <v>50076</v>
      </c>
      <c r="B1437" s="12" t="s">
        <v>12</v>
      </c>
      <c r="C1437" s="13">
        <v>21.3</v>
      </c>
      <c r="D1437" s="14">
        <v>5.2</v>
      </c>
      <c r="E1437">
        <f t="shared" si="66"/>
        <v>1.1076000000000001</v>
      </c>
      <c r="F1437">
        <f t="shared" si="68"/>
        <v>86.70579999999984</v>
      </c>
      <c r="G1437">
        <f t="shared" si="67"/>
        <v>0</v>
      </c>
    </row>
    <row r="1438" spans="1:7" hidden="1" x14ac:dyDescent="0.35">
      <c r="A1438" s="7">
        <v>50077</v>
      </c>
      <c r="B1438" s="8" t="s">
        <v>7</v>
      </c>
      <c r="C1438" s="9">
        <v>19.600000000000001</v>
      </c>
      <c r="D1438" s="10">
        <v>8.1</v>
      </c>
      <c r="E1438">
        <f t="shared" si="66"/>
        <v>1.5875999999999999</v>
      </c>
      <c r="F1438">
        <f t="shared" si="68"/>
        <v>88.293399999999835</v>
      </c>
      <c r="G1438">
        <f t="shared" si="67"/>
        <v>0</v>
      </c>
    </row>
    <row r="1439" spans="1:7" hidden="1" x14ac:dyDescent="0.35">
      <c r="A1439" s="11">
        <v>50078</v>
      </c>
      <c r="B1439" s="12" t="s">
        <v>11</v>
      </c>
      <c r="C1439" s="13">
        <v>25.7</v>
      </c>
      <c r="D1439" s="14">
        <v>4.2</v>
      </c>
      <c r="E1439">
        <f t="shared" si="66"/>
        <v>1.0793999999999999</v>
      </c>
      <c r="F1439">
        <f t="shared" si="68"/>
        <v>89.372799999999842</v>
      </c>
      <c r="G1439">
        <f t="shared" si="67"/>
        <v>0</v>
      </c>
    </row>
    <row r="1440" spans="1:7" hidden="1" x14ac:dyDescent="0.35">
      <c r="A1440" s="7">
        <v>50079</v>
      </c>
      <c r="B1440" s="8" t="s">
        <v>10</v>
      </c>
      <c r="C1440" s="9">
        <v>20.9</v>
      </c>
      <c r="D1440" s="10">
        <v>28.6</v>
      </c>
      <c r="E1440">
        <f t="shared" si="66"/>
        <v>5.9774000000000003</v>
      </c>
      <c r="F1440">
        <f t="shared" si="68"/>
        <v>95.350199999999845</v>
      </c>
      <c r="G1440">
        <f t="shared" si="67"/>
        <v>0</v>
      </c>
    </row>
    <row r="1441" spans="1:7" hidden="1" x14ac:dyDescent="0.35">
      <c r="A1441" s="11">
        <v>50080</v>
      </c>
      <c r="B1441" s="12" t="s">
        <v>19</v>
      </c>
      <c r="C1441" s="13">
        <v>26.4</v>
      </c>
      <c r="D1441" s="14">
        <v>3.2</v>
      </c>
      <c r="E1441">
        <f t="shared" si="66"/>
        <v>0.8448</v>
      </c>
      <c r="F1441">
        <f t="shared" si="68"/>
        <v>96.194999999999851</v>
      </c>
      <c r="G1441">
        <f t="shared" si="67"/>
        <v>0</v>
      </c>
    </row>
    <row r="1442" spans="1:7" hidden="1" x14ac:dyDescent="0.35">
      <c r="A1442" s="7">
        <v>50081</v>
      </c>
      <c r="B1442" s="8" t="s">
        <v>19</v>
      </c>
      <c r="C1442" s="9">
        <v>26.5</v>
      </c>
      <c r="D1442" s="10">
        <v>13.1</v>
      </c>
      <c r="E1442">
        <f t="shared" si="66"/>
        <v>3.4714999999999998</v>
      </c>
      <c r="F1442">
        <f t="shared" si="68"/>
        <v>99.666499999999857</v>
      </c>
      <c r="G1442">
        <f t="shared" si="67"/>
        <v>0</v>
      </c>
    </row>
    <row r="1443" spans="1:7" hidden="1" x14ac:dyDescent="0.35">
      <c r="A1443" s="11">
        <v>50082</v>
      </c>
      <c r="B1443" s="12" t="s">
        <v>8</v>
      </c>
      <c r="C1443" s="13">
        <v>11.7</v>
      </c>
      <c r="D1443" s="14">
        <v>0</v>
      </c>
      <c r="E1443">
        <f t="shared" si="66"/>
        <v>0</v>
      </c>
      <c r="F1443">
        <f t="shared" si="68"/>
        <v>99.666499999999857</v>
      </c>
      <c r="G1443">
        <f t="shared" si="67"/>
        <v>0</v>
      </c>
    </row>
    <row r="1444" spans="1:7" hidden="1" x14ac:dyDescent="0.35">
      <c r="A1444" s="7">
        <v>50083</v>
      </c>
      <c r="B1444" s="8" t="s">
        <v>12</v>
      </c>
      <c r="C1444" s="9">
        <v>24.7</v>
      </c>
      <c r="D1444" s="10">
        <v>0.3</v>
      </c>
      <c r="E1444">
        <f t="shared" si="66"/>
        <v>0</v>
      </c>
      <c r="F1444">
        <f t="shared" si="68"/>
        <v>99.666499999999857</v>
      </c>
      <c r="G1444">
        <f t="shared" si="67"/>
        <v>0</v>
      </c>
    </row>
    <row r="1445" spans="1:7" x14ac:dyDescent="0.35">
      <c r="A1445" s="11">
        <v>50084</v>
      </c>
      <c r="B1445" s="12" t="s">
        <v>9</v>
      </c>
      <c r="C1445" s="13">
        <v>24.4</v>
      </c>
      <c r="D1445" s="14">
        <v>9.6</v>
      </c>
      <c r="E1445">
        <f t="shared" si="66"/>
        <v>2.3423999999999996</v>
      </c>
      <c r="F1445">
        <f t="shared" si="68"/>
        <v>102.00889999999985</v>
      </c>
      <c r="G1445">
        <f t="shared" si="67"/>
        <v>1</v>
      </c>
    </row>
    <row r="1446" spans="1:7" hidden="1" x14ac:dyDescent="0.35">
      <c r="A1446" s="7">
        <v>50085</v>
      </c>
      <c r="B1446" s="8" t="s">
        <v>19</v>
      </c>
      <c r="C1446" s="9">
        <v>19</v>
      </c>
      <c r="D1446" s="10">
        <v>28.8</v>
      </c>
      <c r="E1446">
        <f t="shared" si="66"/>
        <v>5.4720000000000004</v>
      </c>
      <c r="F1446">
        <f t="shared" si="68"/>
        <v>7.4808999999998491</v>
      </c>
      <c r="G1446">
        <f t="shared" si="67"/>
        <v>0</v>
      </c>
    </row>
    <row r="1447" spans="1:7" hidden="1" x14ac:dyDescent="0.35">
      <c r="A1447" s="11">
        <v>50086</v>
      </c>
      <c r="B1447" s="12" t="s">
        <v>10</v>
      </c>
      <c r="C1447" s="13">
        <v>13.7</v>
      </c>
      <c r="D1447" s="14">
        <v>19.3</v>
      </c>
      <c r="E1447">
        <f t="shared" si="66"/>
        <v>2.6440999999999999</v>
      </c>
      <c r="F1447">
        <f t="shared" si="68"/>
        <v>10.124999999999849</v>
      </c>
      <c r="G1447">
        <f t="shared" si="67"/>
        <v>0</v>
      </c>
    </row>
    <row r="1448" spans="1:7" hidden="1" x14ac:dyDescent="0.35">
      <c r="A1448" s="7">
        <v>50087</v>
      </c>
      <c r="B1448" s="8" t="s">
        <v>10</v>
      </c>
      <c r="C1448" s="9">
        <v>28.9</v>
      </c>
      <c r="D1448" s="10">
        <v>20.399999999999999</v>
      </c>
      <c r="E1448">
        <f t="shared" si="66"/>
        <v>5.8955999999999991</v>
      </c>
      <c r="F1448">
        <f t="shared" si="68"/>
        <v>16.020599999999849</v>
      </c>
      <c r="G1448">
        <f t="shared" si="67"/>
        <v>0</v>
      </c>
    </row>
    <row r="1449" spans="1:7" hidden="1" x14ac:dyDescent="0.35">
      <c r="A1449" s="11">
        <v>50088</v>
      </c>
      <c r="B1449" s="12" t="s">
        <v>20</v>
      </c>
      <c r="C1449" s="13">
        <v>25.2</v>
      </c>
      <c r="D1449" s="14">
        <v>0</v>
      </c>
      <c r="E1449">
        <f t="shared" si="66"/>
        <v>0</v>
      </c>
      <c r="F1449">
        <f t="shared" si="68"/>
        <v>16.020599999999849</v>
      </c>
      <c r="G1449">
        <f t="shared" si="67"/>
        <v>0</v>
      </c>
    </row>
    <row r="1450" spans="1:7" hidden="1" x14ac:dyDescent="0.35">
      <c r="A1450" s="7">
        <v>50089</v>
      </c>
      <c r="B1450" s="8" t="s">
        <v>11</v>
      </c>
      <c r="C1450" s="9">
        <v>15.4</v>
      </c>
      <c r="D1450" s="10">
        <v>9</v>
      </c>
      <c r="E1450">
        <f t="shared" si="66"/>
        <v>1.3859999999999999</v>
      </c>
      <c r="F1450">
        <f t="shared" si="68"/>
        <v>17.406599999999848</v>
      </c>
      <c r="G1450">
        <f t="shared" si="67"/>
        <v>0</v>
      </c>
    </row>
    <row r="1451" spans="1:7" hidden="1" x14ac:dyDescent="0.35">
      <c r="A1451" s="11">
        <v>50090</v>
      </c>
      <c r="B1451" s="12" t="s">
        <v>16</v>
      </c>
      <c r="C1451" s="13">
        <v>24.1</v>
      </c>
      <c r="D1451" s="14">
        <v>0.3</v>
      </c>
      <c r="E1451">
        <f t="shared" si="66"/>
        <v>0</v>
      </c>
      <c r="F1451">
        <f t="shared" si="68"/>
        <v>17.406599999999848</v>
      </c>
      <c r="G1451">
        <f t="shared" si="67"/>
        <v>0</v>
      </c>
    </row>
    <row r="1452" spans="1:7" hidden="1" x14ac:dyDescent="0.35">
      <c r="A1452" s="7">
        <v>50091</v>
      </c>
      <c r="B1452" s="8" t="s">
        <v>22</v>
      </c>
      <c r="C1452" s="9">
        <v>27.7</v>
      </c>
      <c r="D1452" s="10">
        <v>0</v>
      </c>
      <c r="E1452">
        <f t="shared" si="66"/>
        <v>0</v>
      </c>
      <c r="F1452">
        <f t="shared" si="68"/>
        <v>17.406599999999848</v>
      </c>
      <c r="G1452">
        <f t="shared" si="67"/>
        <v>0</v>
      </c>
    </row>
    <row r="1453" spans="1:7" hidden="1" x14ac:dyDescent="0.35">
      <c r="A1453" s="11">
        <v>50092</v>
      </c>
      <c r="B1453" s="12" t="s">
        <v>11</v>
      </c>
      <c r="C1453" s="13">
        <v>19.600000000000001</v>
      </c>
      <c r="D1453" s="14">
        <v>21.1</v>
      </c>
      <c r="E1453">
        <f t="shared" si="66"/>
        <v>4.1356000000000002</v>
      </c>
      <c r="F1453">
        <f t="shared" si="68"/>
        <v>21.542199999999848</v>
      </c>
      <c r="G1453">
        <f t="shared" si="67"/>
        <v>0</v>
      </c>
    </row>
    <row r="1454" spans="1:7" hidden="1" x14ac:dyDescent="0.35">
      <c r="A1454" s="7">
        <v>50093</v>
      </c>
      <c r="B1454" s="8" t="s">
        <v>23</v>
      </c>
      <c r="C1454" s="9">
        <v>29</v>
      </c>
      <c r="D1454" s="10">
        <v>3.2</v>
      </c>
      <c r="E1454">
        <f t="shared" si="66"/>
        <v>0.92800000000000016</v>
      </c>
      <c r="F1454">
        <f t="shared" si="68"/>
        <v>22.470199999999849</v>
      </c>
      <c r="G1454">
        <f t="shared" si="67"/>
        <v>0</v>
      </c>
    </row>
    <row r="1455" spans="1:7" hidden="1" x14ac:dyDescent="0.35">
      <c r="A1455" s="11">
        <v>50094</v>
      </c>
      <c r="B1455" s="12" t="s">
        <v>31</v>
      </c>
      <c r="C1455" s="13">
        <v>10.3</v>
      </c>
      <c r="D1455" s="14">
        <v>0.7</v>
      </c>
      <c r="E1455">
        <f t="shared" si="66"/>
        <v>0</v>
      </c>
      <c r="F1455">
        <f t="shared" si="68"/>
        <v>22.470199999999849</v>
      </c>
      <c r="G1455">
        <f t="shared" si="67"/>
        <v>0</v>
      </c>
    </row>
    <row r="1456" spans="1:7" hidden="1" x14ac:dyDescent="0.35">
      <c r="A1456" s="7">
        <v>50095</v>
      </c>
      <c r="B1456" s="8" t="s">
        <v>10</v>
      </c>
      <c r="C1456" s="9">
        <v>11</v>
      </c>
      <c r="D1456" s="10">
        <v>40.200000000000003</v>
      </c>
      <c r="E1456">
        <f t="shared" si="66"/>
        <v>4.4220000000000006</v>
      </c>
      <c r="F1456">
        <f t="shared" si="68"/>
        <v>26.89219999999985</v>
      </c>
      <c r="G1456">
        <f t="shared" si="67"/>
        <v>0</v>
      </c>
    </row>
    <row r="1457" spans="1:7" hidden="1" x14ac:dyDescent="0.35">
      <c r="A1457" s="11">
        <v>50096</v>
      </c>
      <c r="B1457" s="12" t="s">
        <v>11</v>
      </c>
      <c r="C1457" s="13">
        <v>28.6</v>
      </c>
      <c r="D1457" s="14">
        <v>0.6</v>
      </c>
      <c r="E1457">
        <f t="shared" si="66"/>
        <v>0</v>
      </c>
      <c r="F1457">
        <f t="shared" si="68"/>
        <v>26.89219999999985</v>
      </c>
      <c r="G1457">
        <f t="shared" si="67"/>
        <v>0</v>
      </c>
    </row>
    <row r="1458" spans="1:7" hidden="1" x14ac:dyDescent="0.35">
      <c r="A1458" s="7">
        <v>50097</v>
      </c>
      <c r="B1458" s="8" t="s">
        <v>17</v>
      </c>
      <c r="C1458" s="9">
        <v>22.5</v>
      </c>
      <c r="D1458" s="10">
        <v>1</v>
      </c>
      <c r="E1458">
        <f t="shared" si="66"/>
        <v>0.22500000000000001</v>
      </c>
      <c r="F1458">
        <f t="shared" si="68"/>
        <v>27.117199999999851</v>
      </c>
      <c r="G1458">
        <f t="shared" si="67"/>
        <v>0</v>
      </c>
    </row>
    <row r="1459" spans="1:7" hidden="1" x14ac:dyDescent="0.35">
      <c r="A1459" s="11">
        <v>50098</v>
      </c>
      <c r="B1459" s="12" t="s">
        <v>12</v>
      </c>
      <c r="C1459" s="13">
        <v>19.600000000000001</v>
      </c>
      <c r="D1459" s="14">
        <v>0</v>
      </c>
      <c r="E1459">
        <f t="shared" si="66"/>
        <v>0</v>
      </c>
      <c r="F1459">
        <f t="shared" si="68"/>
        <v>27.117199999999851</v>
      </c>
      <c r="G1459">
        <f t="shared" si="67"/>
        <v>0</v>
      </c>
    </row>
    <row r="1460" spans="1:7" hidden="1" x14ac:dyDescent="0.35">
      <c r="A1460" s="7">
        <v>50099</v>
      </c>
      <c r="B1460" s="8" t="s">
        <v>28</v>
      </c>
      <c r="C1460" s="9">
        <v>19.899999999999999</v>
      </c>
      <c r="D1460" s="10">
        <v>0</v>
      </c>
      <c r="E1460">
        <f t="shared" si="66"/>
        <v>0</v>
      </c>
      <c r="F1460">
        <f t="shared" si="68"/>
        <v>27.117199999999851</v>
      </c>
      <c r="G1460">
        <f t="shared" si="67"/>
        <v>0</v>
      </c>
    </row>
    <row r="1461" spans="1:7" hidden="1" x14ac:dyDescent="0.35">
      <c r="A1461" s="11">
        <v>50100</v>
      </c>
      <c r="B1461" s="12" t="s">
        <v>6</v>
      </c>
      <c r="C1461" s="13">
        <v>21.7</v>
      </c>
      <c r="D1461" s="14">
        <v>9.4</v>
      </c>
      <c r="E1461">
        <f t="shared" si="66"/>
        <v>2.0398000000000001</v>
      </c>
      <c r="F1461">
        <f t="shared" si="68"/>
        <v>29.156999999999851</v>
      </c>
      <c r="G1461">
        <f t="shared" si="67"/>
        <v>0</v>
      </c>
    </row>
    <row r="1462" spans="1:7" hidden="1" x14ac:dyDescent="0.35">
      <c r="A1462" s="7">
        <v>50101</v>
      </c>
      <c r="B1462" s="8" t="s">
        <v>12</v>
      </c>
      <c r="C1462" s="9">
        <v>15.3</v>
      </c>
      <c r="D1462" s="10">
        <v>0</v>
      </c>
      <c r="E1462">
        <f t="shared" si="66"/>
        <v>0</v>
      </c>
      <c r="F1462">
        <f t="shared" si="68"/>
        <v>29.156999999999851</v>
      </c>
      <c r="G1462">
        <f t="shared" si="67"/>
        <v>0</v>
      </c>
    </row>
    <row r="1463" spans="1:7" hidden="1" x14ac:dyDescent="0.35">
      <c r="A1463" s="11">
        <v>50102</v>
      </c>
      <c r="B1463" s="12" t="s">
        <v>15</v>
      </c>
      <c r="C1463" s="13">
        <v>20.9</v>
      </c>
      <c r="D1463" s="14">
        <v>12.4</v>
      </c>
      <c r="E1463">
        <f t="shared" si="66"/>
        <v>2.5915999999999997</v>
      </c>
      <c r="F1463">
        <f t="shared" si="68"/>
        <v>31.74859999999985</v>
      </c>
      <c r="G1463">
        <f t="shared" si="67"/>
        <v>0</v>
      </c>
    </row>
    <row r="1464" spans="1:7" hidden="1" x14ac:dyDescent="0.35">
      <c r="A1464" s="7">
        <v>50103</v>
      </c>
      <c r="B1464" s="8" t="s">
        <v>5</v>
      </c>
      <c r="C1464" s="9">
        <v>17</v>
      </c>
      <c r="D1464" s="10">
        <v>0</v>
      </c>
      <c r="E1464">
        <f t="shared" si="66"/>
        <v>0</v>
      </c>
      <c r="F1464">
        <f t="shared" si="68"/>
        <v>31.74859999999985</v>
      </c>
      <c r="G1464">
        <f t="shared" si="67"/>
        <v>0</v>
      </c>
    </row>
    <row r="1465" spans="1:7" hidden="1" x14ac:dyDescent="0.35">
      <c r="A1465" s="11">
        <v>50104</v>
      </c>
      <c r="B1465" s="12" t="s">
        <v>6</v>
      </c>
      <c r="C1465" s="13">
        <v>25.8</v>
      </c>
      <c r="D1465" s="14">
        <v>1.4</v>
      </c>
      <c r="E1465">
        <f t="shared" si="66"/>
        <v>0.36119999999999997</v>
      </c>
      <c r="F1465">
        <f t="shared" si="68"/>
        <v>32.109799999999851</v>
      </c>
      <c r="G1465">
        <f t="shared" si="67"/>
        <v>0</v>
      </c>
    </row>
    <row r="1466" spans="1:7" hidden="1" x14ac:dyDescent="0.35">
      <c r="A1466" s="7">
        <v>50105</v>
      </c>
      <c r="B1466" s="8" t="s">
        <v>27</v>
      </c>
      <c r="C1466" s="9">
        <v>19.100000000000001</v>
      </c>
      <c r="D1466" s="10">
        <v>2.5</v>
      </c>
      <c r="E1466">
        <f t="shared" si="66"/>
        <v>0.47749999999999998</v>
      </c>
      <c r="F1466">
        <f t="shared" si="68"/>
        <v>32.58729999999985</v>
      </c>
      <c r="G1466">
        <f t="shared" si="67"/>
        <v>0</v>
      </c>
    </row>
    <row r="1467" spans="1:7" hidden="1" x14ac:dyDescent="0.35">
      <c r="A1467" s="11">
        <v>50106</v>
      </c>
      <c r="B1467" s="12" t="s">
        <v>13</v>
      </c>
      <c r="C1467" s="13">
        <v>24.6</v>
      </c>
      <c r="D1467" s="14">
        <v>12.5</v>
      </c>
      <c r="E1467">
        <f t="shared" si="66"/>
        <v>3.0750000000000002</v>
      </c>
      <c r="F1467">
        <f t="shared" si="68"/>
        <v>35.662299999999853</v>
      </c>
      <c r="G1467">
        <f t="shared" si="67"/>
        <v>0</v>
      </c>
    </row>
    <row r="1468" spans="1:7" hidden="1" x14ac:dyDescent="0.35">
      <c r="A1468" s="7">
        <v>50107</v>
      </c>
      <c r="B1468" s="8" t="s">
        <v>15</v>
      </c>
      <c r="C1468" s="9">
        <v>22.6</v>
      </c>
      <c r="D1468" s="10">
        <v>15.4</v>
      </c>
      <c r="E1468">
        <f t="shared" si="66"/>
        <v>3.4804000000000004</v>
      </c>
      <c r="F1468">
        <f t="shared" si="68"/>
        <v>39.142699999999856</v>
      </c>
      <c r="G1468">
        <f t="shared" si="67"/>
        <v>0</v>
      </c>
    </row>
    <row r="1469" spans="1:7" hidden="1" x14ac:dyDescent="0.35">
      <c r="A1469" s="11">
        <v>50108</v>
      </c>
      <c r="B1469" s="12" t="s">
        <v>9</v>
      </c>
      <c r="C1469" s="13">
        <v>18.3</v>
      </c>
      <c r="D1469" s="14">
        <v>4.7</v>
      </c>
      <c r="E1469">
        <f t="shared" si="66"/>
        <v>0.86010000000000009</v>
      </c>
      <c r="F1469">
        <f t="shared" si="68"/>
        <v>40.002799999999858</v>
      </c>
      <c r="G1469">
        <f t="shared" si="67"/>
        <v>0</v>
      </c>
    </row>
    <row r="1470" spans="1:7" hidden="1" x14ac:dyDescent="0.35">
      <c r="A1470" s="7">
        <v>50109</v>
      </c>
      <c r="B1470" s="8" t="s">
        <v>7</v>
      </c>
      <c r="C1470" s="9">
        <v>25.5</v>
      </c>
      <c r="D1470" s="10">
        <v>0</v>
      </c>
      <c r="E1470">
        <f t="shared" si="66"/>
        <v>0</v>
      </c>
      <c r="F1470">
        <f t="shared" si="68"/>
        <v>40.002799999999858</v>
      </c>
      <c r="G1470">
        <f t="shared" si="67"/>
        <v>0</v>
      </c>
    </row>
    <row r="1471" spans="1:7" hidden="1" x14ac:dyDescent="0.35">
      <c r="A1471" s="11">
        <v>50110</v>
      </c>
      <c r="B1471" s="12" t="s">
        <v>18</v>
      </c>
      <c r="C1471" s="13">
        <v>26.6</v>
      </c>
      <c r="D1471" s="14">
        <v>0</v>
      </c>
      <c r="E1471">
        <f t="shared" si="66"/>
        <v>0</v>
      </c>
      <c r="F1471">
        <f t="shared" si="68"/>
        <v>40.002799999999858</v>
      </c>
      <c r="G1471">
        <f t="shared" si="67"/>
        <v>0</v>
      </c>
    </row>
    <row r="1472" spans="1:7" hidden="1" x14ac:dyDescent="0.35">
      <c r="A1472" s="7">
        <v>50111</v>
      </c>
      <c r="B1472" s="8" t="s">
        <v>7</v>
      </c>
      <c r="C1472" s="9">
        <v>19.8</v>
      </c>
      <c r="D1472" s="10">
        <v>14.9</v>
      </c>
      <c r="E1472">
        <f t="shared" si="66"/>
        <v>2.9502000000000006</v>
      </c>
      <c r="F1472">
        <f t="shared" si="68"/>
        <v>42.952999999999861</v>
      </c>
      <c r="G1472">
        <f t="shared" si="67"/>
        <v>0</v>
      </c>
    </row>
    <row r="1473" spans="1:7" hidden="1" x14ac:dyDescent="0.35">
      <c r="A1473" s="11">
        <v>50112</v>
      </c>
      <c r="B1473" s="12" t="s">
        <v>26</v>
      </c>
      <c r="C1473" s="13">
        <v>23.7</v>
      </c>
      <c r="D1473" s="14">
        <v>0.9</v>
      </c>
      <c r="E1473">
        <f t="shared" si="66"/>
        <v>0</v>
      </c>
      <c r="F1473">
        <f t="shared" si="68"/>
        <v>42.952999999999861</v>
      </c>
      <c r="G1473">
        <f t="shared" si="67"/>
        <v>0</v>
      </c>
    </row>
    <row r="1474" spans="1:7" hidden="1" x14ac:dyDescent="0.35">
      <c r="A1474" s="7">
        <v>50113</v>
      </c>
      <c r="B1474" s="8" t="s">
        <v>24</v>
      </c>
      <c r="C1474" s="9">
        <v>23.5</v>
      </c>
      <c r="D1474" s="10">
        <v>1</v>
      </c>
      <c r="E1474">
        <f t="shared" si="66"/>
        <v>0.23499999999999999</v>
      </c>
      <c r="F1474">
        <f t="shared" si="68"/>
        <v>43.18799999999986</v>
      </c>
      <c r="G1474">
        <f t="shared" si="67"/>
        <v>0</v>
      </c>
    </row>
    <row r="1475" spans="1:7" hidden="1" x14ac:dyDescent="0.35">
      <c r="A1475" s="11">
        <v>50114</v>
      </c>
      <c r="B1475" s="12" t="s">
        <v>5</v>
      </c>
      <c r="C1475" s="13">
        <v>18.8</v>
      </c>
      <c r="D1475" s="14">
        <v>7.8</v>
      </c>
      <c r="E1475">
        <f t="shared" ref="E1475:E1538" si="69">IF(D1475&gt;=1,C1475*D1475/100,0)</f>
        <v>1.4664000000000001</v>
      </c>
      <c r="F1475">
        <f t="shared" si="68"/>
        <v>44.65439999999986</v>
      </c>
      <c r="G1475">
        <f t="shared" ref="G1475:G1538" si="70">IF(F1475&gt;=100,1,0)</f>
        <v>0</v>
      </c>
    </row>
    <row r="1476" spans="1:7" hidden="1" x14ac:dyDescent="0.35">
      <c r="A1476" s="7">
        <v>50115</v>
      </c>
      <c r="B1476" s="8" t="s">
        <v>6</v>
      </c>
      <c r="C1476" s="9">
        <v>18.7</v>
      </c>
      <c r="D1476" s="10">
        <v>10</v>
      </c>
      <c r="E1476">
        <f t="shared" si="69"/>
        <v>1.87</v>
      </c>
      <c r="F1476">
        <f t="shared" ref="F1476:F1539" si="71">IF(G1475=1,E1476+F1475-100,F1475+E1476)</f>
        <v>46.524399999999858</v>
      </c>
      <c r="G1476">
        <f t="shared" si="70"/>
        <v>0</v>
      </c>
    </row>
    <row r="1477" spans="1:7" hidden="1" x14ac:dyDescent="0.35">
      <c r="A1477" s="11">
        <v>50116</v>
      </c>
      <c r="B1477" s="12" t="s">
        <v>19</v>
      </c>
      <c r="C1477" s="13">
        <v>28.3</v>
      </c>
      <c r="D1477" s="14">
        <v>21.8</v>
      </c>
      <c r="E1477">
        <f t="shared" si="69"/>
        <v>6.1694000000000004</v>
      </c>
      <c r="F1477">
        <f t="shared" si="71"/>
        <v>52.693799999999861</v>
      </c>
      <c r="G1477">
        <f t="shared" si="70"/>
        <v>0</v>
      </c>
    </row>
    <row r="1478" spans="1:7" hidden="1" x14ac:dyDescent="0.35">
      <c r="A1478" s="7">
        <v>50117</v>
      </c>
      <c r="B1478" s="8" t="s">
        <v>22</v>
      </c>
      <c r="C1478" s="9">
        <v>10.6</v>
      </c>
      <c r="D1478" s="10">
        <v>6.4</v>
      </c>
      <c r="E1478">
        <f t="shared" si="69"/>
        <v>0.6784</v>
      </c>
      <c r="F1478">
        <f t="shared" si="71"/>
        <v>53.372199999999864</v>
      </c>
      <c r="G1478">
        <f t="shared" si="70"/>
        <v>0</v>
      </c>
    </row>
    <row r="1479" spans="1:7" hidden="1" x14ac:dyDescent="0.35">
      <c r="A1479" s="11">
        <v>50118</v>
      </c>
      <c r="B1479" s="12" t="s">
        <v>10</v>
      </c>
      <c r="C1479" s="13">
        <v>26.2</v>
      </c>
      <c r="D1479" s="14">
        <v>19.2</v>
      </c>
      <c r="E1479">
        <f t="shared" si="69"/>
        <v>5.0303999999999993</v>
      </c>
      <c r="F1479">
        <f t="shared" si="71"/>
        <v>58.402599999999865</v>
      </c>
      <c r="G1479">
        <f t="shared" si="70"/>
        <v>0</v>
      </c>
    </row>
    <row r="1480" spans="1:7" hidden="1" x14ac:dyDescent="0.35">
      <c r="A1480" s="7">
        <v>50119</v>
      </c>
      <c r="B1480" s="8" t="s">
        <v>13</v>
      </c>
      <c r="C1480" s="9">
        <v>25.3</v>
      </c>
      <c r="D1480" s="10">
        <v>8.6999999999999993</v>
      </c>
      <c r="E1480">
        <f t="shared" si="69"/>
        <v>2.2010999999999998</v>
      </c>
      <c r="F1480">
        <f t="shared" si="71"/>
        <v>60.603699999999861</v>
      </c>
      <c r="G1480">
        <f t="shared" si="70"/>
        <v>0</v>
      </c>
    </row>
    <row r="1481" spans="1:7" hidden="1" x14ac:dyDescent="0.35">
      <c r="A1481" s="11">
        <v>50120</v>
      </c>
      <c r="B1481" s="12" t="s">
        <v>22</v>
      </c>
      <c r="C1481" s="13">
        <v>21.6</v>
      </c>
      <c r="D1481" s="14">
        <v>1</v>
      </c>
      <c r="E1481">
        <f t="shared" si="69"/>
        <v>0.21600000000000003</v>
      </c>
      <c r="F1481">
        <f t="shared" si="71"/>
        <v>60.819699999999862</v>
      </c>
      <c r="G1481">
        <f t="shared" si="70"/>
        <v>0</v>
      </c>
    </row>
    <row r="1482" spans="1:7" hidden="1" x14ac:dyDescent="0.35">
      <c r="A1482" s="7">
        <v>50121</v>
      </c>
      <c r="B1482" s="8" t="s">
        <v>19</v>
      </c>
      <c r="C1482" s="9">
        <v>24.9</v>
      </c>
      <c r="D1482" s="10">
        <v>23.5</v>
      </c>
      <c r="E1482">
        <f t="shared" si="69"/>
        <v>5.8514999999999997</v>
      </c>
      <c r="F1482">
        <f t="shared" si="71"/>
        <v>66.671199999999857</v>
      </c>
      <c r="G1482">
        <f t="shared" si="70"/>
        <v>0</v>
      </c>
    </row>
    <row r="1483" spans="1:7" hidden="1" x14ac:dyDescent="0.35">
      <c r="A1483" s="11">
        <v>50122</v>
      </c>
      <c r="B1483" s="12" t="s">
        <v>15</v>
      </c>
      <c r="C1483" s="13">
        <v>27.7</v>
      </c>
      <c r="D1483" s="14">
        <v>11.5</v>
      </c>
      <c r="E1483">
        <f t="shared" si="69"/>
        <v>3.1855000000000002</v>
      </c>
      <c r="F1483">
        <f t="shared" si="71"/>
        <v>69.856699999999861</v>
      </c>
      <c r="G1483">
        <f t="shared" si="70"/>
        <v>0</v>
      </c>
    </row>
    <row r="1484" spans="1:7" hidden="1" x14ac:dyDescent="0.35">
      <c r="A1484" s="7">
        <v>50123</v>
      </c>
      <c r="B1484" s="8" t="s">
        <v>19</v>
      </c>
      <c r="C1484" s="9">
        <v>12.3</v>
      </c>
      <c r="D1484" s="10">
        <v>0</v>
      </c>
      <c r="E1484">
        <f t="shared" si="69"/>
        <v>0</v>
      </c>
      <c r="F1484">
        <f t="shared" si="71"/>
        <v>69.856699999999861</v>
      </c>
      <c r="G1484">
        <f t="shared" si="70"/>
        <v>0</v>
      </c>
    </row>
    <row r="1485" spans="1:7" hidden="1" x14ac:dyDescent="0.35">
      <c r="A1485" s="11">
        <v>50124</v>
      </c>
      <c r="B1485" s="12" t="s">
        <v>20</v>
      </c>
      <c r="C1485" s="13">
        <v>10.199999999999999</v>
      </c>
      <c r="D1485" s="14">
        <v>0.8</v>
      </c>
      <c r="E1485">
        <f t="shared" si="69"/>
        <v>0</v>
      </c>
      <c r="F1485">
        <f t="shared" si="71"/>
        <v>69.856699999999861</v>
      </c>
      <c r="G1485">
        <f t="shared" si="70"/>
        <v>0</v>
      </c>
    </row>
    <row r="1486" spans="1:7" hidden="1" x14ac:dyDescent="0.35">
      <c r="A1486" s="7">
        <v>50125</v>
      </c>
      <c r="B1486" s="8" t="s">
        <v>10</v>
      </c>
      <c r="C1486" s="9">
        <v>23.1</v>
      </c>
      <c r="D1486" s="10">
        <v>0</v>
      </c>
      <c r="E1486">
        <f t="shared" si="69"/>
        <v>0</v>
      </c>
      <c r="F1486">
        <f t="shared" si="71"/>
        <v>69.856699999999861</v>
      </c>
      <c r="G1486">
        <f t="shared" si="70"/>
        <v>0</v>
      </c>
    </row>
    <row r="1487" spans="1:7" hidden="1" x14ac:dyDescent="0.35">
      <c r="A1487" s="11">
        <v>50126</v>
      </c>
      <c r="B1487" s="12" t="s">
        <v>18</v>
      </c>
      <c r="C1487" s="13">
        <v>11.3</v>
      </c>
      <c r="D1487" s="14">
        <v>0</v>
      </c>
      <c r="E1487">
        <f t="shared" si="69"/>
        <v>0</v>
      </c>
      <c r="F1487">
        <f t="shared" si="71"/>
        <v>69.856699999999861</v>
      </c>
      <c r="G1487">
        <f t="shared" si="70"/>
        <v>0</v>
      </c>
    </row>
    <row r="1488" spans="1:7" hidden="1" x14ac:dyDescent="0.35">
      <c r="A1488" s="7">
        <v>50127</v>
      </c>
      <c r="B1488" s="8" t="s">
        <v>19</v>
      </c>
      <c r="C1488" s="9">
        <v>29.5</v>
      </c>
      <c r="D1488" s="10">
        <v>10.4</v>
      </c>
      <c r="E1488">
        <f t="shared" si="69"/>
        <v>3.0680000000000001</v>
      </c>
      <c r="F1488">
        <f t="shared" si="71"/>
        <v>72.924699999999859</v>
      </c>
      <c r="G1488">
        <f t="shared" si="70"/>
        <v>0</v>
      </c>
    </row>
    <row r="1489" spans="1:7" hidden="1" x14ac:dyDescent="0.35">
      <c r="A1489" s="11">
        <v>50128</v>
      </c>
      <c r="B1489" s="12" t="s">
        <v>15</v>
      </c>
      <c r="C1489" s="13">
        <v>19.7</v>
      </c>
      <c r="D1489" s="14">
        <v>0</v>
      </c>
      <c r="E1489">
        <f t="shared" si="69"/>
        <v>0</v>
      </c>
      <c r="F1489">
        <f t="shared" si="71"/>
        <v>72.924699999999859</v>
      </c>
      <c r="G1489">
        <f t="shared" si="70"/>
        <v>0</v>
      </c>
    </row>
    <row r="1490" spans="1:7" hidden="1" x14ac:dyDescent="0.35">
      <c r="A1490" s="7">
        <v>50129</v>
      </c>
      <c r="B1490" s="8" t="s">
        <v>5</v>
      </c>
      <c r="C1490" s="9">
        <v>27.9</v>
      </c>
      <c r="D1490" s="10">
        <v>3.4</v>
      </c>
      <c r="E1490">
        <f t="shared" si="69"/>
        <v>0.9486</v>
      </c>
      <c r="F1490">
        <f t="shared" si="71"/>
        <v>73.873299999999858</v>
      </c>
      <c r="G1490">
        <f t="shared" si="70"/>
        <v>0</v>
      </c>
    </row>
    <row r="1491" spans="1:7" hidden="1" x14ac:dyDescent="0.35">
      <c r="A1491" s="11">
        <v>50130</v>
      </c>
      <c r="B1491" s="12" t="s">
        <v>10</v>
      </c>
      <c r="C1491" s="13">
        <v>17.399999999999999</v>
      </c>
      <c r="D1491" s="14">
        <v>34.200000000000003</v>
      </c>
      <c r="E1491">
        <f t="shared" si="69"/>
        <v>5.9508000000000001</v>
      </c>
      <c r="F1491">
        <f t="shared" si="71"/>
        <v>79.824099999999859</v>
      </c>
      <c r="G1491">
        <f t="shared" si="70"/>
        <v>0</v>
      </c>
    </row>
    <row r="1492" spans="1:7" hidden="1" x14ac:dyDescent="0.35">
      <c r="A1492" s="7">
        <v>50131</v>
      </c>
      <c r="B1492" s="8" t="s">
        <v>17</v>
      </c>
      <c r="C1492" s="9">
        <v>23</v>
      </c>
      <c r="D1492" s="10">
        <v>0</v>
      </c>
      <c r="E1492">
        <f t="shared" si="69"/>
        <v>0</v>
      </c>
      <c r="F1492">
        <f t="shared" si="71"/>
        <v>79.824099999999859</v>
      </c>
      <c r="G1492">
        <f t="shared" si="70"/>
        <v>0</v>
      </c>
    </row>
    <row r="1493" spans="1:7" hidden="1" x14ac:dyDescent="0.35">
      <c r="A1493" s="11">
        <v>50132</v>
      </c>
      <c r="B1493" s="12" t="s">
        <v>21</v>
      </c>
      <c r="C1493" s="13">
        <v>27.6</v>
      </c>
      <c r="D1493" s="14">
        <v>0</v>
      </c>
      <c r="E1493">
        <f t="shared" si="69"/>
        <v>0</v>
      </c>
      <c r="F1493">
        <f t="shared" si="71"/>
        <v>79.824099999999859</v>
      </c>
      <c r="G1493">
        <f t="shared" si="70"/>
        <v>0</v>
      </c>
    </row>
    <row r="1494" spans="1:7" hidden="1" x14ac:dyDescent="0.35">
      <c r="A1494" s="7">
        <v>50133</v>
      </c>
      <c r="B1494" s="8" t="s">
        <v>22</v>
      </c>
      <c r="C1494" s="9">
        <v>11.6</v>
      </c>
      <c r="D1494" s="10">
        <v>0</v>
      </c>
      <c r="E1494">
        <f t="shared" si="69"/>
        <v>0</v>
      </c>
      <c r="F1494">
        <f t="shared" si="71"/>
        <v>79.824099999999859</v>
      </c>
      <c r="G1494">
        <f t="shared" si="70"/>
        <v>0</v>
      </c>
    </row>
    <row r="1495" spans="1:7" hidden="1" x14ac:dyDescent="0.35">
      <c r="A1495" s="11">
        <v>50134</v>
      </c>
      <c r="B1495" s="12" t="s">
        <v>20</v>
      </c>
      <c r="C1495" s="13">
        <v>24.2</v>
      </c>
      <c r="D1495" s="14">
        <v>5</v>
      </c>
      <c r="E1495">
        <f t="shared" si="69"/>
        <v>1.21</v>
      </c>
      <c r="F1495">
        <f t="shared" si="71"/>
        <v>81.034099999999853</v>
      </c>
      <c r="G1495">
        <f t="shared" si="70"/>
        <v>0</v>
      </c>
    </row>
    <row r="1496" spans="1:7" hidden="1" x14ac:dyDescent="0.35">
      <c r="A1496" s="7">
        <v>50135</v>
      </c>
      <c r="B1496" s="8" t="s">
        <v>6</v>
      </c>
      <c r="C1496" s="9">
        <v>13.2</v>
      </c>
      <c r="D1496" s="10">
        <v>2.2999999999999998</v>
      </c>
      <c r="E1496">
        <f t="shared" si="69"/>
        <v>0.30359999999999998</v>
      </c>
      <c r="F1496">
        <f t="shared" si="71"/>
        <v>81.337699999999856</v>
      </c>
      <c r="G1496">
        <f t="shared" si="70"/>
        <v>0</v>
      </c>
    </row>
    <row r="1497" spans="1:7" hidden="1" x14ac:dyDescent="0.35">
      <c r="A1497" s="11">
        <v>50136</v>
      </c>
      <c r="B1497" s="12" t="s">
        <v>7</v>
      </c>
      <c r="C1497" s="13">
        <v>27</v>
      </c>
      <c r="D1497" s="14">
        <v>0.7</v>
      </c>
      <c r="E1497">
        <f t="shared" si="69"/>
        <v>0</v>
      </c>
      <c r="F1497">
        <f t="shared" si="71"/>
        <v>81.337699999999856</v>
      </c>
      <c r="G1497">
        <f t="shared" si="70"/>
        <v>0</v>
      </c>
    </row>
    <row r="1498" spans="1:7" hidden="1" x14ac:dyDescent="0.35">
      <c r="A1498" s="7">
        <v>50137</v>
      </c>
      <c r="B1498" s="8" t="s">
        <v>6</v>
      </c>
      <c r="C1498" s="9">
        <v>23.9</v>
      </c>
      <c r="D1498" s="10">
        <v>6.2</v>
      </c>
      <c r="E1498">
        <f t="shared" si="69"/>
        <v>1.4818</v>
      </c>
      <c r="F1498">
        <f t="shared" si="71"/>
        <v>82.819499999999863</v>
      </c>
      <c r="G1498">
        <f t="shared" si="70"/>
        <v>0</v>
      </c>
    </row>
    <row r="1499" spans="1:7" hidden="1" x14ac:dyDescent="0.35">
      <c r="A1499" s="11">
        <v>50138</v>
      </c>
      <c r="B1499" s="12" t="s">
        <v>19</v>
      </c>
      <c r="C1499" s="13">
        <v>16.8</v>
      </c>
      <c r="D1499" s="14">
        <v>17.600000000000001</v>
      </c>
      <c r="E1499">
        <f t="shared" si="69"/>
        <v>2.9568000000000008</v>
      </c>
      <c r="F1499">
        <f t="shared" si="71"/>
        <v>85.776299999999864</v>
      </c>
      <c r="G1499">
        <f t="shared" si="70"/>
        <v>0</v>
      </c>
    </row>
    <row r="1500" spans="1:7" hidden="1" x14ac:dyDescent="0.35">
      <c r="A1500" s="7">
        <v>50139</v>
      </c>
      <c r="B1500" s="8" t="s">
        <v>19</v>
      </c>
      <c r="C1500" s="9">
        <v>28.5</v>
      </c>
      <c r="D1500" s="10">
        <v>15.2</v>
      </c>
      <c r="E1500">
        <f t="shared" si="69"/>
        <v>4.3319999999999999</v>
      </c>
      <c r="F1500">
        <f t="shared" si="71"/>
        <v>90.108299999999858</v>
      </c>
      <c r="G1500">
        <f t="shared" si="70"/>
        <v>0</v>
      </c>
    </row>
    <row r="1501" spans="1:7" hidden="1" x14ac:dyDescent="0.35">
      <c r="A1501" s="11">
        <v>50140</v>
      </c>
      <c r="B1501" s="12" t="s">
        <v>33</v>
      </c>
      <c r="C1501" s="13">
        <v>25.2</v>
      </c>
      <c r="D1501" s="14">
        <v>1.9</v>
      </c>
      <c r="E1501">
        <f t="shared" si="69"/>
        <v>0.47879999999999995</v>
      </c>
      <c r="F1501">
        <f t="shared" si="71"/>
        <v>90.587099999999865</v>
      </c>
      <c r="G1501">
        <f t="shared" si="70"/>
        <v>0</v>
      </c>
    </row>
    <row r="1502" spans="1:7" hidden="1" x14ac:dyDescent="0.35">
      <c r="A1502" s="7">
        <v>50141</v>
      </c>
      <c r="B1502" s="8" t="s">
        <v>10</v>
      </c>
      <c r="C1502" s="9">
        <v>24.9</v>
      </c>
      <c r="D1502" s="10">
        <v>6.8</v>
      </c>
      <c r="E1502">
        <f t="shared" si="69"/>
        <v>1.6932</v>
      </c>
      <c r="F1502">
        <f t="shared" si="71"/>
        <v>92.280299999999869</v>
      </c>
      <c r="G1502">
        <f t="shared" si="70"/>
        <v>0</v>
      </c>
    </row>
    <row r="1503" spans="1:7" hidden="1" x14ac:dyDescent="0.35">
      <c r="A1503" s="11">
        <v>50142</v>
      </c>
      <c r="B1503" s="12" t="s">
        <v>12</v>
      </c>
      <c r="C1503" s="13">
        <v>14.7</v>
      </c>
      <c r="D1503" s="14">
        <v>5.7</v>
      </c>
      <c r="E1503">
        <f t="shared" si="69"/>
        <v>0.83789999999999987</v>
      </c>
      <c r="F1503">
        <f t="shared" si="71"/>
        <v>93.118199999999874</v>
      </c>
      <c r="G1503">
        <f t="shared" si="70"/>
        <v>0</v>
      </c>
    </row>
    <row r="1504" spans="1:7" hidden="1" x14ac:dyDescent="0.35">
      <c r="A1504" s="7">
        <v>50143</v>
      </c>
      <c r="B1504" s="8" t="s">
        <v>10</v>
      </c>
      <c r="C1504" s="9">
        <v>12.2</v>
      </c>
      <c r="D1504" s="10">
        <v>14.1</v>
      </c>
      <c r="E1504">
        <f t="shared" si="69"/>
        <v>1.7201999999999997</v>
      </c>
      <c r="F1504">
        <f t="shared" si="71"/>
        <v>94.838399999999879</v>
      </c>
      <c r="G1504">
        <f t="shared" si="70"/>
        <v>0</v>
      </c>
    </row>
    <row r="1505" spans="1:7" hidden="1" x14ac:dyDescent="0.35">
      <c r="A1505" s="11">
        <v>50144</v>
      </c>
      <c r="B1505" s="12" t="s">
        <v>9</v>
      </c>
      <c r="C1505" s="13">
        <v>24.2</v>
      </c>
      <c r="D1505" s="14">
        <v>8</v>
      </c>
      <c r="E1505">
        <f t="shared" si="69"/>
        <v>1.9359999999999999</v>
      </c>
      <c r="F1505">
        <f t="shared" si="71"/>
        <v>96.774399999999872</v>
      </c>
      <c r="G1505">
        <f t="shared" si="70"/>
        <v>0</v>
      </c>
    </row>
    <row r="1506" spans="1:7" hidden="1" x14ac:dyDescent="0.35">
      <c r="A1506" s="7">
        <v>50145</v>
      </c>
      <c r="B1506" s="8" t="s">
        <v>22</v>
      </c>
      <c r="C1506" s="9">
        <v>28.7</v>
      </c>
      <c r="D1506" s="10">
        <v>0</v>
      </c>
      <c r="E1506">
        <f t="shared" si="69"/>
        <v>0</v>
      </c>
      <c r="F1506">
        <f t="shared" si="71"/>
        <v>96.774399999999872</v>
      </c>
      <c r="G1506">
        <f t="shared" si="70"/>
        <v>0</v>
      </c>
    </row>
    <row r="1507" spans="1:7" hidden="1" x14ac:dyDescent="0.35">
      <c r="A1507" s="11">
        <v>50146</v>
      </c>
      <c r="B1507" s="12" t="s">
        <v>10</v>
      </c>
      <c r="C1507" s="13">
        <v>28.5</v>
      </c>
      <c r="D1507" s="14">
        <v>0</v>
      </c>
      <c r="E1507">
        <f t="shared" si="69"/>
        <v>0</v>
      </c>
      <c r="F1507">
        <f t="shared" si="71"/>
        <v>96.774399999999872</v>
      </c>
      <c r="G1507">
        <f t="shared" si="70"/>
        <v>0</v>
      </c>
    </row>
    <row r="1508" spans="1:7" x14ac:dyDescent="0.35">
      <c r="A1508" s="7">
        <v>50147</v>
      </c>
      <c r="B1508" s="8" t="s">
        <v>7</v>
      </c>
      <c r="C1508" s="9">
        <v>29.3</v>
      </c>
      <c r="D1508" s="10">
        <v>23.3</v>
      </c>
      <c r="E1508">
        <f t="shared" si="69"/>
        <v>6.8269000000000002</v>
      </c>
      <c r="F1508">
        <f t="shared" si="71"/>
        <v>103.60129999999987</v>
      </c>
      <c r="G1508">
        <f t="shared" si="70"/>
        <v>1</v>
      </c>
    </row>
    <row r="1509" spans="1:7" hidden="1" x14ac:dyDescent="0.35">
      <c r="A1509" s="11">
        <v>50148</v>
      </c>
      <c r="B1509" s="12" t="s">
        <v>10</v>
      </c>
      <c r="C1509" s="13">
        <v>13.3</v>
      </c>
      <c r="D1509" s="14">
        <v>4.9000000000000004</v>
      </c>
      <c r="E1509">
        <f t="shared" si="69"/>
        <v>0.65170000000000006</v>
      </c>
      <c r="F1509">
        <f t="shared" si="71"/>
        <v>4.2529999999998722</v>
      </c>
      <c r="G1509">
        <f t="shared" si="70"/>
        <v>0</v>
      </c>
    </row>
    <row r="1510" spans="1:7" hidden="1" x14ac:dyDescent="0.35">
      <c r="A1510" s="7">
        <v>50149</v>
      </c>
      <c r="B1510" s="8" t="s">
        <v>10</v>
      </c>
      <c r="C1510" s="9">
        <v>22.6</v>
      </c>
      <c r="D1510" s="10">
        <v>0.7</v>
      </c>
      <c r="E1510">
        <f t="shared" si="69"/>
        <v>0</v>
      </c>
      <c r="F1510">
        <f t="shared" si="71"/>
        <v>4.2529999999998722</v>
      </c>
      <c r="G1510">
        <f t="shared" si="70"/>
        <v>0</v>
      </c>
    </row>
    <row r="1511" spans="1:7" hidden="1" x14ac:dyDescent="0.35">
      <c r="A1511" s="11">
        <v>50150</v>
      </c>
      <c r="B1511" s="12" t="s">
        <v>20</v>
      </c>
      <c r="C1511" s="13">
        <v>19.3</v>
      </c>
      <c r="D1511" s="14">
        <v>3</v>
      </c>
      <c r="E1511">
        <f t="shared" si="69"/>
        <v>0.57900000000000007</v>
      </c>
      <c r="F1511">
        <f t="shared" si="71"/>
        <v>4.831999999999872</v>
      </c>
      <c r="G1511">
        <f t="shared" si="70"/>
        <v>0</v>
      </c>
    </row>
    <row r="1512" spans="1:7" hidden="1" x14ac:dyDescent="0.35">
      <c r="A1512" s="7">
        <v>50151</v>
      </c>
      <c r="B1512" s="8" t="s">
        <v>8</v>
      </c>
      <c r="C1512" s="9">
        <v>17.899999999999999</v>
      </c>
      <c r="D1512" s="10">
        <v>5.0999999999999996</v>
      </c>
      <c r="E1512">
        <f t="shared" si="69"/>
        <v>0.91289999999999993</v>
      </c>
      <c r="F1512">
        <f t="shared" si="71"/>
        <v>5.7448999999998716</v>
      </c>
      <c r="G1512">
        <f t="shared" si="70"/>
        <v>0</v>
      </c>
    </row>
    <row r="1513" spans="1:7" hidden="1" x14ac:dyDescent="0.35">
      <c r="A1513" s="11">
        <v>50152</v>
      </c>
      <c r="B1513" s="12" t="s">
        <v>20</v>
      </c>
      <c r="C1513" s="13">
        <v>16.7</v>
      </c>
      <c r="D1513" s="14">
        <v>0.3</v>
      </c>
      <c r="E1513">
        <f t="shared" si="69"/>
        <v>0</v>
      </c>
      <c r="F1513">
        <f t="shared" si="71"/>
        <v>5.7448999999998716</v>
      </c>
      <c r="G1513">
        <f t="shared" si="70"/>
        <v>0</v>
      </c>
    </row>
    <row r="1514" spans="1:7" hidden="1" x14ac:dyDescent="0.35">
      <c r="A1514" s="7">
        <v>50153</v>
      </c>
      <c r="B1514" s="8" t="s">
        <v>20</v>
      </c>
      <c r="C1514" s="9">
        <v>22</v>
      </c>
      <c r="D1514" s="10">
        <v>0</v>
      </c>
      <c r="E1514">
        <f t="shared" si="69"/>
        <v>0</v>
      </c>
      <c r="F1514">
        <f t="shared" si="71"/>
        <v>5.7448999999998716</v>
      </c>
      <c r="G1514">
        <f t="shared" si="70"/>
        <v>0</v>
      </c>
    </row>
    <row r="1515" spans="1:7" hidden="1" x14ac:dyDescent="0.35">
      <c r="A1515" s="11">
        <v>50154</v>
      </c>
      <c r="B1515" s="12" t="s">
        <v>9</v>
      </c>
      <c r="C1515" s="13">
        <v>21.2</v>
      </c>
      <c r="D1515" s="14">
        <v>5.9</v>
      </c>
      <c r="E1515">
        <f t="shared" si="69"/>
        <v>1.2507999999999999</v>
      </c>
      <c r="F1515">
        <f t="shared" si="71"/>
        <v>6.9956999999998715</v>
      </c>
      <c r="G1515">
        <f t="shared" si="70"/>
        <v>0</v>
      </c>
    </row>
    <row r="1516" spans="1:7" hidden="1" x14ac:dyDescent="0.35">
      <c r="A1516" s="7">
        <v>50155</v>
      </c>
      <c r="B1516" s="8" t="s">
        <v>11</v>
      </c>
      <c r="C1516" s="9">
        <v>20.6</v>
      </c>
      <c r="D1516" s="10">
        <v>4.5999999999999996</v>
      </c>
      <c r="E1516">
        <f t="shared" si="69"/>
        <v>0.9476</v>
      </c>
      <c r="F1516">
        <f t="shared" si="71"/>
        <v>7.943299999999871</v>
      </c>
      <c r="G1516">
        <f t="shared" si="70"/>
        <v>0</v>
      </c>
    </row>
    <row r="1517" spans="1:7" hidden="1" x14ac:dyDescent="0.35">
      <c r="A1517" s="11">
        <v>50156</v>
      </c>
      <c r="B1517" s="12" t="s">
        <v>19</v>
      </c>
      <c r="C1517" s="13">
        <v>29.4</v>
      </c>
      <c r="D1517" s="14">
        <v>9.1999999999999993</v>
      </c>
      <c r="E1517">
        <f t="shared" si="69"/>
        <v>2.7047999999999996</v>
      </c>
      <c r="F1517">
        <f t="shared" si="71"/>
        <v>10.648099999999872</v>
      </c>
      <c r="G1517">
        <f t="shared" si="70"/>
        <v>0</v>
      </c>
    </row>
    <row r="1518" spans="1:7" hidden="1" x14ac:dyDescent="0.35">
      <c r="A1518" s="7">
        <v>50157</v>
      </c>
      <c r="B1518" s="8" t="s">
        <v>7</v>
      </c>
      <c r="C1518" s="9">
        <v>21.3</v>
      </c>
      <c r="D1518" s="10">
        <v>0</v>
      </c>
      <c r="E1518">
        <f t="shared" si="69"/>
        <v>0</v>
      </c>
      <c r="F1518">
        <f t="shared" si="71"/>
        <v>10.648099999999872</v>
      </c>
      <c r="G1518">
        <f t="shared" si="70"/>
        <v>0</v>
      </c>
    </row>
    <row r="1519" spans="1:7" hidden="1" x14ac:dyDescent="0.35">
      <c r="A1519" s="11">
        <v>50158</v>
      </c>
      <c r="B1519" s="12" t="s">
        <v>9</v>
      </c>
      <c r="C1519" s="13">
        <v>20.100000000000001</v>
      </c>
      <c r="D1519" s="14">
        <v>2.2000000000000002</v>
      </c>
      <c r="E1519">
        <f t="shared" si="69"/>
        <v>0.44220000000000004</v>
      </c>
      <c r="F1519">
        <f t="shared" si="71"/>
        <v>11.090299999999871</v>
      </c>
      <c r="G1519">
        <f t="shared" si="70"/>
        <v>0</v>
      </c>
    </row>
    <row r="1520" spans="1:7" hidden="1" x14ac:dyDescent="0.35">
      <c r="A1520" s="7">
        <v>50159</v>
      </c>
      <c r="B1520" s="8" t="s">
        <v>10</v>
      </c>
      <c r="C1520" s="9">
        <v>12.7</v>
      </c>
      <c r="D1520" s="10">
        <v>5.6</v>
      </c>
      <c r="E1520">
        <f t="shared" si="69"/>
        <v>0.71119999999999994</v>
      </c>
      <c r="F1520">
        <f t="shared" si="71"/>
        <v>11.801499999999871</v>
      </c>
      <c r="G1520">
        <f t="shared" si="70"/>
        <v>0</v>
      </c>
    </row>
    <row r="1521" spans="1:7" hidden="1" x14ac:dyDescent="0.35">
      <c r="A1521" s="11">
        <v>50160</v>
      </c>
      <c r="B1521" s="12" t="s">
        <v>11</v>
      </c>
      <c r="C1521" s="13">
        <v>28.9</v>
      </c>
      <c r="D1521" s="14">
        <v>0</v>
      </c>
      <c r="E1521">
        <f t="shared" si="69"/>
        <v>0</v>
      </c>
      <c r="F1521">
        <f t="shared" si="71"/>
        <v>11.801499999999871</v>
      </c>
      <c r="G1521">
        <f t="shared" si="70"/>
        <v>0</v>
      </c>
    </row>
    <row r="1522" spans="1:7" hidden="1" x14ac:dyDescent="0.35">
      <c r="A1522" s="7">
        <v>50161</v>
      </c>
      <c r="B1522" s="8" t="s">
        <v>19</v>
      </c>
      <c r="C1522" s="9">
        <v>24.4</v>
      </c>
      <c r="D1522" s="10">
        <v>28.7</v>
      </c>
      <c r="E1522">
        <f t="shared" si="69"/>
        <v>7.0027999999999997</v>
      </c>
      <c r="F1522">
        <f t="shared" si="71"/>
        <v>18.80429999999987</v>
      </c>
      <c r="G1522">
        <f t="shared" si="70"/>
        <v>0</v>
      </c>
    </row>
    <row r="1523" spans="1:7" hidden="1" x14ac:dyDescent="0.35">
      <c r="A1523" s="11">
        <v>50162</v>
      </c>
      <c r="B1523" s="12" t="s">
        <v>10</v>
      </c>
      <c r="C1523" s="13">
        <v>10.8</v>
      </c>
      <c r="D1523" s="14">
        <v>0</v>
      </c>
      <c r="E1523">
        <f t="shared" si="69"/>
        <v>0</v>
      </c>
      <c r="F1523">
        <f t="shared" si="71"/>
        <v>18.80429999999987</v>
      </c>
      <c r="G1523">
        <f t="shared" si="70"/>
        <v>0</v>
      </c>
    </row>
    <row r="1524" spans="1:7" hidden="1" x14ac:dyDescent="0.35">
      <c r="A1524" s="7">
        <v>50163</v>
      </c>
      <c r="B1524" s="8" t="s">
        <v>10</v>
      </c>
      <c r="C1524" s="9">
        <v>18.399999999999999</v>
      </c>
      <c r="D1524" s="10">
        <v>0</v>
      </c>
      <c r="E1524">
        <f t="shared" si="69"/>
        <v>0</v>
      </c>
      <c r="F1524">
        <f t="shared" si="71"/>
        <v>18.80429999999987</v>
      </c>
      <c r="G1524">
        <f t="shared" si="70"/>
        <v>0</v>
      </c>
    </row>
    <row r="1525" spans="1:7" hidden="1" x14ac:dyDescent="0.35">
      <c r="A1525" s="11">
        <v>50164</v>
      </c>
      <c r="B1525" s="12" t="s">
        <v>19</v>
      </c>
      <c r="C1525" s="13">
        <v>23.3</v>
      </c>
      <c r="D1525" s="14">
        <v>10.7</v>
      </c>
      <c r="E1525">
        <f t="shared" si="69"/>
        <v>2.4931000000000001</v>
      </c>
      <c r="F1525">
        <f t="shared" si="71"/>
        <v>21.297399999999868</v>
      </c>
      <c r="G1525">
        <f t="shared" si="70"/>
        <v>0</v>
      </c>
    </row>
    <row r="1526" spans="1:7" hidden="1" x14ac:dyDescent="0.35">
      <c r="A1526" s="7">
        <v>50165</v>
      </c>
      <c r="B1526" s="8" t="s">
        <v>15</v>
      </c>
      <c r="C1526" s="9">
        <v>27.9</v>
      </c>
      <c r="D1526" s="10">
        <v>14.8</v>
      </c>
      <c r="E1526">
        <f t="shared" si="69"/>
        <v>4.1292</v>
      </c>
      <c r="F1526">
        <f t="shared" si="71"/>
        <v>25.426599999999869</v>
      </c>
      <c r="G1526">
        <f t="shared" si="70"/>
        <v>0</v>
      </c>
    </row>
    <row r="1527" spans="1:7" hidden="1" x14ac:dyDescent="0.35">
      <c r="A1527" s="11">
        <v>50166</v>
      </c>
      <c r="B1527" s="12" t="s">
        <v>12</v>
      </c>
      <c r="C1527" s="13">
        <v>24.7</v>
      </c>
      <c r="D1527" s="14">
        <v>9</v>
      </c>
      <c r="E1527">
        <f t="shared" si="69"/>
        <v>2.2229999999999999</v>
      </c>
      <c r="F1527">
        <f t="shared" si="71"/>
        <v>27.649599999999868</v>
      </c>
      <c r="G1527">
        <f t="shared" si="70"/>
        <v>0</v>
      </c>
    </row>
    <row r="1528" spans="1:7" hidden="1" x14ac:dyDescent="0.35">
      <c r="A1528" s="7">
        <v>50167</v>
      </c>
      <c r="B1528" s="8" t="s">
        <v>19</v>
      </c>
      <c r="C1528" s="9">
        <v>14.3</v>
      </c>
      <c r="D1528" s="10">
        <v>22</v>
      </c>
      <c r="E1528">
        <f t="shared" si="69"/>
        <v>3.1460000000000004</v>
      </c>
      <c r="F1528">
        <f t="shared" si="71"/>
        <v>30.795599999999869</v>
      </c>
      <c r="G1528">
        <f t="shared" si="70"/>
        <v>0</v>
      </c>
    </row>
    <row r="1529" spans="1:7" hidden="1" x14ac:dyDescent="0.35">
      <c r="A1529" s="11">
        <v>50168</v>
      </c>
      <c r="B1529" s="12" t="s">
        <v>33</v>
      </c>
      <c r="C1529" s="13">
        <v>26.2</v>
      </c>
      <c r="D1529" s="14">
        <v>2</v>
      </c>
      <c r="E1529">
        <f t="shared" si="69"/>
        <v>0.52400000000000002</v>
      </c>
      <c r="F1529">
        <f t="shared" si="71"/>
        <v>31.31959999999987</v>
      </c>
      <c r="G1529">
        <f t="shared" si="70"/>
        <v>0</v>
      </c>
    </row>
    <row r="1530" spans="1:7" hidden="1" x14ac:dyDescent="0.35">
      <c r="A1530" s="7">
        <v>50169</v>
      </c>
      <c r="B1530" s="8" t="s">
        <v>16</v>
      </c>
      <c r="C1530" s="9">
        <v>21.5</v>
      </c>
      <c r="D1530" s="10">
        <v>0.4</v>
      </c>
      <c r="E1530">
        <f t="shared" si="69"/>
        <v>0</v>
      </c>
      <c r="F1530">
        <f t="shared" si="71"/>
        <v>31.31959999999987</v>
      </c>
      <c r="G1530">
        <f t="shared" si="70"/>
        <v>0</v>
      </c>
    </row>
    <row r="1531" spans="1:7" hidden="1" x14ac:dyDescent="0.35">
      <c r="A1531" s="11">
        <v>50170</v>
      </c>
      <c r="B1531" s="12" t="s">
        <v>10</v>
      </c>
      <c r="C1531" s="13">
        <v>12.8</v>
      </c>
      <c r="D1531" s="14">
        <v>0</v>
      </c>
      <c r="E1531">
        <f t="shared" si="69"/>
        <v>0</v>
      </c>
      <c r="F1531">
        <f t="shared" si="71"/>
        <v>31.31959999999987</v>
      </c>
      <c r="G1531">
        <f t="shared" si="70"/>
        <v>0</v>
      </c>
    </row>
    <row r="1532" spans="1:7" hidden="1" x14ac:dyDescent="0.35">
      <c r="A1532" s="7">
        <v>50171</v>
      </c>
      <c r="B1532" s="8" t="s">
        <v>9</v>
      </c>
      <c r="C1532" s="9">
        <v>24.6</v>
      </c>
      <c r="D1532" s="10">
        <v>3</v>
      </c>
      <c r="E1532">
        <f t="shared" si="69"/>
        <v>0.7380000000000001</v>
      </c>
      <c r="F1532">
        <f t="shared" si="71"/>
        <v>32.057599999999873</v>
      </c>
      <c r="G1532">
        <f t="shared" si="70"/>
        <v>0</v>
      </c>
    </row>
    <row r="1533" spans="1:7" hidden="1" x14ac:dyDescent="0.35">
      <c r="A1533" s="11">
        <v>50172</v>
      </c>
      <c r="B1533" s="12" t="s">
        <v>27</v>
      </c>
      <c r="C1533" s="13">
        <v>22.6</v>
      </c>
      <c r="D1533" s="14">
        <v>1.6</v>
      </c>
      <c r="E1533">
        <f t="shared" si="69"/>
        <v>0.36160000000000003</v>
      </c>
      <c r="F1533">
        <f t="shared" si="71"/>
        <v>32.419199999999876</v>
      </c>
      <c r="G1533">
        <f t="shared" si="70"/>
        <v>0</v>
      </c>
    </row>
    <row r="1534" spans="1:7" hidden="1" x14ac:dyDescent="0.35">
      <c r="A1534" s="7">
        <v>50173</v>
      </c>
      <c r="B1534" s="8" t="s">
        <v>13</v>
      </c>
      <c r="C1534" s="9">
        <v>27.3</v>
      </c>
      <c r="D1534" s="10">
        <v>9.3000000000000007</v>
      </c>
      <c r="E1534">
        <f t="shared" si="69"/>
        <v>2.5388999999999999</v>
      </c>
      <c r="F1534">
        <f t="shared" si="71"/>
        <v>34.958099999999874</v>
      </c>
      <c r="G1534">
        <f t="shared" si="70"/>
        <v>0</v>
      </c>
    </row>
    <row r="1535" spans="1:7" hidden="1" x14ac:dyDescent="0.35">
      <c r="A1535" s="11">
        <v>50174</v>
      </c>
      <c r="B1535" s="12" t="s">
        <v>19</v>
      </c>
      <c r="C1535" s="13">
        <v>10.8</v>
      </c>
      <c r="D1535" s="14">
        <v>22.2</v>
      </c>
      <c r="E1535">
        <f t="shared" si="69"/>
        <v>2.3976000000000002</v>
      </c>
      <c r="F1535">
        <f t="shared" si="71"/>
        <v>37.355699999999871</v>
      </c>
      <c r="G1535">
        <f t="shared" si="70"/>
        <v>0</v>
      </c>
    </row>
    <row r="1536" spans="1:7" hidden="1" x14ac:dyDescent="0.35">
      <c r="A1536" s="7">
        <v>50175</v>
      </c>
      <c r="B1536" s="8" t="s">
        <v>17</v>
      </c>
      <c r="C1536" s="9">
        <v>12</v>
      </c>
      <c r="D1536" s="10">
        <v>5.3</v>
      </c>
      <c r="E1536">
        <f t="shared" si="69"/>
        <v>0.6359999999999999</v>
      </c>
      <c r="F1536">
        <f t="shared" si="71"/>
        <v>37.991699999999874</v>
      </c>
      <c r="G1536">
        <f t="shared" si="70"/>
        <v>0</v>
      </c>
    </row>
    <row r="1537" spans="1:7" hidden="1" x14ac:dyDescent="0.35">
      <c r="A1537" s="11">
        <v>50176</v>
      </c>
      <c r="B1537" s="12" t="s">
        <v>7</v>
      </c>
      <c r="C1537" s="13">
        <v>28.1</v>
      </c>
      <c r="D1537" s="14">
        <v>0</v>
      </c>
      <c r="E1537">
        <f t="shared" si="69"/>
        <v>0</v>
      </c>
      <c r="F1537">
        <f t="shared" si="71"/>
        <v>37.991699999999874</v>
      </c>
      <c r="G1537">
        <f t="shared" si="70"/>
        <v>0</v>
      </c>
    </row>
    <row r="1538" spans="1:7" hidden="1" x14ac:dyDescent="0.35">
      <c r="A1538" s="7">
        <v>50177</v>
      </c>
      <c r="B1538" s="8" t="s">
        <v>11</v>
      </c>
      <c r="C1538" s="9">
        <v>16.100000000000001</v>
      </c>
      <c r="D1538" s="10">
        <v>9</v>
      </c>
      <c r="E1538">
        <f t="shared" si="69"/>
        <v>1.4490000000000001</v>
      </c>
      <c r="F1538">
        <f t="shared" si="71"/>
        <v>39.440699999999872</v>
      </c>
      <c r="G1538">
        <f t="shared" si="70"/>
        <v>0</v>
      </c>
    </row>
    <row r="1539" spans="1:7" hidden="1" x14ac:dyDescent="0.35">
      <c r="A1539" s="11">
        <v>50178</v>
      </c>
      <c r="B1539" s="12" t="s">
        <v>18</v>
      </c>
      <c r="C1539" s="13">
        <v>29</v>
      </c>
      <c r="D1539" s="14">
        <v>1.6</v>
      </c>
      <c r="E1539">
        <f t="shared" ref="E1539:E1602" si="72">IF(D1539&gt;=1,C1539*D1539/100,0)</f>
        <v>0.46400000000000008</v>
      </c>
      <c r="F1539">
        <f t="shared" si="71"/>
        <v>39.90469999999987</v>
      </c>
      <c r="G1539">
        <f t="shared" ref="G1539:G1602" si="73">IF(F1539&gt;=100,1,0)</f>
        <v>0</v>
      </c>
    </row>
    <row r="1540" spans="1:7" hidden="1" x14ac:dyDescent="0.35">
      <c r="A1540" s="7">
        <v>50179</v>
      </c>
      <c r="B1540" s="8" t="s">
        <v>11</v>
      </c>
      <c r="C1540" s="9">
        <v>23.6</v>
      </c>
      <c r="D1540" s="10">
        <v>16</v>
      </c>
      <c r="E1540">
        <f t="shared" si="72"/>
        <v>3.7760000000000002</v>
      </c>
      <c r="F1540">
        <f t="shared" ref="F1540:F1603" si="74">IF(G1539=1,E1540+F1539-100,F1539+E1540)</f>
        <v>43.680699999999874</v>
      </c>
      <c r="G1540">
        <f t="shared" si="73"/>
        <v>0</v>
      </c>
    </row>
    <row r="1541" spans="1:7" hidden="1" x14ac:dyDescent="0.35">
      <c r="A1541" s="11">
        <v>50180</v>
      </c>
      <c r="B1541" s="12" t="s">
        <v>19</v>
      </c>
      <c r="C1541" s="13">
        <v>11.6</v>
      </c>
      <c r="D1541" s="14">
        <v>32</v>
      </c>
      <c r="E1541">
        <f t="shared" si="72"/>
        <v>3.7119999999999997</v>
      </c>
      <c r="F1541">
        <f t="shared" si="74"/>
        <v>47.392699999999877</v>
      </c>
      <c r="G1541">
        <f t="shared" si="73"/>
        <v>0</v>
      </c>
    </row>
    <row r="1542" spans="1:7" hidden="1" x14ac:dyDescent="0.35">
      <c r="A1542" s="7">
        <v>50181</v>
      </c>
      <c r="B1542" s="8" t="s">
        <v>15</v>
      </c>
      <c r="C1542" s="9">
        <v>15.9</v>
      </c>
      <c r="D1542" s="10">
        <v>5.5</v>
      </c>
      <c r="E1542">
        <f t="shared" si="72"/>
        <v>0.87450000000000006</v>
      </c>
      <c r="F1542">
        <f t="shared" si="74"/>
        <v>48.267199999999875</v>
      </c>
      <c r="G1542">
        <f t="shared" si="73"/>
        <v>0</v>
      </c>
    </row>
    <row r="1543" spans="1:7" hidden="1" x14ac:dyDescent="0.35">
      <c r="A1543" s="11">
        <v>50182</v>
      </c>
      <c r="B1543" s="12" t="s">
        <v>26</v>
      </c>
      <c r="C1543" s="13">
        <v>28.3</v>
      </c>
      <c r="D1543" s="14">
        <v>6</v>
      </c>
      <c r="E1543">
        <f t="shared" si="72"/>
        <v>1.6980000000000002</v>
      </c>
      <c r="F1543">
        <f t="shared" si="74"/>
        <v>49.965199999999875</v>
      </c>
      <c r="G1543">
        <f t="shared" si="73"/>
        <v>0</v>
      </c>
    </row>
    <row r="1544" spans="1:7" hidden="1" x14ac:dyDescent="0.35">
      <c r="A1544" s="7">
        <v>50183</v>
      </c>
      <c r="B1544" s="8" t="s">
        <v>12</v>
      </c>
      <c r="C1544" s="9">
        <v>16.600000000000001</v>
      </c>
      <c r="D1544" s="10">
        <v>11.3</v>
      </c>
      <c r="E1544">
        <f t="shared" si="72"/>
        <v>1.8758000000000004</v>
      </c>
      <c r="F1544">
        <f t="shared" si="74"/>
        <v>51.840999999999873</v>
      </c>
      <c r="G1544">
        <f t="shared" si="73"/>
        <v>0</v>
      </c>
    </row>
    <row r="1545" spans="1:7" hidden="1" x14ac:dyDescent="0.35">
      <c r="A1545" s="11">
        <v>50184</v>
      </c>
      <c r="B1545" s="12" t="s">
        <v>22</v>
      </c>
      <c r="C1545" s="13">
        <v>25.2</v>
      </c>
      <c r="D1545" s="14">
        <v>6.4</v>
      </c>
      <c r="E1545">
        <f t="shared" si="72"/>
        <v>1.6128</v>
      </c>
      <c r="F1545">
        <f t="shared" si="74"/>
        <v>53.453799999999873</v>
      </c>
      <c r="G1545">
        <f t="shared" si="73"/>
        <v>0</v>
      </c>
    </row>
    <row r="1546" spans="1:7" hidden="1" x14ac:dyDescent="0.35">
      <c r="A1546" s="7">
        <v>50185</v>
      </c>
      <c r="B1546" s="8" t="s">
        <v>10</v>
      </c>
      <c r="C1546" s="9">
        <v>29.5</v>
      </c>
      <c r="D1546" s="10">
        <v>26.1</v>
      </c>
      <c r="E1546">
        <f t="shared" si="72"/>
        <v>7.6995000000000005</v>
      </c>
      <c r="F1546">
        <f t="shared" si="74"/>
        <v>61.153299999999874</v>
      </c>
      <c r="G1546">
        <f t="shared" si="73"/>
        <v>0</v>
      </c>
    </row>
    <row r="1547" spans="1:7" hidden="1" x14ac:dyDescent="0.35">
      <c r="A1547" s="11">
        <v>50186</v>
      </c>
      <c r="B1547" s="12" t="s">
        <v>18</v>
      </c>
      <c r="C1547" s="13">
        <v>13.3</v>
      </c>
      <c r="D1547" s="14">
        <v>7.3</v>
      </c>
      <c r="E1547">
        <f t="shared" si="72"/>
        <v>0.97089999999999999</v>
      </c>
      <c r="F1547">
        <f t="shared" si="74"/>
        <v>62.124199999999874</v>
      </c>
      <c r="G1547">
        <f t="shared" si="73"/>
        <v>0</v>
      </c>
    </row>
    <row r="1548" spans="1:7" hidden="1" x14ac:dyDescent="0.35">
      <c r="A1548" s="7">
        <v>50187</v>
      </c>
      <c r="B1548" s="8" t="s">
        <v>17</v>
      </c>
      <c r="C1548" s="9">
        <v>19.5</v>
      </c>
      <c r="D1548" s="10">
        <v>3.4</v>
      </c>
      <c r="E1548">
        <f t="shared" si="72"/>
        <v>0.66299999999999992</v>
      </c>
      <c r="F1548">
        <f t="shared" si="74"/>
        <v>62.787199999999871</v>
      </c>
      <c r="G1548">
        <f t="shared" si="73"/>
        <v>0</v>
      </c>
    </row>
    <row r="1549" spans="1:7" hidden="1" x14ac:dyDescent="0.35">
      <c r="A1549" s="11">
        <v>50188</v>
      </c>
      <c r="B1549" s="12" t="s">
        <v>25</v>
      </c>
      <c r="C1549" s="13">
        <v>11.9</v>
      </c>
      <c r="D1549" s="14">
        <v>1.7</v>
      </c>
      <c r="E1549">
        <f t="shared" si="72"/>
        <v>0.20230000000000001</v>
      </c>
      <c r="F1549">
        <f t="shared" si="74"/>
        <v>62.989499999999872</v>
      </c>
      <c r="G1549">
        <f t="shared" si="73"/>
        <v>0</v>
      </c>
    </row>
    <row r="1550" spans="1:7" hidden="1" x14ac:dyDescent="0.35">
      <c r="A1550" s="7">
        <v>50189</v>
      </c>
      <c r="B1550" s="8" t="s">
        <v>14</v>
      </c>
      <c r="C1550" s="9">
        <v>29.5</v>
      </c>
      <c r="D1550" s="10">
        <v>5.0999999999999996</v>
      </c>
      <c r="E1550">
        <f t="shared" si="72"/>
        <v>1.5044999999999999</v>
      </c>
      <c r="F1550">
        <f t="shared" si="74"/>
        <v>64.493999999999872</v>
      </c>
      <c r="G1550">
        <f t="shared" si="73"/>
        <v>0</v>
      </c>
    </row>
    <row r="1551" spans="1:7" hidden="1" x14ac:dyDescent="0.35">
      <c r="A1551" s="11">
        <v>50190</v>
      </c>
      <c r="B1551" s="12" t="s">
        <v>19</v>
      </c>
      <c r="C1551" s="13">
        <v>25.1</v>
      </c>
      <c r="D1551" s="14">
        <v>0</v>
      </c>
      <c r="E1551">
        <f t="shared" si="72"/>
        <v>0</v>
      </c>
      <c r="F1551">
        <f t="shared" si="74"/>
        <v>64.493999999999872</v>
      </c>
      <c r="G1551">
        <f t="shared" si="73"/>
        <v>0</v>
      </c>
    </row>
    <row r="1552" spans="1:7" hidden="1" x14ac:dyDescent="0.35">
      <c r="A1552" s="7">
        <v>50191</v>
      </c>
      <c r="B1552" s="8" t="s">
        <v>22</v>
      </c>
      <c r="C1552" s="9">
        <v>15.1</v>
      </c>
      <c r="D1552" s="10">
        <v>0</v>
      </c>
      <c r="E1552">
        <f t="shared" si="72"/>
        <v>0</v>
      </c>
      <c r="F1552">
        <f t="shared" si="74"/>
        <v>64.493999999999872</v>
      </c>
      <c r="G1552">
        <f t="shared" si="73"/>
        <v>0</v>
      </c>
    </row>
    <row r="1553" spans="1:7" hidden="1" x14ac:dyDescent="0.35">
      <c r="A1553" s="11">
        <v>50192</v>
      </c>
      <c r="B1553" s="12" t="s">
        <v>33</v>
      </c>
      <c r="C1553" s="13">
        <v>19.7</v>
      </c>
      <c r="D1553" s="14">
        <v>1.7</v>
      </c>
      <c r="E1553">
        <f t="shared" si="72"/>
        <v>0.33489999999999998</v>
      </c>
      <c r="F1553">
        <f t="shared" si="74"/>
        <v>64.828899999999877</v>
      </c>
      <c r="G1553">
        <f t="shared" si="73"/>
        <v>0</v>
      </c>
    </row>
    <row r="1554" spans="1:7" hidden="1" x14ac:dyDescent="0.35">
      <c r="A1554" s="7">
        <v>50193</v>
      </c>
      <c r="B1554" s="8" t="s">
        <v>19</v>
      </c>
      <c r="C1554" s="9">
        <v>25.6</v>
      </c>
      <c r="D1554" s="10">
        <v>0</v>
      </c>
      <c r="E1554">
        <f t="shared" si="72"/>
        <v>0</v>
      </c>
      <c r="F1554">
        <f t="shared" si="74"/>
        <v>64.828899999999877</v>
      </c>
      <c r="G1554">
        <f t="shared" si="73"/>
        <v>0</v>
      </c>
    </row>
    <row r="1555" spans="1:7" hidden="1" x14ac:dyDescent="0.35">
      <c r="A1555" s="11">
        <v>50194</v>
      </c>
      <c r="B1555" s="12" t="s">
        <v>11</v>
      </c>
      <c r="C1555" s="13">
        <v>25</v>
      </c>
      <c r="D1555" s="14">
        <v>18.8</v>
      </c>
      <c r="E1555">
        <f t="shared" si="72"/>
        <v>4.7</v>
      </c>
      <c r="F1555">
        <f t="shared" si="74"/>
        <v>69.528899999999879</v>
      </c>
      <c r="G1555">
        <f t="shared" si="73"/>
        <v>0</v>
      </c>
    </row>
    <row r="1556" spans="1:7" hidden="1" x14ac:dyDescent="0.35">
      <c r="A1556" s="7">
        <v>50195</v>
      </c>
      <c r="B1556" s="8" t="s">
        <v>23</v>
      </c>
      <c r="C1556" s="9">
        <v>11.5</v>
      </c>
      <c r="D1556" s="10">
        <v>0</v>
      </c>
      <c r="E1556">
        <f t="shared" si="72"/>
        <v>0</v>
      </c>
      <c r="F1556">
        <f t="shared" si="74"/>
        <v>69.528899999999879</v>
      </c>
      <c r="G1556">
        <f t="shared" si="73"/>
        <v>0</v>
      </c>
    </row>
    <row r="1557" spans="1:7" hidden="1" x14ac:dyDescent="0.35">
      <c r="A1557" s="11">
        <v>50196</v>
      </c>
      <c r="B1557" s="12" t="s">
        <v>10</v>
      </c>
      <c r="C1557" s="13">
        <v>23.8</v>
      </c>
      <c r="D1557" s="14">
        <v>7.3</v>
      </c>
      <c r="E1557">
        <f t="shared" si="72"/>
        <v>1.7374000000000001</v>
      </c>
      <c r="F1557">
        <f t="shared" si="74"/>
        <v>71.266299999999873</v>
      </c>
      <c r="G1557">
        <f t="shared" si="73"/>
        <v>0</v>
      </c>
    </row>
    <row r="1558" spans="1:7" hidden="1" x14ac:dyDescent="0.35">
      <c r="A1558" s="7">
        <v>50197</v>
      </c>
      <c r="B1558" s="8" t="s">
        <v>19</v>
      </c>
      <c r="C1558" s="9">
        <v>25.3</v>
      </c>
      <c r="D1558" s="10">
        <v>14.7</v>
      </c>
      <c r="E1558">
        <f t="shared" si="72"/>
        <v>3.7190999999999996</v>
      </c>
      <c r="F1558">
        <f t="shared" si="74"/>
        <v>74.985399999999871</v>
      </c>
      <c r="G1558">
        <f t="shared" si="73"/>
        <v>0</v>
      </c>
    </row>
    <row r="1559" spans="1:7" hidden="1" x14ac:dyDescent="0.35">
      <c r="A1559" s="11">
        <v>50198</v>
      </c>
      <c r="B1559" s="12" t="s">
        <v>10</v>
      </c>
      <c r="C1559" s="13">
        <v>22.6</v>
      </c>
      <c r="D1559" s="14">
        <v>42.2</v>
      </c>
      <c r="E1559">
        <f t="shared" si="72"/>
        <v>9.5372000000000021</v>
      </c>
      <c r="F1559">
        <f t="shared" si="74"/>
        <v>84.522599999999869</v>
      </c>
      <c r="G1559">
        <f t="shared" si="73"/>
        <v>0</v>
      </c>
    </row>
    <row r="1560" spans="1:7" hidden="1" x14ac:dyDescent="0.35">
      <c r="A1560" s="7">
        <v>50199</v>
      </c>
      <c r="B1560" s="8" t="s">
        <v>14</v>
      </c>
      <c r="C1560" s="9">
        <v>18.100000000000001</v>
      </c>
      <c r="D1560" s="10">
        <v>3.3</v>
      </c>
      <c r="E1560">
        <f t="shared" si="72"/>
        <v>0.59730000000000005</v>
      </c>
      <c r="F1560">
        <f t="shared" si="74"/>
        <v>85.119899999999873</v>
      </c>
      <c r="G1560">
        <f t="shared" si="73"/>
        <v>0</v>
      </c>
    </row>
    <row r="1561" spans="1:7" hidden="1" x14ac:dyDescent="0.35">
      <c r="A1561" s="11">
        <v>50200</v>
      </c>
      <c r="B1561" s="12" t="s">
        <v>19</v>
      </c>
      <c r="C1561" s="13">
        <v>17.8</v>
      </c>
      <c r="D1561" s="14">
        <v>0</v>
      </c>
      <c r="E1561">
        <f t="shared" si="72"/>
        <v>0</v>
      </c>
      <c r="F1561">
        <f t="shared" si="74"/>
        <v>85.119899999999873</v>
      </c>
      <c r="G1561">
        <f t="shared" si="73"/>
        <v>0</v>
      </c>
    </row>
    <row r="1562" spans="1:7" hidden="1" x14ac:dyDescent="0.35">
      <c r="A1562" s="7">
        <v>50201</v>
      </c>
      <c r="B1562" s="8" t="s">
        <v>10</v>
      </c>
      <c r="C1562" s="9">
        <v>25.1</v>
      </c>
      <c r="D1562" s="10">
        <v>25.5</v>
      </c>
      <c r="E1562">
        <f t="shared" si="72"/>
        <v>6.400500000000001</v>
      </c>
      <c r="F1562">
        <f t="shared" si="74"/>
        <v>91.520399999999881</v>
      </c>
      <c r="G1562">
        <f t="shared" si="73"/>
        <v>0</v>
      </c>
    </row>
    <row r="1563" spans="1:7" hidden="1" x14ac:dyDescent="0.35">
      <c r="A1563" s="11">
        <v>50202</v>
      </c>
      <c r="B1563" s="12" t="s">
        <v>18</v>
      </c>
      <c r="C1563" s="13">
        <v>12</v>
      </c>
      <c r="D1563" s="14">
        <v>0</v>
      </c>
      <c r="E1563">
        <f t="shared" si="72"/>
        <v>0</v>
      </c>
      <c r="F1563">
        <f t="shared" si="74"/>
        <v>91.520399999999881</v>
      </c>
      <c r="G1563">
        <f t="shared" si="73"/>
        <v>0</v>
      </c>
    </row>
    <row r="1564" spans="1:7" hidden="1" x14ac:dyDescent="0.35">
      <c r="A1564" s="7">
        <v>50203</v>
      </c>
      <c r="B1564" s="8" t="s">
        <v>10</v>
      </c>
      <c r="C1564" s="9">
        <v>23.2</v>
      </c>
      <c r="D1564" s="10">
        <v>0</v>
      </c>
      <c r="E1564">
        <f t="shared" si="72"/>
        <v>0</v>
      </c>
      <c r="F1564">
        <f t="shared" si="74"/>
        <v>91.520399999999881</v>
      </c>
      <c r="G1564">
        <f t="shared" si="73"/>
        <v>0</v>
      </c>
    </row>
    <row r="1565" spans="1:7" hidden="1" x14ac:dyDescent="0.35">
      <c r="A1565" s="11">
        <v>50204</v>
      </c>
      <c r="B1565" s="12" t="s">
        <v>6</v>
      </c>
      <c r="C1565" s="13">
        <v>16</v>
      </c>
      <c r="D1565" s="14">
        <v>7.9</v>
      </c>
      <c r="E1565">
        <f t="shared" si="72"/>
        <v>1.264</v>
      </c>
      <c r="F1565">
        <f t="shared" si="74"/>
        <v>92.784399999999877</v>
      </c>
      <c r="G1565">
        <f t="shared" si="73"/>
        <v>0</v>
      </c>
    </row>
    <row r="1566" spans="1:7" hidden="1" x14ac:dyDescent="0.35">
      <c r="A1566" s="7">
        <v>50205</v>
      </c>
      <c r="B1566" s="8" t="s">
        <v>15</v>
      </c>
      <c r="C1566" s="9">
        <v>26.5</v>
      </c>
      <c r="D1566" s="10">
        <v>20.2</v>
      </c>
      <c r="E1566">
        <f t="shared" si="72"/>
        <v>5.3529999999999998</v>
      </c>
      <c r="F1566">
        <f t="shared" si="74"/>
        <v>98.137399999999872</v>
      </c>
      <c r="G1566">
        <f t="shared" si="73"/>
        <v>0</v>
      </c>
    </row>
    <row r="1567" spans="1:7" hidden="1" x14ac:dyDescent="0.35">
      <c r="A1567" s="11">
        <v>50206</v>
      </c>
      <c r="B1567" s="12" t="s">
        <v>29</v>
      </c>
      <c r="C1567" s="13">
        <v>28.9</v>
      </c>
      <c r="D1567" s="14">
        <v>0.3</v>
      </c>
      <c r="E1567">
        <f t="shared" si="72"/>
        <v>0</v>
      </c>
      <c r="F1567">
        <f t="shared" si="74"/>
        <v>98.137399999999872</v>
      </c>
      <c r="G1567">
        <f t="shared" si="73"/>
        <v>0</v>
      </c>
    </row>
    <row r="1568" spans="1:7" hidden="1" x14ac:dyDescent="0.35">
      <c r="A1568" s="7">
        <v>50207</v>
      </c>
      <c r="B1568" s="8" t="s">
        <v>10</v>
      </c>
      <c r="C1568" s="9">
        <v>26.6</v>
      </c>
      <c r="D1568" s="10">
        <v>0</v>
      </c>
      <c r="E1568">
        <f t="shared" si="72"/>
        <v>0</v>
      </c>
      <c r="F1568">
        <f t="shared" si="74"/>
        <v>98.137399999999872</v>
      </c>
      <c r="G1568">
        <f t="shared" si="73"/>
        <v>0</v>
      </c>
    </row>
    <row r="1569" spans="1:7" x14ac:dyDescent="0.35">
      <c r="A1569" s="11">
        <v>50208</v>
      </c>
      <c r="B1569" s="12" t="s">
        <v>7</v>
      </c>
      <c r="C1569" s="13">
        <v>13.1</v>
      </c>
      <c r="D1569" s="14">
        <v>19.899999999999999</v>
      </c>
      <c r="E1569">
        <f t="shared" si="72"/>
        <v>2.6069</v>
      </c>
      <c r="F1569">
        <f t="shared" si="74"/>
        <v>100.74429999999987</v>
      </c>
      <c r="G1569">
        <f t="shared" si="73"/>
        <v>1</v>
      </c>
    </row>
    <row r="1570" spans="1:7" hidden="1" x14ac:dyDescent="0.35">
      <c r="A1570" s="7">
        <v>50209</v>
      </c>
      <c r="B1570" s="8" t="s">
        <v>10</v>
      </c>
      <c r="C1570" s="9">
        <v>21.5</v>
      </c>
      <c r="D1570" s="10">
        <v>33.4</v>
      </c>
      <c r="E1570">
        <f t="shared" si="72"/>
        <v>7.181</v>
      </c>
      <c r="F1570">
        <f t="shared" si="74"/>
        <v>7.925299999999865</v>
      </c>
      <c r="G1570">
        <f t="shared" si="73"/>
        <v>0</v>
      </c>
    </row>
    <row r="1571" spans="1:7" hidden="1" x14ac:dyDescent="0.35">
      <c r="A1571" s="11">
        <v>50210</v>
      </c>
      <c r="B1571" s="12" t="s">
        <v>31</v>
      </c>
      <c r="C1571" s="13">
        <v>25.7</v>
      </c>
      <c r="D1571" s="14">
        <v>0</v>
      </c>
      <c r="E1571">
        <f t="shared" si="72"/>
        <v>0</v>
      </c>
      <c r="F1571">
        <f t="shared" si="74"/>
        <v>7.925299999999865</v>
      </c>
      <c r="G1571">
        <f t="shared" si="73"/>
        <v>0</v>
      </c>
    </row>
    <row r="1572" spans="1:7" hidden="1" x14ac:dyDescent="0.35">
      <c r="A1572" s="7">
        <v>50211</v>
      </c>
      <c r="B1572" s="8" t="s">
        <v>19</v>
      </c>
      <c r="C1572" s="9">
        <v>11.8</v>
      </c>
      <c r="D1572" s="10">
        <v>23</v>
      </c>
      <c r="E1572">
        <f t="shared" si="72"/>
        <v>2.7140000000000004</v>
      </c>
      <c r="F1572">
        <f t="shared" si="74"/>
        <v>10.639299999999865</v>
      </c>
      <c r="G1572">
        <f t="shared" si="73"/>
        <v>0</v>
      </c>
    </row>
    <row r="1573" spans="1:7" hidden="1" x14ac:dyDescent="0.35">
      <c r="A1573" s="11">
        <v>50212</v>
      </c>
      <c r="B1573" s="12" t="s">
        <v>25</v>
      </c>
      <c r="C1573" s="13">
        <v>12.6</v>
      </c>
      <c r="D1573" s="14">
        <v>0.7</v>
      </c>
      <c r="E1573">
        <f t="shared" si="72"/>
        <v>0</v>
      </c>
      <c r="F1573">
        <f t="shared" si="74"/>
        <v>10.639299999999865</v>
      </c>
      <c r="G1573">
        <f t="shared" si="73"/>
        <v>0</v>
      </c>
    </row>
    <row r="1574" spans="1:7" hidden="1" x14ac:dyDescent="0.35">
      <c r="A1574" s="7">
        <v>50213</v>
      </c>
      <c r="B1574" s="8" t="s">
        <v>27</v>
      </c>
      <c r="C1574" s="9">
        <v>26.2</v>
      </c>
      <c r="D1574" s="10">
        <v>0.3</v>
      </c>
      <c r="E1574">
        <f t="shared" si="72"/>
        <v>0</v>
      </c>
      <c r="F1574">
        <f t="shared" si="74"/>
        <v>10.639299999999865</v>
      </c>
      <c r="G1574">
        <f t="shared" si="73"/>
        <v>0</v>
      </c>
    </row>
    <row r="1575" spans="1:7" hidden="1" x14ac:dyDescent="0.35">
      <c r="A1575" s="11">
        <v>50214</v>
      </c>
      <c r="B1575" s="12" t="s">
        <v>8</v>
      </c>
      <c r="C1575" s="13">
        <v>29.1</v>
      </c>
      <c r="D1575" s="14">
        <v>5</v>
      </c>
      <c r="E1575">
        <f t="shared" si="72"/>
        <v>1.4550000000000001</v>
      </c>
      <c r="F1575">
        <f t="shared" si="74"/>
        <v>12.094299999999865</v>
      </c>
      <c r="G1575">
        <f t="shared" si="73"/>
        <v>0</v>
      </c>
    </row>
    <row r="1576" spans="1:7" hidden="1" x14ac:dyDescent="0.35">
      <c r="A1576" s="7">
        <v>50215</v>
      </c>
      <c r="B1576" s="8" t="s">
        <v>22</v>
      </c>
      <c r="C1576" s="9">
        <v>18.899999999999999</v>
      </c>
      <c r="D1576" s="10">
        <v>7.5</v>
      </c>
      <c r="E1576">
        <f t="shared" si="72"/>
        <v>1.4175</v>
      </c>
      <c r="F1576">
        <f t="shared" si="74"/>
        <v>13.511799999999866</v>
      </c>
      <c r="G1576">
        <f t="shared" si="73"/>
        <v>0</v>
      </c>
    </row>
    <row r="1577" spans="1:7" hidden="1" x14ac:dyDescent="0.35">
      <c r="A1577" s="11">
        <v>50216</v>
      </c>
      <c r="B1577" s="12" t="s">
        <v>11</v>
      </c>
      <c r="C1577" s="13">
        <v>10.5</v>
      </c>
      <c r="D1577" s="14">
        <v>7.3</v>
      </c>
      <c r="E1577">
        <f t="shared" si="72"/>
        <v>0.76649999999999996</v>
      </c>
      <c r="F1577">
        <f t="shared" si="74"/>
        <v>14.278299999999867</v>
      </c>
      <c r="G1577">
        <f t="shared" si="73"/>
        <v>0</v>
      </c>
    </row>
    <row r="1578" spans="1:7" hidden="1" x14ac:dyDescent="0.35">
      <c r="A1578" s="7">
        <v>50217</v>
      </c>
      <c r="B1578" s="8" t="s">
        <v>23</v>
      </c>
      <c r="C1578" s="9">
        <v>15.1</v>
      </c>
      <c r="D1578" s="10">
        <v>6</v>
      </c>
      <c r="E1578">
        <f t="shared" si="72"/>
        <v>0.90599999999999992</v>
      </c>
      <c r="F1578">
        <f t="shared" si="74"/>
        <v>15.184299999999867</v>
      </c>
      <c r="G1578">
        <f t="shared" si="73"/>
        <v>0</v>
      </c>
    </row>
    <row r="1579" spans="1:7" hidden="1" x14ac:dyDescent="0.35">
      <c r="A1579" s="11">
        <v>50218</v>
      </c>
      <c r="B1579" s="12" t="s">
        <v>7</v>
      </c>
      <c r="C1579" s="13">
        <v>27.8</v>
      </c>
      <c r="D1579" s="14">
        <v>8.3000000000000007</v>
      </c>
      <c r="E1579">
        <f t="shared" si="72"/>
        <v>2.3074000000000003</v>
      </c>
      <c r="F1579">
        <f t="shared" si="74"/>
        <v>17.491699999999867</v>
      </c>
      <c r="G1579">
        <f t="shared" si="73"/>
        <v>0</v>
      </c>
    </row>
    <row r="1580" spans="1:7" hidden="1" x14ac:dyDescent="0.35">
      <c r="A1580" s="7">
        <v>50219</v>
      </c>
      <c r="B1580" s="8" t="s">
        <v>16</v>
      </c>
      <c r="C1580" s="9">
        <v>11.7</v>
      </c>
      <c r="D1580" s="10">
        <v>0.4</v>
      </c>
      <c r="E1580">
        <f t="shared" si="72"/>
        <v>0</v>
      </c>
      <c r="F1580">
        <f t="shared" si="74"/>
        <v>17.491699999999867</v>
      </c>
      <c r="G1580">
        <f t="shared" si="73"/>
        <v>0</v>
      </c>
    </row>
    <row r="1581" spans="1:7" hidden="1" x14ac:dyDescent="0.35">
      <c r="A1581" s="11">
        <v>50220</v>
      </c>
      <c r="B1581" s="12" t="s">
        <v>10</v>
      </c>
      <c r="C1581" s="13">
        <v>10.5</v>
      </c>
      <c r="D1581" s="14">
        <v>36.9</v>
      </c>
      <c r="E1581">
        <f t="shared" si="72"/>
        <v>3.8744999999999998</v>
      </c>
      <c r="F1581">
        <f t="shared" si="74"/>
        <v>21.366199999999868</v>
      </c>
      <c r="G1581">
        <f t="shared" si="73"/>
        <v>0</v>
      </c>
    </row>
    <row r="1582" spans="1:7" hidden="1" x14ac:dyDescent="0.35">
      <c r="A1582" s="7">
        <v>50221</v>
      </c>
      <c r="B1582" s="8" t="s">
        <v>5</v>
      </c>
      <c r="C1582" s="9">
        <v>21</v>
      </c>
      <c r="D1582" s="10">
        <v>7.1</v>
      </c>
      <c r="E1582">
        <f t="shared" si="72"/>
        <v>1.4909999999999999</v>
      </c>
      <c r="F1582">
        <f t="shared" si="74"/>
        <v>22.857199999999867</v>
      </c>
      <c r="G1582">
        <f t="shared" si="73"/>
        <v>0</v>
      </c>
    </row>
    <row r="1583" spans="1:7" hidden="1" x14ac:dyDescent="0.35">
      <c r="A1583" s="11">
        <v>50222</v>
      </c>
      <c r="B1583" s="12" t="s">
        <v>24</v>
      </c>
      <c r="C1583" s="13">
        <v>17.399999999999999</v>
      </c>
      <c r="D1583" s="14">
        <v>3.7</v>
      </c>
      <c r="E1583">
        <f t="shared" si="72"/>
        <v>0.64379999999999993</v>
      </c>
      <c r="F1583">
        <f t="shared" si="74"/>
        <v>23.500999999999866</v>
      </c>
      <c r="G1583">
        <f t="shared" si="73"/>
        <v>0</v>
      </c>
    </row>
    <row r="1584" spans="1:7" hidden="1" x14ac:dyDescent="0.35">
      <c r="A1584" s="7">
        <v>50223</v>
      </c>
      <c r="B1584" s="8" t="s">
        <v>18</v>
      </c>
      <c r="C1584" s="9">
        <v>21.9</v>
      </c>
      <c r="D1584" s="10">
        <v>7.6</v>
      </c>
      <c r="E1584">
        <f t="shared" si="72"/>
        <v>1.6643999999999997</v>
      </c>
      <c r="F1584">
        <f t="shared" si="74"/>
        <v>25.165399999999867</v>
      </c>
      <c r="G1584">
        <f t="shared" si="73"/>
        <v>0</v>
      </c>
    </row>
    <row r="1585" spans="1:7" hidden="1" x14ac:dyDescent="0.35">
      <c r="A1585" s="11">
        <v>50224</v>
      </c>
      <c r="B1585" s="12" t="s">
        <v>18</v>
      </c>
      <c r="C1585" s="13">
        <v>26</v>
      </c>
      <c r="D1585" s="14">
        <v>4.5999999999999996</v>
      </c>
      <c r="E1585">
        <f t="shared" si="72"/>
        <v>1.196</v>
      </c>
      <c r="F1585">
        <f t="shared" si="74"/>
        <v>26.361399999999868</v>
      </c>
      <c r="G1585">
        <f t="shared" si="73"/>
        <v>0</v>
      </c>
    </row>
    <row r="1586" spans="1:7" hidden="1" x14ac:dyDescent="0.35">
      <c r="A1586" s="7">
        <v>50225</v>
      </c>
      <c r="B1586" s="8" t="s">
        <v>19</v>
      </c>
      <c r="C1586" s="9">
        <v>12.2</v>
      </c>
      <c r="D1586" s="10">
        <v>19.3</v>
      </c>
      <c r="E1586">
        <f t="shared" si="72"/>
        <v>2.3546</v>
      </c>
      <c r="F1586">
        <f t="shared" si="74"/>
        <v>28.71599999999987</v>
      </c>
      <c r="G1586">
        <f t="shared" si="73"/>
        <v>0</v>
      </c>
    </row>
    <row r="1587" spans="1:7" hidden="1" x14ac:dyDescent="0.35">
      <c r="A1587" s="11">
        <v>50226</v>
      </c>
      <c r="B1587" s="12" t="s">
        <v>8</v>
      </c>
      <c r="C1587" s="13">
        <v>22.4</v>
      </c>
      <c r="D1587" s="14">
        <v>0.3</v>
      </c>
      <c r="E1587">
        <f t="shared" si="72"/>
        <v>0</v>
      </c>
      <c r="F1587">
        <f t="shared" si="74"/>
        <v>28.71599999999987</v>
      </c>
      <c r="G1587">
        <f t="shared" si="73"/>
        <v>0</v>
      </c>
    </row>
    <row r="1588" spans="1:7" hidden="1" x14ac:dyDescent="0.35">
      <c r="A1588" s="7">
        <v>50227</v>
      </c>
      <c r="B1588" s="8" t="s">
        <v>22</v>
      </c>
      <c r="C1588" s="9">
        <v>18.600000000000001</v>
      </c>
      <c r="D1588" s="10">
        <v>7.2</v>
      </c>
      <c r="E1588">
        <f t="shared" si="72"/>
        <v>1.3392000000000002</v>
      </c>
      <c r="F1588">
        <f t="shared" si="74"/>
        <v>30.055199999999871</v>
      </c>
      <c r="G1588">
        <f t="shared" si="73"/>
        <v>0</v>
      </c>
    </row>
    <row r="1589" spans="1:7" hidden="1" x14ac:dyDescent="0.35">
      <c r="A1589" s="11">
        <v>50228</v>
      </c>
      <c r="B1589" s="12" t="s">
        <v>10</v>
      </c>
      <c r="C1589" s="13">
        <v>17.100000000000001</v>
      </c>
      <c r="D1589" s="14">
        <v>0</v>
      </c>
      <c r="E1589">
        <f t="shared" si="72"/>
        <v>0</v>
      </c>
      <c r="F1589">
        <f t="shared" si="74"/>
        <v>30.055199999999871</v>
      </c>
      <c r="G1589">
        <f t="shared" si="73"/>
        <v>0</v>
      </c>
    </row>
    <row r="1590" spans="1:7" hidden="1" x14ac:dyDescent="0.35">
      <c r="A1590" s="7">
        <v>50229</v>
      </c>
      <c r="B1590" s="8" t="s">
        <v>19</v>
      </c>
      <c r="C1590" s="9">
        <v>25.1</v>
      </c>
      <c r="D1590" s="10">
        <v>24.3</v>
      </c>
      <c r="E1590">
        <f t="shared" si="72"/>
        <v>6.0993000000000004</v>
      </c>
      <c r="F1590">
        <f t="shared" si="74"/>
        <v>36.154499999999871</v>
      </c>
      <c r="G1590">
        <f t="shared" si="73"/>
        <v>0</v>
      </c>
    </row>
    <row r="1591" spans="1:7" hidden="1" x14ac:dyDescent="0.35">
      <c r="A1591" s="11">
        <v>50230</v>
      </c>
      <c r="B1591" s="12" t="s">
        <v>11</v>
      </c>
      <c r="C1591" s="13">
        <v>10.4</v>
      </c>
      <c r="D1591" s="14">
        <v>22.2</v>
      </c>
      <c r="E1591">
        <f t="shared" si="72"/>
        <v>2.3087999999999997</v>
      </c>
      <c r="F1591">
        <f t="shared" si="74"/>
        <v>38.463299999999869</v>
      </c>
      <c r="G1591">
        <f t="shared" si="73"/>
        <v>0</v>
      </c>
    </row>
    <row r="1592" spans="1:7" hidden="1" x14ac:dyDescent="0.35">
      <c r="A1592" s="7">
        <v>50231</v>
      </c>
      <c r="B1592" s="8" t="s">
        <v>18</v>
      </c>
      <c r="C1592" s="9">
        <v>28.9</v>
      </c>
      <c r="D1592" s="10">
        <v>0</v>
      </c>
      <c r="E1592">
        <f t="shared" si="72"/>
        <v>0</v>
      </c>
      <c r="F1592">
        <f t="shared" si="74"/>
        <v>38.463299999999869</v>
      </c>
      <c r="G1592">
        <f t="shared" si="73"/>
        <v>0</v>
      </c>
    </row>
    <row r="1593" spans="1:7" hidden="1" x14ac:dyDescent="0.35">
      <c r="A1593" s="11">
        <v>50232</v>
      </c>
      <c r="B1593" s="12" t="s">
        <v>31</v>
      </c>
      <c r="C1593" s="13">
        <v>24.1</v>
      </c>
      <c r="D1593" s="14">
        <v>0</v>
      </c>
      <c r="E1593">
        <f t="shared" si="72"/>
        <v>0</v>
      </c>
      <c r="F1593">
        <f t="shared" si="74"/>
        <v>38.463299999999869</v>
      </c>
      <c r="G1593">
        <f t="shared" si="73"/>
        <v>0</v>
      </c>
    </row>
    <row r="1594" spans="1:7" hidden="1" x14ac:dyDescent="0.35">
      <c r="A1594" s="7">
        <v>50233</v>
      </c>
      <c r="B1594" s="8" t="s">
        <v>19</v>
      </c>
      <c r="C1594" s="9">
        <v>23.2</v>
      </c>
      <c r="D1594" s="10">
        <v>22.1</v>
      </c>
      <c r="E1594">
        <f t="shared" si="72"/>
        <v>5.1272000000000002</v>
      </c>
      <c r="F1594">
        <f t="shared" si="74"/>
        <v>43.590499999999871</v>
      </c>
      <c r="G1594">
        <f t="shared" si="73"/>
        <v>0</v>
      </c>
    </row>
    <row r="1595" spans="1:7" hidden="1" x14ac:dyDescent="0.35">
      <c r="A1595" s="11">
        <v>50234</v>
      </c>
      <c r="B1595" s="12" t="s">
        <v>13</v>
      </c>
      <c r="C1595" s="13">
        <v>24.1</v>
      </c>
      <c r="D1595" s="14">
        <v>9.3000000000000007</v>
      </c>
      <c r="E1595">
        <f t="shared" si="72"/>
        <v>2.2413000000000003</v>
      </c>
      <c r="F1595">
        <f t="shared" si="74"/>
        <v>45.831799999999873</v>
      </c>
      <c r="G1595">
        <f t="shared" si="73"/>
        <v>0</v>
      </c>
    </row>
    <row r="1596" spans="1:7" hidden="1" x14ac:dyDescent="0.35">
      <c r="A1596" s="7">
        <v>50235</v>
      </c>
      <c r="B1596" s="8" t="s">
        <v>10</v>
      </c>
      <c r="C1596" s="9">
        <v>14.6</v>
      </c>
      <c r="D1596" s="10">
        <v>0</v>
      </c>
      <c r="E1596">
        <f t="shared" si="72"/>
        <v>0</v>
      </c>
      <c r="F1596">
        <f t="shared" si="74"/>
        <v>45.831799999999873</v>
      </c>
      <c r="G1596">
        <f t="shared" si="73"/>
        <v>0</v>
      </c>
    </row>
    <row r="1597" spans="1:7" hidden="1" x14ac:dyDescent="0.35">
      <c r="A1597" s="11">
        <v>50236</v>
      </c>
      <c r="B1597" s="12" t="s">
        <v>20</v>
      </c>
      <c r="C1597" s="13">
        <v>17.7</v>
      </c>
      <c r="D1597" s="14">
        <v>0</v>
      </c>
      <c r="E1597">
        <f t="shared" si="72"/>
        <v>0</v>
      </c>
      <c r="F1597">
        <f t="shared" si="74"/>
        <v>45.831799999999873</v>
      </c>
      <c r="G1597">
        <f t="shared" si="73"/>
        <v>0</v>
      </c>
    </row>
    <row r="1598" spans="1:7" hidden="1" x14ac:dyDescent="0.35">
      <c r="A1598" s="7">
        <v>50237</v>
      </c>
      <c r="B1598" s="8" t="s">
        <v>6</v>
      </c>
      <c r="C1598" s="9">
        <v>20.100000000000001</v>
      </c>
      <c r="D1598" s="10">
        <v>11.5</v>
      </c>
      <c r="E1598">
        <f t="shared" si="72"/>
        <v>2.3115000000000001</v>
      </c>
      <c r="F1598">
        <f t="shared" si="74"/>
        <v>48.143299999999876</v>
      </c>
      <c r="G1598">
        <f t="shared" si="73"/>
        <v>0</v>
      </c>
    </row>
    <row r="1599" spans="1:7" hidden="1" x14ac:dyDescent="0.35">
      <c r="A1599" s="11">
        <v>50238</v>
      </c>
      <c r="B1599" s="12" t="s">
        <v>8</v>
      </c>
      <c r="C1599" s="13">
        <v>27.5</v>
      </c>
      <c r="D1599" s="14">
        <v>0</v>
      </c>
      <c r="E1599">
        <f t="shared" si="72"/>
        <v>0</v>
      </c>
      <c r="F1599">
        <f t="shared" si="74"/>
        <v>48.143299999999876</v>
      </c>
      <c r="G1599">
        <f t="shared" si="73"/>
        <v>0</v>
      </c>
    </row>
    <row r="1600" spans="1:7" hidden="1" x14ac:dyDescent="0.35">
      <c r="A1600" s="7">
        <v>50239</v>
      </c>
      <c r="B1600" s="8" t="s">
        <v>7</v>
      </c>
      <c r="C1600" s="9">
        <v>10.9</v>
      </c>
      <c r="D1600" s="10">
        <v>9</v>
      </c>
      <c r="E1600">
        <f t="shared" si="72"/>
        <v>0.98100000000000009</v>
      </c>
      <c r="F1600">
        <f t="shared" si="74"/>
        <v>49.124299999999877</v>
      </c>
      <c r="G1600">
        <f t="shared" si="73"/>
        <v>0</v>
      </c>
    </row>
    <row r="1601" spans="1:7" hidden="1" x14ac:dyDescent="0.35">
      <c r="A1601" s="11">
        <v>50240</v>
      </c>
      <c r="B1601" s="12" t="s">
        <v>24</v>
      </c>
      <c r="C1601" s="13">
        <v>27.6</v>
      </c>
      <c r="D1601" s="14">
        <v>3.2</v>
      </c>
      <c r="E1601">
        <f t="shared" si="72"/>
        <v>0.8832000000000001</v>
      </c>
      <c r="F1601">
        <f t="shared" si="74"/>
        <v>50.007499999999879</v>
      </c>
      <c r="G1601">
        <f t="shared" si="73"/>
        <v>0</v>
      </c>
    </row>
    <row r="1602" spans="1:7" hidden="1" x14ac:dyDescent="0.35">
      <c r="A1602" s="7">
        <v>50241</v>
      </c>
      <c r="B1602" s="8" t="s">
        <v>19</v>
      </c>
      <c r="C1602" s="9">
        <v>24.5</v>
      </c>
      <c r="D1602" s="10">
        <v>15.3</v>
      </c>
      <c r="E1602">
        <f t="shared" si="72"/>
        <v>3.7485000000000004</v>
      </c>
      <c r="F1602">
        <f t="shared" si="74"/>
        <v>53.755999999999879</v>
      </c>
      <c r="G1602">
        <f t="shared" si="73"/>
        <v>0</v>
      </c>
    </row>
    <row r="1603" spans="1:7" hidden="1" x14ac:dyDescent="0.35">
      <c r="A1603" s="11">
        <v>50242</v>
      </c>
      <c r="B1603" s="12" t="s">
        <v>17</v>
      </c>
      <c r="C1603" s="13">
        <v>10.8</v>
      </c>
      <c r="D1603" s="14">
        <v>0</v>
      </c>
      <c r="E1603">
        <f t="shared" ref="E1603:E1666" si="75">IF(D1603&gt;=1,C1603*D1603/100,0)</f>
        <v>0</v>
      </c>
      <c r="F1603">
        <f t="shared" si="74"/>
        <v>53.755999999999879</v>
      </c>
      <c r="G1603">
        <f t="shared" ref="G1603:G1666" si="76">IF(F1603&gt;=100,1,0)</f>
        <v>0</v>
      </c>
    </row>
    <row r="1604" spans="1:7" hidden="1" x14ac:dyDescent="0.35">
      <c r="A1604" s="7">
        <v>50243</v>
      </c>
      <c r="B1604" s="8" t="s">
        <v>19</v>
      </c>
      <c r="C1604" s="9">
        <v>28.7</v>
      </c>
      <c r="D1604" s="10">
        <v>27.2</v>
      </c>
      <c r="E1604">
        <f t="shared" si="75"/>
        <v>7.8064</v>
      </c>
      <c r="F1604">
        <f t="shared" ref="F1604:F1667" si="77">IF(G1603=1,E1604+F1603-100,F1603+E1604)</f>
        <v>61.562399999999883</v>
      </c>
      <c r="G1604">
        <f t="shared" si="76"/>
        <v>0</v>
      </c>
    </row>
    <row r="1605" spans="1:7" hidden="1" x14ac:dyDescent="0.35">
      <c r="A1605" s="11">
        <v>50244</v>
      </c>
      <c r="B1605" s="12" t="s">
        <v>9</v>
      </c>
      <c r="C1605" s="13">
        <v>21.5</v>
      </c>
      <c r="D1605" s="14">
        <v>0.6</v>
      </c>
      <c r="E1605">
        <f t="shared" si="75"/>
        <v>0</v>
      </c>
      <c r="F1605">
        <f t="shared" si="77"/>
        <v>61.562399999999883</v>
      </c>
      <c r="G1605">
        <f t="shared" si="76"/>
        <v>0</v>
      </c>
    </row>
    <row r="1606" spans="1:7" hidden="1" x14ac:dyDescent="0.35">
      <c r="A1606" s="7">
        <v>50245</v>
      </c>
      <c r="B1606" s="8" t="s">
        <v>24</v>
      </c>
      <c r="C1606" s="9">
        <v>20.100000000000001</v>
      </c>
      <c r="D1606" s="10">
        <v>0.8</v>
      </c>
      <c r="E1606">
        <f t="shared" si="75"/>
        <v>0</v>
      </c>
      <c r="F1606">
        <f t="shared" si="77"/>
        <v>61.562399999999883</v>
      </c>
      <c r="G1606">
        <f t="shared" si="76"/>
        <v>0</v>
      </c>
    </row>
    <row r="1607" spans="1:7" hidden="1" x14ac:dyDescent="0.35">
      <c r="A1607" s="11">
        <v>50246</v>
      </c>
      <c r="B1607" s="12" t="s">
        <v>19</v>
      </c>
      <c r="C1607" s="13">
        <v>21.3</v>
      </c>
      <c r="D1607" s="14">
        <v>14.6</v>
      </c>
      <c r="E1607">
        <f t="shared" si="75"/>
        <v>3.1098000000000003</v>
      </c>
      <c r="F1607">
        <f t="shared" si="77"/>
        <v>64.67219999999989</v>
      </c>
      <c r="G1607">
        <f t="shared" si="76"/>
        <v>0</v>
      </c>
    </row>
    <row r="1608" spans="1:7" hidden="1" x14ac:dyDescent="0.35">
      <c r="A1608" s="7">
        <v>50247</v>
      </c>
      <c r="B1608" s="8" t="s">
        <v>27</v>
      </c>
      <c r="C1608" s="9">
        <v>20.2</v>
      </c>
      <c r="D1608" s="10">
        <v>6.9</v>
      </c>
      <c r="E1608">
        <f t="shared" si="75"/>
        <v>1.3937999999999999</v>
      </c>
      <c r="F1608">
        <f t="shared" si="77"/>
        <v>66.065999999999889</v>
      </c>
      <c r="G1608">
        <f t="shared" si="76"/>
        <v>0</v>
      </c>
    </row>
    <row r="1609" spans="1:7" hidden="1" x14ac:dyDescent="0.35">
      <c r="A1609" s="11">
        <v>50248</v>
      </c>
      <c r="B1609" s="12" t="s">
        <v>13</v>
      </c>
      <c r="C1609" s="13">
        <v>16.8</v>
      </c>
      <c r="D1609" s="14">
        <v>7.6</v>
      </c>
      <c r="E1609">
        <f t="shared" si="75"/>
        <v>1.2767999999999999</v>
      </c>
      <c r="F1609">
        <f t="shared" si="77"/>
        <v>67.342799999999883</v>
      </c>
      <c r="G1609">
        <f t="shared" si="76"/>
        <v>0</v>
      </c>
    </row>
    <row r="1610" spans="1:7" hidden="1" x14ac:dyDescent="0.35">
      <c r="A1610" s="7">
        <v>50249</v>
      </c>
      <c r="B1610" s="8" t="s">
        <v>6</v>
      </c>
      <c r="C1610" s="9">
        <v>26.5</v>
      </c>
      <c r="D1610" s="10">
        <v>2.5</v>
      </c>
      <c r="E1610">
        <f t="shared" si="75"/>
        <v>0.66249999999999998</v>
      </c>
      <c r="F1610">
        <f t="shared" si="77"/>
        <v>68.005299999999878</v>
      </c>
      <c r="G1610">
        <f t="shared" si="76"/>
        <v>0</v>
      </c>
    </row>
    <row r="1611" spans="1:7" hidden="1" x14ac:dyDescent="0.35">
      <c r="A1611" s="11">
        <v>50250</v>
      </c>
      <c r="B1611" s="12" t="s">
        <v>7</v>
      </c>
      <c r="C1611" s="13">
        <v>18.899999999999999</v>
      </c>
      <c r="D1611" s="14">
        <v>0</v>
      </c>
      <c r="E1611">
        <f t="shared" si="75"/>
        <v>0</v>
      </c>
      <c r="F1611">
        <f t="shared" si="77"/>
        <v>68.005299999999878</v>
      </c>
      <c r="G1611">
        <f t="shared" si="76"/>
        <v>0</v>
      </c>
    </row>
    <row r="1612" spans="1:7" hidden="1" x14ac:dyDescent="0.35">
      <c r="A1612" s="7">
        <v>50251</v>
      </c>
      <c r="B1612" s="8" t="s">
        <v>20</v>
      </c>
      <c r="C1612" s="9">
        <v>22.9</v>
      </c>
      <c r="D1612" s="10">
        <v>1.2</v>
      </c>
      <c r="E1612">
        <f t="shared" si="75"/>
        <v>0.27479999999999999</v>
      </c>
      <c r="F1612">
        <f t="shared" si="77"/>
        <v>68.280099999999877</v>
      </c>
      <c r="G1612">
        <f t="shared" si="76"/>
        <v>0</v>
      </c>
    </row>
    <row r="1613" spans="1:7" hidden="1" x14ac:dyDescent="0.35">
      <c r="A1613" s="11">
        <v>50252</v>
      </c>
      <c r="B1613" s="12" t="s">
        <v>19</v>
      </c>
      <c r="C1613" s="13">
        <v>11.3</v>
      </c>
      <c r="D1613" s="14">
        <v>32.700000000000003</v>
      </c>
      <c r="E1613">
        <f t="shared" si="75"/>
        <v>3.6951000000000005</v>
      </c>
      <c r="F1613">
        <f t="shared" si="77"/>
        <v>71.975199999999873</v>
      </c>
      <c r="G1613">
        <f t="shared" si="76"/>
        <v>0</v>
      </c>
    </row>
    <row r="1614" spans="1:7" hidden="1" x14ac:dyDescent="0.35">
      <c r="A1614" s="7">
        <v>50253</v>
      </c>
      <c r="B1614" s="8" t="s">
        <v>13</v>
      </c>
      <c r="C1614" s="9">
        <v>13</v>
      </c>
      <c r="D1614" s="10">
        <v>1.7</v>
      </c>
      <c r="E1614">
        <f t="shared" si="75"/>
        <v>0.22099999999999997</v>
      </c>
      <c r="F1614">
        <f t="shared" si="77"/>
        <v>72.196199999999877</v>
      </c>
      <c r="G1614">
        <f t="shared" si="76"/>
        <v>0</v>
      </c>
    </row>
    <row r="1615" spans="1:7" hidden="1" x14ac:dyDescent="0.35">
      <c r="A1615" s="11">
        <v>50254</v>
      </c>
      <c r="B1615" s="12" t="s">
        <v>8</v>
      </c>
      <c r="C1615" s="13">
        <v>18.3</v>
      </c>
      <c r="D1615" s="14">
        <v>2.5</v>
      </c>
      <c r="E1615">
        <f t="shared" si="75"/>
        <v>0.45750000000000002</v>
      </c>
      <c r="F1615">
        <f t="shared" si="77"/>
        <v>72.653699999999873</v>
      </c>
      <c r="G1615">
        <f t="shared" si="76"/>
        <v>0</v>
      </c>
    </row>
    <row r="1616" spans="1:7" hidden="1" x14ac:dyDescent="0.35">
      <c r="A1616" s="7">
        <v>50255</v>
      </c>
      <c r="B1616" s="8" t="s">
        <v>7</v>
      </c>
      <c r="C1616" s="9">
        <v>10.199999999999999</v>
      </c>
      <c r="D1616" s="10">
        <v>14.3</v>
      </c>
      <c r="E1616">
        <f t="shared" si="75"/>
        <v>1.4585999999999999</v>
      </c>
      <c r="F1616">
        <f t="shared" si="77"/>
        <v>74.112299999999877</v>
      </c>
      <c r="G1616">
        <f t="shared" si="76"/>
        <v>0</v>
      </c>
    </row>
    <row r="1617" spans="1:7" hidden="1" x14ac:dyDescent="0.35">
      <c r="A1617" s="11">
        <v>50256</v>
      </c>
      <c r="B1617" s="12" t="s">
        <v>11</v>
      </c>
      <c r="C1617" s="13">
        <v>14.5</v>
      </c>
      <c r="D1617" s="14">
        <v>10.5</v>
      </c>
      <c r="E1617">
        <f t="shared" si="75"/>
        <v>1.5225</v>
      </c>
      <c r="F1617">
        <f t="shared" si="77"/>
        <v>75.634799999999871</v>
      </c>
      <c r="G1617">
        <f t="shared" si="76"/>
        <v>0</v>
      </c>
    </row>
    <row r="1618" spans="1:7" hidden="1" x14ac:dyDescent="0.35">
      <c r="A1618" s="7">
        <v>50257</v>
      </c>
      <c r="B1618" s="8" t="s">
        <v>14</v>
      </c>
      <c r="C1618" s="9">
        <v>12.3</v>
      </c>
      <c r="D1618" s="10">
        <v>7.4</v>
      </c>
      <c r="E1618">
        <f t="shared" si="75"/>
        <v>0.91020000000000012</v>
      </c>
      <c r="F1618">
        <f t="shared" si="77"/>
        <v>76.544999999999874</v>
      </c>
      <c r="G1618">
        <f t="shared" si="76"/>
        <v>0</v>
      </c>
    </row>
    <row r="1619" spans="1:7" hidden="1" x14ac:dyDescent="0.35">
      <c r="A1619" s="11">
        <v>50258</v>
      </c>
      <c r="B1619" s="12" t="s">
        <v>13</v>
      </c>
      <c r="C1619" s="13">
        <v>17</v>
      </c>
      <c r="D1619" s="14">
        <v>16.899999999999999</v>
      </c>
      <c r="E1619">
        <f t="shared" si="75"/>
        <v>2.8729999999999993</v>
      </c>
      <c r="F1619">
        <f t="shared" si="77"/>
        <v>79.417999999999878</v>
      </c>
      <c r="G1619">
        <f t="shared" si="76"/>
        <v>0</v>
      </c>
    </row>
    <row r="1620" spans="1:7" hidden="1" x14ac:dyDescent="0.35">
      <c r="A1620" s="7">
        <v>50259</v>
      </c>
      <c r="B1620" s="8" t="s">
        <v>5</v>
      </c>
      <c r="C1620" s="9">
        <v>17.5</v>
      </c>
      <c r="D1620" s="10">
        <v>0</v>
      </c>
      <c r="E1620">
        <f t="shared" si="75"/>
        <v>0</v>
      </c>
      <c r="F1620">
        <f t="shared" si="77"/>
        <v>79.417999999999878</v>
      </c>
      <c r="G1620">
        <f t="shared" si="76"/>
        <v>0</v>
      </c>
    </row>
    <row r="1621" spans="1:7" hidden="1" x14ac:dyDescent="0.35">
      <c r="A1621" s="11">
        <v>50260</v>
      </c>
      <c r="B1621" s="12" t="s">
        <v>4</v>
      </c>
      <c r="C1621" s="13">
        <v>28.4</v>
      </c>
      <c r="D1621" s="14">
        <v>0</v>
      </c>
      <c r="E1621">
        <f t="shared" si="75"/>
        <v>0</v>
      </c>
      <c r="F1621">
        <f t="shared" si="77"/>
        <v>79.417999999999878</v>
      </c>
      <c r="G1621">
        <f t="shared" si="76"/>
        <v>0</v>
      </c>
    </row>
    <row r="1622" spans="1:7" hidden="1" x14ac:dyDescent="0.35">
      <c r="A1622" s="7">
        <v>50261</v>
      </c>
      <c r="B1622" s="8" t="s">
        <v>19</v>
      </c>
      <c r="C1622" s="9">
        <v>13.1</v>
      </c>
      <c r="D1622" s="10">
        <v>36.6</v>
      </c>
      <c r="E1622">
        <f t="shared" si="75"/>
        <v>4.7946</v>
      </c>
      <c r="F1622">
        <f t="shared" si="77"/>
        <v>84.212599999999881</v>
      </c>
      <c r="G1622">
        <f t="shared" si="76"/>
        <v>0</v>
      </c>
    </row>
    <row r="1623" spans="1:7" hidden="1" x14ac:dyDescent="0.35">
      <c r="A1623" s="11">
        <v>50262</v>
      </c>
      <c r="B1623" s="12" t="s">
        <v>7</v>
      </c>
      <c r="C1623" s="13">
        <v>16.600000000000001</v>
      </c>
      <c r="D1623" s="14">
        <v>6.6</v>
      </c>
      <c r="E1623">
        <f t="shared" si="75"/>
        <v>1.0956000000000001</v>
      </c>
      <c r="F1623">
        <f t="shared" si="77"/>
        <v>85.308199999999886</v>
      </c>
      <c r="G1623">
        <f t="shared" si="76"/>
        <v>0</v>
      </c>
    </row>
    <row r="1624" spans="1:7" hidden="1" x14ac:dyDescent="0.35">
      <c r="A1624" s="7">
        <v>50263</v>
      </c>
      <c r="B1624" s="8" t="s">
        <v>19</v>
      </c>
      <c r="C1624" s="9">
        <v>20.2</v>
      </c>
      <c r="D1624" s="10">
        <v>0</v>
      </c>
      <c r="E1624">
        <f t="shared" si="75"/>
        <v>0</v>
      </c>
      <c r="F1624">
        <f t="shared" si="77"/>
        <v>85.308199999999886</v>
      </c>
      <c r="G1624">
        <f t="shared" si="76"/>
        <v>0</v>
      </c>
    </row>
    <row r="1625" spans="1:7" hidden="1" x14ac:dyDescent="0.35">
      <c r="A1625" s="11">
        <v>50264</v>
      </c>
      <c r="B1625" s="12" t="s">
        <v>7</v>
      </c>
      <c r="C1625" s="13">
        <v>26.4</v>
      </c>
      <c r="D1625" s="14">
        <v>11.9</v>
      </c>
      <c r="E1625">
        <f t="shared" si="75"/>
        <v>3.1415999999999995</v>
      </c>
      <c r="F1625">
        <f t="shared" si="77"/>
        <v>88.449799999999883</v>
      </c>
      <c r="G1625">
        <f t="shared" si="76"/>
        <v>0</v>
      </c>
    </row>
    <row r="1626" spans="1:7" hidden="1" x14ac:dyDescent="0.35">
      <c r="A1626" s="7">
        <v>50265</v>
      </c>
      <c r="B1626" s="8" t="s">
        <v>10</v>
      </c>
      <c r="C1626" s="9">
        <v>11.8</v>
      </c>
      <c r="D1626" s="10">
        <v>0</v>
      </c>
      <c r="E1626">
        <f t="shared" si="75"/>
        <v>0</v>
      </c>
      <c r="F1626">
        <f t="shared" si="77"/>
        <v>88.449799999999883</v>
      </c>
      <c r="G1626">
        <f t="shared" si="76"/>
        <v>0</v>
      </c>
    </row>
    <row r="1627" spans="1:7" hidden="1" x14ac:dyDescent="0.35">
      <c r="A1627" s="11">
        <v>50266</v>
      </c>
      <c r="B1627" s="12" t="s">
        <v>17</v>
      </c>
      <c r="C1627" s="13">
        <v>19.5</v>
      </c>
      <c r="D1627" s="14">
        <v>6.4</v>
      </c>
      <c r="E1627">
        <f t="shared" si="75"/>
        <v>1.2480000000000002</v>
      </c>
      <c r="F1627">
        <f t="shared" si="77"/>
        <v>89.697799999999887</v>
      </c>
      <c r="G1627">
        <f t="shared" si="76"/>
        <v>0</v>
      </c>
    </row>
    <row r="1628" spans="1:7" hidden="1" x14ac:dyDescent="0.35">
      <c r="A1628" s="7">
        <v>50267</v>
      </c>
      <c r="B1628" s="8" t="s">
        <v>19</v>
      </c>
      <c r="C1628" s="9">
        <v>12</v>
      </c>
      <c r="D1628" s="10">
        <v>13.3</v>
      </c>
      <c r="E1628">
        <f t="shared" si="75"/>
        <v>1.5960000000000003</v>
      </c>
      <c r="F1628">
        <f t="shared" si="77"/>
        <v>91.293799999999891</v>
      </c>
      <c r="G1628">
        <f t="shared" si="76"/>
        <v>0</v>
      </c>
    </row>
    <row r="1629" spans="1:7" hidden="1" x14ac:dyDescent="0.35">
      <c r="A1629" s="11">
        <v>50268</v>
      </c>
      <c r="B1629" s="12" t="s">
        <v>22</v>
      </c>
      <c r="C1629" s="13">
        <v>16.3</v>
      </c>
      <c r="D1629" s="14">
        <v>7.5</v>
      </c>
      <c r="E1629">
        <f t="shared" si="75"/>
        <v>1.2224999999999999</v>
      </c>
      <c r="F1629">
        <f t="shared" si="77"/>
        <v>92.516299999999887</v>
      </c>
      <c r="G1629">
        <f t="shared" si="76"/>
        <v>0</v>
      </c>
    </row>
    <row r="1630" spans="1:7" hidden="1" x14ac:dyDescent="0.35">
      <c r="A1630" s="7">
        <v>50269</v>
      </c>
      <c r="B1630" s="8" t="s">
        <v>17</v>
      </c>
      <c r="C1630" s="9">
        <v>22.8</v>
      </c>
      <c r="D1630" s="10">
        <v>2.7</v>
      </c>
      <c r="E1630">
        <f t="shared" si="75"/>
        <v>0.61560000000000015</v>
      </c>
      <c r="F1630">
        <f t="shared" si="77"/>
        <v>93.131899999999888</v>
      </c>
      <c r="G1630">
        <f t="shared" si="76"/>
        <v>0</v>
      </c>
    </row>
    <row r="1631" spans="1:7" x14ac:dyDescent="0.35">
      <c r="A1631" s="11">
        <v>50270</v>
      </c>
      <c r="B1631" s="12" t="s">
        <v>10</v>
      </c>
      <c r="C1631" s="13">
        <v>16.2</v>
      </c>
      <c r="D1631" s="14">
        <v>43.3</v>
      </c>
      <c r="E1631">
        <f t="shared" si="75"/>
        <v>7.0145999999999988</v>
      </c>
      <c r="F1631">
        <f t="shared" si="77"/>
        <v>100.14649999999989</v>
      </c>
      <c r="G1631">
        <f t="shared" si="76"/>
        <v>1</v>
      </c>
    </row>
    <row r="1632" spans="1:7" hidden="1" x14ac:dyDescent="0.35">
      <c r="A1632" s="7">
        <v>50271</v>
      </c>
      <c r="B1632" s="8" t="s">
        <v>24</v>
      </c>
      <c r="C1632" s="9">
        <v>11.5</v>
      </c>
      <c r="D1632" s="10">
        <v>3.1</v>
      </c>
      <c r="E1632">
        <f t="shared" si="75"/>
        <v>0.35649999999999998</v>
      </c>
      <c r="F1632">
        <f t="shared" si="77"/>
        <v>0.50299999999988643</v>
      </c>
      <c r="G1632">
        <f t="shared" si="76"/>
        <v>0</v>
      </c>
    </row>
    <row r="1633" spans="1:7" hidden="1" x14ac:dyDescent="0.35">
      <c r="A1633" s="11">
        <v>50272</v>
      </c>
      <c r="B1633" s="12" t="s">
        <v>13</v>
      </c>
      <c r="C1633" s="13">
        <v>13.5</v>
      </c>
      <c r="D1633" s="14">
        <v>0</v>
      </c>
      <c r="E1633">
        <f t="shared" si="75"/>
        <v>0</v>
      </c>
      <c r="F1633">
        <f t="shared" si="77"/>
        <v>0.50299999999988643</v>
      </c>
      <c r="G1633">
        <f t="shared" si="76"/>
        <v>0</v>
      </c>
    </row>
    <row r="1634" spans="1:7" hidden="1" x14ac:dyDescent="0.35">
      <c r="A1634" s="7">
        <v>50273</v>
      </c>
      <c r="B1634" s="8" t="s">
        <v>17</v>
      </c>
      <c r="C1634" s="9">
        <v>16.2</v>
      </c>
      <c r="D1634" s="10">
        <v>6.4</v>
      </c>
      <c r="E1634">
        <f t="shared" si="75"/>
        <v>1.0368000000000002</v>
      </c>
      <c r="F1634">
        <f t="shared" si="77"/>
        <v>1.5397999999998866</v>
      </c>
      <c r="G1634">
        <f t="shared" si="76"/>
        <v>0</v>
      </c>
    </row>
    <row r="1635" spans="1:7" hidden="1" x14ac:dyDescent="0.35">
      <c r="A1635" s="11">
        <v>50274</v>
      </c>
      <c r="B1635" s="12" t="s">
        <v>10</v>
      </c>
      <c r="C1635" s="13">
        <v>18.5</v>
      </c>
      <c r="D1635" s="14">
        <v>24.9</v>
      </c>
      <c r="E1635">
        <f t="shared" si="75"/>
        <v>4.6064999999999996</v>
      </c>
      <c r="F1635">
        <f t="shared" si="77"/>
        <v>6.1462999999998864</v>
      </c>
      <c r="G1635">
        <f t="shared" si="76"/>
        <v>0</v>
      </c>
    </row>
    <row r="1636" spans="1:7" hidden="1" x14ac:dyDescent="0.35">
      <c r="A1636" s="7">
        <v>50275</v>
      </c>
      <c r="B1636" s="8" t="s">
        <v>19</v>
      </c>
      <c r="C1636" s="9">
        <v>10.9</v>
      </c>
      <c r="D1636" s="10">
        <v>0</v>
      </c>
      <c r="E1636">
        <f t="shared" si="75"/>
        <v>0</v>
      </c>
      <c r="F1636">
        <f t="shared" si="77"/>
        <v>6.1462999999998864</v>
      </c>
      <c r="G1636">
        <f t="shared" si="76"/>
        <v>0</v>
      </c>
    </row>
    <row r="1637" spans="1:7" hidden="1" x14ac:dyDescent="0.35">
      <c r="A1637" s="11">
        <v>50276</v>
      </c>
      <c r="B1637" s="12" t="s">
        <v>17</v>
      </c>
      <c r="C1637" s="13">
        <v>23.9</v>
      </c>
      <c r="D1637" s="14">
        <v>4.5</v>
      </c>
      <c r="E1637">
        <f t="shared" si="75"/>
        <v>1.0754999999999999</v>
      </c>
      <c r="F1637">
        <f t="shared" si="77"/>
        <v>7.2217999999998863</v>
      </c>
      <c r="G1637">
        <f t="shared" si="76"/>
        <v>0</v>
      </c>
    </row>
    <row r="1638" spans="1:7" hidden="1" x14ac:dyDescent="0.35">
      <c r="A1638" s="7">
        <v>50277</v>
      </c>
      <c r="B1638" s="8" t="s">
        <v>11</v>
      </c>
      <c r="C1638" s="9">
        <v>20.2</v>
      </c>
      <c r="D1638" s="10">
        <v>0</v>
      </c>
      <c r="E1638">
        <f t="shared" si="75"/>
        <v>0</v>
      </c>
      <c r="F1638">
        <f t="shared" si="77"/>
        <v>7.2217999999998863</v>
      </c>
      <c r="G1638">
        <f t="shared" si="76"/>
        <v>0</v>
      </c>
    </row>
    <row r="1639" spans="1:7" hidden="1" x14ac:dyDescent="0.35">
      <c r="A1639" s="11">
        <v>50278</v>
      </c>
      <c r="B1639" s="12" t="s">
        <v>7</v>
      </c>
      <c r="C1639" s="13">
        <v>23.3</v>
      </c>
      <c r="D1639" s="14">
        <v>0</v>
      </c>
      <c r="E1639">
        <f t="shared" si="75"/>
        <v>0</v>
      </c>
      <c r="F1639">
        <f t="shared" si="77"/>
        <v>7.2217999999998863</v>
      </c>
      <c r="G1639">
        <f t="shared" si="76"/>
        <v>0</v>
      </c>
    </row>
    <row r="1640" spans="1:7" hidden="1" x14ac:dyDescent="0.35">
      <c r="A1640" s="7">
        <v>50279</v>
      </c>
      <c r="B1640" s="8" t="s">
        <v>13</v>
      </c>
      <c r="C1640" s="9">
        <v>26.3</v>
      </c>
      <c r="D1640" s="10">
        <v>2.2000000000000002</v>
      </c>
      <c r="E1640">
        <f t="shared" si="75"/>
        <v>0.57860000000000011</v>
      </c>
      <c r="F1640">
        <f t="shared" si="77"/>
        <v>7.8003999999998861</v>
      </c>
      <c r="G1640">
        <f t="shared" si="76"/>
        <v>0</v>
      </c>
    </row>
    <row r="1641" spans="1:7" hidden="1" x14ac:dyDescent="0.35">
      <c r="A1641" s="11">
        <v>50280</v>
      </c>
      <c r="B1641" s="12" t="s">
        <v>13</v>
      </c>
      <c r="C1641" s="13">
        <v>20.3</v>
      </c>
      <c r="D1641" s="14">
        <v>16.600000000000001</v>
      </c>
      <c r="E1641">
        <f t="shared" si="75"/>
        <v>3.3698000000000001</v>
      </c>
      <c r="F1641">
        <f t="shared" si="77"/>
        <v>11.170199999999886</v>
      </c>
      <c r="G1641">
        <f t="shared" si="76"/>
        <v>0</v>
      </c>
    </row>
    <row r="1642" spans="1:7" hidden="1" x14ac:dyDescent="0.35">
      <c r="A1642" s="7">
        <v>50281</v>
      </c>
      <c r="B1642" s="8" t="s">
        <v>10</v>
      </c>
      <c r="C1642" s="9">
        <v>11.1</v>
      </c>
      <c r="D1642" s="10">
        <v>38</v>
      </c>
      <c r="E1642">
        <f t="shared" si="75"/>
        <v>4.218</v>
      </c>
      <c r="F1642">
        <f t="shared" si="77"/>
        <v>15.388199999999886</v>
      </c>
      <c r="G1642">
        <f t="shared" si="76"/>
        <v>0</v>
      </c>
    </row>
    <row r="1643" spans="1:7" hidden="1" x14ac:dyDescent="0.35">
      <c r="A1643" s="11">
        <v>50282</v>
      </c>
      <c r="B1643" s="12" t="s">
        <v>5</v>
      </c>
      <c r="C1643" s="13">
        <v>10.7</v>
      </c>
      <c r="D1643" s="14">
        <v>1.2</v>
      </c>
      <c r="E1643">
        <f t="shared" si="75"/>
        <v>0.12839999999999999</v>
      </c>
      <c r="F1643">
        <f t="shared" si="77"/>
        <v>15.516599999999885</v>
      </c>
      <c r="G1643">
        <f t="shared" si="76"/>
        <v>0</v>
      </c>
    </row>
    <row r="1644" spans="1:7" hidden="1" x14ac:dyDescent="0.35">
      <c r="A1644" s="7">
        <v>50283</v>
      </c>
      <c r="B1644" s="8" t="s">
        <v>21</v>
      </c>
      <c r="C1644" s="9">
        <v>21.8</v>
      </c>
      <c r="D1644" s="10">
        <v>0</v>
      </c>
      <c r="E1644">
        <f t="shared" si="75"/>
        <v>0</v>
      </c>
      <c r="F1644">
        <f t="shared" si="77"/>
        <v>15.516599999999885</v>
      </c>
      <c r="G1644">
        <f t="shared" si="76"/>
        <v>0</v>
      </c>
    </row>
    <row r="1645" spans="1:7" hidden="1" x14ac:dyDescent="0.35">
      <c r="A1645" s="11">
        <v>50284</v>
      </c>
      <c r="B1645" s="12" t="s">
        <v>7</v>
      </c>
      <c r="C1645" s="13">
        <v>29.7</v>
      </c>
      <c r="D1645" s="14">
        <v>2.5</v>
      </c>
      <c r="E1645">
        <f t="shared" si="75"/>
        <v>0.74250000000000005</v>
      </c>
      <c r="F1645">
        <f t="shared" si="77"/>
        <v>16.259099999999886</v>
      </c>
      <c r="G1645">
        <f t="shared" si="76"/>
        <v>0</v>
      </c>
    </row>
    <row r="1646" spans="1:7" hidden="1" x14ac:dyDescent="0.35">
      <c r="A1646" s="7">
        <v>50285</v>
      </c>
      <c r="B1646" s="8" t="s">
        <v>10</v>
      </c>
      <c r="C1646" s="9">
        <v>21.7</v>
      </c>
      <c r="D1646" s="10">
        <v>16.100000000000001</v>
      </c>
      <c r="E1646">
        <f t="shared" si="75"/>
        <v>3.4937</v>
      </c>
      <c r="F1646">
        <f t="shared" si="77"/>
        <v>19.752799999999887</v>
      </c>
      <c r="G1646">
        <f t="shared" si="76"/>
        <v>0</v>
      </c>
    </row>
    <row r="1647" spans="1:7" hidden="1" x14ac:dyDescent="0.35">
      <c r="A1647" s="11">
        <v>50286</v>
      </c>
      <c r="B1647" s="12" t="s">
        <v>10</v>
      </c>
      <c r="C1647" s="13">
        <v>26</v>
      </c>
      <c r="D1647" s="14">
        <v>47.6</v>
      </c>
      <c r="E1647">
        <f t="shared" si="75"/>
        <v>12.376000000000001</v>
      </c>
      <c r="F1647">
        <f t="shared" si="77"/>
        <v>32.128799999999885</v>
      </c>
      <c r="G1647">
        <f t="shared" si="76"/>
        <v>0</v>
      </c>
    </row>
    <row r="1648" spans="1:7" hidden="1" x14ac:dyDescent="0.35">
      <c r="A1648" s="7">
        <v>50287</v>
      </c>
      <c r="B1648" s="8" t="s">
        <v>7</v>
      </c>
      <c r="C1648" s="9">
        <v>18</v>
      </c>
      <c r="D1648" s="10">
        <v>5.3</v>
      </c>
      <c r="E1648">
        <f t="shared" si="75"/>
        <v>0.95399999999999996</v>
      </c>
      <c r="F1648">
        <f t="shared" si="77"/>
        <v>33.082799999999885</v>
      </c>
      <c r="G1648">
        <f t="shared" si="76"/>
        <v>0</v>
      </c>
    </row>
    <row r="1649" spans="1:7" hidden="1" x14ac:dyDescent="0.35">
      <c r="A1649" s="11">
        <v>50288</v>
      </c>
      <c r="B1649" s="12" t="s">
        <v>24</v>
      </c>
      <c r="C1649" s="13">
        <v>15.8</v>
      </c>
      <c r="D1649" s="14">
        <v>3.6</v>
      </c>
      <c r="E1649">
        <f t="shared" si="75"/>
        <v>0.56879999999999997</v>
      </c>
      <c r="F1649">
        <f t="shared" si="77"/>
        <v>33.651599999999888</v>
      </c>
      <c r="G1649">
        <f t="shared" si="76"/>
        <v>0</v>
      </c>
    </row>
    <row r="1650" spans="1:7" hidden="1" x14ac:dyDescent="0.35">
      <c r="A1650" s="7">
        <v>50289</v>
      </c>
      <c r="B1650" s="8" t="s">
        <v>26</v>
      </c>
      <c r="C1650" s="9">
        <v>14.1</v>
      </c>
      <c r="D1650" s="10">
        <v>6.8</v>
      </c>
      <c r="E1650">
        <f t="shared" si="75"/>
        <v>0.95879999999999999</v>
      </c>
      <c r="F1650">
        <f t="shared" si="77"/>
        <v>34.610399999999885</v>
      </c>
      <c r="G1650">
        <f t="shared" si="76"/>
        <v>0</v>
      </c>
    </row>
    <row r="1651" spans="1:7" hidden="1" x14ac:dyDescent="0.35">
      <c r="A1651" s="11">
        <v>50290</v>
      </c>
      <c r="B1651" s="12" t="s">
        <v>24</v>
      </c>
      <c r="C1651" s="13">
        <v>22.3</v>
      </c>
      <c r="D1651" s="14">
        <v>1.8</v>
      </c>
      <c r="E1651">
        <f t="shared" si="75"/>
        <v>0.40139999999999998</v>
      </c>
      <c r="F1651">
        <f t="shared" si="77"/>
        <v>35.011799999999887</v>
      </c>
      <c r="G1651">
        <f t="shared" si="76"/>
        <v>0</v>
      </c>
    </row>
    <row r="1652" spans="1:7" hidden="1" x14ac:dyDescent="0.35">
      <c r="A1652" s="7">
        <v>50291</v>
      </c>
      <c r="B1652" s="8" t="s">
        <v>19</v>
      </c>
      <c r="C1652" s="9">
        <v>22.2</v>
      </c>
      <c r="D1652" s="10">
        <v>0</v>
      </c>
      <c r="E1652">
        <f t="shared" si="75"/>
        <v>0</v>
      </c>
      <c r="F1652">
        <f t="shared" si="77"/>
        <v>35.011799999999887</v>
      </c>
      <c r="G1652">
        <f t="shared" si="76"/>
        <v>0</v>
      </c>
    </row>
    <row r="1653" spans="1:7" hidden="1" x14ac:dyDescent="0.35">
      <c r="A1653" s="11">
        <v>50292</v>
      </c>
      <c r="B1653" s="12" t="s">
        <v>6</v>
      </c>
      <c r="C1653" s="13">
        <v>23.8</v>
      </c>
      <c r="D1653" s="14">
        <v>0</v>
      </c>
      <c r="E1653">
        <f t="shared" si="75"/>
        <v>0</v>
      </c>
      <c r="F1653">
        <f t="shared" si="77"/>
        <v>35.011799999999887</v>
      </c>
      <c r="G1653">
        <f t="shared" si="76"/>
        <v>0</v>
      </c>
    </row>
    <row r="1654" spans="1:7" hidden="1" x14ac:dyDescent="0.35">
      <c r="A1654" s="7">
        <v>50293</v>
      </c>
      <c r="B1654" s="8" t="s">
        <v>14</v>
      </c>
      <c r="C1654" s="9">
        <v>10</v>
      </c>
      <c r="D1654" s="10">
        <v>8.1</v>
      </c>
      <c r="E1654">
        <f t="shared" si="75"/>
        <v>0.81</v>
      </c>
      <c r="F1654">
        <f t="shared" si="77"/>
        <v>35.82179999999989</v>
      </c>
      <c r="G1654">
        <f t="shared" si="76"/>
        <v>0</v>
      </c>
    </row>
    <row r="1655" spans="1:7" hidden="1" x14ac:dyDescent="0.35">
      <c r="A1655" s="11">
        <v>50294</v>
      </c>
      <c r="B1655" s="12" t="s">
        <v>24</v>
      </c>
      <c r="C1655" s="13">
        <v>23.8</v>
      </c>
      <c r="D1655" s="14">
        <v>0</v>
      </c>
      <c r="E1655">
        <f t="shared" si="75"/>
        <v>0</v>
      </c>
      <c r="F1655">
        <f t="shared" si="77"/>
        <v>35.82179999999989</v>
      </c>
      <c r="G1655">
        <f t="shared" si="76"/>
        <v>0</v>
      </c>
    </row>
    <row r="1656" spans="1:7" hidden="1" x14ac:dyDescent="0.35">
      <c r="A1656" s="7">
        <v>50295</v>
      </c>
      <c r="B1656" s="8" t="s">
        <v>23</v>
      </c>
      <c r="C1656" s="9">
        <v>13.4</v>
      </c>
      <c r="D1656" s="10">
        <v>2.6</v>
      </c>
      <c r="E1656">
        <f t="shared" si="75"/>
        <v>0.34840000000000004</v>
      </c>
      <c r="F1656">
        <f t="shared" si="77"/>
        <v>36.170199999999888</v>
      </c>
      <c r="G1656">
        <f t="shared" si="76"/>
        <v>0</v>
      </c>
    </row>
    <row r="1657" spans="1:7" hidden="1" x14ac:dyDescent="0.35">
      <c r="A1657" s="11">
        <v>50296</v>
      </c>
      <c r="B1657" s="12" t="s">
        <v>24</v>
      </c>
      <c r="C1657" s="13">
        <v>17</v>
      </c>
      <c r="D1657" s="14">
        <v>1.5</v>
      </c>
      <c r="E1657">
        <f t="shared" si="75"/>
        <v>0.255</v>
      </c>
      <c r="F1657">
        <f t="shared" si="77"/>
        <v>36.42519999999989</v>
      </c>
      <c r="G1657">
        <f t="shared" si="76"/>
        <v>0</v>
      </c>
    </row>
    <row r="1658" spans="1:7" hidden="1" x14ac:dyDescent="0.35">
      <c r="A1658" s="7">
        <v>50297</v>
      </c>
      <c r="B1658" s="8" t="s">
        <v>6</v>
      </c>
      <c r="C1658" s="9">
        <v>25.5</v>
      </c>
      <c r="D1658" s="10">
        <v>0</v>
      </c>
      <c r="E1658">
        <f t="shared" si="75"/>
        <v>0</v>
      </c>
      <c r="F1658">
        <f t="shared" si="77"/>
        <v>36.42519999999989</v>
      </c>
      <c r="G1658">
        <f t="shared" si="76"/>
        <v>0</v>
      </c>
    </row>
    <row r="1659" spans="1:7" hidden="1" x14ac:dyDescent="0.35">
      <c r="A1659" s="11">
        <v>50298</v>
      </c>
      <c r="B1659" s="12" t="s">
        <v>14</v>
      </c>
      <c r="C1659" s="13">
        <v>19.7</v>
      </c>
      <c r="D1659" s="14">
        <v>0</v>
      </c>
      <c r="E1659">
        <f t="shared" si="75"/>
        <v>0</v>
      </c>
      <c r="F1659">
        <f t="shared" si="77"/>
        <v>36.42519999999989</v>
      </c>
      <c r="G1659">
        <f t="shared" si="76"/>
        <v>0</v>
      </c>
    </row>
    <row r="1660" spans="1:7" hidden="1" x14ac:dyDescent="0.35">
      <c r="A1660" s="7">
        <v>50299</v>
      </c>
      <c r="B1660" s="8" t="s">
        <v>10</v>
      </c>
      <c r="C1660" s="9">
        <v>22.8</v>
      </c>
      <c r="D1660" s="10">
        <v>10.7</v>
      </c>
      <c r="E1660">
        <f t="shared" si="75"/>
        <v>2.4396</v>
      </c>
      <c r="F1660">
        <f t="shared" si="77"/>
        <v>38.864799999999889</v>
      </c>
      <c r="G1660">
        <f t="shared" si="76"/>
        <v>0</v>
      </c>
    </row>
    <row r="1661" spans="1:7" hidden="1" x14ac:dyDescent="0.35">
      <c r="A1661" s="11">
        <v>50300</v>
      </c>
      <c r="B1661" s="12" t="s">
        <v>16</v>
      </c>
      <c r="C1661" s="13">
        <v>25.5</v>
      </c>
      <c r="D1661" s="14">
        <v>0</v>
      </c>
      <c r="E1661">
        <f t="shared" si="75"/>
        <v>0</v>
      </c>
      <c r="F1661">
        <f t="shared" si="77"/>
        <v>38.864799999999889</v>
      </c>
      <c r="G1661">
        <f t="shared" si="76"/>
        <v>0</v>
      </c>
    </row>
    <row r="1662" spans="1:7" hidden="1" x14ac:dyDescent="0.35">
      <c r="A1662" s="7">
        <v>50301</v>
      </c>
      <c r="B1662" s="8" t="s">
        <v>10</v>
      </c>
      <c r="C1662" s="9">
        <v>16.8</v>
      </c>
      <c r="D1662" s="10">
        <v>2.2000000000000002</v>
      </c>
      <c r="E1662">
        <f t="shared" si="75"/>
        <v>0.3696000000000001</v>
      </c>
      <c r="F1662">
        <f t="shared" si="77"/>
        <v>39.234399999999887</v>
      </c>
      <c r="G1662">
        <f t="shared" si="76"/>
        <v>0</v>
      </c>
    </row>
    <row r="1663" spans="1:7" hidden="1" x14ac:dyDescent="0.35">
      <c r="A1663" s="11">
        <v>50302</v>
      </c>
      <c r="B1663" s="12" t="s">
        <v>23</v>
      </c>
      <c r="C1663" s="13">
        <v>25.3</v>
      </c>
      <c r="D1663" s="14">
        <v>2.5</v>
      </c>
      <c r="E1663">
        <f t="shared" si="75"/>
        <v>0.63249999999999995</v>
      </c>
      <c r="F1663">
        <f t="shared" si="77"/>
        <v>39.866899999999887</v>
      </c>
      <c r="G1663">
        <f t="shared" si="76"/>
        <v>0</v>
      </c>
    </row>
    <row r="1664" spans="1:7" hidden="1" x14ac:dyDescent="0.35">
      <c r="A1664" s="7">
        <v>50303</v>
      </c>
      <c r="B1664" s="8" t="s">
        <v>25</v>
      </c>
      <c r="C1664" s="9">
        <v>26.3</v>
      </c>
      <c r="D1664" s="10">
        <v>0.4</v>
      </c>
      <c r="E1664">
        <f t="shared" si="75"/>
        <v>0</v>
      </c>
      <c r="F1664">
        <f t="shared" si="77"/>
        <v>39.866899999999887</v>
      </c>
      <c r="G1664">
        <f t="shared" si="76"/>
        <v>0</v>
      </c>
    </row>
    <row r="1665" spans="1:7" hidden="1" x14ac:dyDescent="0.35">
      <c r="A1665" s="11">
        <v>50304</v>
      </c>
      <c r="B1665" s="12" t="s">
        <v>13</v>
      </c>
      <c r="C1665" s="13">
        <v>21.9</v>
      </c>
      <c r="D1665" s="14">
        <v>7</v>
      </c>
      <c r="E1665">
        <f t="shared" si="75"/>
        <v>1.5329999999999999</v>
      </c>
      <c r="F1665">
        <f t="shared" si="77"/>
        <v>41.399899999999889</v>
      </c>
      <c r="G1665">
        <f t="shared" si="76"/>
        <v>0</v>
      </c>
    </row>
    <row r="1666" spans="1:7" hidden="1" x14ac:dyDescent="0.35">
      <c r="A1666" s="7">
        <v>50305</v>
      </c>
      <c r="B1666" s="8" t="s">
        <v>13</v>
      </c>
      <c r="C1666" s="9">
        <v>11.2</v>
      </c>
      <c r="D1666" s="10">
        <v>0</v>
      </c>
      <c r="E1666">
        <f t="shared" si="75"/>
        <v>0</v>
      </c>
      <c r="F1666">
        <f t="shared" si="77"/>
        <v>41.399899999999889</v>
      </c>
      <c r="G1666">
        <f t="shared" si="76"/>
        <v>0</v>
      </c>
    </row>
    <row r="1667" spans="1:7" hidden="1" x14ac:dyDescent="0.35">
      <c r="A1667" s="11">
        <v>50306</v>
      </c>
      <c r="B1667" s="12" t="s">
        <v>15</v>
      </c>
      <c r="C1667" s="13">
        <v>10.6</v>
      </c>
      <c r="D1667" s="14">
        <v>5.2</v>
      </c>
      <c r="E1667">
        <f t="shared" ref="E1667:E1730" si="78">IF(D1667&gt;=1,C1667*D1667/100,0)</f>
        <v>0.55120000000000002</v>
      </c>
      <c r="F1667">
        <f t="shared" si="77"/>
        <v>41.95109999999989</v>
      </c>
      <c r="G1667">
        <f t="shared" ref="G1667:G1730" si="79">IF(F1667&gt;=100,1,0)</f>
        <v>0</v>
      </c>
    </row>
    <row r="1668" spans="1:7" hidden="1" x14ac:dyDescent="0.35">
      <c r="A1668" s="7">
        <v>50307</v>
      </c>
      <c r="B1668" s="8" t="s">
        <v>12</v>
      </c>
      <c r="C1668" s="9">
        <v>17.7</v>
      </c>
      <c r="D1668" s="10">
        <v>1</v>
      </c>
      <c r="E1668">
        <f t="shared" si="78"/>
        <v>0.17699999999999999</v>
      </c>
      <c r="F1668">
        <f t="shared" ref="F1668:F1731" si="80">IF(G1667=1,E1668+F1667-100,F1667+E1668)</f>
        <v>42.12809999999989</v>
      </c>
      <c r="G1668">
        <f t="shared" si="79"/>
        <v>0</v>
      </c>
    </row>
    <row r="1669" spans="1:7" hidden="1" x14ac:dyDescent="0.35">
      <c r="A1669" s="11">
        <v>50308</v>
      </c>
      <c r="B1669" s="12" t="s">
        <v>7</v>
      </c>
      <c r="C1669" s="13">
        <v>19.899999999999999</v>
      </c>
      <c r="D1669" s="14">
        <v>0</v>
      </c>
      <c r="E1669">
        <f t="shared" si="78"/>
        <v>0</v>
      </c>
      <c r="F1669">
        <f t="shared" si="80"/>
        <v>42.12809999999989</v>
      </c>
      <c r="G1669">
        <f t="shared" si="79"/>
        <v>0</v>
      </c>
    </row>
    <row r="1670" spans="1:7" hidden="1" x14ac:dyDescent="0.35">
      <c r="A1670" s="7">
        <v>50309</v>
      </c>
      <c r="B1670" s="8" t="s">
        <v>10</v>
      </c>
      <c r="C1670" s="9">
        <v>25.1</v>
      </c>
      <c r="D1670" s="10">
        <v>42.1</v>
      </c>
      <c r="E1670">
        <f t="shared" si="78"/>
        <v>10.5671</v>
      </c>
      <c r="F1670">
        <f t="shared" si="80"/>
        <v>52.695199999999886</v>
      </c>
      <c r="G1670">
        <f t="shared" si="79"/>
        <v>0</v>
      </c>
    </row>
    <row r="1671" spans="1:7" hidden="1" x14ac:dyDescent="0.35">
      <c r="A1671" s="11">
        <v>50310</v>
      </c>
      <c r="B1671" s="12" t="s">
        <v>9</v>
      </c>
      <c r="C1671" s="13">
        <v>18.5</v>
      </c>
      <c r="D1671" s="14">
        <v>0.3</v>
      </c>
      <c r="E1671">
        <f t="shared" si="78"/>
        <v>0</v>
      </c>
      <c r="F1671">
        <f t="shared" si="80"/>
        <v>52.695199999999886</v>
      </c>
      <c r="G1671">
        <f t="shared" si="79"/>
        <v>0</v>
      </c>
    </row>
    <row r="1672" spans="1:7" hidden="1" x14ac:dyDescent="0.35">
      <c r="A1672" s="7">
        <v>50311</v>
      </c>
      <c r="B1672" s="8" t="s">
        <v>10</v>
      </c>
      <c r="C1672" s="9">
        <v>25.5</v>
      </c>
      <c r="D1672" s="10">
        <v>25.3</v>
      </c>
      <c r="E1672">
        <f t="shared" si="78"/>
        <v>6.4514999999999993</v>
      </c>
      <c r="F1672">
        <f t="shared" si="80"/>
        <v>59.146699999999882</v>
      </c>
      <c r="G1672">
        <f t="shared" si="79"/>
        <v>0</v>
      </c>
    </row>
    <row r="1673" spans="1:7" hidden="1" x14ac:dyDescent="0.35">
      <c r="A1673" s="11">
        <v>50312</v>
      </c>
      <c r="B1673" s="12" t="s">
        <v>10</v>
      </c>
      <c r="C1673" s="13">
        <v>12.8</v>
      </c>
      <c r="D1673" s="14">
        <v>0</v>
      </c>
      <c r="E1673">
        <f t="shared" si="78"/>
        <v>0</v>
      </c>
      <c r="F1673">
        <f t="shared" si="80"/>
        <v>59.146699999999882</v>
      </c>
      <c r="G1673">
        <f t="shared" si="79"/>
        <v>0</v>
      </c>
    </row>
    <row r="1674" spans="1:7" hidden="1" x14ac:dyDescent="0.35">
      <c r="A1674" s="7">
        <v>50313</v>
      </c>
      <c r="B1674" s="8" t="s">
        <v>19</v>
      </c>
      <c r="C1674" s="9">
        <v>23.6</v>
      </c>
      <c r="D1674" s="10">
        <v>34.299999999999997</v>
      </c>
      <c r="E1674">
        <f t="shared" si="78"/>
        <v>8.0947999999999993</v>
      </c>
      <c r="F1674">
        <f t="shared" si="80"/>
        <v>67.241499999999888</v>
      </c>
      <c r="G1674">
        <f t="shared" si="79"/>
        <v>0</v>
      </c>
    </row>
    <row r="1675" spans="1:7" hidden="1" x14ac:dyDescent="0.35">
      <c r="A1675" s="11">
        <v>50314</v>
      </c>
      <c r="B1675" s="12" t="s">
        <v>15</v>
      </c>
      <c r="C1675" s="13">
        <v>13.1</v>
      </c>
      <c r="D1675" s="14">
        <v>2</v>
      </c>
      <c r="E1675">
        <f t="shared" si="78"/>
        <v>0.26200000000000001</v>
      </c>
      <c r="F1675">
        <f t="shared" si="80"/>
        <v>67.503499999999889</v>
      </c>
      <c r="G1675">
        <f t="shared" si="79"/>
        <v>0</v>
      </c>
    </row>
    <row r="1676" spans="1:7" hidden="1" x14ac:dyDescent="0.35">
      <c r="A1676" s="7">
        <v>50315</v>
      </c>
      <c r="B1676" s="8" t="s">
        <v>23</v>
      </c>
      <c r="C1676" s="9">
        <v>23</v>
      </c>
      <c r="D1676" s="10">
        <v>0</v>
      </c>
      <c r="E1676">
        <f t="shared" si="78"/>
        <v>0</v>
      </c>
      <c r="F1676">
        <f t="shared" si="80"/>
        <v>67.503499999999889</v>
      </c>
      <c r="G1676">
        <f t="shared" si="79"/>
        <v>0</v>
      </c>
    </row>
    <row r="1677" spans="1:7" hidden="1" x14ac:dyDescent="0.35">
      <c r="A1677" s="11">
        <v>50316</v>
      </c>
      <c r="B1677" s="12" t="s">
        <v>13</v>
      </c>
      <c r="C1677" s="13">
        <v>13</v>
      </c>
      <c r="D1677" s="14">
        <v>15.8</v>
      </c>
      <c r="E1677">
        <f t="shared" si="78"/>
        <v>2.0540000000000003</v>
      </c>
      <c r="F1677">
        <f t="shared" si="80"/>
        <v>69.557499999999891</v>
      </c>
      <c r="G1677">
        <f t="shared" si="79"/>
        <v>0</v>
      </c>
    </row>
    <row r="1678" spans="1:7" hidden="1" x14ac:dyDescent="0.35">
      <c r="A1678" s="7">
        <v>50317</v>
      </c>
      <c r="B1678" s="8" t="s">
        <v>9</v>
      </c>
      <c r="C1678" s="9">
        <v>19.5</v>
      </c>
      <c r="D1678" s="10">
        <v>8</v>
      </c>
      <c r="E1678">
        <f t="shared" si="78"/>
        <v>1.56</v>
      </c>
      <c r="F1678">
        <f t="shared" si="80"/>
        <v>71.117499999999893</v>
      </c>
      <c r="G1678">
        <f t="shared" si="79"/>
        <v>0</v>
      </c>
    </row>
    <row r="1679" spans="1:7" hidden="1" x14ac:dyDescent="0.35">
      <c r="A1679" s="11">
        <v>50318</v>
      </c>
      <c r="B1679" s="12" t="s">
        <v>7</v>
      </c>
      <c r="C1679" s="13">
        <v>19.2</v>
      </c>
      <c r="D1679" s="14">
        <v>0</v>
      </c>
      <c r="E1679">
        <f t="shared" si="78"/>
        <v>0</v>
      </c>
      <c r="F1679">
        <f t="shared" si="80"/>
        <v>71.117499999999893</v>
      </c>
      <c r="G1679">
        <f t="shared" si="79"/>
        <v>0</v>
      </c>
    </row>
    <row r="1680" spans="1:7" hidden="1" x14ac:dyDescent="0.35">
      <c r="A1680" s="7">
        <v>50319</v>
      </c>
      <c r="B1680" s="8" t="s">
        <v>5</v>
      </c>
      <c r="C1680" s="9">
        <v>28.3</v>
      </c>
      <c r="D1680" s="10">
        <v>1.1000000000000001</v>
      </c>
      <c r="E1680">
        <f t="shared" si="78"/>
        <v>0.31130000000000002</v>
      </c>
      <c r="F1680">
        <f t="shared" si="80"/>
        <v>71.428799999999896</v>
      </c>
      <c r="G1680">
        <f t="shared" si="79"/>
        <v>0</v>
      </c>
    </row>
    <row r="1681" spans="1:7" hidden="1" x14ac:dyDescent="0.35">
      <c r="A1681" s="11">
        <v>50320</v>
      </c>
      <c r="B1681" s="12" t="s">
        <v>10</v>
      </c>
      <c r="C1681" s="13">
        <v>18.100000000000001</v>
      </c>
      <c r="D1681" s="14">
        <v>0</v>
      </c>
      <c r="E1681">
        <f t="shared" si="78"/>
        <v>0</v>
      </c>
      <c r="F1681">
        <f t="shared" si="80"/>
        <v>71.428799999999896</v>
      </c>
      <c r="G1681">
        <f t="shared" si="79"/>
        <v>0</v>
      </c>
    </row>
    <row r="1682" spans="1:7" hidden="1" x14ac:dyDescent="0.35">
      <c r="A1682" s="7">
        <v>50321</v>
      </c>
      <c r="B1682" s="8" t="s">
        <v>19</v>
      </c>
      <c r="C1682" s="9">
        <v>17.5</v>
      </c>
      <c r="D1682" s="10">
        <v>13.3</v>
      </c>
      <c r="E1682">
        <f t="shared" si="78"/>
        <v>2.3275000000000001</v>
      </c>
      <c r="F1682">
        <f t="shared" si="80"/>
        <v>73.756299999999896</v>
      </c>
      <c r="G1682">
        <f t="shared" si="79"/>
        <v>0</v>
      </c>
    </row>
    <row r="1683" spans="1:7" hidden="1" x14ac:dyDescent="0.35">
      <c r="A1683" s="11">
        <v>50322</v>
      </c>
      <c r="B1683" s="12" t="s">
        <v>6</v>
      </c>
      <c r="C1683" s="13">
        <v>26.7</v>
      </c>
      <c r="D1683" s="14">
        <v>12.9</v>
      </c>
      <c r="E1683">
        <f t="shared" si="78"/>
        <v>3.4443000000000001</v>
      </c>
      <c r="F1683">
        <f t="shared" si="80"/>
        <v>77.200599999999895</v>
      </c>
      <c r="G1683">
        <f t="shared" si="79"/>
        <v>0</v>
      </c>
    </row>
    <row r="1684" spans="1:7" hidden="1" x14ac:dyDescent="0.35">
      <c r="A1684" s="7">
        <v>50323</v>
      </c>
      <c r="B1684" s="8" t="s">
        <v>19</v>
      </c>
      <c r="C1684" s="9">
        <v>26.6</v>
      </c>
      <c r="D1684" s="10">
        <v>0</v>
      </c>
      <c r="E1684">
        <f t="shared" si="78"/>
        <v>0</v>
      </c>
      <c r="F1684">
        <f t="shared" si="80"/>
        <v>77.200599999999895</v>
      </c>
      <c r="G1684">
        <f t="shared" si="79"/>
        <v>0</v>
      </c>
    </row>
    <row r="1685" spans="1:7" hidden="1" x14ac:dyDescent="0.35">
      <c r="A1685" s="11">
        <v>50324</v>
      </c>
      <c r="B1685" s="12" t="s">
        <v>22</v>
      </c>
      <c r="C1685" s="13">
        <v>12.2</v>
      </c>
      <c r="D1685" s="14">
        <v>1.8</v>
      </c>
      <c r="E1685">
        <f t="shared" si="78"/>
        <v>0.21960000000000002</v>
      </c>
      <c r="F1685">
        <f t="shared" si="80"/>
        <v>77.420199999999895</v>
      </c>
      <c r="G1685">
        <f t="shared" si="79"/>
        <v>0</v>
      </c>
    </row>
    <row r="1686" spans="1:7" hidden="1" x14ac:dyDescent="0.35">
      <c r="A1686" s="7">
        <v>50325</v>
      </c>
      <c r="B1686" s="8" t="s">
        <v>7</v>
      </c>
      <c r="C1686" s="9">
        <v>27.4</v>
      </c>
      <c r="D1686" s="10">
        <v>4.8</v>
      </c>
      <c r="E1686">
        <f t="shared" si="78"/>
        <v>1.3151999999999999</v>
      </c>
      <c r="F1686">
        <f t="shared" si="80"/>
        <v>78.735399999999899</v>
      </c>
      <c r="G1686">
        <f t="shared" si="79"/>
        <v>0</v>
      </c>
    </row>
    <row r="1687" spans="1:7" hidden="1" x14ac:dyDescent="0.35">
      <c r="A1687" s="11">
        <v>50326</v>
      </c>
      <c r="B1687" s="12" t="s">
        <v>13</v>
      </c>
      <c r="C1687" s="13">
        <v>24.9</v>
      </c>
      <c r="D1687" s="14">
        <v>1.6</v>
      </c>
      <c r="E1687">
        <f t="shared" si="78"/>
        <v>0.39840000000000003</v>
      </c>
      <c r="F1687">
        <f t="shared" si="80"/>
        <v>79.133799999999894</v>
      </c>
      <c r="G1687">
        <f t="shared" si="79"/>
        <v>0</v>
      </c>
    </row>
    <row r="1688" spans="1:7" hidden="1" x14ac:dyDescent="0.35">
      <c r="A1688" s="7">
        <v>50327</v>
      </c>
      <c r="B1688" s="8" t="s">
        <v>27</v>
      </c>
      <c r="C1688" s="9">
        <v>21.4</v>
      </c>
      <c r="D1688" s="10">
        <v>5.5</v>
      </c>
      <c r="E1688">
        <f t="shared" si="78"/>
        <v>1.1769999999999998</v>
      </c>
      <c r="F1688">
        <f t="shared" si="80"/>
        <v>80.310799999999901</v>
      </c>
      <c r="G1688">
        <f t="shared" si="79"/>
        <v>0</v>
      </c>
    </row>
    <row r="1689" spans="1:7" hidden="1" x14ac:dyDescent="0.35">
      <c r="A1689" s="11">
        <v>50328</v>
      </c>
      <c r="B1689" s="12" t="s">
        <v>29</v>
      </c>
      <c r="C1689" s="13">
        <v>14.1</v>
      </c>
      <c r="D1689" s="14">
        <v>0</v>
      </c>
      <c r="E1689">
        <f t="shared" si="78"/>
        <v>0</v>
      </c>
      <c r="F1689">
        <f t="shared" si="80"/>
        <v>80.310799999999901</v>
      </c>
      <c r="G1689">
        <f t="shared" si="79"/>
        <v>0</v>
      </c>
    </row>
    <row r="1690" spans="1:7" hidden="1" x14ac:dyDescent="0.35">
      <c r="A1690" s="7">
        <v>50329</v>
      </c>
      <c r="B1690" s="8" t="s">
        <v>25</v>
      </c>
      <c r="C1690" s="9">
        <v>15.4</v>
      </c>
      <c r="D1690" s="10">
        <v>2.1</v>
      </c>
      <c r="E1690">
        <f t="shared" si="78"/>
        <v>0.32340000000000002</v>
      </c>
      <c r="F1690">
        <f t="shared" si="80"/>
        <v>80.634199999999908</v>
      </c>
      <c r="G1690">
        <f t="shared" si="79"/>
        <v>0</v>
      </c>
    </row>
    <row r="1691" spans="1:7" hidden="1" x14ac:dyDescent="0.35">
      <c r="A1691" s="11">
        <v>50330</v>
      </c>
      <c r="B1691" s="12" t="s">
        <v>13</v>
      </c>
      <c r="C1691" s="13">
        <v>27.7</v>
      </c>
      <c r="D1691" s="14">
        <v>0</v>
      </c>
      <c r="E1691">
        <f t="shared" si="78"/>
        <v>0</v>
      </c>
      <c r="F1691">
        <f t="shared" si="80"/>
        <v>80.634199999999908</v>
      </c>
      <c r="G1691">
        <f t="shared" si="79"/>
        <v>0</v>
      </c>
    </row>
    <row r="1692" spans="1:7" hidden="1" x14ac:dyDescent="0.35">
      <c r="A1692" s="7">
        <v>50331</v>
      </c>
      <c r="B1692" s="8" t="s">
        <v>10</v>
      </c>
      <c r="C1692" s="9">
        <v>15.5</v>
      </c>
      <c r="D1692" s="10">
        <v>43.4</v>
      </c>
      <c r="E1692">
        <f t="shared" si="78"/>
        <v>6.7269999999999994</v>
      </c>
      <c r="F1692">
        <f t="shared" si="80"/>
        <v>87.361199999999911</v>
      </c>
      <c r="G1692">
        <f t="shared" si="79"/>
        <v>0</v>
      </c>
    </row>
    <row r="1693" spans="1:7" hidden="1" x14ac:dyDescent="0.35">
      <c r="A1693" s="11">
        <v>50332</v>
      </c>
      <c r="B1693" s="12" t="s">
        <v>7</v>
      </c>
      <c r="C1693" s="13">
        <v>26.8</v>
      </c>
      <c r="D1693" s="14">
        <v>0</v>
      </c>
      <c r="E1693">
        <f t="shared" si="78"/>
        <v>0</v>
      </c>
      <c r="F1693">
        <f t="shared" si="80"/>
        <v>87.361199999999911</v>
      </c>
      <c r="G1693">
        <f t="shared" si="79"/>
        <v>0</v>
      </c>
    </row>
    <row r="1694" spans="1:7" hidden="1" x14ac:dyDescent="0.35">
      <c r="A1694" s="7">
        <v>50333</v>
      </c>
      <c r="B1694" s="8" t="s">
        <v>13</v>
      </c>
      <c r="C1694" s="9">
        <v>23.1</v>
      </c>
      <c r="D1694" s="10">
        <v>9.1</v>
      </c>
      <c r="E1694">
        <f t="shared" si="78"/>
        <v>2.1021000000000001</v>
      </c>
      <c r="F1694">
        <f t="shared" si="80"/>
        <v>89.463299999999919</v>
      </c>
      <c r="G1694">
        <f t="shared" si="79"/>
        <v>0</v>
      </c>
    </row>
    <row r="1695" spans="1:7" hidden="1" x14ac:dyDescent="0.35">
      <c r="A1695" s="11">
        <v>50334</v>
      </c>
      <c r="B1695" s="12" t="s">
        <v>6</v>
      </c>
      <c r="C1695" s="13">
        <v>22.8</v>
      </c>
      <c r="D1695" s="14">
        <v>12.9</v>
      </c>
      <c r="E1695">
        <f t="shared" si="78"/>
        <v>2.9412000000000003</v>
      </c>
      <c r="F1695">
        <f t="shared" si="80"/>
        <v>92.404499999999913</v>
      </c>
      <c r="G1695">
        <f t="shared" si="79"/>
        <v>0</v>
      </c>
    </row>
    <row r="1696" spans="1:7" hidden="1" x14ac:dyDescent="0.35">
      <c r="A1696" s="7">
        <v>50335</v>
      </c>
      <c r="B1696" s="8" t="s">
        <v>10</v>
      </c>
      <c r="C1696" s="9">
        <v>17.2</v>
      </c>
      <c r="D1696" s="10">
        <v>0</v>
      </c>
      <c r="E1696">
        <f t="shared" si="78"/>
        <v>0</v>
      </c>
      <c r="F1696">
        <f t="shared" si="80"/>
        <v>92.404499999999913</v>
      </c>
      <c r="G1696">
        <f t="shared" si="79"/>
        <v>0</v>
      </c>
    </row>
    <row r="1697" spans="1:7" hidden="1" x14ac:dyDescent="0.35">
      <c r="A1697" s="11">
        <v>50336</v>
      </c>
      <c r="B1697" s="12" t="s">
        <v>10</v>
      </c>
      <c r="C1697" s="13">
        <v>29.3</v>
      </c>
      <c r="D1697" s="14">
        <v>6.1</v>
      </c>
      <c r="E1697">
        <f t="shared" si="78"/>
        <v>1.7872999999999999</v>
      </c>
      <c r="F1697">
        <f t="shared" si="80"/>
        <v>94.191799999999915</v>
      </c>
      <c r="G1697">
        <f t="shared" si="79"/>
        <v>0</v>
      </c>
    </row>
    <row r="1698" spans="1:7" hidden="1" x14ac:dyDescent="0.35">
      <c r="A1698" s="7">
        <v>50337</v>
      </c>
      <c r="B1698" s="8" t="s">
        <v>13</v>
      </c>
      <c r="C1698" s="9">
        <v>19.5</v>
      </c>
      <c r="D1698" s="10">
        <v>14.2</v>
      </c>
      <c r="E1698">
        <f t="shared" si="78"/>
        <v>2.7689999999999997</v>
      </c>
      <c r="F1698">
        <f t="shared" si="80"/>
        <v>96.960799999999921</v>
      </c>
      <c r="G1698">
        <f t="shared" si="79"/>
        <v>0</v>
      </c>
    </row>
    <row r="1699" spans="1:7" hidden="1" x14ac:dyDescent="0.35">
      <c r="A1699" s="11">
        <v>50338</v>
      </c>
      <c r="B1699" s="12" t="s">
        <v>19</v>
      </c>
      <c r="C1699" s="13">
        <v>28.1</v>
      </c>
      <c r="D1699" s="14">
        <v>9.4</v>
      </c>
      <c r="E1699">
        <f t="shared" si="78"/>
        <v>2.6414000000000004</v>
      </c>
      <c r="F1699">
        <f t="shared" si="80"/>
        <v>99.602199999999925</v>
      </c>
      <c r="G1699">
        <f t="shared" si="79"/>
        <v>0</v>
      </c>
    </row>
    <row r="1700" spans="1:7" x14ac:dyDescent="0.35">
      <c r="A1700" s="7">
        <v>50339</v>
      </c>
      <c r="B1700" s="8" t="s">
        <v>11</v>
      </c>
      <c r="C1700" s="9">
        <v>21.1</v>
      </c>
      <c r="D1700" s="10">
        <v>12</v>
      </c>
      <c r="E1700">
        <f t="shared" si="78"/>
        <v>2.532</v>
      </c>
      <c r="F1700">
        <f t="shared" si="80"/>
        <v>102.13419999999992</v>
      </c>
      <c r="G1700">
        <f t="shared" si="79"/>
        <v>1</v>
      </c>
    </row>
    <row r="1701" spans="1:7" hidden="1" x14ac:dyDescent="0.35">
      <c r="A1701" s="11">
        <v>50340</v>
      </c>
      <c r="B1701" s="12" t="s">
        <v>7</v>
      </c>
      <c r="C1701" s="13">
        <v>23.8</v>
      </c>
      <c r="D1701" s="14">
        <v>13.3</v>
      </c>
      <c r="E1701">
        <f t="shared" si="78"/>
        <v>3.1654</v>
      </c>
      <c r="F1701">
        <f t="shared" si="80"/>
        <v>5.299599999999927</v>
      </c>
      <c r="G1701">
        <f t="shared" si="79"/>
        <v>0</v>
      </c>
    </row>
    <row r="1702" spans="1:7" hidden="1" x14ac:dyDescent="0.35">
      <c r="A1702" s="7">
        <v>50341</v>
      </c>
      <c r="B1702" s="8" t="s">
        <v>24</v>
      </c>
      <c r="C1702" s="9">
        <v>19.399999999999999</v>
      </c>
      <c r="D1702" s="10">
        <v>2.2000000000000002</v>
      </c>
      <c r="E1702">
        <f t="shared" si="78"/>
        <v>0.42680000000000001</v>
      </c>
      <c r="F1702">
        <f t="shared" si="80"/>
        <v>5.7263999999999271</v>
      </c>
      <c r="G1702">
        <f t="shared" si="79"/>
        <v>0</v>
      </c>
    </row>
    <row r="1703" spans="1:7" hidden="1" x14ac:dyDescent="0.35">
      <c r="A1703" s="11">
        <v>50342</v>
      </c>
      <c r="B1703" s="12" t="s">
        <v>7</v>
      </c>
      <c r="C1703" s="13">
        <v>25.8</v>
      </c>
      <c r="D1703" s="14">
        <v>17.100000000000001</v>
      </c>
      <c r="E1703">
        <f t="shared" si="78"/>
        <v>4.4118000000000004</v>
      </c>
      <c r="F1703">
        <f t="shared" si="80"/>
        <v>10.138199999999927</v>
      </c>
      <c r="G1703">
        <f t="shared" si="79"/>
        <v>0</v>
      </c>
    </row>
    <row r="1704" spans="1:7" hidden="1" x14ac:dyDescent="0.35">
      <c r="A1704" s="7">
        <v>50343</v>
      </c>
      <c r="B1704" s="8" t="s">
        <v>7</v>
      </c>
      <c r="C1704" s="9">
        <v>30</v>
      </c>
      <c r="D1704" s="10">
        <v>6.3</v>
      </c>
      <c r="E1704">
        <f t="shared" si="78"/>
        <v>1.89</v>
      </c>
      <c r="F1704">
        <f t="shared" si="80"/>
        <v>12.028199999999927</v>
      </c>
      <c r="G1704">
        <f t="shared" si="79"/>
        <v>0</v>
      </c>
    </row>
    <row r="1705" spans="1:7" hidden="1" x14ac:dyDescent="0.35">
      <c r="A1705" s="11">
        <v>50344</v>
      </c>
      <c r="B1705" s="12" t="s">
        <v>10</v>
      </c>
      <c r="C1705" s="13">
        <v>11</v>
      </c>
      <c r="D1705" s="14">
        <v>0</v>
      </c>
      <c r="E1705">
        <f t="shared" si="78"/>
        <v>0</v>
      </c>
      <c r="F1705">
        <f t="shared" si="80"/>
        <v>12.028199999999927</v>
      </c>
      <c r="G1705">
        <f t="shared" si="79"/>
        <v>0</v>
      </c>
    </row>
    <row r="1706" spans="1:7" hidden="1" x14ac:dyDescent="0.35">
      <c r="A1706" s="7">
        <v>50345</v>
      </c>
      <c r="B1706" s="8" t="s">
        <v>19</v>
      </c>
      <c r="C1706" s="9">
        <v>27.2</v>
      </c>
      <c r="D1706" s="10">
        <v>0</v>
      </c>
      <c r="E1706">
        <f t="shared" si="78"/>
        <v>0</v>
      </c>
      <c r="F1706">
        <f t="shared" si="80"/>
        <v>12.028199999999927</v>
      </c>
      <c r="G1706">
        <f t="shared" si="79"/>
        <v>0</v>
      </c>
    </row>
    <row r="1707" spans="1:7" hidden="1" x14ac:dyDescent="0.35">
      <c r="A1707" s="11">
        <v>50346</v>
      </c>
      <c r="B1707" s="12" t="s">
        <v>7</v>
      </c>
      <c r="C1707" s="13">
        <v>18.3</v>
      </c>
      <c r="D1707" s="14">
        <v>8.4</v>
      </c>
      <c r="E1707">
        <f t="shared" si="78"/>
        <v>1.5371999999999999</v>
      </c>
      <c r="F1707">
        <f t="shared" si="80"/>
        <v>13.565399999999928</v>
      </c>
      <c r="G1707">
        <f t="shared" si="79"/>
        <v>0</v>
      </c>
    </row>
    <row r="1708" spans="1:7" hidden="1" x14ac:dyDescent="0.35">
      <c r="A1708" s="7">
        <v>50347</v>
      </c>
      <c r="B1708" s="8" t="s">
        <v>25</v>
      </c>
      <c r="C1708" s="9">
        <v>14</v>
      </c>
      <c r="D1708" s="10">
        <v>2.5</v>
      </c>
      <c r="E1708">
        <f t="shared" si="78"/>
        <v>0.35</v>
      </c>
      <c r="F1708">
        <f t="shared" si="80"/>
        <v>13.915399999999927</v>
      </c>
      <c r="G1708">
        <f t="shared" si="79"/>
        <v>0</v>
      </c>
    </row>
    <row r="1709" spans="1:7" hidden="1" x14ac:dyDescent="0.35">
      <c r="A1709" s="11">
        <v>50348</v>
      </c>
      <c r="B1709" s="12" t="s">
        <v>7</v>
      </c>
      <c r="C1709" s="13">
        <v>26.2</v>
      </c>
      <c r="D1709" s="14">
        <v>6.9</v>
      </c>
      <c r="E1709">
        <f t="shared" si="78"/>
        <v>1.8078000000000001</v>
      </c>
      <c r="F1709">
        <f t="shared" si="80"/>
        <v>15.723199999999927</v>
      </c>
      <c r="G1709">
        <f t="shared" si="79"/>
        <v>0</v>
      </c>
    </row>
    <row r="1710" spans="1:7" hidden="1" x14ac:dyDescent="0.35">
      <c r="A1710" s="7">
        <v>50349</v>
      </c>
      <c r="B1710" s="8" t="s">
        <v>15</v>
      </c>
      <c r="C1710" s="9">
        <v>25.5</v>
      </c>
      <c r="D1710" s="10">
        <v>8.4</v>
      </c>
      <c r="E1710">
        <f t="shared" si="78"/>
        <v>2.1420000000000003</v>
      </c>
      <c r="F1710">
        <f t="shared" si="80"/>
        <v>17.865199999999927</v>
      </c>
      <c r="G1710">
        <f t="shared" si="79"/>
        <v>0</v>
      </c>
    </row>
    <row r="1711" spans="1:7" hidden="1" x14ac:dyDescent="0.35">
      <c r="A1711" s="11">
        <v>50350</v>
      </c>
      <c r="B1711" s="12" t="s">
        <v>18</v>
      </c>
      <c r="C1711" s="13">
        <v>23.1</v>
      </c>
      <c r="D1711" s="14">
        <v>11.4</v>
      </c>
      <c r="E1711">
        <f t="shared" si="78"/>
        <v>2.6334000000000004</v>
      </c>
      <c r="F1711">
        <f t="shared" si="80"/>
        <v>20.498599999999929</v>
      </c>
      <c r="G1711">
        <f t="shared" si="79"/>
        <v>0</v>
      </c>
    </row>
    <row r="1712" spans="1:7" hidden="1" x14ac:dyDescent="0.35">
      <c r="A1712" s="7">
        <v>50351</v>
      </c>
      <c r="B1712" s="8" t="s">
        <v>12</v>
      </c>
      <c r="C1712" s="9">
        <v>21.3</v>
      </c>
      <c r="D1712" s="10">
        <v>2.8</v>
      </c>
      <c r="E1712">
        <f t="shared" si="78"/>
        <v>0.59640000000000004</v>
      </c>
      <c r="F1712">
        <f t="shared" si="80"/>
        <v>21.094999999999928</v>
      </c>
      <c r="G1712">
        <f t="shared" si="79"/>
        <v>0</v>
      </c>
    </row>
    <row r="1713" spans="1:7" hidden="1" x14ac:dyDescent="0.35">
      <c r="A1713" s="11">
        <v>50352</v>
      </c>
      <c r="B1713" s="12" t="s">
        <v>12</v>
      </c>
      <c r="C1713" s="13">
        <v>16.3</v>
      </c>
      <c r="D1713" s="14">
        <v>7.6</v>
      </c>
      <c r="E1713">
        <f t="shared" si="78"/>
        <v>1.2387999999999999</v>
      </c>
      <c r="F1713">
        <f t="shared" si="80"/>
        <v>22.333799999999929</v>
      </c>
      <c r="G1713">
        <f t="shared" si="79"/>
        <v>0</v>
      </c>
    </row>
    <row r="1714" spans="1:7" hidden="1" x14ac:dyDescent="0.35">
      <c r="A1714" s="7">
        <v>50353</v>
      </c>
      <c r="B1714" s="8" t="s">
        <v>14</v>
      </c>
      <c r="C1714" s="9">
        <v>23.7</v>
      </c>
      <c r="D1714" s="10">
        <v>7.6</v>
      </c>
      <c r="E1714">
        <f t="shared" si="78"/>
        <v>1.8011999999999997</v>
      </c>
      <c r="F1714">
        <f t="shared" si="80"/>
        <v>24.134999999999927</v>
      </c>
      <c r="G1714">
        <f t="shared" si="79"/>
        <v>0</v>
      </c>
    </row>
    <row r="1715" spans="1:7" hidden="1" x14ac:dyDescent="0.35">
      <c r="A1715" s="11">
        <v>50354</v>
      </c>
      <c r="B1715" s="12" t="s">
        <v>18</v>
      </c>
      <c r="C1715" s="13">
        <v>24.8</v>
      </c>
      <c r="D1715" s="14">
        <v>0</v>
      </c>
      <c r="E1715">
        <f t="shared" si="78"/>
        <v>0</v>
      </c>
      <c r="F1715">
        <f t="shared" si="80"/>
        <v>24.134999999999927</v>
      </c>
      <c r="G1715">
        <f t="shared" si="79"/>
        <v>0</v>
      </c>
    </row>
    <row r="1716" spans="1:7" hidden="1" x14ac:dyDescent="0.35">
      <c r="A1716" s="7">
        <v>50355</v>
      </c>
      <c r="B1716" s="8" t="s">
        <v>33</v>
      </c>
      <c r="C1716" s="9">
        <v>21.7</v>
      </c>
      <c r="D1716" s="10">
        <v>1</v>
      </c>
      <c r="E1716">
        <f t="shared" si="78"/>
        <v>0.217</v>
      </c>
      <c r="F1716">
        <f t="shared" si="80"/>
        <v>24.351999999999926</v>
      </c>
      <c r="G1716">
        <f t="shared" si="79"/>
        <v>0</v>
      </c>
    </row>
    <row r="1717" spans="1:7" hidden="1" x14ac:dyDescent="0.35">
      <c r="A1717" s="11">
        <v>50356</v>
      </c>
      <c r="B1717" s="12" t="s">
        <v>10</v>
      </c>
      <c r="C1717" s="13">
        <v>16.7</v>
      </c>
      <c r="D1717" s="14">
        <v>21</v>
      </c>
      <c r="E1717">
        <f t="shared" si="78"/>
        <v>3.5069999999999997</v>
      </c>
      <c r="F1717">
        <f t="shared" si="80"/>
        <v>27.858999999999924</v>
      </c>
      <c r="G1717">
        <f t="shared" si="79"/>
        <v>0</v>
      </c>
    </row>
    <row r="1718" spans="1:7" hidden="1" x14ac:dyDescent="0.35">
      <c r="A1718" s="7">
        <v>50357</v>
      </c>
      <c r="B1718" s="8" t="s">
        <v>23</v>
      </c>
      <c r="C1718" s="9">
        <v>22.3</v>
      </c>
      <c r="D1718" s="10">
        <v>0.1</v>
      </c>
      <c r="E1718">
        <f t="shared" si="78"/>
        <v>0</v>
      </c>
      <c r="F1718">
        <f t="shared" si="80"/>
        <v>27.858999999999924</v>
      </c>
      <c r="G1718">
        <f t="shared" si="79"/>
        <v>0</v>
      </c>
    </row>
    <row r="1719" spans="1:7" hidden="1" x14ac:dyDescent="0.35">
      <c r="A1719" s="11">
        <v>50358</v>
      </c>
      <c r="B1719" s="12" t="s">
        <v>26</v>
      </c>
      <c r="C1719" s="13">
        <v>13.6</v>
      </c>
      <c r="D1719" s="14">
        <v>0</v>
      </c>
      <c r="E1719">
        <f t="shared" si="78"/>
        <v>0</v>
      </c>
      <c r="F1719">
        <f t="shared" si="80"/>
        <v>27.858999999999924</v>
      </c>
      <c r="G1719">
        <f t="shared" si="79"/>
        <v>0</v>
      </c>
    </row>
    <row r="1720" spans="1:7" hidden="1" x14ac:dyDescent="0.35">
      <c r="A1720" s="7">
        <v>50359</v>
      </c>
      <c r="B1720" s="8" t="s">
        <v>25</v>
      </c>
      <c r="C1720" s="9">
        <v>11.8</v>
      </c>
      <c r="D1720" s="10">
        <v>2.1</v>
      </c>
      <c r="E1720">
        <f t="shared" si="78"/>
        <v>0.24780000000000002</v>
      </c>
      <c r="F1720">
        <f t="shared" si="80"/>
        <v>28.106799999999925</v>
      </c>
      <c r="G1720">
        <f t="shared" si="79"/>
        <v>0</v>
      </c>
    </row>
    <row r="1721" spans="1:7" hidden="1" x14ac:dyDescent="0.35">
      <c r="A1721" s="11">
        <v>50360</v>
      </c>
      <c r="B1721" s="12" t="s">
        <v>11</v>
      </c>
      <c r="C1721" s="13">
        <v>11.1</v>
      </c>
      <c r="D1721" s="14">
        <v>0</v>
      </c>
      <c r="E1721">
        <f t="shared" si="78"/>
        <v>0</v>
      </c>
      <c r="F1721">
        <f t="shared" si="80"/>
        <v>28.106799999999925</v>
      </c>
      <c r="G1721">
        <f t="shared" si="79"/>
        <v>0</v>
      </c>
    </row>
    <row r="1722" spans="1:7" hidden="1" x14ac:dyDescent="0.35">
      <c r="A1722" s="7">
        <v>50361</v>
      </c>
      <c r="B1722" s="8" t="s">
        <v>13</v>
      </c>
      <c r="C1722" s="9">
        <v>11.2</v>
      </c>
      <c r="D1722" s="10">
        <v>15</v>
      </c>
      <c r="E1722">
        <f t="shared" si="78"/>
        <v>1.68</v>
      </c>
      <c r="F1722">
        <f t="shared" si="80"/>
        <v>29.786799999999925</v>
      </c>
      <c r="G1722">
        <f t="shared" si="79"/>
        <v>0</v>
      </c>
    </row>
    <row r="1723" spans="1:7" hidden="1" x14ac:dyDescent="0.35">
      <c r="A1723" s="11">
        <v>50362</v>
      </c>
      <c r="B1723" s="12" t="s">
        <v>23</v>
      </c>
      <c r="C1723" s="13">
        <v>19.100000000000001</v>
      </c>
      <c r="D1723" s="14">
        <v>0</v>
      </c>
      <c r="E1723">
        <f t="shared" si="78"/>
        <v>0</v>
      </c>
      <c r="F1723">
        <f t="shared" si="80"/>
        <v>29.786799999999925</v>
      </c>
      <c r="G1723">
        <f t="shared" si="79"/>
        <v>0</v>
      </c>
    </row>
    <row r="1724" spans="1:7" hidden="1" x14ac:dyDescent="0.35">
      <c r="A1724" s="7">
        <v>50363</v>
      </c>
      <c r="B1724" s="8" t="s">
        <v>10</v>
      </c>
      <c r="C1724" s="9">
        <v>11.1</v>
      </c>
      <c r="D1724" s="10">
        <v>46.3</v>
      </c>
      <c r="E1724">
        <f t="shared" si="78"/>
        <v>5.1392999999999995</v>
      </c>
      <c r="F1724">
        <f t="shared" si="80"/>
        <v>34.926099999999927</v>
      </c>
      <c r="G1724">
        <f t="shared" si="79"/>
        <v>0</v>
      </c>
    </row>
    <row r="1725" spans="1:7" hidden="1" x14ac:dyDescent="0.35">
      <c r="A1725" s="11">
        <v>50364</v>
      </c>
      <c r="B1725" s="12" t="s">
        <v>18</v>
      </c>
      <c r="C1725" s="13">
        <v>15.1</v>
      </c>
      <c r="D1725" s="14">
        <v>6.2</v>
      </c>
      <c r="E1725">
        <f t="shared" si="78"/>
        <v>0.93620000000000003</v>
      </c>
      <c r="F1725">
        <f t="shared" si="80"/>
        <v>35.862299999999927</v>
      </c>
      <c r="G1725">
        <f t="shared" si="79"/>
        <v>0</v>
      </c>
    </row>
    <row r="1726" spans="1:7" hidden="1" x14ac:dyDescent="0.35">
      <c r="A1726" s="7">
        <v>50365</v>
      </c>
      <c r="B1726" s="8" t="s">
        <v>15</v>
      </c>
      <c r="C1726" s="9">
        <v>21.7</v>
      </c>
      <c r="D1726" s="10">
        <v>0</v>
      </c>
      <c r="E1726">
        <f t="shared" si="78"/>
        <v>0</v>
      </c>
      <c r="F1726">
        <f t="shared" si="80"/>
        <v>35.862299999999927</v>
      </c>
      <c r="G1726">
        <f t="shared" si="79"/>
        <v>0</v>
      </c>
    </row>
    <row r="1727" spans="1:7" hidden="1" x14ac:dyDescent="0.35">
      <c r="A1727" s="11">
        <v>50366</v>
      </c>
      <c r="B1727" s="12" t="s">
        <v>23</v>
      </c>
      <c r="C1727" s="13">
        <v>19.7</v>
      </c>
      <c r="D1727" s="14">
        <v>0.2</v>
      </c>
      <c r="E1727">
        <f t="shared" si="78"/>
        <v>0</v>
      </c>
      <c r="F1727">
        <f t="shared" si="80"/>
        <v>35.862299999999927</v>
      </c>
      <c r="G1727">
        <f t="shared" si="79"/>
        <v>0</v>
      </c>
    </row>
    <row r="1728" spans="1:7" hidden="1" x14ac:dyDescent="0.35">
      <c r="A1728" s="7">
        <v>50367</v>
      </c>
      <c r="B1728" s="8" t="s">
        <v>7</v>
      </c>
      <c r="C1728" s="9">
        <v>17.5</v>
      </c>
      <c r="D1728" s="10">
        <v>2.2000000000000002</v>
      </c>
      <c r="E1728">
        <f t="shared" si="78"/>
        <v>0.38500000000000001</v>
      </c>
      <c r="F1728">
        <f t="shared" si="80"/>
        <v>36.247299999999925</v>
      </c>
      <c r="G1728">
        <f t="shared" si="79"/>
        <v>0</v>
      </c>
    </row>
    <row r="1729" spans="1:7" hidden="1" x14ac:dyDescent="0.35">
      <c r="A1729" s="11">
        <v>50368</v>
      </c>
      <c r="B1729" s="12" t="s">
        <v>6</v>
      </c>
      <c r="C1729" s="13">
        <v>18.8</v>
      </c>
      <c r="D1729" s="14">
        <v>11.3</v>
      </c>
      <c r="E1729">
        <f t="shared" si="78"/>
        <v>2.1244000000000001</v>
      </c>
      <c r="F1729">
        <f t="shared" si="80"/>
        <v>38.371699999999926</v>
      </c>
      <c r="G1729">
        <f t="shared" si="79"/>
        <v>0</v>
      </c>
    </row>
    <row r="1730" spans="1:7" hidden="1" x14ac:dyDescent="0.35">
      <c r="A1730" s="7">
        <v>50369</v>
      </c>
      <c r="B1730" s="8" t="s">
        <v>30</v>
      </c>
      <c r="C1730" s="9">
        <v>19.600000000000001</v>
      </c>
      <c r="D1730" s="10">
        <v>0.3</v>
      </c>
      <c r="E1730">
        <f t="shared" si="78"/>
        <v>0</v>
      </c>
      <c r="F1730">
        <f t="shared" si="80"/>
        <v>38.371699999999926</v>
      </c>
      <c r="G1730">
        <f t="shared" si="79"/>
        <v>0</v>
      </c>
    </row>
    <row r="1731" spans="1:7" hidden="1" x14ac:dyDescent="0.35">
      <c r="A1731" s="11">
        <v>50370</v>
      </c>
      <c r="B1731" s="12" t="s">
        <v>11</v>
      </c>
      <c r="C1731" s="13">
        <v>24.4</v>
      </c>
      <c r="D1731" s="14">
        <v>22</v>
      </c>
      <c r="E1731">
        <f t="shared" ref="E1731:E1794" si="81">IF(D1731&gt;=1,C1731*D1731/100,0)</f>
        <v>5.3679999999999994</v>
      </c>
      <c r="F1731">
        <f t="shared" si="80"/>
        <v>43.739699999999928</v>
      </c>
      <c r="G1731">
        <f t="shared" ref="G1731:G1794" si="82">IF(F1731&gt;=100,1,0)</f>
        <v>0</v>
      </c>
    </row>
    <row r="1732" spans="1:7" hidden="1" x14ac:dyDescent="0.35">
      <c r="A1732" s="7">
        <v>50371</v>
      </c>
      <c r="B1732" s="8" t="s">
        <v>23</v>
      </c>
      <c r="C1732" s="9">
        <v>10.5</v>
      </c>
      <c r="D1732" s="10">
        <v>0.1</v>
      </c>
      <c r="E1732">
        <f t="shared" si="81"/>
        <v>0</v>
      </c>
      <c r="F1732">
        <f t="shared" ref="F1732:F1795" si="83">IF(G1731=1,E1732+F1731-100,F1731+E1732)</f>
        <v>43.739699999999928</v>
      </c>
      <c r="G1732">
        <f t="shared" si="82"/>
        <v>0</v>
      </c>
    </row>
    <row r="1733" spans="1:7" hidden="1" x14ac:dyDescent="0.35">
      <c r="A1733" s="11">
        <v>50372</v>
      </c>
      <c r="B1733" s="12" t="s">
        <v>9</v>
      </c>
      <c r="C1733" s="13">
        <v>23.5</v>
      </c>
      <c r="D1733" s="14">
        <v>0</v>
      </c>
      <c r="E1733">
        <f t="shared" si="81"/>
        <v>0</v>
      </c>
      <c r="F1733">
        <f t="shared" si="83"/>
        <v>43.739699999999928</v>
      </c>
      <c r="G1733">
        <f t="shared" si="82"/>
        <v>0</v>
      </c>
    </row>
    <row r="1734" spans="1:7" hidden="1" x14ac:dyDescent="0.35">
      <c r="A1734" s="7">
        <v>50373</v>
      </c>
      <c r="B1734" s="8" t="s">
        <v>27</v>
      </c>
      <c r="C1734" s="9">
        <v>19.2</v>
      </c>
      <c r="D1734" s="10">
        <v>0</v>
      </c>
      <c r="E1734">
        <f t="shared" si="81"/>
        <v>0</v>
      </c>
      <c r="F1734">
        <f t="shared" si="83"/>
        <v>43.739699999999928</v>
      </c>
      <c r="G1734">
        <f t="shared" si="82"/>
        <v>0</v>
      </c>
    </row>
    <row r="1735" spans="1:7" hidden="1" x14ac:dyDescent="0.35">
      <c r="A1735" s="11">
        <v>50374</v>
      </c>
      <c r="B1735" s="12" t="s">
        <v>6</v>
      </c>
      <c r="C1735" s="13">
        <v>11</v>
      </c>
      <c r="D1735" s="14">
        <v>0</v>
      </c>
      <c r="E1735">
        <f t="shared" si="81"/>
        <v>0</v>
      </c>
      <c r="F1735">
        <f t="shared" si="83"/>
        <v>43.739699999999928</v>
      </c>
      <c r="G1735">
        <f t="shared" si="82"/>
        <v>0</v>
      </c>
    </row>
    <row r="1736" spans="1:7" hidden="1" x14ac:dyDescent="0.35">
      <c r="A1736" s="7">
        <v>50375</v>
      </c>
      <c r="B1736" s="8" t="s">
        <v>11</v>
      </c>
      <c r="C1736" s="9">
        <v>10.4</v>
      </c>
      <c r="D1736" s="10">
        <v>0</v>
      </c>
      <c r="E1736">
        <f t="shared" si="81"/>
        <v>0</v>
      </c>
      <c r="F1736">
        <f t="shared" si="83"/>
        <v>43.739699999999928</v>
      </c>
      <c r="G1736">
        <f t="shared" si="82"/>
        <v>0</v>
      </c>
    </row>
    <row r="1737" spans="1:7" hidden="1" x14ac:dyDescent="0.35">
      <c r="A1737" s="11">
        <v>50376</v>
      </c>
      <c r="B1737" s="12" t="s">
        <v>7</v>
      </c>
      <c r="C1737" s="13">
        <v>11.9</v>
      </c>
      <c r="D1737" s="14">
        <v>9</v>
      </c>
      <c r="E1737">
        <f t="shared" si="81"/>
        <v>1.0710000000000002</v>
      </c>
      <c r="F1737">
        <f t="shared" si="83"/>
        <v>44.810699999999926</v>
      </c>
      <c r="G1737">
        <f t="shared" si="82"/>
        <v>0</v>
      </c>
    </row>
    <row r="1738" spans="1:7" hidden="1" x14ac:dyDescent="0.35">
      <c r="A1738" s="7">
        <v>50377</v>
      </c>
      <c r="B1738" s="8" t="s">
        <v>14</v>
      </c>
      <c r="C1738" s="9">
        <v>23.1</v>
      </c>
      <c r="D1738" s="10">
        <v>2</v>
      </c>
      <c r="E1738">
        <f t="shared" si="81"/>
        <v>0.46200000000000002</v>
      </c>
      <c r="F1738">
        <f t="shared" si="83"/>
        <v>45.272699999999929</v>
      </c>
      <c r="G1738">
        <f t="shared" si="82"/>
        <v>0</v>
      </c>
    </row>
    <row r="1739" spans="1:7" hidden="1" x14ac:dyDescent="0.35">
      <c r="A1739" s="11">
        <v>50378</v>
      </c>
      <c r="B1739" s="12" t="s">
        <v>19</v>
      </c>
      <c r="C1739" s="13">
        <v>18.600000000000001</v>
      </c>
      <c r="D1739" s="14">
        <v>17.2</v>
      </c>
      <c r="E1739">
        <f t="shared" si="81"/>
        <v>3.1992000000000003</v>
      </c>
      <c r="F1739">
        <f t="shared" si="83"/>
        <v>48.471899999999927</v>
      </c>
      <c r="G1739">
        <f t="shared" si="82"/>
        <v>0</v>
      </c>
    </row>
    <row r="1740" spans="1:7" hidden="1" x14ac:dyDescent="0.35">
      <c r="A1740" s="7">
        <v>50379</v>
      </c>
      <c r="B1740" s="8" t="s">
        <v>6</v>
      </c>
      <c r="C1740" s="9">
        <v>21.8</v>
      </c>
      <c r="D1740" s="10">
        <v>12.3</v>
      </c>
      <c r="E1740">
        <f t="shared" si="81"/>
        <v>2.6814000000000004</v>
      </c>
      <c r="F1740">
        <f t="shared" si="83"/>
        <v>51.15329999999993</v>
      </c>
      <c r="G1740">
        <f t="shared" si="82"/>
        <v>0</v>
      </c>
    </row>
    <row r="1741" spans="1:7" hidden="1" x14ac:dyDescent="0.35">
      <c r="A1741" s="11">
        <v>50380</v>
      </c>
      <c r="B1741" s="12" t="s">
        <v>14</v>
      </c>
      <c r="C1741" s="13">
        <v>27.7</v>
      </c>
      <c r="D1741" s="14">
        <v>7.4</v>
      </c>
      <c r="E1741">
        <f t="shared" si="81"/>
        <v>2.0498000000000003</v>
      </c>
      <c r="F1741">
        <f t="shared" si="83"/>
        <v>53.203099999999928</v>
      </c>
      <c r="G1741">
        <f t="shared" si="82"/>
        <v>0</v>
      </c>
    </row>
    <row r="1742" spans="1:7" hidden="1" x14ac:dyDescent="0.35">
      <c r="A1742" s="7">
        <v>50381</v>
      </c>
      <c r="B1742" s="8" t="s">
        <v>19</v>
      </c>
      <c r="C1742" s="9">
        <v>23.2</v>
      </c>
      <c r="D1742" s="10">
        <v>24</v>
      </c>
      <c r="E1742">
        <f t="shared" si="81"/>
        <v>5.5679999999999996</v>
      </c>
      <c r="F1742">
        <f t="shared" si="83"/>
        <v>58.771099999999926</v>
      </c>
      <c r="G1742">
        <f t="shared" si="82"/>
        <v>0</v>
      </c>
    </row>
    <row r="1743" spans="1:7" hidden="1" x14ac:dyDescent="0.35">
      <c r="A1743" s="11">
        <v>50382</v>
      </c>
      <c r="B1743" s="12" t="s">
        <v>19</v>
      </c>
      <c r="C1743" s="13">
        <v>25.8</v>
      </c>
      <c r="D1743" s="14">
        <v>16.100000000000001</v>
      </c>
      <c r="E1743">
        <f t="shared" si="81"/>
        <v>4.1538000000000004</v>
      </c>
      <c r="F1743">
        <f t="shared" si="83"/>
        <v>62.924899999999923</v>
      </c>
      <c r="G1743">
        <f t="shared" si="82"/>
        <v>0</v>
      </c>
    </row>
    <row r="1744" spans="1:7" hidden="1" x14ac:dyDescent="0.35">
      <c r="A1744" s="7">
        <v>50383</v>
      </c>
      <c r="B1744" s="8" t="s">
        <v>5</v>
      </c>
      <c r="C1744" s="9">
        <v>19.8</v>
      </c>
      <c r="D1744" s="10">
        <v>6.6</v>
      </c>
      <c r="E1744">
        <f t="shared" si="81"/>
        <v>1.3068</v>
      </c>
      <c r="F1744">
        <f t="shared" si="83"/>
        <v>64.231699999999918</v>
      </c>
      <c r="G1744">
        <f t="shared" si="82"/>
        <v>0</v>
      </c>
    </row>
    <row r="1745" spans="1:7" hidden="1" x14ac:dyDescent="0.35">
      <c r="A1745" s="11">
        <v>50384</v>
      </c>
      <c r="B1745" s="12" t="s">
        <v>18</v>
      </c>
      <c r="C1745" s="13">
        <v>11.2</v>
      </c>
      <c r="D1745" s="14">
        <v>7.5</v>
      </c>
      <c r="E1745">
        <f t="shared" si="81"/>
        <v>0.84</v>
      </c>
      <c r="F1745">
        <f t="shared" si="83"/>
        <v>65.071699999999922</v>
      </c>
      <c r="G1745">
        <f t="shared" si="82"/>
        <v>0</v>
      </c>
    </row>
    <row r="1746" spans="1:7" hidden="1" x14ac:dyDescent="0.35">
      <c r="A1746" s="7">
        <v>50385</v>
      </c>
      <c r="B1746" s="8" t="s">
        <v>10</v>
      </c>
      <c r="C1746" s="9">
        <v>15.7</v>
      </c>
      <c r="D1746" s="10">
        <v>0</v>
      </c>
      <c r="E1746">
        <f t="shared" si="81"/>
        <v>0</v>
      </c>
      <c r="F1746">
        <f t="shared" si="83"/>
        <v>65.071699999999922</v>
      </c>
      <c r="G1746">
        <f t="shared" si="82"/>
        <v>0</v>
      </c>
    </row>
    <row r="1747" spans="1:7" hidden="1" x14ac:dyDescent="0.35">
      <c r="A1747" s="11">
        <v>50386</v>
      </c>
      <c r="B1747" s="12" t="s">
        <v>30</v>
      </c>
      <c r="C1747" s="13">
        <v>23.6</v>
      </c>
      <c r="D1747" s="14">
        <v>0.6</v>
      </c>
      <c r="E1747">
        <f t="shared" si="81"/>
        <v>0</v>
      </c>
      <c r="F1747">
        <f t="shared" si="83"/>
        <v>65.071699999999922</v>
      </c>
      <c r="G1747">
        <f t="shared" si="82"/>
        <v>0</v>
      </c>
    </row>
    <row r="1748" spans="1:7" hidden="1" x14ac:dyDescent="0.35">
      <c r="A1748" s="7">
        <v>50387</v>
      </c>
      <c r="B1748" s="8" t="s">
        <v>8</v>
      </c>
      <c r="C1748" s="9">
        <v>27.5</v>
      </c>
      <c r="D1748" s="10">
        <v>5.3</v>
      </c>
      <c r="E1748">
        <f t="shared" si="81"/>
        <v>1.4575</v>
      </c>
      <c r="F1748">
        <f t="shared" si="83"/>
        <v>66.529199999999918</v>
      </c>
      <c r="G1748">
        <f t="shared" si="82"/>
        <v>0</v>
      </c>
    </row>
    <row r="1749" spans="1:7" hidden="1" x14ac:dyDescent="0.35">
      <c r="A1749" s="11">
        <v>50388</v>
      </c>
      <c r="B1749" s="12" t="s">
        <v>5</v>
      </c>
      <c r="C1749" s="13">
        <v>17.3</v>
      </c>
      <c r="D1749" s="14">
        <v>0</v>
      </c>
      <c r="E1749">
        <f t="shared" si="81"/>
        <v>0</v>
      </c>
      <c r="F1749">
        <f t="shared" si="83"/>
        <v>66.529199999999918</v>
      </c>
      <c r="G1749">
        <f t="shared" si="82"/>
        <v>0</v>
      </c>
    </row>
    <row r="1750" spans="1:7" hidden="1" x14ac:dyDescent="0.35">
      <c r="A1750" s="7">
        <v>50389</v>
      </c>
      <c r="B1750" s="8" t="s">
        <v>19</v>
      </c>
      <c r="C1750" s="9">
        <v>11.2</v>
      </c>
      <c r="D1750" s="10">
        <v>32.700000000000003</v>
      </c>
      <c r="E1750">
        <f t="shared" si="81"/>
        <v>3.6623999999999999</v>
      </c>
      <c r="F1750">
        <f t="shared" si="83"/>
        <v>70.191599999999923</v>
      </c>
      <c r="G1750">
        <f t="shared" si="82"/>
        <v>0</v>
      </c>
    </row>
    <row r="1751" spans="1:7" hidden="1" x14ac:dyDescent="0.35">
      <c r="A1751" s="11">
        <v>50390</v>
      </c>
      <c r="B1751" s="12" t="s">
        <v>11</v>
      </c>
      <c r="C1751" s="13">
        <v>17.8</v>
      </c>
      <c r="D1751" s="14">
        <v>0</v>
      </c>
      <c r="E1751">
        <f t="shared" si="81"/>
        <v>0</v>
      </c>
      <c r="F1751">
        <f t="shared" si="83"/>
        <v>70.191599999999923</v>
      </c>
      <c r="G1751">
        <f t="shared" si="82"/>
        <v>0</v>
      </c>
    </row>
    <row r="1752" spans="1:7" hidden="1" x14ac:dyDescent="0.35">
      <c r="A1752" s="7">
        <v>50391</v>
      </c>
      <c r="B1752" s="8" t="s">
        <v>10</v>
      </c>
      <c r="C1752" s="9">
        <v>16.899999999999999</v>
      </c>
      <c r="D1752" s="10">
        <v>41.8</v>
      </c>
      <c r="E1752">
        <f t="shared" si="81"/>
        <v>7.0641999999999987</v>
      </c>
      <c r="F1752">
        <f t="shared" si="83"/>
        <v>77.255799999999923</v>
      </c>
      <c r="G1752">
        <f t="shared" si="82"/>
        <v>0</v>
      </c>
    </row>
    <row r="1753" spans="1:7" hidden="1" x14ac:dyDescent="0.35">
      <c r="A1753" s="11">
        <v>50392</v>
      </c>
      <c r="B1753" s="12" t="s">
        <v>11</v>
      </c>
      <c r="C1753" s="13">
        <v>18.3</v>
      </c>
      <c r="D1753" s="14">
        <v>0</v>
      </c>
      <c r="E1753">
        <f t="shared" si="81"/>
        <v>0</v>
      </c>
      <c r="F1753">
        <f t="shared" si="83"/>
        <v>77.255799999999923</v>
      </c>
      <c r="G1753">
        <f t="shared" si="82"/>
        <v>0</v>
      </c>
    </row>
    <row r="1754" spans="1:7" hidden="1" x14ac:dyDescent="0.35">
      <c r="A1754" s="7">
        <v>50393</v>
      </c>
      <c r="B1754" s="8" t="s">
        <v>17</v>
      </c>
      <c r="C1754" s="9">
        <v>12.2</v>
      </c>
      <c r="D1754" s="10">
        <v>0</v>
      </c>
      <c r="E1754">
        <f t="shared" si="81"/>
        <v>0</v>
      </c>
      <c r="F1754">
        <f t="shared" si="83"/>
        <v>77.255799999999923</v>
      </c>
      <c r="G1754">
        <f t="shared" si="82"/>
        <v>0</v>
      </c>
    </row>
    <row r="1755" spans="1:7" hidden="1" x14ac:dyDescent="0.35">
      <c r="A1755" s="11">
        <v>50394</v>
      </c>
      <c r="B1755" s="12" t="s">
        <v>13</v>
      </c>
      <c r="C1755" s="13">
        <v>21.2</v>
      </c>
      <c r="D1755" s="14">
        <v>0</v>
      </c>
      <c r="E1755">
        <f t="shared" si="81"/>
        <v>0</v>
      </c>
      <c r="F1755">
        <f t="shared" si="83"/>
        <v>77.255799999999923</v>
      </c>
      <c r="G1755">
        <f t="shared" si="82"/>
        <v>0</v>
      </c>
    </row>
    <row r="1756" spans="1:7" hidden="1" x14ac:dyDescent="0.35">
      <c r="A1756" s="7">
        <v>50395</v>
      </c>
      <c r="B1756" s="8" t="s">
        <v>10</v>
      </c>
      <c r="C1756" s="9">
        <v>19.600000000000001</v>
      </c>
      <c r="D1756" s="10">
        <v>48.2</v>
      </c>
      <c r="E1756">
        <f t="shared" si="81"/>
        <v>9.4472000000000023</v>
      </c>
      <c r="F1756">
        <f t="shared" si="83"/>
        <v>86.702999999999918</v>
      </c>
      <c r="G1756">
        <f t="shared" si="82"/>
        <v>0</v>
      </c>
    </row>
    <row r="1757" spans="1:7" hidden="1" x14ac:dyDescent="0.35">
      <c r="A1757" s="11">
        <v>50396</v>
      </c>
      <c r="B1757" s="12" t="s">
        <v>9</v>
      </c>
      <c r="C1757" s="13">
        <v>15.6</v>
      </c>
      <c r="D1757" s="14">
        <v>0.6</v>
      </c>
      <c r="E1757">
        <f t="shared" si="81"/>
        <v>0</v>
      </c>
      <c r="F1757">
        <f t="shared" si="83"/>
        <v>86.702999999999918</v>
      </c>
      <c r="G1757">
        <f t="shared" si="82"/>
        <v>0</v>
      </c>
    </row>
    <row r="1758" spans="1:7" hidden="1" x14ac:dyDescent="0.35">
      <c r="A1758" s="7">
        <v>50397</v>
      </c>
      <c r="B1758" s="8" t="s">
        <v>26</v>
      </c>
      <c r="C1758" s="9">
        <v>12.5</v>
      </c>
      <c r="D1758" s="10">
        <v>5.9</v>
      </c>
      <c r="E1758">
        <f t="shared" si="81"/>
        <v>0.73750000000000004</v>
      </c>
      <c r="F1758">
        <f t="shared" si="83"/>
        <v>87.440499999999915</v>
      </c>
      <c r="G1758">
        <f t="shared" si="82"/>
        <v>0</v>
      </c>
    </row>
    <row r="1759" spans="1:7" hidden="1" x14ac:dyDescent="0.35">
      <c r="A1759" s="11">
        <v>50398</v>
      </c>
      <c r="B1759" s="12" t="s">
        <v>12</v>
      </c>
      <c r="C1759" s="13">
        <v>29.3</v>
      </c>
      <c r="D1759" s="14">
        <v>0</v>
      </c>
      <c r="E1759">
        <f t="shared" si="81"/>
        <v>0</v>
      </c>
      <c r="F1759">
        <f t="shared" si="83"/>
        <v>87.440499999999915</v>
      </c>
      <c r="G1759">
        <f t="shared" si="82"/>
        <v>0</v>
      </c>
    </row>
    <row r="1760" spans="1:7" hidden="1" x14ac:dyDescent="0.35">
      <c r="A1760" s="7">
        <v>50399</v>
      </c>
      <c r="B1760" s="8" t="s">
        <v>18</v>
      </c>
      <c r="C1760" s="9">
        <v>24.6</v>
      </c>
      <c r="D1760" s="10">
        <v>0</v>
      </c>
      <c r="E1760">
        <f t="shared" si="81"/>
        <v>0</v>
      </c>
      <c r="F1760">
        <f t="shared" si="83"/>
        <v>87.440499999999915</v>
      </c>
      <c r="G1760">
        <f t="shared" si="82"/>
        <v>0</v>
      </c>
    </row>
    <row r="1761" spans="1:7" hidden="1" x14ac:dyDescent="0.35">
      <c r="A1761" s="11">
        <v>50400</v>
      </c>
      <c r="B1761" s="12" t="s">
        <v>9</v>
      </c>
      <c r="C1761" s="13">
        <v>21.2</v>
      </c>
      <c r="D1761" s="14">
        <v>3.1</v>
      </c>
      <c r="E1761">
        <f t="shared" si="81"/>
        <v>0.65720000000000001</v>
      </c>
      <c r="F1761">
        <f t="shared" si="83"/>
        <v>88.097699999999918</v>
      </c>
      <c r="G1761">
        <f t="shared" si="82"/>
        <v>0</v>
      </c>
    </row>
    <row r="1762" spans="1:7" hidden="1" x14ac:dyDescent="0.35">
      <c r="A1762" s="7">
        <v>50401</v>
      </c>
      <c r="B1762" s="8" t="s">
        <v>10</v>
      </c>
      <c r="C1762" s="9">
        <v>12.7</v>
      </c>
      <c r="D1762" s="10">
        <v>38.1</v>
      </c>
      <c r="E1762">
        <f t="shared" si="81"/>
        <v>4.8387000000000002</v>
      </c>
      <c r="F1762">
        <f t="shared" si="83"/>
        <v>92.936399999999921</v>
      </c>
      <c r="G1762">
        <f t="shared" si="82"/>
        <v>0</v>
      </c>
    </row>
    <row r="1763" spans="1:7" hidden="1" x14ac:dyDescent="0.35">
      <c r="A1763" s="11">
        <v>50402</v>
      </c>
      <c r="B1763" s="12" t="s">
        <v>23</v>
      </c>
      <c r="C1763" s="13">
        <v>20.6</v>
      </c>
      <c r="D1763" s="14">
        <v>5.2</v>
      </c>
      <c r="E1763">
        <f t="shared" si="81"/>
        <v>1.0712000000000002</v>
      </c>
      <c r="F1763">
        <f t="shared" si="83"/>
        <v>94.007599999999925</v>
      </c>
      <c r="G1763">
        <f t="shared" si="82"/>
        <v>0</v>
      </c>
    </row>
    <row r="1764" spans="1:7" hidden="1" x14ac:dyDescent="0.35">
      <c r="A1764" s="7">
        <v>50403</v>
      </c>
      <c r="B1764" s="8" t="s">
        <v>12</v>
      </c>
      <c r="C1764" s="9">
        <v>28.3</v>
      </c>
      <c r="D1764" s="10">
        <v>0</v>
      </c>
      <c r="E1764">
        <f t="shared" si="81"/>
        <v>0</v>
      </c>
      <c r="F1764">
        <f t="shared" si="83"/>
        <v>94.007599999999925</v>
      </c>
      <c r="G1764">
        <f t="shared" si="82"/>
        <v>0</v>
      </c>
    </row>
    <row r="1765" spans="1:7" hidden="1" x14ac:dyDescent="0.35">
      <c r="A1765" s="11">
        <v>50404</v>
      </c>
      <c r="B1765" s="12" t="s">
        <v>19</v>
      </c>
      <c r="C1765" s="13">
        <v>15.1</v>
      </c>
      <c r="D1765" s="14">
        <v>22.6</v>
      </c>
      <c r="E1765">
        <f t="shared" si="81"/>
        <v>3.4125999999999999</v>
      </c>
      <c r="F1765">
        <f t="shared" si="83"/>
        <v>97.420199999999923</v>
      </c>
      <c r="G1765">
        <f t="shared" si="82"/>
        <v>0</v>
      </c>
    </row>
    <row r="1766" spans="1:7" x14ac:dyDescent="0.35">
      <c r="A1766" s="7">
        <v>50405</v>
      </c>
      <c r="B1766" s="8" t="s">
        <v>15</v>
      </c>
      <c r="C1766" s="9">
        <v>24.8</v>
      </c>
      <c r="D1766" s="10">
        <v>10.5</v>
      </c>
      <c r="E1766">
        <f t="shared" si="81"/>
        <v>2.6040000000000005</v>
      </c>
      <c r="F1766">
        <f t="shared" si="83"/>
        <v>100.02419999999992</v>
      </c>
      <c r="G1766">
        <f t="shared" si="82"/>
        <v>1</v>
      </c>
    </row>
    <row r="1767" spans="1:7" hidden="1" x14ac:dyDescent="0.35">
      <c r="A1767" s="11">
        <v>50406</v>
      </c>
      <c r="B1767" s="12" t="s">
        <v>21</v>
      </c>
      <c r="C1767" s="13">
        <v>16.899999999999999</v>
      </c>
      <c r="D1767" s="14">
        <v>1.2</v>
      </c>
      <c r="E1767">
        <f t="shared" si="81"/>
        <v>0.20279999999999998</v>
      </c>
      <c r="F1767">
        <f t="shared" si="83"/>
        <v>0.2269999999999186</v>
      </c>
      <c r="G1767">
        <f t="shared" si="82"/>
        <v>0</v>
      </c>
    </row>
    <row r="1768" spans="1:7" hidden="1" x14ac:dyDescent="0.35">
      <c r="A1768" s="7">
        <v>50407</v>
      </c>
      <c r="B1768" s="8" t="s">
        <v>21</v>
      </c>
      <c r="C1768" s="9">
        <v>23.4</v>
      </c>
      <c r="D1768" s="10">
        <v>0</v>
      </c>
      <c r="E1768">
        <f t="shared" si="81"/>
        <v>0</v>
      </c>
      <c r="F1768">
        <f t="shared" si="83"/>
        <v>0.2269999999999186</v>
      </c>
      <c r="G1768">
        <f t="shared" si="82"/>
        <v>0</v>
      </c>
    </row>
    <row r="1769" spans="1:7" hidden="1" x14ac:dyDescent="0.35">
      <c r="A1769" s="11">
        <v>50408</v>
      </c>
      <c r="B1769" s="12" t="s">
        <v>7</v>
      </c>
      <c r="C1769" s="13">
        <v>10.5</v>
      </c>
      <c r="D1769" s="14">
        <v>22.2</v>
      </c>
      <c r="E1769">
        <f t="shared" si="81"/>
        <v>2.331</v>
      </c>
      <c r="F1769">
        <f t="shared" si="83"/>
        <v>2.5579999999999186</v>
      </c>
      <c r="G1769">
        <f t="shared" si="82"/>
        <v>0</v>
      </c>
    </row>
    <row r="1770" spans="1:7" hidden="1" x14ac:dyDescent="0.35">
      <c r="A1770" s="7">
        <v>50409</v>
      </c>
      <c r="B1770" s="8" t="s">
        <v>10</v>
      </c>
      <c r="C1770" s="9">
        <v>16.2</v>
      </c>
      <c r="D1770" s="10">
        <v>0</v>
      </c>
      <c r="E1770">
        <f t="shared" si="81"/>
        <v>0</v>
      </c>
      <c r="F1770">
        <f t="shared" si="83"/>
        <v>2.5579999999999186</v>
      </c>
      <c r="G1770">
        <f t="shared" si="82"/>
        <v>0</v>
      </c>
    </row>
    <row r="1771" spans="1:7" hidden="1" x14ac:dyDescent="0.35">
      <c r="A1771" s="11">
        <v>50410</v>
      </c>
      <c r="B1771" s="12" t="s">
        <v>16</v>
      </c>
      <c r="C1771" s="13">
        <v>29.7</v>
      </c>
      <c r="D1771" s="14">
        <v>0.3</v>
      </c>
      <c r="E1771">
        <f t="shared" si="81"/>
        <v>0</v>
      </c>
      <c r="F1771">
        <f t="shared" si="83"/>
        <v>2.5579999999999186</v>
      </c>
      <c r="G1771">
        <f t="shared" si="82"/>
        <v>0</v>
      </c>
    </row>
    <row r="1772" spans="1:7" hidden="1" x14ac:dyDescent="0.35">
      <c r="A1772" s="7">
        <v>50411</v>
      </c>
      <c r="B1772" s="8" t="s">
        <v>10</v>
      </c>
      <c r="C1772" s="9">
        <v>12.8</v>
      </c>
      <c r="D1772" s="10">
        <v>0</v>
      </c>
      <c r="E1772">
        <f t="shared" si="81"/>
        <v>0</v>
      </c>
      <c r="F1772">
        <f t="shared" si="83"/>
        <v>2.5579999999999186</v>
      </c>
      <c r="G1772">
        <f t="shared" si="82"/>
        <v>0</v>
      </c>
    </row>
    <row r="1773" spans="1:7" hidden="1" x14ac:dyDescent="0.35">
      <c r="A1773" s="11">
        <v>50412</v>
      </c>
      <c r="B1773" s="12" t="s">
        <v>8</v>
      </c>
      <c r="C1773" s="13">
        <v>19.100000000000001</v>
      </c>
      <c r="D1773" s="14">
        <v>1.7</v>
      </c>
      <c r="E1773">
        <f t="shared" si="81"/>
        <v>0.32469999999999999</v>
      </c>
      <c r="F1773">
        <f t="shared" si="83"/>
        <v>2.8826999999999185</v>
      </c>
      <c r="G1773">
        <f t="shared" si="82"/>
        <v>0</v>
      </c>
    </row>
    <row r="1774" spans="1:7" hidden="1" x14ac:dyDescent="0.35">
      <c r="A1774" s="7">
        <v>50413</v>
      </c>
      <c r="B1774" s="8" t="s">
        <v>11</v>
      </c>
      <c r="C1774" s="9">
        <v>27.7</v>
      </c>
      <c r="D1774" s="10">
        <v>0</v>
      </c>
      <c r="E1774">
        <f t="shared" si="81"/>
        <v>0</v>
      </c>
      <c r="F1774">
        <f t="shared" si="83"/>
        <v>2.8826999999999185</v>
      </c>
      <c r="G1774">
        <f t="shared" si="82"/>
        <v>0</v>
      </c>
    </row>
    <row r="1775" spans="1:7" hidden="1" x14ac:dyDescent="0.35">
      <c r="A1775" s="11">
        <v>50414</v>
      </c>
      <c r="B1775" s="12" t="s">
        <v>14</v>
      </c>
      <c r="C1775" s="13">
        <v>22</v>
      </c>
      <c r="D1775" s="14">
        <v>5.9</v>
      </c>
      <c r="E1775">
        <f t="shared" si="81"/>
        <v>1.298</v>
      </c>
      <c r="F1775">
        <f t="shared" si="83"/>
        <v>4.1806999999999181</v>
      </c>
      <c r="G1775">
        <f t="shared" si="82"/>
        <v>0</v>
      </c>
    </row>
    <row r="1776" spans="1:7" hidden="1" x14ac:dyDescent="0.35">
      <c r="A1776" s="7">
        <v>50415</v>
      </c>
      <c r="B1776" s="8" t="s">
        <v>6</v>
      </c>
      <c r="C1776" s="9">
        <v>19.600000000000001</v>
      </c>
      <c r="D1776" s="10">
        <v>2.7</v>
      </c>
      <c r="E1776">
        <f t="shared" si="81"/>
        <v>0.52920000000000011</v>
      </c>
      <c r="F1776">
        <f t="shared" si="83"/>
        <v>4.7098999999999185</v>
      </c>
      <c r="G1776">
        <f t="shared" si="82"/>
        <v>0</v>
      </c>
    </row>
    <row r="1777" spans="1:7" hidden="1" x14ac:dyDescent="0.35">
      <c r="A1777" s="11">
        <v>50416</v>
      </c>
      <c r="B1777" s="12" t="s">
        <v>8</v>
      </c>
      <c r="C1777" s="13">
        <v>16</v>
      </c>
      <c r="D1777" s="14">
        <v>0.3</v>
      </c>
      <c r="E1777">
        <f t="shared" si="81"/>
        <v>0</v>
      </c>
      <c r="F1777">
        <f t="shared" si="83"/>
        <v>4.7098999999999185</v>
      </c>
      <c r="G1777">
        <f t="shared" si="82"/>
        <v>0</v>
      </c>
    </row>
    <row r="1778" spans="1:7" hidden="1" x14ac:dyDescent="0.35">
      <c r="A1778" s="7">
        <v>50417</v>
      </c>
      <c r="B1778" s="8" t="s">
        <v>5</v>
      </c>
      <c r="C1778" s="9">
        <v>14</v>
      </c>
      <c r="D1778" s="10">
        <v>1.3</v>
      </c>
      <c r="E1778">
        <f t="shared" si="81"/>
        <v>0.182</v>
      </c>
      <c r="F1778">
        <f t="shared" si="83"/>
        <v>4.8918999999999189</v>
      </c>
      <c r="G1778">
        <f t="shared" si="82"/>
        <v>0</v>
      </c>
    </row>
    <row r="1779" spans="1:7" hidden="1" x14ac:dyDescent="0.35">
      <c r="A1779" s="11">
        <v>50418</v>
      </c>
      <c r="B1779" s="12" t="s">
        <v>15</v>
      </c>
      <c r="C1779" s="13">
        <v>29.5</v>
      </c>
      <c r="D1779" s="14">
        <v>3.3</v>
      </c>
      <c r="E1779">
        <f t="shared" si="81"/>
        <v>0.97349999999999992</v>
      </c>
      <c r="F1779">
        <f t="shared" si="83"/>
        <v>5.8653999999999185</v>
      </c>
      <c r="G1779">
        <f t="shared" si="82"/>
        <v>0</v>
      </c>
    </row>
    <row r="1780" spans="1:7" hidden="1" x14ac:dyDescent="0.35">
      <c r="A1780" s="7">
        <v>50419</v>
      </c>
      <c r="B1780" s="8" t="s">
        <v>7</v>
      </c>
      <c r="C1780" s="9">
        <v>12.2</v>
      </c>
      <c r="D1780" s="10">
        <v>0</v>
      </c>
      <c r="E1780">
        <f t="shared" si="81"/>
        <v>0</v>
      </c>
      <c r="F1780">
        <f t="shared" si="83"/>
        <v>5.8653999999999185</v>
      </c>
      <c r="G1780">
        <f t="shared" si="82"/>
        <v>0</v>
      </c>
    </row>
    <row r="1781" spans="1:7" hidden="1" x14ac:dyDescent="0.35">
      <c r="A1781" s="11">
        <v>50420</v>
      </c>
      <c r="B1781" s="12" t="s">
        <v>11</v>
      </c>
      <c r="C1781" s="13">
        <v>15</v>
      </c>
      <c r="D1781" s="14">
        <v>7.4</v>
      </c>
      <c r="E1781">
        <f t="shared" si="81"/>
        <v>1.1100000000000001</v>
      </c>
      <c r="F1781">
        <f t="shared" si="83"/>
        <v>6.9753999999999188</v>
      </c>
      <c r="G1781">
        <f t="shared" si="82"/>
        <v>0</v>
      </c>
    </row>
    <row r="1782" spans="1:7" hidden="1" x14ac:dyDescent="0.35">
      <c r="A1782" s="7">
        <v>50421</v>
      </c>
      <c r="B1782" s="8" t="s">
        <v>20</v>
      </c>
      <c r="C1782" s="9">
        <v>10.4</v>
      </c>
      <c r="D1782" s="10">
        <v>2</v>
      </c>
      <c r="E1782">
        <f t="shared" si="81"/>
        <v>0.20800000000000002</v>
      </c>
      <c r="F1782">
        <f t="shared" si="83"/>
        <v>7.183399999999919</v>
      </c>
      <c r="G1782">
        <f t="shared" si="82"/>
        <v>0</v>
      </c>
    </row>
    <row r="1783" spans="1:7" hidden="1" x14ac:dyDescent="0.35">
      <c r="A1783" s="11">
        <v>50422</v>
      </c>
      <c r="B1783" s="12" t="s">
        <v>19</v>
      </c>
      <c r="C1783" s="13">
        <v>18.600000000000001</v>
      </c>
      <c r="D1783" s="14">
        <v>4.5999999999999996</v>
      </c>
      <c r="E1783">
        <f t="shared" si="81"/>
        <v>0.85560000000000003</v>
      </c>
      <c r="F1783">
        <f t="shared" si="83"/>
        <v>8.0389999999999198</v>
      </c>
      <c r="G1783">
        <f t="shared" si="82"/>
        <v>0</v>
      </c>
    </row>
    <row r="1784" spans="1:7" hidden="1" x14ac:dyDescent="0.35">
      <c r="A1784" s="7">
        <v>50423</v>
      </c>
      <c r="B1784" s="8" t="s">
        <v>18</v>
      </c>
      <c r="C1784" s="9">
        <v>23.7</v>
      </c>
      <c r="D1784" s="10">
        <v>7.2</v>
      </c>
      <c r="E1784">
        <f t="shared" si="81"/>
        <v>1.7063999999999999</v>
      </c>
      <c r="F1784">
        <f t="shared" si="83"/>
        <v>9.7453999999999201</v>
      </c>
      <c r="G1784">
        <f t="shared" si="82"/>
        <v>0</v>
      </c>
    </row>
    <row r="1785" spans="1:7" hidden="1" x14ac:dyDescent="0.35">
      <c r="A1785" s="11">
        <v>50424</v>
      </c>
      <c r="B1785" s="12" t="s">
        <v>5</v>
      </c>
      <c r="C1785" s="13">
        <v>27.2</v>
      </c>
      <c r="D1785" s="14">
        <v>0</v>
      </c>
      <c r="E1785">
        <f t="shared" si="81"/>
        <v>0</v>
      </c>
      <c r="F1785">
        <f t="shared" si="83"/>
        <v>9.7453999999999201</v>
      </c>
      <c r="G1785">
        <f t="shared" si="82"/>
        <v>0</v>
      </c>
    </row>
    <row r="1786" spans="1:7" hidden="1" x14ac:dyDescent="0.35">
      <c r="A1786" s="7">
        <v>50425</v>
      </c>
      <c r="B1786" s="8" t="s">
        <v>15</v>
      </c>
      <c r="C1786" s="9">
        <v>11.3</v>
      </c>
      <c r="D1786" s="10">
        <v>18.8</v>
      </c>
      <c r="E1786">
        <f t="shared" si="81"/>
        <v>2.1244000000000001</v>
      </c>
      <c r="F1786">
        <f t="shared" si="83"/>
        <v>11.86979999999992</v>
      </c>
      <c r="G1786">
        <f t="shared" si="82"/>
        <v>0</v>
      </c>
    </row>
    <row r="1787" spans="1:7" hidden="1" x14ac:dyDescent="0.35">
      <c r="A1787" s="11">
        <v>50426</v>
      </c>
      <c r="B1787" s="12" t="s">
        <v>7</v>
      </c>
      <c r="C1787" s="13">
        <v>22.1</v>
      </c>
      <c r="D1787" s="14">
        <v>0</v>
      </c>
      <c r="E1787">
        <f t="shared" si="81"/>
        <v>0</v>
      </c>
      <c r="F1787">
        <f t="shared" si="83"/>
        <v>11.86979999999992</v>
      </c>
      <c r="G1787">
        <f t="shared" si="82"/>
        <v>0</v>
      </c>
    </row>
    <row r="1788" spans="1:7" hidden="1" x14ac:dyDescent="0.35">
      <c r="A1788" s="7">
        <v>50427</v>
      </c>
      <c r="B1788" s="8" t="s">
        <v>12</v>
      </c>
      <c r="C1788" s="9">
        <v>11</v>
      </c>
      <c r="D1788" s="10">
        <v>0</v>
      </c>
      <c r="E1788">
        <f t="shared" si="81"/>
        <v>0</v>
      </c>
      <c r="F1788">
        <f t="shared" si="83"/>
        <v>11.86979999999992</v>
      </c>
      <c r="G1788">
        <f t="shared" si="82"/>
        <v>0</v>
      </c>
    </row>
    <row r="1789" spans="1:7" hidden="1" x14ac:dyDescent="0.35">
      <c r="A1789" s="11">
        <v>50428</v>
      </c>
      <c r="B1789" s="12" t="s">
        <v>19</v>
      </c>
      <c r="C1789" s="13">
        <v>14.7</v>
      </c>
      <c r="D1789" s="14">
        <v>0</v>
      </c>
      <c r="E1789">
        <f t="shared" si="81"/>
        <v>0</v>
      </c>
      <c r="F1789">
        <f t="shared" si="83"/>
        <v>11.86979999999992</v>
      </c>
      <c r="G1789">
        <f t="shared" si="82"/>
        <v>0</v>
      </c>
    </row>
    <row r="1790" spans="1:7" hidden="1" x14ac:dyDescent="0.35">
      <c r="A1790" s="7">
        <v>50429</v>
      </c>
      <c r="B1790" s="8" t="s">
        <v>19</v>
      </c>
      <c r="C1790" s="9">
        <v>10.4</v>
      </c>
      <c r="D1790" s="10">
        <v>14.4</v>
      </c>
      <c r="E1790">
        <f t="shared" si="81"/>
        <v>1.4976000000000003</v>
      </c>
      <c r="F1790">
        <f t="shared" si="83"/>
        <v>13.36739999999992</v>
      </c>
      <c r="G1790">
        <f t="shared" si="82"/>
        <v>0</v>
      </c>
    </row>
    <row r="1791" spans="1:7" hidden="1" x14ac:dyDescent="0.35">
      <c r="A1791" s="11">
        <v>50430</v>
      </c>
      <c r="B1791" s="12" t="s">
        <v>24</v>
      </c>
      <c r="C1791" s="13">
        <v>29.6</v>
      </c>
      <c r="D1791" s="14">
        <v>2.8</v>
      </c>
      <c r="E1791">
        <f t="shared" si="81"/>
        <v>0.82879999999999998</v>
      </c>
      <c r="F1791">
        <f t="shared" si="83"/>
        <v>14.196199999999919</v>
      </c>
      <c r="G1791">
        <f t="shared" si="82"/>
        <v>0</v>
      </c>
    </row>
    <row r="1792" spans="1:7" hidden="1" x14ac:dyDescent="0.35">
      <c r="A1792" s="7">
        <v>50431</v>
      </c>
      <c r="B1792" s="8" t="s">
        <v>18</v>
      </c>
      <c r="C1792" s="9">
        <v>11.3</v>
      </c>
      <c r="D1792" s="10">
        <v>7.2</v>
      </c>
      <c r="E1792">
        <f t="shared" si="81"/>
        <v>0.8136000000000001</v>
      </c>
      <c r="F1792">
        <f t="shared" si="83"/>
        <v>15.00979999999992</v>
      </c>
      <c r="G1792">
        <f t="shared" si="82"/>
        <v>0</v>
      </c>
    </row>
    <row r="1793" spans="1:7" hidden="1" x14ac:dyDescent="0.35">
      <c r="A1793" s="11">
        <v>50432</v>
      </c>
      <c r="B1793" s="12" t="s">
        <v>20</v>
      </c>
      <c r="C1793" s="13">
        <v>22.4</v>
      </c>
      <c r="D1793" s="14">
        <v>0</v>
      </c>
      <c r="E1793">
        <f t="shared" si="81"/>
        <v>0</v>
      </c>
      <c r="F1793">
        <f t="shared" si="83"/>
        <v>15.00979999999992</v>
      </c>
      <c r="G1793">
        <f t="shared" si="82"/>
        <v>0</v>
      </c>
    </row>
    <row r="1794" spans="1:7" hidden="1" x14ac:dyDescent="0.35">
      <c r="A1794" s="7">
        <v>50433</v>
      </c>
      <c r="B1794" s="8" t="s">
        <v>19</v>
      </c>
      <c r="C1794" s="9">
        <v>19.600000000000001</v>
      </c>
      <c r="D1794" s="10">
        <v>28.7</v>
      </c>
      <c r="E1794">
        <f t="shared" si="81"/>
        <v>5.6251999999999995</v>
      </c>
      <c r="F1794">
        <f t="shared" si="83"/>
        <v>20.63499999999992</v>
      </c>
      <c r="G1794">
        <f t="shared" si="82"/>
        <v>0</v>
      </c>
    </row>
    <row r="1795" spans="1:7" hidden="1" x14ac:dyDescent="0.35">
      <c r="A1795" s="11">
        <v>50434</v>
      </c>
      <c r="B1795" s="12" t="s">
        <v>6</v>
      </c>
      <c r="C1795" s="13">
        <v>28.5</v>
      </c>
      <c r="D1795" s="14">
        <v>12.9</v>
      </c>
      <c r="E1795">
        <f t="shared" ref="E1795:E1858" si="84">IF(D1795&gt;=1,C1795*D1795/100,0)</f>
        <v>3.6765000000000003</v>
      </c>
      <c r="F1795">
        <f t="shared" si="83"/>
        <v>24.311499999999921</v>
      </c>
      <c r="G1795">
        <f t="shared" ref="G1795:G1858" si="85">IF(F1795&gt;=100,1,0)</f>
        <v>0</v>
      </c>
    </row>
    <row r="1796" spans="1:7" hidden="1" x14ac:dyDescent="0.35">
      <c r="A1796" s="7">
        <v>50435</v>
      </c>
      <c r="B1796" s="8" t="s">
        <v>24</v>
      </c>
      <c r="C1796" s="9">
        <v>10.9</v>
      </c>
      <c r="D1796" s="10">
        <v>0</v>
      </c>
      <c r="E1796">
        <f t="shared" si="84"/>
        <v>0</v>
      </c>
      <c r="F1796">
        <f t="shared" ref="F1796:F1859" si="86">IF(G1795=1,E1796+F1795-100,F1795+E1796)</f>
        <v>24.311499999999921</v>
      </c>
      <c r="G1796">
        <f t="shared" si="85"/>
        <v>0</v>
      </c>
    </row>
    <row r="1797" spans="1:7" hidden="1" x14ac:dyDescent="0.35">
      <c r="A1797" s="11">
        <v>50436</v>
      </c>
      <c r="B1797" s="12" t="s">
        <v>13</v>
      </c>
      <c r="C1797" s="13">
        <v>13.4</v>
      </c>
      <c r="D1797" s="14">
        <v>15.7</v>
      </c>
      <c r="E1797">
        <f t="shared" si="84"/>
        <v>2.1038000000000001</v>
      </c>
      <c r="F1797">
        <f t="shared" si="86"/>
        <v>26.41529999999992</v>
      </c>
      <c r="G1797">
        <f t="shared" si="85"/>
        <v>0</v>
      </c>
    </row>
    <row r="1798" spans="1:7" hidden="1" x14ac:dyDescent="0.35">
      <c r="A1798" s="7">
        <v>50437</v>
      </c>
      <c r="B1798" s="8" t="s">
        <v>19</v>
      </c>
      <c r="C1798" s="9">
        <v>27.3</v>
      </c>
      <c r="D1798" s="10">
        <v>0</v>
      </c>
      <c r="E1798">
        <f t="shared" si="84"/>
        <v>0</v>
      </c>
      <c r="F1798">
        <f t="shared" si="86"/>
        <v>26.41529999999992</v>
      </c>
      <c r="G1798">
        <f t="shared" si="85"/>
        <v>0</v>
      </c>
    </row>
    <row r="1799" spans="1:7" hidden="1" x14ac:dyDescent="0.35">
      <c r="A1799" s="11">
        <v>50438</v>
      </c>
      <c r="B1799" s="12" t="s">
        <v>9</v>
      </c>
      <c r="C1799" s="13">
        <v>23.6</v>
      </c>
      <c r="D1799" s="14">
        <v>0</v>
      </c>
      <c r="E1799">
        <f t="shared" si="84"/>
        <v>0</v>
      </c>
      <c r="F1799">
        <f t="shared" si="86"/>
        <v>26.41529999999992</v>
      </c>
      <c r="G1799">
        <f t="shared" si="85"/>
        <v>0</v>
      </c>
    </row>
    <row r="1800" spans="1:7" hidden="1" x14ac:dyDescent="0.35">
      <c r="A1800" s="7">
        <v>50439</v>
      </c>
      <c r="B1800" s="8" t="s">
        <v>7</v>
      </c>
      <c r="C1800" s="9">
        <v>26.5</v>
      </c>
      <c r="D1800" s="10">
        <v>20.3</v>
      </c>
      <c r="E1800">
        <f t="shared" si="84"/>
        <v>5.3795000000000002</v>
      </c>
      <c r="F1800">
        <f t="shared" si="86"/>
        <v>31.79479999999992</v>
      </c>
      <c r="G1800">
        <f t="shared" si="85"/>
        <v>0</v>
      </c>
    </row>
    <row r="1801" spans="1:7" hidden="1" x14ac:dyDescent="0.35">
      <c r="A1801" s="11">
        <v>50440</v>
      </c>
      <c r="B1801" s="12" t="s">
        <v>9</v>
      </c>
      <c r="C1801" s="13">
        <v>23.6</v>
      </c>
      <c r="D1801" s="14">
        <v>6.5</v>
      </c>
      <c r="E1801">
        <f t="shared" si="84"/>
        <v>1.534</v>
      </c>
      <c r="F1801">
        <f t="shared" si="86"/>
        <v>33.328799999999923</v>
      </c>
      <c r="G1801">
        <f t="shared" si="85"/>
        <v>0</v>
      </c>
    </row>
    <row r="1802" spans="1:7" hidden="1" x14ac:dyDescent="0.35">
      <c r="A1802" s="7">
        <v>50441</v>
      </c>
      <c r="B1802" s="8" t="s">
        <v>11</v>
      </c>
      <c r="C1802" s="9">
        <v>22.4</v>
      </c>
      <c r="D1802" s="10">
        <v>13.3</v>
      </c>
      <c r="E1802">
        <f t="shared" si="84"/>
        <v>2.9792000000000001</v>
      </c>
      <c r="F1802">
        <f t="shared" si="86"/>
        <v>36.307999999999922</v>
      </c>
      <c r="G1802">
        <f t="shared" si="85"/>
        <v>0</v>
      </c>
    </row>
    <row r="1803" spans="1:7" hidden="1" x14ac:dyDescent="0.35">
      <c r="A1803" s="11">
        <v>50442</v>
      </c>
      <c r="B1803" s="12" t="s">
        <v>18</v>
      </c>
      <c r="C1803" s="13">
        <v>22</v>
      </c>
      <c r="D1803" s="14">
        <v>15.5</v>
      </c>
      <c r="E1803">
        <f t="shared" si="84"/>
        <v>3.41</v>
      </c>
      <c r="F1803">
        <f t="shared" si="86"/>
        <v>39.717999999999918</v>
      </c>
      <c r="G1803">
        <f t="shared" si="85"/>
        <v>0</v>
      </c>
    </row>
    <row r="1804" spans="1:7" hidden="1" x14ac:dyDescent="0.35">
      <c r="A1804" s="7">
        <v>50443</v>
      </c>
      <c r="B1804" s="8" t="s">
        <v>27</v>
      </c>
      <c r="C1804" s="9">
        <v>10.8</v>
      </c>
      <c r="D1804" s="10">
        <v>0.4</v>
      </c>
      <c r="E1804">
        <f t="shared" si="84"/>
        <v>0</v>
      </c>
      <c r="F1804">
        <f t="shared" si="86"/>
        <v>39.717999999999918</v>
      </c>
      <c r="G1804">
        <f t="shared" si="85"/>
        <v>0</v>
      </c>
    </row>
    <row r="1805" spans="1:7" hidden="1" x14ac:dyDescent="0.35">
      <c r="A1805" s="11">
        <v>50444</v>
      </c>
      <c r="B1805" s="12" t="s">
        <v>15</v>
      </c>
      <c r="C1805" s="13">
        <v>21.6</v>
      </c>
      <c r="D1805" s="14">
        <v>0</v>
      </c>
      <c r="E1805">
        <f t="shared" si="84"/>
        <v>0</v>
      </c>
      <c r="F1805">
        <f t="shared" si="86"/>
        <v>39.717999999999918</v>
      </c>
      <c r="G1805">
        <f t="shared" si="85"/>
        <v>0</v>
      </c>
    </row>
    <row r="1806" spans="1:7" hidden="1" x14ac:dyDescent="0.35">
      <c r="A1806" s="7">
        <v>50445</v>
      </c>
      <c r="B1806" s="8" t="s">
        <v>8</v>
      </c>
      <c r="C1806" s="9">
        <v>10.1</v>
      </c>
      <c r="D1806" s="10">
        <v>0</v>
      </c>
      <c r="E1806">
        <f t="shared" si="84"/>
        <v>0</v>
      </c>
      <c r="F1806">
        <f t="shared" si="86"/>
        <v>39.717999999999918</v>
      </c>
      <c r="G1806">
        <f t="shared" si="85"/>
        <v>0</v>
      </c>
    </row>
    <row r="1807" spans="1:7" hidden="1" x14ac:dyDescent="0.35">
      <c r="A1807" s="11">
        <v>50446</v>
      </c>
      <c r="B1807" s="12" t="s">
        <v>11</v>
      </c>
      <c r="C1807" s="13">
        <v>29</v>
      </c>
      <c r="D1807" s="14">
        <v>12.6</v>
      </c>
      <c r="E1807">
        <f t="shared" si="84"/>
        <v>3.6539999999999999</v>
      </c>
      <c r="F1807">
        <f t="shared" si="86"/>
        <v>43.371999999999915</v>
      </c>
      <c r="G1807">
        <f t="shared" si="85"/>
        <v>0</v>
      </c>
    </row>
    <row r="1808" spans="1:7" hidden="1" x14ac:dyDescent="0.35">
      <c r="A1808" s="7">
        <v>50447</v>
      </c>
      <c r="B1808" s="8" t="s">
        <v>8</v>
      </c>
      <c r="C1808" s="9">
        <v>16.399999999999999</v>
      </c>
      <c r="D1808" s="10">
        <v>3.7</v>
      </c>
      <c r="E1808">
        <f t="shared" si="84"/>
        <v>0.60680000000000001</v>
      </c>
      <c r="F1808">
        <f t="shared" si="86"/>
        <v>43.978799999999914</v>
      </c>
      <c r="G1808">
        <f t="shared" si="85"/>
        <v>0</v>
      </c>
    </row>
    <row r="1809" spans="1:7" hidden="1" x14ac:dyDescent="0.35">
      <c r="A1809" s="11">
        <v>50448</v>
      </c>
      <c r="B1809" s="12" t="s">
        <v>19</v>
      </c>
      <c r="C1809" s="13">
        <v>13.5</v>
      </c>
      <c r="D1809" s="14">
        <v>38.5</v>
      </c>
      <c r="E1809">
        <f t="shared" si="84"/>
        <v>5.1974999999999998</v>
      </c>
      <c r="F1809">
        <f t="shared" si="86"/>
        <v>49.176299999999912</v>
      </c>
      <c r="G1809">
        <f t="shared" si="85"/>
        <v>0</v>
      </c>
    </row>
    <row r="1810" spans="1:7" hidden="1" x14ac:dyDescent="0.35">
      <c r="A1810" s="7">
        <v>50449</v>
      </c>
      <c r="B1810" s="8" t="s">
        <v>14</v>
      </c>
      <c r="C1810" s="9">
        <v>18.100000000000001</v>
      </c>
      <c r="D1810" s="10">
        <v>3</v>
      </c>
      <c r="E1810">
        <f t="shared" si="84"/>
        <v>0.54300000000000004</v>
      </c>
      <c r="F1810">
        <f t="shared" si="86"/>
        <v>49.719299999999912</v>
      </c>
      <c r="G1810">
        <f t="shared" si="85"/>
        <v>0</v>
      </c>
    </row>
    <row r="1811" spans="1:7" hidden="1" x14ac:dyDescent="0.35">
      <c r="A1811" s="11">
        <v>50450</v>
      </c>
      <c r="B1811" s="12" t="s">
        <v>7</v>
      </c>
      <c r="C1811" s="13">
        <v>20.399999999999999</v>
      </c>
      <c r="D1811" s="14">
        <v>11.7</v>
      </c>
      <c r="E1811">
        <f t="shared" si="84"/>
        <v>2.3867999999999996</v>
      </c>
      <c r="F1811">
        <f t="shared" si="86"/>
        <v>52.106099999999913</v>
      </c>
      <c r="G1811">
        <f t="shared" si="85"/>
        <v>0</v>
      </c>
    </row>
    <row r="1812" spans="1:7" hidden="1" x14ac:dyDescent="0.35">
      <c r="A1812" s="7">
        <v>50451</v>
      </c>
      <c r="B1812" s="8" t="s">
        <v>15</v>
      </c>
      <c r="C1812" s="9">
        <v>29.6</v>
      </c>
      <c r="D1812" s="10">
        <v>0.9</v>
      </c>
      <c r="E1812">
        <f t="shared" si="84"/>
        <v>0</v>
      </c>
      <c r="F1812">
        <f t="shared" si="86"/>
        <v>52.106099999999913</v>
      </c>
      <c r="G1812">
        <f t="shared" si="85"/>
        <v>0</v>
      </c>
    </row>
    <row r="1813" spans="1:7" hidden="1" x14ac:dyDescent="0.35">
      <c r="A1813" s="11">
        <v>50452</v>
      </c>
      <c r="B1813" s="12" t="s">
        <v>32</v>
      </c>
      <c r="C1813" s="13">
        <v>11.4</v>
      </c>
      <c r="D1813" s="14">
        <v>0.6</v>
      </c>
      <c r="E1813">
        <f t="shared" si="84"/>
        <v>0</v>
      </c>
      <c r="F1813">
        <f t="shared" si="86"/>
        <v>52.106099999999913</v>
      </c>
      <c r="G1813">
        <f t="shared" si="85"/>
        <v>0</v>
      </c>
    </row>
    <row r="1814" spans="1:7" hidden="1" x14ac:dyDescent="0.35">
      <c r="A1814" s="7">
        <v>50453</v>
      </c>
      <c r="B1814" s="8" t="s">
        <v>11</v>
      </c>
      <c r="C1814" s="9">
        <v>28.8</v>
      </c>
      <c r="D1814" s="10">
        <v>14.1</v>
      </c>
      <c r="E1814">
        <f t="shared" si="84"/>
        <v>4.0607999999999995</v>
      </c>
      <c r="F1814">
        <f t="shared" si="86"/>
        <v>56.166899999999913</v>
      </c>
      <c r="G1814">
        <f t="shared" si="85"/>
        <v>0</v>
      </c>
    </row>
    <row r="1815" spans="1:7" hidden="1" x14ac:dyDescent="0.35">
      <c r="A1815" s="11">
        <v>50454</v>
      </c>
      <c r="B1815" s="12" t="s">
        <v>10</v>
      </c>
      <c r="C1815" s="13">
        <v>11.8</v>
      </c>
      <c r="D1815" s="14">
        <v>42.4</v>
      </c>
      <c r="E1815">
        <f t="shared" si="84"/>
        <v>5.0031999999999996</v>
      </c>
      <c r="F1815">
        <f t="shared" si="86"/>
        <v>61.170099999999913</v>
      </c>
      <c r="G1815">
        <f t="shared" si="85"/>
        <v>0</v>
      </c>
    </row>
    <row r="1816" spans="1:7" hidden="1" x14ac:dyDescent="0.35">
      <c r="A1816" s="7">
        <v>50455</v>
      </c>
      <c r="B1816" s="8" t="s">
        <v>7</v>
      </c>
      <c r="C1816" s="9">
        <v>11.5</v>
      </c>
      <c r="D1816" s="10">
        <v>10.1</v>
      </c>
      <c r="E1816">
        <f t="shared" si="84"/>
        <v>1.1615</v>
      </c>
      <c r="F1816">
        <f t="shared" si="86"/>
        <v>62.331599999999909</v>
      </c>
      <c r="G1816">
        <f t="shared" si="85"/>
        <v>0</v>
      </c>
    </row>
    <row r="1817" spans="1:7" hidden="1" x14ac:dyDescent="0.35">
      <c r="A1817" s="11">
        <v>50456</v>
      </c>
      <c r="B1817" s="12" t="s">
        <v>13</v>
      </c>
      <c r="C1817" s="13">
        <v>13.6</v>
      </c>
      <c r="D1817" s="14">
        <v>8.4</v>
      </c>
      <c r="E1817">
        <f t="shared" si="84"/>
        <v>1.1423999999999999</v>
      </c>
      <c r="F1817">
        <f t="shared" si="86"/>
        <v>63.473999999999911</v>
      </c>
      <c r="G1817">
        <f t="shared" si="85"/>
        <v>0</v>
      </c>
    </row>
    <row r="1818" spans="1:7" hidden="1" x14ac:dyDescent="0.35">
      <c r="A1818" s="7">
        <v>50457</v>
      </c>
      <c r="B1818" s="8" t="s">
        <v>31</v>
      </c>
      <c r="C1818" s="9">
        <v>14.1</v>
      </c>
      <c r="D1818" s="10">
        <v>0.7</v>
      </c>
      <c r="E1818">
        <f t="shared" si="84"/>
        <v>0</v>
      </c>
      <c r="F1818">
        <f t="shared" si="86"/>
        <v>63.473999999999911</v>
      </c>
      <c r="G1818">
        <f t="shared" si="85"/>
        <v>0</v>
      </c>
    </row>
    <row r="1819" spans="1:7" hidden="1" x14ac:dyDescent="0.35">
      <c r="A1819" s="11">
        <v>50458</v>
      </c>
      <c r="B1819" s="12" t="s">
        <v>19</v>
      </c>
      <c r="C1819" s="13">
        <v>19.399999999999999</v>
      </c>
      <c r="D1819" s="14">
        <v>32.700000000000003</v>
      </c>
      <c r="E1819">
        <f t="shared" si="84"/>
        <v>6.3437999999999999</v>
      </c>
      <c r="F1819">
        <f t="shared" si="86"/>
        <v>69.817799999999906</v>
      </c>
      <c r="G1819">
        <f t="shared" si="85"/>
        <v>0</v>
      </c>
    </row>
    <row r="1820" spans="1:7" hidden="1" x14ac:dyDescent="0.35">
      <c r="A1820" s="7">
        <v>50459</v>
      </c>
      <c r="B1820" s="8" t="s">
        <v>33</v>
      </c>
      <c r="C1820" s="9">
        <v>28.5</v>
      </c>
      <c r="D1820" s="10">
        <v>0</v>
      </c>
      <c r="E1820">
        <f t="shared" si="84"/>
        <v>0</v>
      </c>
      <c r="F1820">
        <f t="shared" si="86"/>
        <v>69.817799999999906</v>
      </c>
      <c r="G1820">
        <f t="shared" si="85"/>
        <v>0</v>
      </c>
    </row>
    <row r="1821" spans="1:7" hidden="1" x14ac:dyDescent="0.35">
      <c r="A1821" s="11">
        <v>50460</v>
      </c>
      <c r="B1821" s="12" t="s">
        <v>19</v>
      </c>
      <c r="C1821" s="13">
        <v>23.7</v>
      </c>
      <c r="D1821" s="14">
        <v>12.2</v>
      </c>
      <c r="E1821">
        <f t="shared" si="84"/>
        <v>2.8914</v>
      </c>
      <c r="F1821">
        <f t="shared" si="86"/>
        <v>72.70919999999991</v>
      </c>
      <c r="G1821">
        <f t="shared" si="85"/>
        <v>0</v>
      </c>
    </row>
    <row r="1822" spans="1:7" hidden="1" x14ac:dyDescent="0.35">
      <c r="A1822" s="7">
        <v>50461</v>
      </c>
      <c r="B1822" s="8" t="s">
        <v>20</v>
      </c>
      <c r="C1822" s="9">
        <v>21.7</v>
      </c>
      <c r="D1822" s="10">
        <v>0</v>
      </c>
      <c r="E1822">
        <f t="shared" si="84"/>
        <v>0</v>
      </c>
      <c r="F1822">
        <f t="shared" si="86"/>
        <v>72.70919999999991</v>
      </c>
      <c r="G1822">
        <f t="shared" si="85"/>
        <v>0</v>
      </c>
    </row>
    <row r="1823" spans="1:7" hidden="1" x14ac:dyDescent="0.35">
      <c r="A1823" s="11">
        <v>50462</v>
      </c>
      <c r="B1823" s="12" t="s">
        <v>6</v>
      </c>
      <c r="C1823" s="13">
        <v>13.3</v>
      </c>
      <c r="D1823" s="14">
        <v>0</v>
      </c>
      <c r="E1823">
        <f t="shared" si="84"/>
        <v>0</v>
      </c>
      <c r="F1823">
        <f t="shared" si="86"/>
        <v>72.70919999999991</v>
      </c>
      <c r="G1823">
        <f t="shared" si="85"/>
        <v>0</v>
      </c>
    </row>
    <row r="1824" spans="1:7" hidden="1" x14ac:dyDescent="0.35">
      <c r="A1824" s="7">
        <v>50463</v>
      </c>
      <c r="B1824" s="8" t="s">
        <v>9</v>
      </c>
      <c r="C1824" s="9">
        <v>14.4</v>
      </c>
      <c r="D1824" s="10">
        <v>0</v>
      </c>
      <c r="E1824">
        <f t="shared" si="84"/>
        <v>0</v>
      </c>
      <c r="F1824">
        <f t="shared" si="86"/>
        <v>72.70919999999991</v>
      </c>
      <c r="G1824">
        <f t="shared" si="85"/>
        <v>0</v>
      </c>
    </row>
    <row r="1825" spans="1:7" hidden="1" x14ac:dyDescent="0.35">
      <c r="A1825" s="11">
        <v>50464</v>
      </c>
      <c r="B1825" s="12" t="s">
        <v>11</v>
      </c>
      <c r="C1825" s="13">
        <v>28.5</v>
      </c>
      <c r="D1825" s="14">
        <v>21.5</v>
      </c>
      <c r="E1825">
        <f t="shared" si="84"/>
        <v>6.1275000000000004</v>
      </c>
      <c r="F1825">
        <f t="shared" si="86"/>
        <v>78.836699999999908</v>
      </c>
      <c r="G1825">
        <f t="shared" si="85"/>
        <v>0</v>
      </c>
    </row>
    <row r="1826" spans="1:7" hidden="1" x14ac:dyDescent="0.35">
      <c r="A1826" s="7">
        <v>50465</v>
      </c>
      <c r="B1826" s="8" t="s">
        <v>19</v>
      </c>
      <c r="C1826" s="9">
        <v>20.5</v>
      </c>
      <c r="D1826" s="10">
        <v>0</v>
      </c>
      <c r="E1826">
        <f t="shared" si="84"/>
        <v>0</v>
      </c>
      <c r="F1826">
        <f t="shared" si="86"/>
        <v>78.836699999999908</v>
      </c>
      <c r="G1826">
        <f t="shared" si="85"/>
        <v>0</v>
      </c>
    </row>
    <row r="1827" spans="1:7" hidden="1" x14ac:dyDescent="0.35">
      <c r="A1827" s="11">
        <v>50466</v>
      </c>
      <c r="B1827" s="12" t="s">
        <v>10</v>
      </c>
      <c r="C1827" s="13">
        <v>11.4</v>
      </c>
      <c r="D1827" s="14">
        <v>39</v>
      </c>
      <c r="E1827">
        <f t="shared" si="84"/>
        <v>4.4460000000000006</v>
      </c>
      <c r="F1827">
        <f t="shared" si="86"/>
        <v>83.282699999999906</v>
      </c>
      <c r="G1827">
        <f t="shared" si="85"/>
        <v>0</v>
      </c>
    </row>
    <row r="1828" spans="1:7" hidden="1" x14ac:dyDescent="0.35">
      <c r="A1828" s="7">
        <v>50467</v>
      </c>
      <c r="B1828" s="8" t="s">
        <v>9</v>
      </c>
      <c r="C1828" s="9">
        <v>12.5</v>
      </c>
      <c r="D1828" s="10">
        <v>0</v>
      </c>
      <c r="E1828">
        <f t="shared" si="84"/>
        <v>0</v>
      </c>
      <c r="F1828">
        <f t="shared" si="86"/>
        <v>83.282699999999906</v>
      </c>
      <c r="G1828">
        <f t="shared" si="85"/>
        <v>0</v>
      </c>
    </row>
    <row r="1829" spans="1:7" hidden="1" x14ac:dyDescent="0.35">
      <c r="A1829" s="11">
        <v>50468</v>
      </c>
      <c r="B1829" s="12" t="s">
        <v>15</v>
      </c>
      <c r="C1829" s="13">
        <v>16.600000000000001</v>
      </c>
      <c r="D1829" s="14">
        <v>4.5999999999999996</v>
      </c>
      <c r="E1829">
        <f t="shared" si="84"/>
        <v>0.76359999999999995</v>
      </c>
      <c r="F1829">
        <f t="shared" si="86"/>
        <v>84.046299999999903</v>
      </c>
      <c r="G1829">
        <f t="shared" si="85"/>
        <v>0</v>
      </c>
    </row>
    <row r="1830" spans="1:7" hidden="1" x14ac:dyDescent="0.35">
      <c r="A1830" s="7">
        <v>50469</v>
      </c>
      <c r="B1830" s="8" t="s">
        <v>15</v>
      </c>
      <c r="C1830" s="9">
        <v>10.6</v>
      </c>
      <c r="D1830" s="10">
        <v>11.3</v>
      </c>
      <c r="E1830">
        <f t="shared" si="84"/>
        <v>1.1978</v>
      </c>
      <c r="F1830">
        <f t="shared" si="86"/>
        <v>85.244099999999904</v>
      </c>
      <c r="G1830">
        <f t="shared" si="85"/>
        <v>0</v>
      </c>
    </row>
    <row r="1831" spans="1:7" hidden="1" x14ac:dyDescent="0.35">
      <c r="A1831" s="11">
        <v>50470</v>
      </c>
      <c r="B1831" s="12" t="s">
        <v>7</v>
      </c>
      <c r="C1831" s="13">
        <v>27.9</v>
      </c>
      <c r="D1831" s="14">
        <v>16.100000000000001</v>
      </c>
      <c r="E1831">
        <f t="shared" si="84"/>
        <v>4.4919000000000002</v>
      </c>
      <c r="F1831">
        <f t="shared" si="86"/>
        <v>89.735999999999905</v>
      </c>
      <c r="G1831">
        <f t="shared" si="85"/>
        <v>0</v>
      </c>
    </row>
    <row r="1832" spans="1:7" hidden="1" x14ac:dyDescent="0.35">
      <c r="A1832" s="7">
        <v>50471</v>
      </c>
      <c r="B1832" s="8" t="s">
        <v>10</v>
      </c>
      <c r="C1832" s="9">
        <v>11.1</v>
      </c>
      <c r="D1832" s="10">
        <v>28.2</v>
      </c>
      <c r="E1832">
        <f t="shared" si="84"/>
        <v>3.1301999999999999</v>
      </c>
      <c r="F1832">
        <f t="shared" si="86"/>
        <v>92.866199999999907</v>
      </c>
      <c r="G1832">
        <f t="shared" si="85"/>
        <v>0</v>
      </c>
    </row>
    <row r="1833" spans="1:7" hidden="1" x14ac:dyDescent="0.35">
      <c r="A1833" s="11">
        <v>50472</v>
      </c>
      <c r="B1833" s="12" t="s">
        <v>7</v>
      </c>
      <c r="C1833" s="13">
        <v>21.5</v>
      </c>
      <c r="D1833" s="14">
        <v>12.8</v>
      </c>
      <c r="E1833">
        <f t="shared" si="84"/>
        <v>2.7519999999999998</v>
      </c>
      <c r="F1833">
        <f t="shared" si="86"/>
        <v>95.618199999999902</v>
      </c>
      <c r="G1833">
        <f t="shared" si="85"/>
        <v>0</v>
      </c>
    </row>
    <row r="1834" spans="1:7" hidden="1" x14ac:dyDescent="0.35">
      <c r="A1834" s="7">
        <v>50473</v>
      </c>
      <c r="B1834" s="8" t="s">
        <v>6</v>
      </c>
      <c r="C1834" s="9">
        <v>28.4</v>
      </c>
      <c r="D1834" s="10">
        <v>4.5999999999999996</v>
      </c>
      <c r="E1834">
        <f t="shared" si="84"/>
        <v>1.3063999999999998</v>
      </c>
      <c r="F1834">
        <f t="shared" si="86"/>
        <v>96.924599999999899</v>
      </c>
      <c r="G1834">
        <f t="shared" si="85"/>
        <v>0</v>
      </c>
    </row>
    <row r="1835" spans="1:7" hidden="1" x14ac:dyDescent="0.35">
      <c r="A1835" s="11">
        <v>50474</v>
      </c>
      <c r="B1835" s="12" t="s">
        <v>22</v>
      </c>
      <c r="C1835" s="13">
        <v>18.100000000000001</v>
      </c>
      <c r="D1835" s="14">
        <v>5.9</v>
      </c>
      <c r="E1835">
        <f t="shared" si="84"/>
        <v>1.0679000000000003</v>
      </c>
      <c r="F1835">
        <f t="shared" si="86"/>
        <v>97.992499999999893</v>
      </c>
      <c r="G1835">
        <f t="shared" si="85"/>
        <v>0</v>
      </c>
    </row>
    <row r="1836" spans="1:7" hidden="1" x14ac:dyDescent="0.35">
      <c r="A1836" s="7">
        <v>50475</v>
      </c>
      <c r="B1836" s="8" t="s">
        <v>20</v>
      </c>
      <c r="C1836" s="9">
        <v>25.3</v>
      </c>
      <c r="D1836" s="10">
        <v>0</v>
      </c>
      <c r="E1836">
        <f t="shared" si="84"/>
        <v>0</v>
      </c>
      <c r="F1836">
        <f t="shared" si="86"/>
        <v>97.992499999999893</v>
      </c>
      <c r="G1836">
        <f t="shared" si="85"/>
        <v>0</v>
      </c>
    </row>
    <row r="1837" spans="1:7" hidden="1" x14ac:dyDescent="0.35">
      <c r="A1837" s="11">
        <v>50476</v>
      </c>
      <c r="B1837" s="12" t="s">
        <v>9</v>
      </c>
      <c r="C1837" s="13">
        <v>15.6</v>
      </c>
      <c r="D1837" s="14">
        <v>10.6</v>
      </c>
      <c r="E1837">
        <f t="shared" si="84"/>
        <v>1.6536</v>
      </c>
      <c r="F1837">
        <f t="shared" si="86"/>
        <v>99.64609999999989</v>
      </c>
      <c r="G1837">
        <f t="shared" si="85"/>
        <v>0</v>
      </c>
    </row>
    <row r="1838" spans="1:7" hidden="1" x14ac:dyDescent="0.35">
      <c r="A1838" s="7">
        <v>50477</v>
      </c>
      <c r="B1838" s="8" t="s">
        <v>19</v>
      </c>
      <c r="C1838" s="9">
        <v>19.899999999999999</v>
      </c>
      <c r="D1838" s="10">
        <v>0</v>
      </c>
      <c r="E1838">
        <f t="shared" si="84"/>
        <v>0</v>
      </c>
      <c r="F1838">
        <f t="shared" si="86"/>
        <v>99.64609999999989</v>
      </c>
      <c r="G1838">
        <f t="shared" si="85"/>
        <v>0</v>
      </c>
    </row>
    <row r="1839" spans="1:7" x14ac:dyDescent="0.35">
      <c r="A1839" s="11">
        <v>50478</v>
      </c>
      <c r="B1839" s="12" t="s">
        <v>7</v>
      </c>
      <c r="C1839" s="13">
        <v>24.7</v>
      </c>
      <c r="D1839" s="14">
        <v>14.7</v>
      </c>
      <c r="E1839">
        <f t="shared" si="84"/>
        <v>3.6308999999999996</v>
      </c>
      <c r="F1839">
        <f t="shared" si="86"/>
        <v>103.27699999999989</v>
      </c>
      <c r="G1839">
        <f t="shared" si="85"/>
        <v>1</v>
      </c>
    </row>
    <row r="1840" spans="1:7" hidden="1" x14ac:dyDescent="0.35">
      <c r="A1840" s="7">
        <v>50479</v>
      </c>
      <c r="B1840" s="8" t="s">
        <v>23</v>
      </c>
      <c r="C1840" s="9">
        <v>21.9</v>
      </c>
      <c r="D1840" s="10">
        <v>5.6</v>
      </c>
      <c r="E1840">
        <f t="shared" si="84"/>
        <v>1.2263999999999999</v>
      </c>
      <c r="F1840">
        <f t="shared" si="86"/>
        <v>4.5033999999998855</v>
      </c>
      <c r="G1840">
        <f t="shared" si="85"/>
        <v>0</v>
      </c>
    </row>
    <row r="1841" spans="1:7" hidden="1" x14ac:dyDescent="0.35">
      <c r="A1841" s="11">
        <v>50480</v>
      </c>
      <c r="B1841" s="12" t="s">
        <v>14</v>
      </c>
      <c r="C1841" s="13">
        <v>18</v>
      </c>
      <c r="D1841" s="14">
        <v>6.2</v>
      </c>
      <c r="E1841">
        <f t="shared" si="84"/>
        <v>1.1160000000000001</v>
      </c>
      <c r="F1841">
        <f t="shared" si="86"/>
        <v>5.6193999999998852</v>
      </c>
      <c r="G1841">
        <f t="shared" si="85"/>
        <v>0</v>
      </c>
    </row>
    <row r="1842" spans="1:7" hidden="1" x14ac:dyDescent="0.35">
      <c r="A1842" s="7">
        <v>50481</v>
      </c>
      <c r="B1842" s="8" t="s">
        <v>29</v>
      </c>
      <c r="C1842" s="9">
        <v>24.5</v>
      </c>
      <c r="D1842" s="10">
        <v>0.6</v>
      </c>
      <c r="E1842">
        <f t="shared" si="84"/>
        <v>0</v>
      </c>
      <c r="F1842">
        <f t="shared" si="86"/>
        <v>5.6193999999998852</v>
      </c>
      <c r="G1842">
        <f t="shared" si="85"/>
        <v>0</v>
      </c>
    </row>
    <row r="1843" spans="1:7" hidden="1" x14ac:dyDescent="0.35">
      <c r="A1843" s="11">
        <v>50482</v>
      </c>
      <c r="B1843" s="12" t="s">
        <v>8</v>
      </c>
      <c r="C1843" s="13">
        <v>10.9</v>
      </c>
      <c r="D1843" s="14">
        <v>0</v>
      </c>
      <c r="E1843">
        <f t="shared" si="84"/>
        <v>0</v>
      </c>
      <c r="F1843">
        <f t="shared" si="86"/>
        <v>5.6193999999998852</v>
      </c>
      <c r="G1843">
        <f t="shared" si="85"/>
        <v>0</v>
      </c>
    </row>
    <row r="1844" spans="1:7" hidden="1" x14ac:dyDescent="0.35">
      <c r="A1844" s="7">
        <v>50483</v>
      </c>
      <c r="B1844" s="8" t="s">
        <v>26</v>
      </c>
      <c r="C1844" s="9">
        <v>11.3</v>
      </c>
      <c r="D1844" s="10">
        <v>2.7</v>
      </c>
      <c r="E1844">
        <f t="shared" si="84"/>
        <v>0.30510000000000004</v>
      </c>
      <c r="F1844">
        <f t="shared" si="86"/>
        <v>5.9244999999998855</v>
      </c>
      <c r="G1844">
        <f t="shared" si="85"/>
        <v>0</v>
      </c>
    </row>
    <row r="1845" spans="1:7" hidden="1" x14ac:dyDescent="0.35">
      <c r="A1845" s="11">
        <v>50484</v>
      </c>
      <c r="B1845" s="12" t="s">
        <v>10</v>
      </c>
      <c r="C1845" s="13">
        <v>13.2</v>
      </c>
      <c r="D1845" s="14">
        <v>30</v>
      </c>
      <c r="E1845">
        <f t="shared" si="84"/>
        <v>3.96</v>
      </c>
      <c r="F1845">
        <f t="shared" si="86"/>
        <v>9.8844999999998855</v>
      </c>
      <c r="G1845">
        <f t="shared" si="85"/>
        <v>0</v>
      </c>
    </row>
    <row r="1846" spans="1:7" hidden="1" x14ac:dyDescent="0.35">
      <c r="A1846" s="7">
        <v>50485</v>
      </c>
      <c r="B1846" s="8" t="s">
        <v>8</v>
      </c>
      <c r="C1846" s="9">
        <v>18.7</v>
      </c>
      <c r="D1846" s="10">
        <v>4.7</v>
      </c>
      <c r="E1846">
        <f t="shared" si="84"/>
        <v>0.87890000000000001</v>
      </c>
      <c r="F1846">
        <f t="shared" si="86"/>
        <v>10.763399999999885</v>
      </c>
      <c r="G1846">
        <f t="shared" si="85"/>
        <v>0</v>
      </c>
    </row>
    <row r="1847" spans="1:7" hidden="1" x14ac:dyDescent="0.35">
      <c r="A1847" s="11">
        <v>50486</v>
      </c>
      <c r="B1847" s="12" t="s">
        <v>8</v>
      </c>
      <c r="C1847" s="13">
        <v>12.1</v>
      </c>
      <c r="D1847" s="14">
        <v>1.5</v>
      </c>
      <c r="E1847">
        <f t="shared" si="84"/>
        <v>0.18149999999999999</v>
      </c>
      <c r="F1847">
        <f t="shared" si="86"/>
        <v>10.944899999999885</v>
      </c>
      <c r="G1847">
        <f t="shared" si="85"/>
        <v>0</v>
      </c>
    </row>
    <row r="1848" spans="1:7" hidden="1" x14ac:dyDescent="0.35">
      <c r="A1848" s="7">
        <v>50487</v>
      </c>
      <c r="B1848" s="8" t="s">
        <v>15</v>
      </c>
      <c r="C1848" s="9">
        <v>11.9</v>
      </c>
      <c r="D1848" s="10">
        <v>1.3</v>
      </c>
      <c r="E1848">
        <f t="shared" si="84"/>
        <v>0.1547</v>
      </c>
      <c r="F1848">
        <f t="shared" si="86"/>
        <v>11.099599999999885</v>
      </c>
      <c r="G1848">
        <f t="shared" si="85"/>
        <v>0</v>
      </c>
    </row>
    <row r="1849" spans="1:7" hidden="1" x14ac:dyDescent="0.35">
      <c r="A1849" s="11">
        <v>50488</v>
      </c>
      <c r="B1849" s="12" t="s">
        <v>26</v>
      </c>
      <c r="C1849" s="13">
        <v>17.7</v>
      </c>
      <c r="D1849" s="14">
        <v>2.6</v>
      </c>
      <c r="E1849">
        <f t="shared" si="84"/>
        <v>0.46020000000000005</v>
      </c>
      <c r="F1849">
        <f t="shared" si="86"/>
        <v>11.559799999999886</v>
      </c>
      <c r="G1849">
        <f t="shared" si="85"/>
        <v>0</v>
      </c>
    </row>
    <row r="1850" spans="1:7" hidden="1" x14ac:dyDescent="0.35">
      <c r="A1850" s="7">
        <v>50489</v>
      </c>
      <c r="B1850" s="8" t="s">
        <v>21</v>
      </c>
      <c r="C1850" s="9">
        <v>25.9</v>
      </c>
      <c r="D1850" s="10">
        <v>0.8</v>
      </c>
      <c r="E1850">
        <f t="shared" si="84"/>
        <v>0</v>
      </c>
      <c r="F1850">
        <f t="shared" si="86"/>
        <v>11.559799999999886</v>
      </c>
      <c r="G1850">
        <f t="shared" si="85"/>
        <v>0</v>
      </c>
    </row>
    <row r="1851" spans="1:7" hidden="1" x14ac:dyDescent="0.35">
      <c r="A1851" s="11">
        <v>50490</v>
      </c>
      <c r="B1851" s="12" t="s">
        <v>6</v>
      </c>
      <c r="C1851" s="13">
        <v>27.7</v>
      </c>
      <c r="D1851" s="14">
        <v>0</v>
      </c>
      <c r="E1851">
        <f t="shared" si="84"/>
        <v>0</v>
      </c>
      <c r="F1851">
        <f t="shared" si="86"/>
        <v>11.559799999999886</v>
      </c>
      <c r="G1851">
        <f t="shared" si="85"/>
        <v>0</v>
      </c>
    </row>
    <row r="1852" spans="1:7" hidden="1" x14ac:dyDescent="0.35">
      <c r="A1852" s="7">
        <v>50491</v>
      </c>
      <c r="B1852" s="8" t="s">
        <v>13</v>
      </c>
      <c r="C1852" s="9">
        <v>13.3</v>
      </c>
      <c r="D1852" s="10">
        <v>13.3</v>
      </c>
      <c r="E1852">
        <f t="shared" si="84"/>
        <v>1.7689000000000001</v>
      </c>
      <c r="F1852">
        <f t="shared" si="86"/>
        <v>13.328699999999886</v>
      </c>
      <c r="G1852">
        <f t="shared" si="85"/>
        <v>0</v>
      </c>
    </row>
    <row r="1853" spans="1:7" hidden="1" x14ac:dyDescent="0.35">
      <c r="A1853" s="11">
        <v>50492</v>
      </c>
      <c r="B1853" s="12" t="s">
        <v>19</v>
      </c>
      <c r="C1853" s="13">
        <v>11.7</v>
      </c>
      <c r="D1853" s="14">
        <v>4.9000000000000004</v>
      </c>
      <c r="E1853">
        <f t="shared" si="84"/>
        <v>0.57330000000000003</v>
      </c>
      <c r="F1853">
        <f t="shared" si="86"/>
        <v>13.901999999999886</v>
      </c>
      <c r="G1853">
        <f t="shared" si="85"/>
        <v>0</v>
      </c>
    </row>
    <row r="1854" spans="1:7" hidden="1" x14ac:dyDescent="0.35">
      <c r="A1854" s="7">
        <v>50493</v>
      </c>
      <c r="B1854" s="8" t="s">
        <v>26</v>
      </c>
      <c r="C1854" s="9">
        <v>26.5</v>
      </c>
      <c r="D1854" s="10">
        <v>4.5</v>
      </c>
      <c r="E1854">
        <f t="shared" si="84"/>
        <v>1.1924999999999999</v>
      </c>
      <c r="F1854">
        <f t="shared" si="86"/>
        <v>15.094499999999886</v>
      </c>
      <c r="G1854">
        <f t="shared" si="85"/>
        <v>0</v>
      </c>
    </row>
    <row r="1855" spans="1:7" hidden="1" x14ac:dyDescent="0.35">
      <c r="A1855" s="11">
        <v>50494</v>
      </c>
      <c r="B1855" s="12" t="s">
        <v>27</v>
      </c>
      <c r="C1855" s="13">
        <v>18.7</v>
      </c>
      <c r="D1855" s="14">
        <v>2.2999999999999998</v>
      </c>
      <c r="E1855">
        <f t="shared" si="84"/>
        <v>0.43009999999999998</v>
      </c>
      <c r="F1855">
        <f t="shared" si="86"/>
        <v>15.524599999999886</v>
      </c>
      <c r="G1855">
        <f t="shared" si="85"/>
        <v>0</v>
      </c>
    </row>
    <row r="1856" spans="1:7" hidden="1" x14ac:dyDescent="0.35">
      <c r="A1856" s="7">
        <v>50495</v>
      </c>
      <c r="B1856" s="8" t="s">
        <v>22</v>
      </c>
      <c r="C1856" s="9">
        <v>11.7</v>
      </c>
      <c r="D1856" s="10">
        <v>6</v>
      </c>
      <c r="E1856">
        <f t="shared" si="84"/>
        <v>0.70199999999999985</v>
      </c>
      <c r="F1856">
        <f t="shared" si="86"/>
        <v>16.226599999999884</v>
      </c>
      <c r="G1856">
        <f t="shared" si="85"/>
        <v>0</v>
      </c>
    </row>
    <row r="1857" spans="1:7" hidden="1" x14ac:dyDescent="0.35">
      <c r="A1857" s="11">
        <v>50496</v>
      </c>
      <c r="B1857" s="12" t="s">
        <v>19</v>
      </c>
      <c r="C1857" s="13">
        <v>27.5</v>
      </c>
      <c r="D1857" s="14">
        <v>22.6</v>
      </c>
      <c r="E1857">
        <f t="shared" si="84"/>
        <v>6.2149999999999999</v>
      </c>
      <c r="F1857">
        <f t="shared" si="86"/>
        <v>22.441599999999884</v>
      </c>
      <c r="G1857">
        <f t="shared" si="85"/>
        <v>0</v>
      </c>
    </row>
    <row r="1858" spans="1:7" hidden="1" x14ac:dyDescent="0.35">
      <c r="A1858" s="7">
        <v>50497</v>
      </c>
      <c r="B1858" s="8" t="s">
        <v>27</v>
      </c>
      <c r="C1858" s="9">
        <v>27.4</v>
      </c>
      <c r="D1858" s="10">
        <v>0</v>
      </c>
      <c r="E1858">
        <f t="shared" si="84"/>
        <v>0</v>
      </c>
      <c r="F1858">
        <f t="shared" si="86"/>
        <v>22.441599999999884</v>
      </c>
      <c r="G1858">
        <f t="shared" si="85"/>
        <v>0</v>
      </c>
    </row>
    <row r="1859" spans="1:7" hidden="1" x14ac:dyDescent="0.35">
      <c r="A1859" s="11">
        <v>50498</v>
      </c>
      <c r="B1859" s="12" t="s">
        <v>11</v>
      </c>
      <c r="C1859" s="13">
        <v>14.8</v>
      </c>
      <c r="D1859" s="14">
        <v>0</v>
      </c>
      <c r="E1859">
        <f t="shared" ref="E1859:E1922" si="87">IF(D1859&gt;=1,C1859*D1859/100,0)</f>
        <v>0</v>
      </c>
      <c r="F1859">
        <f t="shared" si="86"/>
        <v>22.441599999999884</v>
      </c>
      <c r="G1859">
        <f t="shared" ref="G1859:G1922" si="88">IF(F1859&gt;=100,1,0)</f>
        <v>0</v>
      </c>
    </row>
    <row r="1860" spans="1:7" hidden="1" x14ac:dyDescent="0.35">
      <c r="A1860" s="7">
        <v>50499</v>
      </c>
      <c r="B1860" s="8" t="s">
        <v>17</v>
      </c>
      <c r="C1860" s="9">
        <v>26.2</v>
      </c>
      <c r="D1860" s="10">
        <v>0</v>
      </c>
      <c r="E1860">
        <f t="shared" si="87"/>
        <v>0</v>
      </c>
      <c r="F1860">
        <f t="shared" ref="F1860:F1923" si="89">IF(G1859=1,E1860+F1859-100,F1859+E1860)</f>
        <v>22.441599999999884</v>
      </c>
      <c r="G1860">
        <f t="shared" si="88"/>
        <v>0</v>
      </c>
    </row>
    <row r="1861" spans="1:7" hidden="1" x14ac:dyDescent="0.35">
      <c r="A1861" s="11">
        <v>50500</v>
      </c>
      <c r="B1861" s="12" t="s">
        <v>15</v>
      </c>
      <c r="C1861" s="13">
        <v>12.9</v>
      </c>
      <c r="D1861" s="14">
        <v>17.899999999999999</v>
      </c>
      <c r="E1861">
        <f t="shared" si="87"/>
        <v>2.3090999999999999</v>
      </c>
      <c r="F1861">
        <f t="shared" si="89"/>
        <v>24.750699999999885</v>
      </c>
      <c r="G1861">
        <f t="shared" si="88"/>
        <v>0</v>
      </c>
    </row>
    <row r="1862" spans="1:7" hidden="1" x14ac:dyDescent="0.35">
      <c r="A1862" s="7">
        <v>50501</v>
      </c>
      <c r="B1862" s="8" t="s">
        <v>25</v>
      </c>
      <c r="C1862" s="9">
        <v>12.5</v>
      </c>
      <c r="D1862" s="10">
        <v>0</v>
      </c>
      <c r="E1862">
        <f t="shared" si="87"/>
        <v>0</v>
      </c>
      <c r="F1862">
        <f t="shared" si="89"/>
        <v>24.750699999999885</v>
      </c>
      <c r="G1862">
        <f t="shared" si="88"/>
        <v>0</v>
      </c>
    </row>
    <row r="1863" spans="1:7" hidden="1" x14ac:dyDescent="0.35">
      <c r="A1863" s="11">
        <v>50502</v>
      </c>
      <c r="B1863" s="12" t="s">
        <v>24</v>
      </c>
      <c r="C1863" s="13">
        <v>12.3</v>
      </c>
      <c r="D1863" s="14">
        <v>0</v>
      </c>
      <c r="E1863">
        <f t="shared" si="87"/>
        <v>0</v>
      </c>
      <c r="F1863">
        <f t="shared" si="89"/>
        <v>24.750699999999885</v>
      </c>
      <c r="G1863">
        <f t="shared" si="88"/>
        <v>0</v>
      </c>
    </row>
    <row r="1864" spans="1:7" hidden="1" x14ac:dyDescent="0.35">
      <c r="A1864" s="7">
        <v>50503</v>
      </c>
      <c r="B1864" s="8" t="s">
        <v>5</v>
      </c>
      <c r="C1864" s="9">
        <v>19.399999999999999</v>
      </c>
      <c r="D1864" s="10">
        <v>0</v>
      </c>
      <c r="E1864">
        <f t="shared" si="87"/>
        <v>0</v>
      </c>
      <c r="F1864">
        <f t="shared" si="89"/>
        <v>24.750699999999885</v>
      </c>
      <c r="G1864">
        <f t="shared" si="88"/>
        <v>0</v>
      </c>
    </row>
    <row r="1865" spans="1:7" hidden="1" x14ac:dyDescent="0.35">
      <c r="A1865" s="11">
        <v>50504</v>
      </c>
      <c r="B1865" s="12" t="s">
        <v>15</v>
      </c>
      <c r="C1865" s="13">
        <v>20.9</v>
      </c>
      <c r="D1865" s="14">
        <v>0</v>
      </c>
      <c r="E1865">
        <f t="shared" si="87"/>
        <v>0</v>
      </c>
      <c r="F1865">
        <f t="shared" si="89"/>
        <v>24.750699999999885</v>
      </c>
      <c r="G1865">
        <f t="shared" si="88"/>
        <v>0</v>
      </c>
    </row>
    <row r="1866" spans="1:7" hidden="1" x14ac:dyDescent="0.35">
      <c r="A1866" s="7">
        <v>50505</v>
      </c>
      <c r="B1866" s="8" t="s">
        <v>9</v>
      </c>
      <c r="C1866" s="9">
        <v>10.4</v>
      </c>
      <c r="D1866" s="10">
        <v>0</v>
      </c>
      <c r="E1866">
        <f t="shared" si="87"/>
        <v>0</v>
      </c>
      <c r="F1866">
        <f t="shared" si="89"/>
        <v>24.750699999999885</v>
      </c>
      <c r="G1866">
        <f t="shared" si="88"/>
        <v>0</v>
      </c>
    </row>
    <row r="1867" spans="1:7" hidden="1" x14ac:dyDescent="0.35">
      <c r="A1867" s="11">
        <v>50506</v>
      </c>
      <c r="B1867" s="12" t="s">
        <v>11</v>
      </c>
      <c r="C1867" s="13">
        <v>22.2</v>
      </c>
      <c r="D1867" s="14">
        <v>2.5</v>
      </c>
      <c r="E1867">
        <f t="shared" si="87"/>
        <v>0.55500000000000005</v>
      </c>
      <c r="F1867">
        <f t="shared" si="89"/>
        <v>25.305699999999884</v>
      </c>
      <c r="G1867">
        <f t="shared" si="88"/>
        <v>0</v>
      </c>
    </row>
    <row r="1868" spans="1:7" hidden="1" x14ac:dyDescent="0.35">
      <c r="A1868" s="7">
        <v>50507</v>
      </c>
      <c r="B1868" s="8" t="s">
        <v>10</v>
      </c>
      <c r="C1868" s="9">
        <v>16.8</v>
      </c>
      <c r="D1868" s="10">
        <v>0</v>
      </c>
      <c r="E1868">
        <f t="shared" si="87"/>
        <v>0</v>
      </c>
      <c r="F1868">
        <f t="shared" si="89"/>
        <v>25.305699999999884</v>
      </c>
      <c r="G1868">
        <f t="shared" si="88"/>
        <v>0</v>
      </c>
    </row>
    <row r="1869" spans="1:7" hidden="1" x14ac:dyDescent="0.35">
      <c r="A1869" s="11">
        <v>50508</v>
      </c>
      <c r="B1869" s="12" t="s">
        <v>19</v>
      </c>
      <c r="C1869" s="13">
        <v>21.7</v>
      </c>
      <c r="D1869" s="14">
        <v>33.299999999999997</v>
      </c>
      <c r="E1869">
        <f t="shared" si="87"/>
        <v>7.2260999999999989</v>
      </c>
      <c r="F1869">
        <f t="shared" si="89"/>
        <v>32.531799999999883</v>
      </c>
      <c r="G1869">
        <f t="shared" si="88"/>
        <v>0</v>
      </c>
    </row>
    <row r="1870" spans="1:7" hidden="1" x14ac:dyDescent="0.35">
      <c r="A1870" s="7">
        <v>50509</v>
      </c>
      <c r="B1870" s="8" t="s">
        <v>11</v>
      </c>
      <c r="C1870" s="9">
        <v>10.199999999999999</v>
      </c>
      <c r="D1870" s="10">
        <v>16.600000000000001</v>
      </c>
      <c r="E1870">
        <f t="shared" si="87"/>
        <v>1.6932</v>
      </c>
      <c r="F1870">
        <f t="shared" si="89"/>
        <v>34.224999999999881</v>
      </c>
      <c r="G1870">
        <f t="shared" si="88"/>
        <v>0</v>
      </c>
    </row>
    <row r="1871" spans="1:7" hidden="1" x14ac:dyDescent="0.35">
      <c r="A1871" s="11">
        <v>50510</v>
      </c>
      <c r="B1871" s="12" t="s">
        <v>10</v>
      </c>
      <c r="C1871" s="13">
        <v>16.5</v>
      </c>
      <c r="D1871" s="14">
        <v>0</v>
      </c>
      <c r="E1871">
        <f t="shared" si="87"/>
        <v>0</v>
      </c>
      <c r="F1871">
        <f t="shared" si="89"/>
        <v>34.224999999999881</v>
      </c>
      <c r="G1871">
        <f t="shared" si="88"/>
        <v>0</v>
      </c>
    </row>
    <row r="1872" spans="1:7" hidden="1" x14ac:dyDescent="0.35">
      <c r="A1872" s="7">
        <v>50511</v>
      </c>
      <c r="B1872" s="8" t="s">
        <v>16</v>
      </c>
      <c r="C1872" s="9">
        <v>29.1</v>
      </c>
      <c r="D1872" s="10">
        <v>0.5</v>
      </c>
      <c r="E1872">
        <f t="shared" si="87"/>
        <v>0</v>
      </c>
      <c r="F1872">
        <f t="shared" si="89"/>
        <v>34.224999999999881</v>
      </c>
      <c r="G1872">
        <f t="shared" si="88"/>
        <v>0</v>
      </c>
    </row>
    <row r="1873" spans="1:7" hidden="1" x14ac:dyDescent="0.35">
      <c r="A1873" s="11">
        <v>50512</v>
      </c>
      <c r="B1873" s="12" t="s">
        <v>11</v>
      </c>
      <c r="C1873" s="13">
        <v>17.8</v>
      </c>
      <c r="D1873" s="14">
        <v>0</v>
      </c>
      <c r="E1873">
        <f t="shared" si="87"/>
        <v>0</v>
      </c>
      <c r="F1873">
        <f t="shared" si="89"/>
        <v>34.224999999999881</v>
      </c>
      <c r="G1873">
        <f t="shared" si="88"/>
        <v>0</v>
      </c>
    </row>
    <row r="1874" spans="1:7" hidden="1" x14ac:dyDescent="0.35">
      <c r="A1874" s="7">
        <v>50513</v>
      </c>
      <c r="B1874" s="8" t="s">
        <v>10</v>
      </c>
      <c r="C1874" s="9">
        <v>10</v>
      </c>
      <c r="D1874" s="10">
        <v>0</v>
      </c>
      <c r="E1874">
        <f t="shared" si="87"/>
        <v>0</v>
      </c>
      <c r="F1874">
        <f t="shared" si="89"/>
        <v>34.224999999999881</v>
      </c>
      <c r="G1874">
        <f t="shared" si="88"/>
        <v>0</v>
      </c>
    </row>
    <row r="1875" spans="1:7" hidden="1" x14ac:dyDescent="0.35">
      <c r="A1875" s="11">
        <v>50514</v>
      </c>
      <c r="B1875" s="12" t="s">
        <v>9</v>
      </c>
      <c r="C1875" s="13">
        <v>15.5</v>
      </c>
      <c r="D1875" s="14">
        <v>8.6</v>
      </c>
      <c r="E1875">
        <f t="shared" si="87"/>
        <v>1.3329999999999997</v>
      </c>
      <c r="F1875">
        <f t="shared" si="89"/>
        <v>35.557999999999879</v>
      </c>
      <c r="G1875">
        <f t="shared" si="88"/>
        <v>0</v>
      </c>
    </row>
    <row r="1876" spans="1:7" hidden="1" x14ac:dyDescent="0.35">
      <c r="A1876" s="7">
        <v>50515</v>
      </c>
      <c r="B1876" s="8" t="s">
        <v>10</v>
      </c>
      <c r="C1876" s="9">
        <v>15.3</v>
      </c>
      <c r="D1876" s="10">
        <v>21.4</v>
      </c>
      <c r="E1876">
        <f t="shared" si="87"/>
        <v>3.2742</v>
      </c>
      <c r="F1876">
        <f t="shared" si="89"/>
        <v>38.832199999999879</v>
      </c>
      <c r="G1876">
        <f t="shared" si="88"/>
        <v>0</v>
      </c>
    </row>
    <row r="1877" spans="1:7" hidden="1" x14ac:dyDescent="0.35">
      <c r="A1877" s="11">
        <v>50516</v>
      </c>
      <c r="B1877" s="12" t="s">
        <v>12</v>
      </c>
      <c r="C1877" s="13">
        <v>23.7</v>
      </c>
      <c r="D1877" s="14">
        <v>0</v>
      </c>
      <c r="E1877">
        <f t="shared" si="87"/>
        <v>0</v>
      </c>
      <c r="F1877">
        <f t="shared" si="89"/>
        <v>38.832199999999879</v>
      </c>
      <c r="G1877">
        <f t="shared" si="88"/>
        <v>0</v>
      </c>
    </row>
    <row r="1878" spans="1:7" hidden="1" x14ac:dyDescent="0.35">
      <c r="A1878" s="7">
        <v>50517</v>
      </c>
      <c r="B1878" s="8" t="s">
        <v>11</v>
      </c>
      <c r="C1878" s="9">
        <v>26.1</v>
      </c>
      <c r="D1878" s="10">
        <v>12.5</v>
      </c>
      <c r="E1878">
        <f t="shared" si="87"/>
        <v>3.2625000000000002</v>
      </c>
      <c r="F1878">
        <f t="shared" si="89"/>
        <v>42.094699999999882</v>
      </c>
      <c r="G1878">
        <f t="shared" si="88"/>
        <v>0</v>
      </c>
    </row>
    <row r="1879" spans="1:7" hidden="1" x14ac:dyDescent="0.35">
      <c r="A1879" s="11">
        <v>50518</v>
      </c>
      <c r="B1879" s="12" t="s">
        <v>11</v>
      </c>
      <c r="C1879" s="13">
        <v>13.4</v>
      </c>
      <c r="D1879" s="14">
        <v>0</v>
      </c>
      <c r="E1879">
        <f t="shared" si="87"/>
        <v>0</v>
      </c>
      <c r="F1879">
        <f t="shared" si="89"/>
        <v>42.094699999999882</v>
      </c>
      <c r="G1879">
        <f t="shared" si="88"/>
        <v>0</v>
      </c>
    </row>
    <row r="1880" spans="1:7" hidden="1" x14ac:dyDescent="0.35">
      <c r="A1880" s="7">
        <v>50519</v>
      </c>
      <c r="B1880" s="8" t="s">
        <v>5</v>
      </c>
      <c r="C1880" s="9">
        <v>17.8</v>
      </c>
      <c r="D1880" s="10">
        <v>3.7</v>
      </c>
      <c r="E1880">
        <f t="shared" si="87"/>
        <v>0.65859999999999996</v>
      </c>
      <c r="F1880">
        <f t="shared" si="89"/>
        <v>42.753299999999882</v>
      </c>
      <c r="G1880">
        <f t="shared" si="88"/>
        <v>0</v>
      </c>
    </row>
    <row r="1881" spans="1:7" hidden="1" x14ac:dyDescent="0.35">
      <c r="A1881" s="11">
        <v>50520</v>
      </c>
      <c r="B1881" s="12" t="s">
        <v>24</v>
      </c>
      <c r="C1881" s="13">
        <v>13</v>
      </c>
      <c r="D1881" s="14">
        <v>2.7</v>
      </c>
      <c r="E1881">
        <f t="shared" si="87"/>
        <v>0.35100000000000003</v>
      </c>
      <c r="F1881">
        <f t="shared" si="89"/>
        <v>43.104299999999881</v>
      </c>
      <c r="G1881">
        <f t="shared" si="88"/>
        <v>0</v>
      </c>
    </row>
    <row r="1882" spans="1:7" hidden="1" x14ac:dyDescent="0.35">
      <c r="A1882" s="7">
        <v>50521</v>
      </c>
      <c r="B1882" s="8" t="s">
        <v>7</v>
      </c>
      <c r="C1882" s="9">
        <v>28.2</v>
      </c>
      <c r="D1882" s="10">
        <v>0</v>
      </c>
      <c r="E1882">
        <f t="shared" si="87"/>
        <v>0</v>
      </c>
      <c r="F1882">
        <f t="shared" si="89"/>
        <v>43.104299999999881</v>
      </c>
      <c r="G1882">
        <f t="shared" si="88"/>
        <v>0</v>
      </c>
    </row>
    <row r="1883" spans="1:7" hidden="1" x14ac:dyDescent="0.35">
      <c r="A1883" s="11">
        <v>50522</v>
      </c>
      <c r="B1883" s="12" t="s">
        <v>10</v>
      </c>
      <c r="C1883" s="13">
        <v>23</v>
      </c>
      <c r="D1883" s="14">
        <v>0</v>
      </c>
      <c r="E1883">
        <f t="shared" si="87"/>
        <v>0</v>
      </c>
      <c r="F1883">
        <f t="shared" si="89"/>
        <v>43.104299999999881</v>
      </c>
      <c r="G1883">
        <f t="shared" si="88"/>
        <v>0</v>
      </c>
    </row>
    <row r="1884" spans="1:7" hidden="1" x14ac:dyDescent="0.35">
      <c r="A1884" s="7">
        <v>50523</v>
      </c>
      <c r="B1884" s="8" t="s">
        <v>7</v>
      </c>
      <c r="C1884" s="9">
        <v>21.5</v>
      </c>
      <c r="D1884" s="10">
        <v>0</v>
      </c>
      <c r="E1884">
        <f t="shared" si="87"/>
        <v>0</v>
      </c>
      <c r="F1884">
        <f t="shared" si="89"/>
        <v>43.104299999999881</v>
      </c>
      <c r="G1884">
        <f t="shared" si="88"/>
        <v>0</v>
      </c>
    </row>
    <row r="1885" spans="1:7" hidden="1" x14ac:dyDescent="0.35">
      <c r="A1885" s="11">
        <v>50524</v>
      </c>
      <c r="B1885" s="12" t="s">
        <v>18</v>
      </c>
      <c r="C1885" s="13">
        <v>22.3</v>
      </c>
      <c r="D1885" s="14">
        <v>0</v>
      </c>
      <c r="E1885">
        <f t="shared" si="87"/>
        <v>0</v>
      </c>
      <c r="F1885">
        <f t="shared" si="89"/>
        <v>43.104299999999881</v>
      </c>
      <c r="G1885">
        <f t="shared" si="88"/>
        <v>0</v>
      </c>
    </row>
    <row r="1886" spans="1:7" hidden="1" x14ac:dyDescent="0.35">
      <c r="A1886" s="7">
        <v>50525</v>
      </c>
      <c r="B1886" s="8" t="s">
        <v>10</v>
      </c>
      <c r="C1886" s="9">
        <v>28.2</v>
      </c>
      <c r="D1886" s="10">
        <v>0</v>
      </c>
      <c r="E1886">
        <f t="shared" si="87"/>
        <v>0</v>
      </c>
      <c r="F1886">
        <f t="shared" si="89"/>
        <v>43.104299999999881</v>
      </c>
      <c r="G1886">
        <f t="shared" si="88"/>
        <v>0</v>
      </c>
    </row>
    <row r="1887" spans="1:7" hidden="1" x14ac:dyDescent="0.35">
      <c r="A1887" s="11">
        <v>50526</v>
      </c>
      <c r="B1887" s="12" t="s">
        <v>24</v>
      </c>
      <c r="C1887" s="13">
        <v>11.9</v>
      </c>
      <c r="D1887" s="14">
        <v>3.4</v>
      </c>
      <c r="E1887">
        <f t="shared" si="87"/>
        <v>0.40460000000000002</v>
      </c>
      <c r="F1887">
        <f t="shared" si="89"/>
        <v>43.508899999999883</v>
      </c>
      <c r="G1887">
        <f t="shared" si="88"/>
        <v>0</v>
      </c>
    </row>
    <row r="1888" spans="1:7" hidden="1" x14ac:dyDescent="0.35">
      <c r="A1888" s="7">
        <v>50527</v>
      </c>
      <c r="B1888" s="8" t="s">
        <v>18</v>
      </c>
      <c r="C1888" s="9">
        <v>20.9</v>
      </c>
      <c r="D1888" s="10">
        <v>7.5</v>
      </c>
      <c r="E1888">
        <f t="shared" si="87"/>
        <v>1.5674999999999999</v>
      </c>
      <c r="F1888">
        <f t="shared" si="89"/>
        <v>45.076399999999886</v>
      </c>
      <c r="G1888">
        <f t="shared" si="88"/>
        <v>0</v>
      </c>
    </row>
    <row r="1889" spans="1:7" hidden="1" x14ac:dyDescent="0.35">
      <c r="A1889" s="11">
        <v>50528</v>
      </c>
      <c r="B1889" s="12" t="s">
        <v>32</v>
      </c>
      <c r="C1889" s="13">
        <v>18.399999999999999</v>
      </c>
      <c r="D1889" s="14">
        <v>0.2</v>
      </c>
      <c r="E1889">
        <f t="shared" si="87"/>
        <v>0</v>
      </c>
      <c r="F1889">
        <f t="shared" si="89"/>
        <v>45.076399999999886</v>
      </c>
      <c r="G1889">
        <f t="shared" si="88"/>
        <v>0</v>
      </c>
    </row>
    <row r="1890" spans="1:7" hidden="1" x14ac:dyDescent="0.35">
      <c r="A1890" s="7">
        <v>50529</v>
      </c>
      <c r="B1890" s="8" t="s">
        <v>10</v>
      </c>
      <c r="C1890" s="9">
        <v>27.8</v>
      </c>
      <c r="D1890" s="10">
        <v>35.9</v>
      </c>
      <c r="E1890">
        <f t="shared" si="87"/>
        <v>9.9802</v>
      </c>
      <c r="F1890">
        <f t="shared" si="89"/>
        <v>55.056599999999889</v>
      </c>
      <c r="G1890">
        <f t="shared" si="88"/>
        <v>0</v>
      </c>
    </row>
    <row r="1891" spans="1:7" hidden="1" x14ac:dyDescent="0.35">
      <c r="A1891" s="11">
        <v>50530</v>
      </c>
      <c r="B1891" s="12" t="s">
        <v>19</v>
      </c>
      <c r="C1891" s="13">
        <v>20.7</v>
      </c>
      <c r="D1891" s="14">
        <v>14.7</v>
      </c>
      <c r="E1891">
        <f t="shared" si="87"/>
        <v>3.0428999999999995</v>
      </c>
      <c r="F1891">
        <f t="shared" si="89"/>
        <v>58.099499999999892</v>
      </c>
      <c r="G1891">
        <f t="shared" si="88"/>
        <v>0</v>
      </c>
    </row>
    <row r="1892" spans="1:7" hidden="1" x14ac:dyDescent="0.35">
      <c r="A1892" s="7">
        <v>50531</v>
      </c>
      <c r="B1892" s="8" t="s">
        <v>5</v>
      </c>
      <c r="C1892" s="9">
        <v>13</v>
      </c>
      <c r="D1892" s="10">
        <v>0</v>
      </c>
      <c r="E1892">
        <f t="shared" si="87"/>
        <v>0</v>
      </c>
      <c r="F1892">
        <f t="shared" si="89"/>
        <v>58.099499999999892</v>
      </c>
      <c r="G1892">
        <f t="shared" si="88"/>
        <v>0</v>
      </c>
    </row>
    <row r="1893" spans="1:7" hidden="1" x14ac:dyDescent="0.35">
      <c r="A1893" s="11">
        <v>50532</v>
      </c>
      <c r="B1893" s="12" t="s">
        <v>19</v>
      </c>
      <c r="C1893" s="13">
        <v>29.4</v>
      </c>
      <c r="D1893" s="14">
        <v>0</v>
      </c>
      <c r="E1893">
        <f t="shared" si="87"/>
        <v>0</v>
      </c>
      <c r="F1893">
        <f t="shared" si="89"/>
        <v>58.099499999999892</v>
      </c>
      <c r="G1893">
        <f t="shared" si="88"/>
        <v>0</v>
      </c>
    </row>
    <row r="1894" spans="1:7" hidden="1" x14ac:dyDescent="0.35">
      <c r="A1894" s="7">
        <v>50533</v>
      </c>
      <c r="B1894" s="8" t="s">
        <v>6</v>
      </c>
      <c r="C1894" s="9">
        <v>19.8</v>
      </c>
      <c r="D1894" s="10">
        <v>13.9</v>
      </c>
      <c r="E1894">
        <f t="shared" si="87"/>
        <v>2.7522000000000002</v>
      </c>
      <c r="F1894">
        <f t="shared" si="89"/>
        <v>60.851699999999894</v>
      </c>
      <c r="G1894">
        <f t="shared" si="88"/>
        <v>0</v>
      </c>
    </row>
    <row r="1895" spans="1:7" hidden="1" x14ac:dyDescent="0.35">
      <c r="A1895" s="11">
        <v>50534</v>
      </c>
      <c r="B1895" s="12" t="s">
        <v>11</v>
      </c>
      <c r="C1895" s="13">
        <v>10.9</v>
      </c>
      <c r="D1895" s="14">
        <v>17</v>
      </c>
      <c r="E1895">
        <f t="shared" si="87"/>
        <v>1.8530000000000002</v>
      </c>
      <c r="F1895">
        <f t="shared" si="89"/>
        <v>62.704699999999896</v>
      </c>
      <c r="G1895">
        <f t="shared" si="88"/>
        <v>0</v>
      </c>
    </row>
    <row r="1896" spans="1:7" hidden="1" x14ac:dyDescent="0.35">
      <c r="A1896" s="7">
        <v>50535</v>
      </c>
      <c r="B1896" s="8" t="s">
        <v>10</v>
      </c>
      <c r="C1896" s="9">
        <v>27.3</v>
      </c>
      <c r="D1896" s="10">
        <v>15.8</v>
      </c>
      <c r="E1896">
        <f t="shared" si="87"/>
        <v>4.3134000000000006</v>
      </c>
      <c r="F1896">
        <f t="shared" si="89"/>
        <v>67.01809999999989</v>
      </c>
      <c r="G1896">
        <f t="shared" si="88"/>
        <v>0</v>
      </c>
    </row>
    <row r="1897" spans="1:7" hidden="1" x14ac:dyDescent="0.35">
      <c r="A1897" s="11">
        <v>50536</v>
      </c>
      <c r="B1897" s="12" t="s">
        <v>19</v>
      </c>
      <c r="C1897" s="13">
        <v>16.399999999999999</v>
      </c>
      <c r="D1897" s="14">
        <v>0</v>
      </c>
      <c r="E1897">
        <f t="shared" si="87"/>
        <v>0</v>
      </c>
      <c r="F1897">
        <f t="shared" si="89"/>
        <v>67.01809999999989</v>
      </c>
      <c r="G1897">
        <f t="shared" si="88"/>
        <v>0</v>
      </c>
    </row>
    <row r="1898" spans="1:7" hidden="1" x14ac:dyDescent="0.35">
      <c r="A1898" s="7">
        <v>50537</v>
      </c>
      <c r="B1898" s="8" t="s">
        <v>15</v>
      </c>
      <c r="C1898" s="9">
        <v>28</v>
      </c>
      <c r="D1898" s="10">
        <v>9.6999999999999993</v>
      </c>
      <c r="E1898">
        <f t="shared" si="87"/>
        <v>2.7159999999999997</v>
      </c>
      <c r="F1898">
        <f t="shared" si="89"/>
        <v>69.734099999999884</v>
      </c>
      <c r="G1898">
        <f t="shared" si="88"/>
        <v>0</v>
      </c>
    </row>
    <row r="1899" spans="1:7" hidden="1" x14ac:dyDescent="0.35">
      <c r="A1899" s="11">
        <v>50538</v>
      </c>
      <c r="B1899" s="12" t="s">
        <v>7</v>
      </c>
      <c r="C1899" s="13">
        <v>17.399999999999999</v>
      </c>
      <c r="D1899" s="14">
        <v>6.6</v>
      </c>
      <c r="E1899">
        <f t="shared" si="87"/>
        <v>1.1483999999999999</v>
      </c>
      <c r="F1899">
        <f t="shared" si="89"/>
        <v>70.882499999999879</v>
      </c>
      <c r="G1899">
        <f t="shared" si="88"/>
        <v>0</v>
      </c>
    </row>
    <row r="1900" spans="1:7" hidden="1" x14ac:dyDescent="0.35">
      <c r="A1900" s="7">
        <v>50539</v>
      </c>
      <c r="B1900" s="8" t="s">
        <v>8</v>
      </c>
      <c r="C1900" s="9">
        <v>25.7</v>
      </c>
      <c r="D1900" s="10">
        <v>0.7</v>
      </c>
      <c r="E1900">
        <f t="shared" si="87"/>
        <v>0</v>
      </c>
      <c r="F1900">
        <f t="shared" si="89"/>
        <v>70.882499999999879</v>
      </c>
      <c r="G1900">
        <f t="shared" si="88"/>
        <v>0</v>
      </c>
    </row>
    <row r="1901" spans="1:7" hidden="1" x14ac:dyDescent="0.35">
      <c r="A1901" s="11">
        <v>50540</v>
      </c>
      <c r="B1901" s="12" t="s">
        <v>19</v>
      </c>
      <c r="C1901" s="13">
        <v>20.100000000000001</v>
      </c>
      <c r="D1901" s="14">
        <v>11</v>
      </c>
      <c r="E1901">
        <f t="shared" si="87"/>
        <v>2.2110000000000003</v>
      </c>
      <c r="F1901">
        <f t="shared" si="89"/>
        <v>73.093499999999878</v>
      </c>
      <c r="G1901">
        <f t="shared" si="88"/>
        <v>0</v>
      </c>
    </row>
    <row r="1902" spans="1:7" hidden="1" x14ac:dyDescent="0.35">
      <c r="A1902" s="7">
        <v>50541</v>
      </c>
      <c r="B1902" s="8" t="s">
        <v>19</v>
      </c>
      <c r="C1902" s="9">
        <v>17.899999999999999</v>
      </c>
      <c r="D1902" s="10">
        <v>0</v>
      </c>
      <c r="E1902">
        <f t="shared" si="87"/>
        <v>0</v>
      </c>
      <c r="F1902">
        <f t="shared" si="89"/>
        <v>73.093499999999878</v>
      </c>
      <c r="G1902">
        <f t="shared" si="88"/>
        <v>0</v>
      </c>
    </row>
    <row r="1903" spans="1:7" hidden="1" x14ac:dyDescent="0.35">
      <c r="A1903" s="11">
        <v>50542</v>
      </c>
      <c r="B1903" s="12" t="s">
        <v>11</v>
      </c>
      <c r="C1903" s="13">
        <v>10.7</v>
      </c>
      <c r="D1903" s="14">
        <v>6.4</v>
      </c>
      <c r="E1903">
        <f t="shared" si="87"/>
        <v>0.68480000000000008</v>
      </c>
      <c r="F1903">
        <f t="shared" si="89"/>
        <v>73.778299999999874</v>
      </c>
      <c r="G1903">
        <f t="shared" si="88"/>
        <v>0</v>
      </c>
    </row>
    <row r="1904" spans="1:7" hidden="1" x14ac:dyDescent="0.35">
      <c r="A1904" s="7">
        <v>50543</v>
      </c>
      <c r="B1904" s="8" t="s">
        <v>9</v>
      </c>
      <c r="C1904" s="9">
        <v>20.399999999999999</v>
      </c>
      <c r="D1904" s="10">
        <v>0</v>
      </c>
      <c r="E1904">
        <f t="shared" si="87"/>
        <v>0</v>
      </c>
      <c r="F1904">
        <f t="shared" si="89"/>
        <v>73.778299999999874</v>
      </c>
      <c r="G1904">
        <f t="shared" si="88"/>
        <v>0</v>
      </c>
    </row>
    <row r="1905" spans="1:7" hidden="1" x14ac:dyDescent="0.35">
      <c r="A1905" s="11">
        <v>50544</v>
      </c>
      <c r="B1905" s="12" t="s">
        <v>12</v>
      </c>
      <c r="C1905" s="13">
        <v>25.4</v>
      </c>
      <c r="D1905" s="14">
        <v>1</v>
      </c>
      <c r="E1905">
        <f t="shared" si="87"/>
        <v>0.254</v>
      </c>
      <c r="F1905">
        <f t="shared" si="89"/>
        <v>74.032299999999879</v>
      </c>
      <c r="G1905">
        <f t="shared" si="88"/>
        <v>0</v>
      </c>
    </row>
    <row r="1906" spans="1:7" hidden="1" x14ac:dyDescent="0.35">
      <c r="A1906" s="7">
        <v>50545</v>
      </c>
      <c r="B1906" s="8" t="s">
        <v>8</v>
      </c>
      <c r="C1906" s="9">
        <v>10.9</v>
      </c>
      <c r="D1906" s="10">
        <v>0.2</v>
      </c>
      <c r="E1906">
        <f t="shared" si="87"/>
        <v>0</v>
      </c>
      <c r="F1906">
        <f t="shared" si="89"/>
        <v>74.032299999999879</v>
      </c>
      <c r="G1906">
        <f t="shared" si="88"/>
        <v>0</v>
      </c>
    </row>
    <row r="1907" spans="1:7" hidden="1" x14ac:dyDescent="0.35">
      <c r="A1907" s="11">
        <v>50546</v>
      </c>
      <c r="B1907" s="12" t="s">
        <v>27</v>
      </c>
      <c r="C1907" s="13">
        <v>18.5</v>
      </c>
      <c r="D1907" s="14">
        <v>0.5</v>
      </c>
      <c r="E1907">
        <f t="shared" si="87"/>
        <v>0</v>
      </c>
      <c r="F1907">
        <f t="shared" si="89"/>
        <v>74.032299999999879</v>
      </c>
      <c r="G1907">
        <f t="shared" si="88"/>
        <v>0</v>
      </c>
    </row>
    <row r="1908" spans="1:7" hidden="1" x14ac:dyDescent="0.35">
      <c r="A1908" s="7">
        <v>50547</v>
      </c>
      <c r="B1908" s="8" t="s">
        <v>10</v>
      </c>
      <c r="C1908" s="9">
        <v>14.8</v>
      </c>
      <c r="D1908" s="10">
        <v>50.3</v>
      </c>
      <c r="E1908">
        <f t="shared" si="87"/>
        <v>7.444399999999999</v>
      </c>
      <c r="F1908">
        <f t="shared" si="89"/>
        <v>81.47669999999988</v>
      </c>
      <c r="G1908">
        <f t="shared" si="88"/>
        <v>0</v>
      </c>
    </row>
    <row r="1909" spans="1:7" hidden="1" x14ac:dyDescent="0.35">
      <c r="A1909" s="11">
        <v>50548</v>
      </c>
      <c r="B1909" s="12" t="s">
        <v>18</v>
      </c>
      <c r="C1909" s="13">
        <v>28.5</v>
      </c>
      <c r="D1909" s="14">
        <v>0.7</v>
      </c>
      <c r="E1909">
        <f t="shared" si="87"/>
        <v>0</v>
      </c>
      <c r="F1909">
        <f t="shared" si="89"/>
        <v>81.47669999999988</v>
      </c>
      <c r="G1909">
        <f t="shared" si="88"/>
        <v>0</v>
      </c>
    </row>
    <row r="1910" spans="1:7" hidden="1" x14ac:dyDescent="0.35">
      <c r="A1910" s="7">
        <v>50549</v>
      </c>
      <c r="B1910" s="8" t="s">
        <v>31</v>
      </c>
      <c r="C1910" s="9">
        <v>19.399999999999999</v>
      </c>
      <c r="D1910" s="10">
        <v>0</v>
      </c>
      <c r="E1910">
        <f t="shared" si="87"/>
        <v>0</v>
      </c>
      <c r="F1910">
        <f t="shared" si="89"/>
        <v>81.47669999999988</v>
      </c>
      <c r="G1910">
        <f t="shared" si="88"/>
        <v>0</v>
      </c>
    </row>
    <row r="1911" spans="1:7" hidden="1" x14ac:dyDescent="0.35">
      <c r="A1911" s="11">
        <v>50550</v>
      </c>
      <c r="B1911" s="12" t="s">
        <v>23</v>
      </c>
      <c r="C1911" s="13">
        <v>20.7</v>
      </c>
      <c r="D1911" s="14">
        <v>4.7</v>
      </c>
      <c r="E1911">
        <f t="shared" si="87"/>
        <v>0.9729000000000001</v>
      </c>
      <c r="F1911">
        <f t="shared" si="89"/>
        <v>82.449599999999876</v>
      </c>
      <c r="G1911">
        <f t="shared" si="88"/>
        <v>0</v>
      </c>
    </row>
    <row r="1912" spans="1:7" hidden="1" x14ac:dyDescent="0.35">
      <c r="A1912" s="7">
        <v>50551</v>
      </c>
      <c r="B1912" s="8" t="s">
        <v>26</v>
      </c>
      <c r="C1912" s="9">
        <v>25.7</v>
      </c>
      <c r="D1912" s="10">
        <v>0</v>
      </c>
      <c r="E1912">
        <f t="shared" si="87"/>
        <v>0</v>
      </c>
      <c r="F1912">
        <f t="shared" si="89"/>
        <v>82.449599999999876</v>
      </c>
      <c r="G1912">
        <f t="shared" si="88"/>
        <v>0</v>
      </c>
    </row>
    <row r="1913" spans="1:7" hidden="1" x14ac:dyDescent="0.35">
      <c r="A1913" s="11">
        <v>50552</v>
      </c>
      <c r="B1913" s="12" t="s">
        <v>19</v>
      </c>
      <c r="C1913" s="13">
        <v>21.4</v>
      </c>
      <c r="D1913" s="14">
        <v>0</v>
      </c>
      <c r="E1913">
        <f t="shared" si="87"/>
        <v>0</v>
      </c>
      <c r="F1913">
        <f t="shared" si="89"/>
        <v>82.449599999999876</v>
      </c>
      <c r="G1913">
        <f t="shared" si="88"/>
        <v>0</v>
      </c>
    </row>
    <row r="1914" spans="1:7" hidden="1" x14ac:dyDescent="0.35">
      <c r="A1914" s="7">
        <v>50553</v>
      </c>
      <c r="B1914" s="8" t="s">
        <v>10</v>
      </c>
      <c r="C1914" s="9">
        <v>19.2</v>
      </c>
      <c r="D1914" s="10">
        <v>0</v>
      </c>
      <c r="E1914">
        <f t="shared" si="87"/>
        <v>0</v>
      </c>
      <c r="F1914">
        <f t="shared" si="89"/>
        <v>82.449599999999876</v>
      </c>
      <c r="G1914">
        <f t="shared" si="88"/>
        <v>0</v>
      </c>
    </row>
    <row r="1915" spans="1:7" hidden="1" x14ac:dyDescent="0.35">
      <c r="A1915" s="11">
        <v>50554</v>
      </c>
      <c r="B1915" s="12" t="s">
        <v>18</v>
      </c>
      <c r="C1915" s="13">
        <v>19.399999999999999</v>
      </c>
      <c r="D1915" s="14">
        <v>14.2</v>
      </c>
      <c r="E1915">
        <f t="shared" si="87"/>
        <v>2.7547999999999995</v>
      </c>
      <c r="F1915">
        <f t="shared" si="89"/>
        <v>85.204399999999879</v>
      </c>
      <c r="G1915">
        <f t="shared" si="88"/>
        <v>0</v>
      </c>
    </row>
    <row r="1916" spans="1:7" hidden="1" x14ac:dyDescent="0.35">
      <c r="A1916" s="7">
        <v>50555</v>
      </c>
      <c r="B1916" s="8" t="s">
        <v>19</v>
      </c>
      <c r="C1916" s="9">
        <v>24.2</v>
      </c>
      <c r="D1916" s="10">
        <v>1.9</v>
      </c>
      <c r="E1916">
        <f t="shared" si="87"/>
        <v>0.45979999999999999</v>
      </c>
      <c r="F1916">
        <f t="shared" si="89"/>
        <v>85.66419999999988</v>
      </c>
      <c r="G1916">
        <f t="shared" si="88"/>
        <v>0</v>
      </c>
    </row>
    <row r="1917" spans="1:7" hidden="1" x14ac:dyDescent="0.35">
      <c r="A1917" s="11">
        <v>50556</v>
      </c>
      <c r="B1917" s="12" t="s">
        <v>7</v>
      </c>
      <c r="C1917" s="13">
        <v>27.7</v>
      </c>
      <c r="D1917" s="14">
        <v>19.5</v>
      </c>
      <c r="E1917">
        <f t="shared" si="87"/>
        <v>5.4014999999999995</v>
      </c>
      <c r="F1917">
        <f t="shared" si="89"/>
        <v>91.065699999999879</v>
      </c>
      <c r="G1917">
        <f t="shared" si="88"/>
        <v>0</v>
      </c>
    </row>
    <row r="1918" spans="1:7" hidden="1" x14ac:dyDescent="0.35">
      <c r="A1918" s="7">
        <v>50557</v>
      </c>
      <c r="B1918" s="8" t="s">
        <v>5</v>
      </c>
      <c r="C1918" s="9">
        <v>16.899999999999999</v>
      </c>
      <c r="D1918" s="10">
        <v>4.0999999999999996</v>
      </c>
      <c r="E1918">
        <f t="shared" si="87"/>
        <v>0.69289999999999996</v>
      </c>
      <c r="F1918">
        <f t="shared" si="89"/>
        <v>91.758599999999873</v>
      </c>
      <c r="G1918">
        <f t="shared" si="88"/>
        <v>0</v>
      </c>
    </row>
    <row r="1919" spans="1:7" hidden="1" x14ac:dyDescent="0.35">
      <c r="A1919" s="11">
        <v>50558</v>
      </c>
      <c r="B1919" s="12" t="s">
        <v>19</v>
      </c>
      <c r="C1919" s="13">
        <v>11.8</v>
      </c>
      <c r="D1919" s="14">
        <v>0</v>
      </c>
      <c r="E1919">
        <f t="shared" si="87"/>
        <v>0</v>
      </c>
      <c r="F1919">
        <f t="shared" si="89"/>
        <v>91.758599999999873</v>
      </c>
      <c r="G1919">
        <f t="shared" si="88"/>
        <v>0</v>
      </c>
    </row>
    <row r="1920" spans="1:7" hidden="1" x14ac:dyDescent="0.35">
      <c r="A1920" s="7">
        <v>50559</v>
      </c>
      <c r="B1920" s="8" t="s">
        <v>12</v>
      </c>
      <c r="C1920" s="9">
        <v>15.7</v>
      </c>
      <c r="D1920" s="10">
        <v>9.4</v>
      </c>
      <c r="E1920">
        <f t="shared" si="87"/>
        <v>1.4758000000000002</v>
      </c>
      <c r="F1920">
        <f t="shared" si="89"/>
        <v>93.23439999999988</v>
      </c>
      <c r="G1920">
        <f t="shared" si="88"/>
        <v>0</v>
      </c>
    </row>
    <row r="1921" spans="1:7" hidden="1" x14ac:dyDescent="0.35">
      <c r="A1921" s="11">
        <v>50560</v>
      </c>
      <c r="B1921" s="12" t="s">
        <v>6</v>
      </c>
      <c r="C1921" s="13">
        <v>14.2</v>
      </c>
      <c r="D1921" s="14">
        <v>0</v>
      </c>
      <c r="E1921">
        <f t="shared" si="87"/>
        <v>0</v>
      </c>
      <c r="F1921">
        <f t="shared" si="89"/>
        <v>93.23439999999988</v>
      </c>
      <c r="G1921">
        <f t="shared" si="88"/>
        <v>0</v>
      </c>
    </row>
    <row r="1922" spans="1:7" hidden="1" x14ac:dyDescent="0.35">
      <c r="A1922" s="7">
        <v>50561</v>
      </c>
      <c r="B1922" s="8" t="s">
        <v>15</v>
      </c>
      <c r="C1922" s="9">
        <v>18.100000000000001</v>
      </c>
      <c r="D1922" s="10">
        <v>13.1</v>
      </c>
      <c r="E1922">
        <f t="shared" si="87"/>
        <v>2.3711000000000002</v>
      </c>
      <c r="F1922">
        <f t="shared" si="89"/>
        <v>95.605499999999878</v>
      </c>
      <c r="G1922">
        <f t="shared" si="88"/>
        <v>0</v>
      </c>
    </row>
    <row r="1923" spans="1:7" x14ac:dyDescent="0.35">
      <c r="A1923" s="11">
        <v>50562</v>
      </c>
      <c r="B1923" s="12" t="s">
        <v>19</v>
      </c>
      <c r="C1923" s="13">
        <v>21.9</v>
      </c>
      <c r="D1923" s="14">
        <v>27.5</v>
      </c>
      <c r="E1923">
        <f t="shared" ref="E1923:E1986" si="90">IF(D1923&gt;=1,C1923*D1923/100,0)</f>
        <v>6.0225</v>
      </c>
      <c r="F1923">
        <f t="shared" si="89"/>
        <v>101.62799999999987</v>
      </c>
      <c r="G1923">
        <f t="shared" ref="G1923:G1986" si="91">IF(F1923&gt;=100,1,0)</f>
        <v>1</v>
      </c>
    </row>
    <row r="1924" spans="1:7" hidden="1" x14ac:dyDescent="0.35">
      <c r="A1924" s="7">
        <v>50563</v>
      </c>
      <c r="B1924" s="8" t="s">
        <v>10</v>
      </c>
      <c r="C1924" s="9">
        <v>28</v>
      </c>
      <c r="D1924" s="10">
        <v>2.1</v>
      </c>
      <c r="E1924">
        <f t="shared" si="90"/>
        <v>0.58800000000000008</v>
      </c>
      <c r="F1924">
        <f t="shared" ref="F1924:F1987" si="92">IF(G1923=1,E1924+F1923-100,F1923+E1924)</f>
        <v>2.2159999999998661</v>
      </c>
      <c r="G1924">
        <f t="shared" si="91"/>
        <v>0</v>
      </c>
    </row>
    <row r="1925" spans="1:7" hidden="1" x14ac:dyDescent="0.35">
      <c r="A1925" s="11">
        <v>50564</v>
      </c>
      <c r="B1925" s="12" t="s">
        <v>13</v>
      </c>
      <c r="C1925" s="13">
        <v>14.2</v>
      </c>
      <c r="D1925" s="14">
        <v>7</v>
      </c>
      <c r="E1925">
        <f t="shared" si="90"/>
        <v>0.99399999999999988</v>
      </c>
      <c r="F1925">
        <f t="shared" si="92"/>
        <v>3.2099999999998658</v>
      </c>
      <c r="G1925">
        <f t="shared" si="91"/>
        <v>0</v>
      </c>
    </row>
    <row r="1926" spans="1:7" hidden="1" x14ac:dyDescent="0.35">
      <c r="A1926" s="7">
        <v>50565</v>
      </c>
      <c r="B1926" s="8" t="s">
        <v>13</v>
      </c>
      <c r="C1926" s="9">
        <v>11.1</v>
      </c>
      <c r="D1926" s="10">
        <v>0</v>
      </c>
      <c r="E1926">
        <f t="shared" si="90"/>
        <v>0</v>
      </c>
      <c r="F1926">
        <f t="shared" si="92"/>
        <v>3.2099999999998658</v>
      </c>
      <c r="G1926">
        <f t="shared" si="91"/>
        <v>0</v>
      </c>
    </row>
    <row r="1927" spans="1:7" hidden="1" x14ac:dyDescent="0.35">
      <c r="A1927" s="11">
        <v>50566</v>
      </c>
      <c r="B1927" s="12" t="s">
        <v>14</v>
      </c>
      <c r="C1927" s="13">
        <v>11.8</v>
      </c>
      <c r="D1927" s="14">
        <v>6</v>
      </c>
      <c r="E1927">
        <f t="shared" si="90"/>
        <v>0.70800000000000007</v>
      </c>
      <c r="F1927">
        <f t="shared" si="92"/>
        <v>3.917999999999866</v>
      </c>
      <c r="G1927">
        <f t="shared" si="91"/>
        <v>0</v>
      </c>
    </row>
    <row r="1928" spans="1:7" hidden="1" x14ac:dyDescent="0.35">
      <c r="A1928" s="7">
        <v>50567</v>
      </c>
      <c r="B1928" s="8" t="s">
        <v>33</v>
      </c>
      <c r="C1928" s="9">
        <v>26.8</v>
      </c>
      <c r="D1928" s="10">
        <v>0.9</v>
      </c>
      <c r="E1928">
        <f t="shared" si="90"/>
        <v>0</v>
      </c>
      <c r="F1928">
        <f t="shared" si="92"/>
        <v>3.917999999999866</v>
      </c>
      <c r="G1928">
        <f t="shared" si="91"/>
        <v>0</v>
      </c>
    </row>
    <row r="1929" spans="1:7" hidden="1" x14ac:dyDescent="0.35">
      <c r="A1929" s="11">
        <v>50568</v>
      </c>
      <c r="B1929" s="12" t="s">
        <v>10</v>
      </c>
      <c r="C1929" s="13">
        <v>27.3</v>
      </c>
      <c r="D1929" s="14">
        <v>44.5</v>
      </c>
      <c r="E1929">
        <f t="shared" si="90"/>
        <v>12.148500000000002</v>
      </c>
      <c r="F1929">
        <f t="shared" si="92"/>
        <v>16.06649999999987</v>
      </c>
      <c r="G1929">
        <f t="shared" si="91"/>
        <v>0</v>
      </c>
    </row>
    <row r="1930" spans="1:7" hidden="1" x14ac:dyDescent="0.35">
      <c r="A1930" s="7">
        <v>50569</v>
      </c>
      <c r="B1930" s="8" t="s">
        <v>8</v>
      </c>
      <c r="C1930" s="9">
        <v>14.3</v>
      </c>
      <c r="D1930" s="10">
        <v>3.7</v>
      </c>
      <c r="E1930">
        <f t="shared" si="90"/>
        <v>0.52910000000000001</v>
      </c>
      <c r="F1930">
        <f t="shared" si="92"/>
        <v>16.59559999999987</v>
      </c>
      <c r="G1930">
        <f t="shared" si="91"/>
        <v>0</v>
      </c>
    </row>
    <row r="1931" spans="1:7" hidden="1" x14ac:dyDescent="0.35">
      <c r="A1931" s="11">
        <v>50570</v>
      </c>
      <c r="B1931" s="12" t="s">
        <v>5</v>
      </c>
      <c r="C1931" s="13">
        <v>19.399999999999999</v>
      </c>
      <c r="D1931" s="14">
        <v>0</v>
      </c>
      <c r="E1931">
        <f t="shared" si="90"/>
        <v>0</v>
      </c>
      <c r="F1931">
        <f t="shared" si="92"/>
        <v>16.59559999999987</v>
      </c>
      <c r="G1931">
        <f t="shared" si="91"/>
        <v>0</v>
      </c>
    </row>
    <row r="1932" spans="1:7" hidden="1" x14ac:dyDescent="0.35">
      <c r="A1932" s="7">
        <v>50571</v>
      </c>
      <c r="B1932" s="8" t="s">
        <v>19</v>
      </c>
      <c r="C1932" s="9">
        <v>26.5</v>
      </c>
      <c r="D1932" s="10">
        <v>0</v>
      </c>
      <c r="E1932">
        <f t="shared" si="90"/>
        <v>0</v>
      </c>
      <c r="F1932">
        <f t="shared" si="92"/>
        <v>16.59559999999987</v>
      </c>
      <c r="G1932">
        <f t="shared" si="91"/>
        <v>0</v>
      </c>
    </row>
    <row r="1933" spans="1:7" hidden="1" x14ac:dyDescent="0.35">
      <c r="A1933" s="11">
        <v>50572</v>
      </c>
      <c r="B1933" s="12" t="s">
        <v>19</v>
      </c>
      <c r="C1933" s="13">
        <v>28.3</v>
      </c>
      <c r="D1933" s="14">
        <v>14.4</v>
      </c>
      <c r="E1933">
        <f t="shared" si="90"/>
        <v>4.0752000000000006</v>
      </c>
      <c r="F1933">
        <f t="shared" si="92"/>
        <v>20.670799999999872</v>
      </c>
      <c r="G1933">
        <f t="shared" si="91"/>
        <v>0</v>
      </c>
    </row>
    <row r="1934" spans="1:7" hidden="1" x14ac:dyDescent="0.35">
      <c r="A1934" s="7">
        <v>50573</v>
      </c>
      <c r="B1934" s="8" t="s">
        <v>27</v>
      </c>
      <c r="C1934" s="9">
        <v>19.8</v>
      </c>
      <c r="D1934" s="10">
        <v>0</v>
      </c>
      <c r="E1934">
        <f t="shared" si="90"/>
        <v>0</v>
      </c>
      <c r="F1934">
        <f t="shared" si="92"/>
        <v>20.670799999999872</v>
      </c>
      <c r="G1934">
        <f t="shared" si="91"/>
        <v>0</v>
      </c>
    </row>
    <row r="1935" spans="1:7" hidden="1" x14ac:dyDescent="0.35">
      <c r="A1935" s="11">
        <v>50574</v>
      </c>
      <c r="B1935" s="12" t="s">
        <v>10</v>
      </c>
      <c r="C1935" s="13">
        <v>16</v>
      </c>
      <c r="D1935" s="14">
        <v>28.7</v>
      </c>
      <c r="E1935">
        <f t="shared" si="90"/>
        <v>4.5919999999999996</v>
      </c>
      <c r="F1935">
        <f t="shared" si="92"/>
        <v>25.262799999999871</v>
      </c>
      <c r="G1935">
        <f t="shared" si="91"/>
        <v>0</v>
      </c>
    </row>
    <row r="1936" spans="1:7" hidden="1" x14ac:dyDescent="0.35">
      <c r="A1936" s="7">
        <v>50575</v>
      </c>
      <c r="B1936" s="8" t="s">
        <v>19</v>
      </c>
      <c r="C1936" s="9">
        <v>14.5</v>
      </c>
      <c r="D1936" s="10">
        <v>12</v>
      </c>
      <c r="E1936">
        <f t="shared" si="90"/>
        <v>1.74</v>
      </c>
      <c r="F1936">
        <f t="shared" si="92"/>
        <v>27.002799999999869</v>
      </c>
      <c r="G1936">
        <f t="shared" si="91"/>
        <v>0</v>
      </c>
    </row>
    <row r="1937" spans="1:7" hidden="1" x14ac:dyDescent="0.35">
      <c r="A1937" s="11">
        <v>50576</v>
      </c>
      <c r="B1937" s="12" t="s">
        <v>15</v>
      </c>
      <c r="C1937" s="13">
        <v>14.3</v>
      </c>
      <c r="D1937" s="14">
        <v>13</v>
      </c>
      <c r="E1937">
        <f t="shared" si="90"/>
        <v>1.859</v>
      </c>
      <c r="F1937">
        <f t="shared" si="92"/>
        <v>28.861799999999867</v>
      </c>
      <c r="G1937">
        <f t="shared" si="91"/>
        <v>0</v>
      </c>
    </row>
    <row r="1938" spans="1:7" hidden="1" x14ac:dyDescent="0.35">
      <c r="A1938" s="7">
        <v>50577</v>
      </c>
      <c r="B1938" s="8" t="s">
        <v>18</v>
      </c>
      <c r="C1938" s="9">
        <v>12.7</v>
      </c>
      <c r="D1938" s="10">
        <v>10.7</v>
      </c>
      <c r="E1938">
        <f t="shared" si="90"/>
        <v>1.3588999999999998</v>
      </c>
      <c r="F1938">
        <f t="shared" si="92"/>
        <v>30.220699999999866</v>
      </c>
      <c r="G1938">
        <f t="shared" si="91"/>
        <v>0</v>
      </c>
    </row>
    <row r="1939" spans="1:7" hidden="1" x14ac:dyDescent="0.35">
      <c r="A1939" s="11">
        <v>50578</v>
      </c>
      <c r="B1939" s="12" t="s">
        <v>22</v>
      </c>
      <c r="C1939" s="13">
        <v>12.6</v>
      </c>
      <c r="D1939" s="14">
        <v>0</v>
      </c>
      <c r="E1939">
        <f t="shared" si="90"/>
        <v>0</v>
      </c>
      <c r="F1939">
        <f t="shared" si="92"/>
        <v>30.220699999999866</v>
      </c>
      <c r="G1939">
        <f t="shared" si="91"/>
        <v>0</v>
      </c>
    </row>
    <row r="1940" spans="1:7" hidden="1" x14ac:dyDescent="0.35">
      <c r="A1940" s="7">
        <v>50579</v>
      </c>
      <c r="B1940" s="8" t="s">
        <v>26</v>
      </c>
      <c r="C1940" s="9">
        <v>19.899999999999999</v>
      </c>
      <c r="D1940" s="10">
        <v>6.6</v>
      </c>
      <c r="E1940">
        <f t="shared" si="90"/>
        <v>1.3133999999999997</v>
      </c>
      <c r="F1940">
        <f t="shared" si="92"/>
        <v>31.534099999999867</v>
      </c>
      <c r="G1940">
        <f t="shared" si="91"/>
        <v>0</v>
      </c>
    </row>
    <row r="1941" spans="1:7" hidden="1" x14ac:dyDescent="0.35">
      <c r="A1941" s="11">
        <v>50580</v>
      </c>
      <c r="B1941" s="12" t="s">
        <v>7</v>
      </c>
      <c r="C1941" s="13">
        <v>27.4</v>
      </c>
      <c r="D1941" s="14">
        <v>6.6</v>
      </c>
      <c r="E1941">
        <f t="shared" si="90"/>
        <v>1.8083999999999998</v>
      </c>
      <c r="F1941">
        <f t="shared" si="92"/>
        <v>33.342499999999866</v>
      </c>
      <c r="G1941">
        <f t="shared" si="91"/>
        <v>0</v>
      </c>
    </row>
    <row r="1942" spans="1:7" hidden="1" x14ac:dyDescent="0.35">
      <c r="A1942" s="7">
        <v>50581</v>
      </c>
      <c r="B1942" s="8" t="s">
        <v>19</v>
      </c>
      <c r="C1942" s="9">
        <v>27.4</v>
      </c>
      <c r="D1942" s="10">
        <v>0</v>
      </c>
      <c r="E1942">
        <f t="shared" si="90"/>
        <v>0</v>
      </c>
      <c r="F1942">
        <f t="shared" si="92"/>
        <v>33.342499999999866</v>
      </c>
      <c r="G1942">
        <f t="shared" si="91"/>
        <v>0</v>
      </c>
    </row>
    <row r="1943" spans="1:7" hidden="1" x14ac:dyDescent="0.35">
      <c r="A1943" s="11">
        <v>50582</v>
      </c>
      <c r="B1943" s="12" t="s">
        <v>28</v>
      </c>
      <c r="C1943" s="13">
        <v>11.2</v>
      </c>
      <c r="D1943" s="14">
        <v>0.3</v>
      </c>
      <c r="E1943">
        <f t="shared" si="90"/>
        <v>0</v>
      </c>
      <c r="F1943">
        <f t="shared" si="92"/>
        <v>33.342499999999866</v>
      </c>
      <c r="G1943">
        <f t="shared" si="91"/>
        <v>0</v>
      </c>
    </row>
    <row r="1944" spans="1:7" hidden="1" x14ac:dyDescent="0.35">
      <c r="A1944" s="7">
        <v>50583</v>
      </c>
      <c r="B1944" s="8" t="s">
        <v>11</v>
      </c>
      <c r="C1944" s="9">
        <v>19.899999999999999</v>
      </c>
      <c r="D1944" s="10">
        <v>19.399999999999999</v>
      </c>
      <c r="E1944">
        <f t="shared" si="90"/>
        <v>3.8605999999999994</v>
      </c>
      <c r="F1944">
        <f t="shared" si="92"/>
        <v>37.203099999999864</v>
      </c>
      <c r="G1944">
        <f t="shared" si="91"/>
        <v>0</v>
      </c>
    </row>
    <row r="1945" spans="1:7" hidden="1" x14ac:dyDescent="0.35">
      <c r="A1945" s="11">
        <v>50584</v>
      </c>
      <c r="B1945" s="12" t="s">
        <v>4</v>
      </c>
      <c r="C1945" s="13">
        <v>13</v>
      </c>
      <c r="D1945" s="14">
        <v>0.4</v>
      </c>
      <c r="E1945">
        <f t="shared" si="90"/>
        <v>0</v>
      </c>
      <c r="F1945">
        <f t="shared" si="92"/>
        <v>37.203099999999864</v>
      </c>
      <c r="G1945">
        <f t="shared" si="91"/>
        <v>0</v>
      </c>
    </row>
    <row r="1946" spans="1:7" hidden="1" x14ac:dyDescent="0.35">
      <c r="A1946" s="7">
        <v>50585</v>
      </c>
      <c r="B1946" s="8" t="s">
        <v>18</v>
      </c>
      <c r="C1946" s="9">
        <v>25.4</v>
      </c>
      <c r="D1946" s="10">
        <v>12.4</v>
      </c>
      <c r="E1946">
        <f t="shared" si="90"/>
        <v>3.1496</v>
      </c>
      <c r="F1946">
        <f t="shared" si="92"/>
        <v>40.352699999999864</v>
      </c>
      <c r="G1946">
        <f t="shared" si="91"/>
        <v>0</v>
      </c>
    </row>
    <row r="1947" spans="1:7" hidden="1" x14ac:dyDescent="0.35">
      <c r="A1947" s="11">
        <v>50586</v>
      </c>
      <c r="B1947" s="12" t="s">
        <v>9</v>
      </c>
      <c r="C1947" s="13">
        <v>23.5</v>
      </c>
      <c r="D1947" s="14">
        <v>0.7</v>
      </c>
      <c r="E1947">
        <f t="shared" si="90"/>
        <v>0</v>
      </c>
      <c r="F1947">
        <f t="shared" si="92"/>
        <v>40.352699999999864</v>
      </c>
      <c r="G1947">
        <f t="shared" si="91"/>
        <v>0</v>
      </c>
    </row>
    <row r="1948" spans="1:7" hidden="1" x14ac:dyDescent="0.35">
      <c r="A1948" s="7">
        <v>50587</v>
      </c>
      <c r="B1948" s="8" t="s">
        <v>22</v>
      </c>
      <c r="C1948" s="9">
        <v>16</v>
      </c>
      <c r="D1948" s="10">
        <v>0.1</v>
      </c>
      <c r="E1948">
        <f t="shared" si="90"/>
        <v>0</v>
      </c>
      <c r="F1948">
        <f t="shared" si="92"/>
        <v>40.352699999999864</v>
      </c>
      <c r="G1948">
        <f t="shared" si="91"/>
        <v>0</v>
      </c>
    </row>
    <row r="1949" spans="1:7" hidden="1" x14ac:dyDescent="0.35">
      <c r="A1949" s="11">
        <v>50588</v>
      </c>
      <c r="B1949" s="12" t="s">
        <v>6</v>
      </c>
      <c r="C1949" s="13">
        <v>25</v>
      </c>
      <c r="D1949" s="14">
        <v>11.7</v>
      </c>
      <c r="E1949">
        <f t="shared" si="90"/>
        <v>2.9249999999999998</v>
      </c>
      <c r="F1949">
        <f t="shared" si="92"/>
        <v>43.277699999999861</v>
      </c>
      <c r="G1949">
        <f t="shared" si="91"/>
        <v>0</v>
      </c>
    </row>
    <row r="1950" spans="1:7" hidden="1" x14ac:dyDescent="0.35">
      <c r="A1950" s="7">
        <v>50589</v>
      </c>
      <c r="B1950" s="8" t="s">
        <v>31</v>
      </c>
      <c r="C1950" s="9">
        <v>22.2</v>
      </c>
      <c r="D1950" s="10">
        <v>0.9</v>
      </c>
      <c r="E1950">
        <f t="shared" si="90"/>
        <v>0</v>
      </c>
      <c r="F1950">
        <f t="shared" si="92"/>
        <v>43.277699999999861</v>
      </c>
      <c r="G1950">
        <f t="shared" si="91"/>
        <v>0</v>
      </c>
    </row>
    <row r="1951" spans="1:7" hidden="1" x14ac:dyDescent="0.35">
      <c r="A1951" s="11">
        <v>50590</v>
      </c>
      <c r="B1951" s="12" t="s">
        <v>24</v>
      </c>
      <c r="C1951" s="13">
        <v>29.6</v>
      </c>
      <c r="D1951" s="14">
        <v>0</v>
      </c>
      <c r="E1951">
        <f t="shared" si="90"/>
        <v>0</v>
      </c>
      <c r="F1951">
        <f t="shared" si="92"/>
        <v>43.277699999999861</v>
      </c>
      <c r="G1951">
        <f t="shared" si="91"/>
        <v>0</v>
      </c>
    </row>
    <row r="1952" spans="1:7" hidden="1" x14ac:dyDescent="0.35">
      <c r="A1952" s="7">
        <v>50591</v>
      </c>
      <c r="B1952" s="8" t="s">
        <v>10</v>
      </c>
      <c r="C1952" s="9">
        <v>10.1</v>
      </c>
      <c r="D1952" s="10">
        <v>0</v>
      </c>
      <c r="E1952">
        <f t="shared" si="90"/>
        <v>0</v>
      </c>
      <c r="F1952">
        <f t="shared" si="92"/>
        <v>43.277699999999861</v>
      </c>
      <c r="G1952">
        <f t="shared" si="91"/>
        <v>0</v>
      </c>
    </row>
    <row r="1953" spans="1:7" hidden="1" x14ac:dyDescent="0.35">
      <c r="A1953" s="11">
        <v>50592</v>
      </c>
      <c r="B1953" s="12" t="s">
        <v>9</v>
      </c>
      <c r="C1953" s="13">
        <v>26.3</v>
      </c>
      <c r="D1953" s="14">
        <v>6.7</v>
      </c>
      <c r="E1953">
        <f t="shared" si="90"/>
        <v>1.7621</v>
      </c>
      <c r="F1953">
        <f t="shared" si="92"/>
        <v>45.039799999999858</v>
      </c>
      <c r="G1953">
        <f t="shared" si="91"/>
        <v>0</v>
      </c>
    </row>
    <row r="1954" spans="1:7" hidden="1" x14ac:dyDescent="0.35">
      <c r="A1954" s="7">
        <v>50593</v>
      </c>
      <c r="B1954" s="8" t="s">
        <v>10</v>
      </c>
      <c r="C1954" s="9">
        <v>27.3</v>
      </c>
      <c r="D1954" s="10">
        <v>15.3</v>
      </c>
      <c r="E1954">
        <f t="shared" si="90"/>
        <v>4.1769000000000007</v>
      </c>
      <c r="F1954">
        <f t="shared" si="92"/>
        <v>49.216699999999861</v>
      </c>
      <c r="G1954">
        <f t="shared" si="91"/>
        <v>0</v>
      </c>
    </row>
    <row r="1955" spans="1:7" hidden="1" x14ac:dyDescent="0.35">
      <c r="A1955" s="11">
        <v>50594</v>
      </c>
      <c r="B1955" s="12" t="s">
        <v>11</v>
      </c>
      <c r="C1955" s="13">
        <v>27.8</v>
      </c>
      <c r="D1955" s="14">
        <v>0</v>
      </c>
      <c r="E1955">
        <f t="shared" si="90"/>
        <v>0</v>
      </c>
      <c r="F1955">
        <f t="shared" si="92"/>
        <v>49.216699999999861</v>
      </c>
      <c r="G1955">
        <f t="shared" si="91"/>
        <v>0</v>
      </c>
    </row>
    <row r="1956" spans="1:7" hidden="1" x14ac:dyDescent="0.35">
      <c r="A1956" s="7">
        <v>50595</v>
      </c>
      <c r="B1956" s="8" t="s">
        <v>6</v>
      </c>
      <c r="C1956" s="9">
        <v>16.7</v>
      </c>
      <c r="D1956" s="10">
        <v>4.9000000000000004</v>
      </c>
      <c r="E1956">
        <f t="shared" si="90"/>
        <v>0.81830000000000003</v>
      </c>
      <c r="F1956">
        <f t="shared" si="92"/>
        <v>50.034999999999862</v>
      </c>
      <c r="G1956">
        <f t="shared" si="91"/>
        <v>0</v>
      </c>
    </row>
    <row r="1957" spans="1:7" hidden="1" x14ac:dyDescent="0.35">
      <c r="A1957" s="11">
        <v>50596</v>
      </c>
      <c r="B1957" s="12" t="s">
        <v>15</v>
      </c>
      <c r="C1957" s="13">
        <v>15</v>
      </c>
      <c r="D1957" s="14">
        <v>9.4</v>
      </c>
      <c r="E1957">
        <f t="shared" si="90"/>
        <v>1.41</v>
      </c>
      <c r="F1957">
        <f t="shared" si="92"/>
        <v>51.444999999999858</v>
      </c>
      <c r="G1957">
        <f t="shared" si="91"/>
        <v>0</v>
      </c>
    </row>
    <row r="1958" spans="1:7" hidden="1" x14ac:dyDescent="0.35">
      <c r="A1958" s="7">
        <v>50597</v>
      </c>
      <c r="B1958" s="8" t="s">
        <v>10</v>
      </c>
      <c r="C1958" s="9">
        <v>10.4</v>
      </c>
      <c r="D1958" s="10">
        <v>28.5</v>
      </c>
      <c r="E1958">
        <f t="shared" si="90"/>
        <v>2.9640000000000004</v>
      </c>
      <c r="F1958">
        <f t="shared" si="92"/>
        <v>54.408999999999857</v>
      </c>
      <c r="G1958">
        <f t="shared" si="91"/>
        <v>0</v>
      </c>
    </row>
    <row r="1959" spans="1:7" hidden="1" x14ac:dyDescent="0.35">
      <c r="A1959" s="11">
        <v>50598</v>
      </c>
      <c r="B1959" s="12" t="s">
        <v>15</v>
      </c>
      <c r="C1959" s="13">
        <v>18.100000000000001</v>
      </c>
      <c r="D1959" s="14">
        <v>9.6</v>
      </c>
      <c r="E1959">
        <f t="shared" si="90"/>
        <v>1.7376000000000003</v>
      </c>
      <c r="F1959">
        <f t="shared" si="92"/>
        <v>56.146599999999857</v>
      </c>
      <c r="G1959">
        <f t="shared" si="91"/>
        <v>0</v>
      </c>
    </row>
    <row r="1960" spans="1:7" hidden="1" x14ac:dyDescent="0.35">
      <c r="A1960" s="7">
        <v>50599</v>
      </c>
      <c r="B1960" s="8" t="s">
        <v>33</v>
      </c>
      <c r="C1960" s="9">
        <v>26.7</v>
      </c>
      <c r="D1960" s="10">
        <v>1.5</v>
      </c>
      <c r="E1960">
        <f t="shared" si="90"/>
        <v>0.40049999999999997</v>
      </c>
      <c r="F1960">
        <f t="shared" si="92"/>
        <v>56.547099999999858</v>
      </c>
      <c r="G1960">
        <f t="shared" si="91"/>
        <v>0</v>
      </c>
    </row>
    <row r="1961" spans="1:7" hidden="1" x14ac:dyDescent="0.35">
      <c r="A1961" s="11">
        <v>50600</v>
      </c>
      <c r="B1961" s="12" t="s">
        <v>13</v>
      </c>
      <c r="C1961" s="13">
        <v>22.9</v>
      </c>
      <c r="D1961" s="14">
        <v>8.9</v>
      </c>
      <c r="E1961">
        <f t="shared" si="90"/>
        <v>2.0381</v>
      </c>
      <c r="F1961">
        <f t="shared" si="92"/>
        <v>58.585199999999858</v>
      </c>
      <c r="G1961">
        <f t="shared" si="91"/>
        <v>0</v>
      </c>
    </row>
    <row r="1962" spans="1:7" hidden="1" x14ac:dyDescent="0.35">
      <c r="A1962" s="7">
        <v>50601</v>
      </c>
      <c r="B1962" s="8" t="s">
        <v>15</v>
      </c>
      <c r="C1962" s="9">
        <v>29.3</v>
      </c>
      <c r="D1962" s="10">
        <v>0</v>
      </c>
      <c r="E1962">
        <f t="shared" si="90"/>
        <v>0</v>
      </c>
      <c r="F1962">
        <f t="shared" si="92"/>
        <v>58.585199999999858</v>
      </c>
      <c r="G1962">
        <f t="shared" si="91"/>
        <v>0</v>
      </c>
    </row>
    <row r="1963" spans="1:7" hidden="1" x14ac:dyDescent="0.35">
      <c r="A1963" s="11">
        <v>50602</v>
      </c>
      <c r="B1963" s="12" t="s">
        <v>7</v>
      </c>
      <c r="C1963" s="13">
        <v>26.4</v>
      </c>
      <c r="D1963" s="14">
        <v>3.2</v>
      </c>
      <c r="E1963">
        <f t="shared" si="90"/>
        <v>0.8448</v>
      </c>
      <c r="F1963">
        <f t="shared" si="92"/>
        <v>59.429999999999858</v>
      </c>
      <c r="G1963">
        <f t="shared" si="91"/>
        <v>0</v>
      </c>
    </row>
    <row r="1964" spans="1:7" hidden="1" x14ac:dyDescent="0.35">
      <c r="A1964" s="7">
        <v>50603</v>
      </c>
      <c r="B1964" s="8" t="s">
        <v>18</v>
      </c>
      <c r="C1964" s="9">
        <v>20</v>
      </c>
      <c r="D1964" s="10">
        <v>7.3</v>
      </c>
      <c r="E1964">
        <f t="shared" si="90"/>
        <v>1.46</v>
      </c>
      <c r="F1964">
        <f t="shared" si="92"/>
        <v>60.889999999999858</v>
      </c>
      <c r="G1964">
        <f t="shared" si="91"/>
        <v>0</v>
      </c>
    </row>
    <row r="1965" spans="1:7" hidden="1" x14ac:dyDescent="0.35">
      <c r="A1965" s="11">
        <v>50604</v>
      </c>
      <c r="B1965" s="12" t="s">
        <v>11</v>
      </c>
      <c r="C1965" s="13">
        <v>17.100000000000001</v>
      </c>
      <c r="D1965" s="14">
        <v>0</v>
      </c>
      <c r="E1965">
        <f t="shared" si="90"/>
        <v>0</v>
      </c>
      <c r="F1965">
        <f t="shared" si="92"/>
        <v>60.889999999999858</v>
      </c>
      <c r="G1965">
        <f t="shared" si="91"/>
        <v>0</v>
      </c>
    </row>
    <row r="1966" spans="1:7" hidden="1" x14ac:dyDescent="0.35">
      <c r="A1966" s="7">
        <v>50605</v>
      </c>
      <c r="B1966" s="8" t="s">
        <v>5</v>
      </c>
      <c r="C1966" s="9">
        <v>18.8</v>
      </c>
      <c r="D1966" s="10">
        <v>0</v>
      </c>
      <c r="E1966">
        <f t="shared" si="90"/>
        <v>0</v>
      </c>
      <c r="F1966">
        <f t="shared" si="92"/>
        <v>60.889999999999858</v>
      </c>
      <c r="G1966">
        <f t="shared" si="91"/>
        <v>0</v>
      </c>
    </row>
    <row r="1967" spans="1:7" hidden="1" x14ac:dyDescent="0.35">
      <c r="A1967" s="11">
        <v>50606</v>
      </c>
      <c r="B1967" s="12" t="s">
        <v>13</v>
      </c>
      <c r="C1967" s="13">
        <v>12.6</v>
      </c>
      <c r="D1967" s="14">
        <v>4.4000000000000004</v>
      </c>
      <c r="E1967">
        <f t="shared" si="90"/>
        <v>0.5544</v>
      </c>
      <c r="F1967">
        <f t="shared" si="92"/>
        <v>61.44439999999986</v>
      </c>
      <c r="G1967">
        <f t="shared" si="91"/>
        <v>0</v>
      </c>
    </row>
    <row r="1968" spans="1:7" hidden="1" x14ac:dyDescent="0.35">
      <c r="A1968" s="7">
        <v>50607</v>
      </c>
      <c r="B1968" s="8" t="s">
        <v>22</v>
      </c>
      <c r="C1968" s="9">
        <v>24</v>
      </c>
      <c r="D1968" s="10">
        <v>0</v>
      </c>
      <c r="E1968">
        <f t="shared" si="90"/>
        <v>0</v>
      </c>
      <c r="F1968">
        <f t="shared" si="92"/>
        <v>61.44439999999986</v>
      </c>
      <c r="G1968">
        <f t="shared" si="91"/>
        <v>0</v>
      </c>
    </row>
    <row r="1969" spans="1:7" hidden="1" x14ac:dyDescent="0.35">
      <c r="A1969" s="11">
        <v>50608</v>
      </c>
      <c r="B1969" s="12" t="s">
        <v>19</v>
      </c>
      <c r="C1969" s="13">
        <v>13.4</v>
      </c>
      <c r="D1969" s="14">
        <v>35.6</v>
      </c>
      <c r="E1969">
        <f t="shared" si="90"/>
        <v>4.7704000000000004</v>
      </c>
      <c r="F1969">
        <f t="shared" si="92"/>
        <v>66.214799999999855</v>
      </c>
      <c r="G1969">
        <f t="shared" si="91"/>
        <v>0</v>
      </c>
    </row>
    <row r="1970" spans="1:7" hidden="1" x14ac:dyDescent="0.35">
      <c r="A1970" s="7">
        <v>50609</v>
      </c>
      <c r="B1970" s="8" t="s">
        <v>10</v>
      </c>
      <c r="C1970" s="9">
        <v>25.7</v>
      </c>
      <c r="D1970" s="10">
        <v>21.1</v>
      </c>
      <c r="E1970">
        <f t="shared" si="90"/>
        <v>5.4226999999999999</v>
      </c>
      <c r="F1970">
        <f t="shared" si="92"/>
        <v>71.637499999999861</v>
      </c>
      <c r="G1970">
        <f t="shared" si="91"/>
        <v>0</v>
      </c>
    </row>
    <row r="1971" spans="1:7" hidden="1" x14ac:dyDescent="0.35">
      <c r="A1971" s="11">
        <v>50610</v>
      </c>
      <c r="B1971" s="12" t="s">
        <v>21</v>
      </c>
      <c r="C1971" s="13">
        <v>24.9</v>
      </c>
      <c r="D1971" s="14">
        <v>2</v>
      </c>
      <c r="E1971">
        <f t="shared" si="90"/>
        <v>0.498</v>
      </c>
      <c r="F1971">
        <f t="shared" si="92"/>
        <v>72.135499999999865</v>
      </c>
      <c r="G1971">
        <f t="shared" si="91"/>
        <v>0</v>
      </c>
    </row>
    <row r="1972" spans="1:7" hidden="1" x14ac:dyDescent="0.35">
      <c r="A1972" s="7">
        <v>50611</v>
      </c>
      <c r="B1972" s="8" t="s">
        <v>11</v>
      </c>
      <c r="C1972" s="9">
        <v>12.5</v>
      </c>
      <c r="D1972" s="10">
        <v>0</v>
      </c>
      <c r="E1972">
        <f t="shared" si="90"/>
        <v>0</v>
      </c>
      <c r="F1972">
        <f t="shared" si="92"/>
        <v>72.135499999999865</v>
      </c>
      <c r="G1972">
        <f t="shared" si="91"/>
        <v>0</v>
      </c>
    </row>
    <row r="1973" spans="1:7" hidden="1" x14ac:dyDescent="0.35">
      <c r="A1973" s="11">
        <v>50612</v>
      </c>
      <c r="B1973" s="12" t="s">
        <v>10</v>
      </c>
      <c r="C1973" s="13">
        <v>21.8</v>
      </c>
      <c r="D1973" s="14">
        <v>0</v>
      </c>
      <c r="E1973">
        <f t="shared" si="90"/>
        <v>0</v>
      </c>
      <c r="F1973">
        <f t="shared" si="92"/>
        <v>72.135499999999865</v>
      </c>
      <c r="G1973">
        <f t="shared" si="91"/>
        <v>0</v>
      </c>
    </row>
    <row r="1974" spans="1:7" hidden="1" x14ac:dyDescent="0.35">
      <c r="A1974" s="7">
        <v>50613</v>
      </c>
      <c r="B1974" s="8" t="s">
        <v>5</v>
      </c>
      <c r="C1974" s="9">
        <v>15.8</v>
      </c>
      <c r="D1974" s="10">
        <v>6.7</v>
      </c>
      <c r="E1974">
        <f t="shared" si="90"/>
        <v>1.0586000000000002</v>
      </c>
      <c r="F1974">
        <f t="shared" si="92"/>
        <v>73.194099999999864</v>
      </c>
      <c r="G1974">
        <f t="shared" si="91"/>
        <v>0</v>
      </c>
    </row>
    <row r="1975" spans="1:7" hidden="1" x14ac:dyDescent="0.35">
      <c r="A1975" s="11">
        <v>50614</v>
      </c>
      <c r="B1975" s="12" t="s">
        <v>12</v>
      </c>
      <c r="C1975" s="13">
        <v>13.9</v>
      </c>
      <c r="D1975" s="14">
        <v>0</v>
      </c>
      <c r="E1975">
        <f t="shared" si="90"/>
        <v>0</v>
      </c>
      <c r="F1975">
        <f t="shared" si="92"/>
        <v>73.194099999999864</v>
      </c>
      <c r="G1975">
        <f t="shared" si="91"/>
        <v>0</v>
      </c>
    </row>
    <row r="1976" spans="1:7" hidden="1" x14ac:dyDescent="0.35">
      <c r="A1976" s="7">
        <v>50615</v>
      </c>
      <c r="B1976" s="8" t="s">
        <v>20</v>
      </c>
      <c r="C1976" s="9">
        <v>12.2</v>
      </c>
      <c r="D1976" s="10">
        <v>4.4000000000000004</v>
      </c>
      <c r="E1976">
        <f t="shared" si="90"/>
        <v>0.53679999999999994</v>
      </c>
      <c r="F1976">
        <f t="shared" si="92"/>
        <v>73.730899999999863</v>
      </c>
      <c r="G1976">
        <f t="shared" si="91"/>
        <v>0</v>
      </c>
    </row>
    <row r="1977" spans="1:7" hidden="1" x14ac:dyDescent="0.35">
      <c r="A1977" s="11">
        <v>50616</v>
      </c>
      <c r="B1977" s="12" t="s">
        <v>11</v>
      </c>
      <c r="C1977" s="13">
        <v>12.2</v>
      </c>
      <c r="D1977" s="14">
        <v>0</v>
      </c>
      <c r="E1977">
        <f t="shared" si="90"/>
        <v>0</v>
      </c>
      <c r="F1977">
        <f t="shared" si="92"/>
        <v>73.730899999999863</v>
      </c>
      <c r="G1977">
        <f t="shared" si="91"/>
        <v>0</v>
      </c>
    </row>
    <row r="1978" spans="1:7" hidden="1" x14ac:dyDescent="0.35">
      <c r="A1978" s="7">
        <v>50617</v>
      </c>
      <c r="B1978" s="8" t="s">
        <v>19</v>
      </c>
      <c r="C1978" s="9">
        <v>13.7</v>
      </c>
      <c r="D1978" s="10">
        <v>28</v>
      </c>
      <c r="E1978">
        <f t="shared" si="90"/>
        <v>3.8359999999999999</v>
      </c>
      <c r="F1978">
        <f t="shared" si="92"/>
        <v>77.566899999999862</v>
      </c>
      <c r="G1978">
        <f t="shared" si="91"/>
        <v>0</v>
      </c>
    </row>
    <row r="1979" spans="1:7" hidden="1" x14ac:dyDescent="0.35">
      <c r="A1979" s="11">
        <v>50618</v>
      </c>
      <c r="B1979" s="12" t="s">
        <v>17</v>
      </c>
      <c r="C1979" s="13">
        <v>27.9</v>
      </c>
      <c r="D1979" s="14">
        <v>0</v>
      </c>
      <c r="E1979">
        <f t="shared" si="90"/>
        <v>0</v>
      </c>
      <c r="F1979">
        <f t="shared" si="92"/>
        <v>77.566899999999862</v>
      </c>
      <c r="G1979">
        <f t="shared" si="91"/>
        <v>0</v>
      </c>
    </row>
    <row r="1980" spans="1:7" hidden="1" x14ac:dyDescent="0.35">
      <c r="A1980" s="7">
        <v>50619</v>
      </c>
      <c r="B1980" s="8" t="s">
        <v>13</v>
      </c>
      <c r="C1980" s="9">
        <v>25.6</v>
      </c>
      <c r="D1980" s="10">
        <v>1.7</v>
      </c>
      <c r="E1980">
        <f t="shared" si="90"/>
        <v>0.43520000000000003</v>
      </c>
      <c r="F1980">
        <f t="shared" si="92"/>
        <v>78.002099999999857</v>
      </c>
      <c r="G1980">
        <f t="shared" si="91"/>
        <v>0</v>
      </c>
    </row>
    <row r="1981" spans="1:7" hidden="1" x14ac:dyDescent="0.35">
      <c r="A1981" s="11">
        <v>50620</v>
      </c>
      <c r="B1981" s="12" t="s">
        <v>14</v>
      </c>
      <c r="C1981" s="13">
        <v>11.7</v>
      </c>
      <c r="D1981" s="14">
        <v>4.5999999999999996</v>
      </c>
      <c r="E1981">
        <f t="shared" si="90"/>
        <v>0.5381999999999999</v>
      </c>
      <c r="F1981">
        <f t="shared" si="92"/>
        <v>78.54029999999986</v>
      </c>
      <c r="G1981">
        <f t="shared" si="91"/>
        <v>0</v>
      </c>
    </row>
    <row r="1982" spans="1:7" hidden="1" x14ac:dyDescent="0.35">
      <c r="A1982" s="7">
        <v>50621</v>
      </c>
      <c r="B1982" s="8" t="s">
        <v>8</v>
      </c>
      <c r="C1982" s="9">
        <v>27.3</v>
      </c>
      <c r="D1982" s="10">
        <v>0</v>
      </c>
      <c r="E1982">
        <f t="shared" si="90"/>
        <v>0</v>
      </c>
      <c r="F1982">
        <f t="shared" si="92"/>
        <v>78.54029999999986</v>
      </c>
      <c r="G1982">
        <f t="shared" si="91"/>
        <v>0</v>
      </c>
    </row>
    <row r="1983" spans="1:7" hidden="1" x14ac:dyDescent="0.35">
      <c r="A1983" s="11">
        <v>50622</v>
      </c>
      <c r="B1983" s="12" t="s">
        <v>11</v>
      </c>
      <c r="C1983" s="13">
        <v>25.6</v>
      </c>
      <c r="D1983" s="14">
        <v>18.2</v>
      </c>
      <c r="E1983">
        <f t="shared" si="90"/>
        <v>4.6592000000000002</v>
      </c>
      <c r="F1983">
        <f t="shared" si="92"/>
        <v>83.199499999999858</v>
      </c>
      <c r="G1983">
        <f t="shared" si="91"/>
        <v>0</v>
      </c>
    </row>
    <row r="1984" spans="1:7" hidden="1" x14ac:dyDescent="0.35">
      <c r="A1984" s="7">
        <v>50623</v>
      </c>
      <c r="B1984" s="8" t="s">
        <v>28</v>
      </c>
      <c r="C1984" s="9">
        <v>23.6</v>
      </c>
      <c r="D1984" s="10">
        <v>0.1</v>
      </c>
      <c r="E1984">
        <f t="shared" si="90"/>
        <v>0</v>
      </c>
      <c r="F1984">
        <f t="shared" si="92"/>
        <v>83.199499999999858</v>
      </c>
      <c r="G1984">
        <f t="shared" si="91"/>
        <v>0</v>
      </c>
    </row>
    <row r="1985" spans="1:7" hidden="1" x14ac:dyDescent="0.35">
      <c r="A1985" s="11">
        <v>50624</v>
      </c>
      <c r="B1985" s="12" t="s">
        <v>10</v>
      </c>
      <c r="C1985" s="13">
        <v>14.6</v>
      </c>
      <c r="D1985" s="14">
        <v>0</v>
      </c>
      <c r="E1985">
        <f t="shared" si="90"/>
        <v>0</v>
      </c>
      <c r="F1985">
        <f t="shared" si="92"/>
        <v>83.199499999999858</v>
      </c>
      <c r="G1985">
        <f t="shared" si="91"/>
        <v>0</v>
      </c>
    </row>
    <row r="1986" spans="1:7" hidden="1" x14ac:dyDescent="0.35">
      <c r="A1986" s="7">
        <v>50625</v>
      </c>
      <c r="B1986" s="8" t="s">
        <v>9</v>
      </c>
      <c r="C1986" s="9">
        <v>17.399999999999999</v>
      </c>
      <c r="D1986" s="10">
        <v>7.8</v>
      </c>
      <c r="E1986">
        <f t="shared" si="90"/>
        <v>1.3572</v>
      </c>
      <c r="F1986">
        <f t="shared" si="92"/>
        <v>84.556699999999864</v>
      </c>
      <c r="G1986">
        <f t="shared" si="91"/>
        <v>0</v>
      </c>
    </row>
    <row r="1987" spans="1:7" hidden="1" x14ac:dyDescent="0.35">
      <c r="A1987" s="11">
        <v>50626</v>
      </c>
      <c r="B1987" s="12" t="s">
        <v>10</v>
      </c>
      <c r="C1987" s="13">
        <v>27.4</v>
      </c>
      <c r="D1987" s="14">
        <v>0</v>
      </c>
      <c r="E1987">
        <f t="shared" ref="E1987:E2050" si="93">IF(D1987&gt;=1,C1987*D1987/100,0)</f>
        <v>0</v>
      </c>
      <c r="F1987">
        <f t="shared" si="92"/>
        <v>84.556699999999864</v>
      </c>
      <c r="G1987">
        <f t="shared" ref="G1987:G2050" si="94">IF(F1987&gt;=100,1,0)</f>
        <v>0</v>
      </c>
    </row>
    <row r="1988" spans="1:7" hidden="1" x14ac:dyDescent="0.35">
      <c r="A1988" s="7">
        <v>50627</v>
      </c>
      <c r="B1988" s="8" t="s">
        <v>19</v>
      </c>
      <c r="C1988" s="9">
        <v>15.2</v>
      </c>
      <c r="D1988" s="10">
        <v>5.9</v>
      </c>
      <c r="E1988">
        <f t="shared" si="93"/>
        <v>0.89680000000000004</v>
      </c>
      <c r="F1988">
        <f t="shared" ref="F1988:F2051" si="95">IF(G1987=1,E1988+F1987-100,F1987+E1988)</f>
        <v>85.453499999999863</v>
      </c>
      <c r="G1988">
        <f t="shared" si="94"/>
        <v>0</v>
      </c>
    </row>
    <row r="1989" spans="1:7" hidden="1" x14ac:dyDescent="0.35">
      <c r="A1989" s="11">
        <v>50628</v>
      </c>
      <c r="B1989" s="12" t="s">
        <v>29</v>
      </c>
      <c r="C1989" s="13">
        <v>11.6</v>
      </c>
      <c r="D1989" s="14">
        <v>0</v>
      </c>
      <c r="E1989">
        <f t="shared" si="93"/>
        <v>0</v>
      </c>
      <c r="F1989">
        <f t="shared" si="95"/>
        <v>85.453499999999863</v>
      </c>
      <c r="G1989">
        <f t="shared" si="94"/>
        <v>0</v>
      </c>
    </row>
    <row r="1990" spans="1:7" hidden="1" x14ac:dyDescent="0.35">
      <c r="A1990" s="7">
        <v>50629</v>
      </c>
      <c r="B1990" s="8" t="s">
        <v>26</v>
      </c>
      <c r="C1990" s="9">
        <v>10.8</v>
      </c>
      <c r="D1990" s="10">
        <v>1.6</v>
      </c>
      <c r="E1990">
        <f t="shared" si="93"/>
        <v>0.17280000000000001</v>
      </c>
      <c r="F1990">
        <f t="shared" si="95"/>
        <v>85.626299999999858</v>
      </c>
      <c r="G1990">
        <f t="shared" si="94"/>
        <v>0</v>
      </c>
    </row>
    <row r="1991" spans="1:7" hidden="1" x14ac:dyDescent="0.35">
      <c r="A1991" s="11">
        <v>50630</v>
      </c>
      <c r="B1991" s="12" t="s">
        <v>22</v>
      </c>
      <c r="C1991" s="13">
        <v>12</v>
      </c>
      <c r="D1991" s="14">
        <v>3.9</v>
      </c>
      <c r="E1991">
        <f t="shared" si="93"/>
        <v>0.46799999999999997</v>
      </c>
      <c r="F1991">
        <f t="shared" si="95"/>
        <v>86.094299999999862</v>
      </c>
      <c r="G1991">
        <f t="shared" si="94"/>
        <v>0</v>
      </c>
    </row>
    <row r="1992" spans="1:7" hidden="1" x14ac:dyDescent="0.35">
      <c r="A1992" s="7">
        <v>50631</v>
      </c>
      <c r="B1992" s="8" t="s">
        <v>26</v>
      </c>
      <c r="C1992" s="9">
        <v>14</v>
      </c>
      <c r="D1992" s="10">
        <v>5</v>
      </c>
      <c r="E1992">
        <f t="shared" si="93"/>
        <v>0.7</v>
      </c>
      <c r="F1992">
        <f t="shared" si="95"/>
        <v>86.794299999999865</v>
      </c>
      <c r="G1992">
        <f t="shared" si="94"/>
        <v>0</v>
      </c>
    </row>
    <row r="1993" spans="1:7" hidden="1" x14ac:dyDescent="0.35">
      <c r="A1993" s="11">
        <v>50632</v>
      </c>
      <c r="B1993" s="12" t="s">
        <v>19</v>
      </c>
      <c r="C1993" s="13">
        <v>26.4</v>
      </c>
      <c r="D1993" s="14">
        <v>0</v>
      </c>
      <c r="E1993">
        <f t="shared" si="93"/>
        <v>0</v>
      </c>
      <c r="F1993">
        <f t="shared" si="95"/>
        <v>86.794299999999865</v>
      </c>
      <c r="G1993">
        <f t="shared" si="94"/>
        <v>0</v>
      </c>
    </row>
    <row r="1994" spans="1:7" hidden="1" x14ac:dyDescent="0.35">
      <c r="A1994" s="7">
        <v>50633</v>
      </c>
      <c r="B1994" s="8" t="s">
        <v>15</v>
      </c>
      <c r="C1994" s="9">
        <v>23</v>
      </c>
      <c r="D1994" s="10">
        <v>20.100000000000001</v>
      </c>
      <c r="E1994">
        <f t="shared" si="93"/>
        <v>4.6230000000000002</v>
      </c>
      <c r="F1994">
        <f t="shared" si="95"/>
        <v>91.417299999999869</v>
      </c>
      <c r="G1994">
        <f t="shared" si="94"/>
        <v>0</v>
      </c>
    </row>
    <row r="1995" spans="1:7" hidden="1" x14ac:dyDescent="0.35">
      <c r="A1995" s="11">
        <v>50634</v>
      </c>
      <c r="B1995" s="12" t="s">
        <v>8</v>
      </c>
      <c r="C1995" s="13">
        <v>20.5</v>
      </c>
      <c r="D1995" s="14">
        <v>1.1000000000000001</v>
      </c>
      <c r="E1995">
        <f t="shared" si="93"/>
        <v>0.22550000000000001</v>
      </c>
      <c r="F1995">
        <f t="shared" si="95"/>
        <v>91.642799999999866</v>
      </c>
      <c r="G1995">
        <f t="shared" si="94"/>
        <v>0</v>
      </c>
    </row>
    <row r="1996" spans="1:7" hidden="1" x14ac:dyDescent="0.35">
      <c r="A1996" s="7">
        <v>50635</v>
      </c>
      <c r="B1996" s="8" t="s">
        <v>14</v>
      </c>
      <c r="C1996" s="9">
        <v>15.9</v>
      </c>
      <c r="D1996" s="10">
        <v>3.1</v>
      </c>
      <c r="E1996">
        <f t="shared" si="93"/>
        <v>0.4929</v>
      </c>
      <c r="F1996">
        <f t="shared" si="95"/>
        <v>92.135699999999872</v>
      </c>
      <c r="G1996">
        <f t="shared" si="94"/>
        <v>0</v>
      </c>
    </row>
    <row r="1997" spans="1:7" hidden="1" x14ac:dyDescent="0.35">
      <c r="A1997" s="11">
        <v>50636</v>
      </c>
      <c r="B1997" s="12" t="s">
        <v>10</v>
      </c>
      <c r="C1997" s="13">
        <v>20.8</v>
      </c>
      <c r="D1997" s="14">
        <v>6.9</v>
      </c>
      <c r="E1997">
        <f t="shared" si="93"/>
        <v>1.4352</v>
      </c>
      <c r="F1997">
        <f t="shared" si="95"/>
        <v>93.570899999999867</v>
      </c>
      <c r="G1997">
        <f t="shared" si="94"/>
        <v>0</v>
      </c>
    </row>
    <row r="1998" spans="1:7" hidden="1" x14ac:dyDescent="0.35">
      <c r="A1998" s="7">
        <v>50637</v>
      </c>
      <c r="B1998" s="8" t="s">
        <v>21</v>
      </c>
      <c r="C1998" s="9">
        <v>12.9</v>
      </c>
      <c r="D1998" s="10">
        <v>1.5</v>
      </c>
      <c r="E1998">
        <f t="shared" si="93"/>
        <v>0.19350000000000001</v>
      </c>
      <c r="F1998">
        <f t="shared" si="95"/>
        <v>93.764399999999867</v>
      </c>
      <c r="G1998">
        <f t="shared" si="94"/>
        <v>0</v>
      </c>
    </row>
    <row r="1999" spans="1:7" hidden="1" x14ac:dyDescent="0.35">
      <c r="A1999" s="11">
        <v>50638</v>
      </c>
      <c r="B1999" s="12" t="s">
        <v>19</v>
      </c>
      <c r="C1999" s="13">
        <v>11.6</v>
      </c>
      <c r="D1999" s="14">
        <v>15.8</v>
      </c>
      <c r="E1999">
        <f t="shared" si="93"/>
        <v>1.8328</v>
      </c>
      <c r="F1999">
        <f t="shared" si="95"/>
        <v>95.597199999999873</v>
      </c>
      <c r="G1999">
        <f t="shared" si="94"/>
        <v>0</v>
      </c>
    </row>
    <row r="2000" spans="1:7" hidden="1" x14ac:dyDescent="0.35">
      <c r="A2000" s="7">
        <v>50639</v>
      </c>
      <c r="B2000" s="8" t="s">
        <v>13</v>
      </c>
      <c r="C2000" s="9">
        <v>25.6</v>
      </c>
      <c r="D2000" s="10">
        <v>0</v>
      </c>
      <c r="E2000">
        <f t="shared" si="93"/>
        <v>0</v>
      </c>
      <c r="F2000">
        <f t="shared" si="95"/>
        <v>95.597199999999873</v>
      </c>
      <c r="G2000">
        <f t="shared" si="94"/>
        <v>0</v>
      </c>
    </row>
    <row r="2001" spans="1:7" hidden="1" x14ac:dyDescent="0.35">
      <c r="A2001" s="11">
        <v>50640</v>
      </c>
      <c r="B2001" s="12" t="s">
        <v>7</v>
      </c>
      <c r="C2001" s="13">
        <v>15.7</v>
      </c>
      <c r="D2001" s="14">
        <v>6.7</v>
      </c>
      <c r="E2001">
        <f t="shared" si="93"/>
        <v>1.0519000000000001</v>
      </c>
      <c r="F2001">
        <f t="shared" si="95"/>
        <v>96.649099999999876</v>
      </c>
      <c r="G2001">
        <f t="shared" si="94"/>
        <v>0</v>
      </c>
    </row>
    <row r="2002" spans="1:7" hidden="1" x14ac:dyDescent="0.35">
      <c r="A2002" s="7">
        <v>50641</v>
      </c>
      <c r="B2002" s="8" t="s">
        <v>14</v>
      </c>
      <c r="C2002" s="9">
        <v>25.5</v>
      </c>
      <c r="D2002" s="10">
        <v>0</v>
      </c>
      <c r="E2002">
        <f t="shared" si="93"/>
        <v>0</v>
      </c>
      <c r="F2002">
        <f t="shared" si="95"/>
        <v>96.649099999999876</v>
      </c>
      <c r="G2002">
        <f t="shared" si="94"/>
        <v>0</v>
      </c>
    </row>
    <row r="2003" spans="1:7" hidden="1" x14ac:dyDescent="0.35">
      <c r="A2003" s="11">
        <v>50642</v>
      </c>
      <c r="B2003" s="12" t="s">
        <v>22</v>
      </c>
      <c r="C2003" s="13">
        <v>19.5</v>
      </c>
      <c r="D2003" s="14">
        <v>3.4</v>
      </c>
      <c r="E2003">
        <f t="shared" si="93"/>
        <v>0.66299999999999992</v>
      </c>
      <c r="F2003">
        <f t="shared" si="95"/>
        <v>97.312099999999873</v>
      </c>
      <c r="G2003">
        <f t="shared" si="94"/>
        <v>0</v>
      </c>
    </row>
    <row r="2004" spans="1:7" hidden="1" x14ac:dyDescent="0.35">
      <c r="A2004" s="7">
        <v>50643</v>
      </c>
      <c r="B2004" s="8" t="s">
        <v>25</v>
      </c>
      <c r="C2004" s="9">
        <v>14.1</v>
      </c>
      <c r="D2004" s="10">
        <v>0</v>
      </c>
      <c r="E2004">
        <f t="shared" si="93"/>
        <v>0</v>
      </c>
      <c r="F2004">
        <f t="shared" si="95"/>
        <v>97.312099999999873</v>
      </c>
      <c r="G2004">
        <f t="shared" si="94"/>
        <v>0</v>
      </c>
    </row>
    <row r="2005" spans="1:7" hidden="1" x14ac:dyDescent="0.35">
      <c r="A2005" s="11">
        <v>50644</v>
      </c>
      <c r="B2005" s="12" t="s">
        <v>6</v>
      </c>
      <c r="C2005" s="13">
        <v>26.4</v>
      </c>
      <c r="D2005" s="14">
        <v>0</v>
      </c>
      <c r="E2005">
        <f t="shared" si="93"/>
        <v>0</v>
      </c>
      <c r="F2005">
        <f t="shared" si="95"/>
        <v>97.312099999999873</v>
      </c>
      <c r="G2005">
        <f t="shared" si="94"/>
        <v>0</v>
      </c>
    </row>
    <row r="2006" spans="1:7" hidden="1" x14ac:dyDescent="0.35">
      <c r="A2006" s="7">
        <v>50645</v>
      </c>
      <c r="B2006" s="8" t="s">
        <v>15</v>
      </c>
      <c r="C2006" s="9">
        <v>11.7</v>
      </c>
      <c r="D2006" s="10">
        <v>8.4</v>
      </c>
      <c r="E2006">
        <f t="shared" si="93"/>
        <v>0.98280000000000001</v>
      </c>
      <c r="F2006">
        <f t="shared" si="95"/>
        <v>98.29489999999987</v>
      </c>
      <c r="G2006">
        <f t="shared" si="94"/>
        <v>0</v>
      </c>
    </row>
    <row r="2007" spans="1:7" hidden="1" x14ac:dyDescent="0.35">
      <c r="A2007" s="11">
        <v>50646</v>
      </c>
      <c r="B2007" s="12" t="s">
        <v>25</v>
      </c>
      <c r="C2007" s="13">
        <v>28</v>
      </c>
      <c r="D2007" s="14">
        <v>0</v>
      </c>
      <c r="E2007">
        <f t="shared" si="93"/>
        <v>0</v>
      </c>
      <c r="F2007">
        <f t="shared" si="95"/>
        <v>98.29489999999987</v>
      </c>
      <c r="G2007">
        <f t="shared" si="94"/>
        <v>0</v>
      </c>
    </row>
    <row r="2008" spans="1:7" hidden="1" x14ac:dyDescent="0.35">
      <c r="A2008" s="7">
        <v>50647</v>
      </c>
      <c r="B2008" s="8" t="s">
        <v>17</v>
      </c>
      <c r="C2008" s="9">
        <v>13</v>
      </c>
      <c r="D2008" s="10">
        <v>0.1</v>
      </c>
      <c r="E2008">
        <f t="shared" si="93"/>
        <v>0</v>
      </c>
      <c r="F2008">
        <f t="shared" si="95"/>
        <v>98.29489999999987</v>
      </c>
      <c r="G2008">
        <f t="shared" si="94"/>
        <v>0</v>
      </c>
    </row>
    <row r="2009" spans="1:7" hidden="1" x14ac:dyDescent="0.35">
      <c r="A2009" s="11">
        <v>50648</v>
      </c>
      <c r="B2009" s="12" t="s">
        <v>11</v>
      </c>
      <c r="C2009" s="13">
        <v>10.8</v>
      </c>
      <c r="D2009" s="14">
        <v>11.3</v>
      </c>
      <c r="E2009">
        <f t="shared" si="93"/>
        <v>1.2204000000000002</v>
      </c>
      <c r="F2009">
        <f t="shared" si="95"/>
        <v>99.515299999999868</v>
      </c>
      <c r="G2009">
        <f t="shared" si="94"/>
        <v>0</v>
      </c>
    </row>
    <row r="2010" spans="1:7" x14ac:dyDescent="0.35">
      <c r="A2010" s="7">
        <v>50649</v>
      </c>
      <c r="B2010" s="8" t="s">
        <v>11</v>
      </c>
      <c r="C2010" s="9">
        <v>26.4</v>
      </c>
      <c r="D2010" s="10">
        <v>18.7</v>
      </c>
      <c r="E2010">
        <f t="shared" si="93"/>
        <v>4.9367999999999999</v>
      </c>
      <c r="F2010">
        <f t="shared" si="95"/>
        <v>104.45209999999987</v>
      </c>
      <c r="G2010">
        <f t="shared" si="94"/>
        <v>1</v>
      </c>
    </row>
    <row r="2011" spans="1:7" hidden="1" x14ac:dyDescent="0.35">
      <c r="A2011" s="11">
        <v>50650</v>
      </c>
      <c r="B2011" s="12" t="s">
        <v>19</v>
      </c>
      <c r="C2011" s="13">
        <v>26.7</v>
      </c>
      <c r="D2011" s="14">
        <v>3.9</v>
      </c>
      <c r="E2011">
        <f t="shared" si="93"/>
        <v>1.0412999999999999</v>
      </c>
      <c r="F2011">
        <f t="shared" si="95"/>
        <v>5.4933999999998804</v>
      </c>
      <c r="G2011">
        <f t="shared" si="94"/>
        <v>0</v>
      </c>
    </row>
    <row r="2012" spans="1:7" hidden="1" x14ac:dyDescent="0.35">
      <c r="A2012" s="7">
        <v>50651</v>
      </c>
      <c r="B2012" s="8" t="s">
        <v>11</v>
      </c>
      <c r="C2012" s="9">
        <v>11.7</v>
      </c>
      <c r="D2012" s="10">
        <v>13</v>
      </c>
      <c r="E2012">
        <f t="shared" si="93"/>
        <v>1.5209999999999999</v>
      </c>
      <c r="F2012">
        <f t="shared" si="95"/>
        <v>7.0143999999998803</v>
      </c>
      <c r="G2012">
        <f t="shared" si="94"/>
        <v>0</v>
      </c>
    </row>
    <row r="2013" spans="1:7" hidden="1" x14ac:dyDescent="0.35">
      <c r="A2013" s="11">
        <v>50652</v>
      </c>
      <c r="B2013" s="12" t="s">
        <v>30</v>
      </c>
      <c r="C2013" s="13">
        <v>12</v>
      </c>
      <c r="D2013" s="14">
        <v>0.4</v>
      </c>
      <c r="E2013">
        <f t="shared" si="93"/>
        <v>0</v>
      </c>
      <c r="F2013">
        <f t="shared" si="95"/>
        <v>7.0143999999998803</v>
      </c>
      <c r="G2013">
        <f t="shared" si="94"/>
        <v>0</v>
      </c>
    </row>
    <row r="2014" spans="1:7" hidden="1" x14ac:dyDescent="0.35">
      <c r="A2014" s="7">
        <v>50653</v>
      </c>
      <c r="B2014" s="8" t="s">
        <v>21</v>
      </c>
      <c r="C2014" s="9">
        <v>24.2</v>
      </c>
      <c r="D2014" s="10">
        <v>0.7</v>
      </c>
      <c r="E2014">
        <f t="shared" si="93"/>
        <v>0</v>
      </c>
      <c r="F2014">
        <f t="shared" si="95"/>
        <v>7.0143999999998803</v>
      </c>
      <c r="G2014">
        <f t="shared" si="94"/>
        <v>0</v>
      </c>
    </row>
    <row r="2015" spans="1:7" hidden="1" x14ac:dyDescent="0.35">
      <c r="A2015" s="11">
        <v>50654</v>
      </c>
      <c r="B2015" s="12" t="s">
        <v>26</v>
      </c>
      <c r="C2015" s="13">
        <v>27.3</v>
      </c>
      <c r="D2015" s="14">
        <v>3.7</v>
      </c>
      <c r="E2015">
        <f t="shared" si="93"/>
        <v>1.0101</v>
      </c>
      <c r="F2015">
        <f t="shared" si="95"/>
        <v>8.0244999999998807</v>
      </c>
      <c r="G2015">
        <f t="shared" si="94"/>
        <v>0</v>
      </c>
    </row>
    <row r="2016" spans="1:7" hidden="1" x14ac:dyDescent="0.35">
      <c r="A2016" s="7">
        <v>50655</v>
      </c>
      <c r="B2016" s="8" t="s">
        <v>13</v>
      </c>
      <c r="C2016" s="9">
        <v>10.7</v>
      </c>
      <c r="D2016" s="10">
        <v>0</v>
      </c>
      <c r="E2016">
        <f t="shared" si="93"/>
        <v>0</v>
      </c>
      <c r="F2016">
        <f t="shared" si="95"/>
        <v>8.0244999999998807</v>
      </c>
      <c r="G2016">
        <f t="shared" si="94"/>
        <v>0</v>
      </c>
    </row>
    <row r="2017" spans="1:7" hidden="1" x14ac:dyDescent="0.35">
      <c r="A2017" s="11">
        <v>50656</v>
      </c>
      <c r="B2017" s="12" t="s">
        <v>8</v>
      </c>
      <c r="C2017" s="13">
        <v>11.1</v>
      </c>
      <c r="D2017" s="14">
        <v>0</v>
      </c>
      <c r="E2017">
        <f t="shared" si="93"/>
        <v>0</v>
      </c>
      <c r="F2017">
        <f t="shared" si="95"/>
        <v>8.0244999999998807</v>
      </c>
      <c r="G2017">
        <f t="shared" si="94"/>
        <v>0</v>
      </c>
    </row>
    <row r="2018" spans="1:7" hidden="1" x14ac:dyDescent="0.35">
      <c r="A2018" s="7">
        <v>50657</v>
      </c>
      <c r="B2018" s="8" t="s">
        <v>7</v>
      </c>
      <c r="C2018" s="9">
        <v>28.5</v>
      </c>
      <c r="D2018" s="10">
        <v>19.8</v>
      </c>
      <c r="E2018">
        <f t="shared" si="93"/>
        <v>5.6430000000000007</v>
      </c>
      <c r="F2018">
        <f t="shared" si="95"/>
        <v>13.667499999999881</v>
      </c>
      <c r="G2018">
        <f t="shared" si="94"/>
        <v>0</v>
      </c>
    </row>
    <row r="2019" spans="1:7" hidden="1" x14ac:dyDescent="0.35">
      <c r="A2019" s="11">
        <v>50658</v>
      </c>
      <c r="B2019" s="12" t="s">
        <v>19</v>
      </c>
      <c r="C2019" s="13">
        <v>10.1</v>
      </c>
      <c r="D2019" s="14">
        <v>0</v>
      </c>
      <c r="E2019">
        <f t="shared" si="93"/>
        <v>0</v>
      </c>
      <c r="F2019">
        <f t="shared" si="95"/>
        <v>13.667499999999881</v>
      </c>
      <c r="G2019">
        <f t="shared" si="94"/>
        <v>0</v>
      </c>
    </row>
    <row r="2020" spans="1:7" hidden="1" x14ac:dyDescent="0.35">
      <c r="A2020" s="7">
        <v>50659</v>
      </c>
      <c r="B2020" s="8" t="s">
        <v>9</v>
      </c>
      <c r="C2020" s="9">
        <v>20.8</v>
      </c>
      <c r="D2020" s="10">
        <v>11.2</v>
      </c>
      <c r="E2020">
        <f t="shared" si="93"/>
        <v>2.3295999999999997</v>
      </c>
      <c r="F2020">
        <f t="shared" si="95"/>
        <v>15.997099999999881</v>
      </c>
      <c r="G2020">
        <f t="shared" si="94"/>
        <v>0</v>
      </c>
    </row>
    <row r="2021" spans="1:7" hidden="1" x14ac:dyDescent="0.35">
      <c r="A2021" s="11">
        <v>50660</v>
      </c>
      <c r="B2021" s="12" t="s">
        <v>7</v>
      </c>
      <c r="C2021" s="13">
        <v>16.600000000000001</v>
      </c>
      <c r="D2021" s="14">
        <v>0</v>
      </c>
      <c r="E2021">
        <f t="shared" si="93"/>
        <v>0</v>
      </c>
      <c r="F2021">
        <f t="shared" si="95"/>
        <v>15.997099999999881</v>
      </c>
      <c r="G2021">
        <f t="shared" si="94"/>
        <v>0</v>
      </c>
    </row>
    <row r="2022" spans="1:7" hidden="1" x14ac:dyDescent="0.35">
      <c r="A2022" s="7">
        <v>50661</v>
      </c>
      <c r="B2022" s="8" t="s">
        <v>13</v>
      </c>
      <c r="C2022" s="9">
        <v>26.4</v>
      </c>
      <c r="D2022" s="10">
        <v>10</v>
      </c>
      <c r="E2022">
        <f t="shared" si="93"/>
        <v>2.64</v>
      </c>
      <c r="F2022">
        <f t="shared" si="95"/>
        <v>18.637099999999879</v>
      </c>
      <c r="G2022">
        <f t="shared" si="94"/>
        <v>0</v>
      </c>
    </row>
    <row r="2023" spans="1:7" hidden="1" x14ac:dyDescent="0.35">
      <c r="A2023" s="11">
        <v>50662</v>
      </c>
      <c r="B2023" s="12" t="s">
        <v>22</v>
      </c>
      <c r="C2023" s="13">
        <v>15.1</v>
      </c>
      <c r="D2023" s="14">
        <v>0</v>
      </c>
      <c r="E2023">
        <f t="shared" si="93"/>
        <v>0</v>
      </c>
      <c r="F2023">
        <f t="shared" si="95"/>
        <v>18.637099999999879</v>
      </c>
      <c r="G2023">
        <f t="shared" si="94"/>
        <v>0</v>
      </c>
    </row>
    <row r="2024" spans="1:7" hidden="1" x14ac:dyDescent="0.35">
      <c r="A2024" s="7">
        <v>50663</v>
      </c>
      <c r="B2024" s="8" t="s">
        <v>6</v>
      </c>
      <c r="C2024" s="9">
        <v>20.9</v>
      </c>
      <c r="D2024" s="10">
        <v>10.1</v>
      </c>
      <c r="E2024">
        <f t="shared" si="93"/>
        <v>2.1108999999999996</v>
      </c>
      <c r="F2024">
        <f t="shared" si="95"/>
        <v>20.74799999999988</v>
      </c>
      <c r="G2024">
        <f t="shared" si="94"/>
        <v>0</v>
      </c>
    </row>
    <row r="2025" spans="1:7" hidden="1" x14ac:dyDescent="0.35">
      <c r="A2025" s="11">
        <v>50664</v>
      </c>
      <c r="B2025" s="12" t="s">
        <v>13</v>
      </c>
      <c r="C2025" s="13">
        <v>27.3</v>
      </c>
      <c r="D2025" s="14">
        <v>5.3</v>
      </c>
      <c r="E2025">
        <f t="shared" si="93"/>
        <v>1.4469000000000001</v>
      </c>
      <c r="F2025">
        <f t="shared" si="95"/>
        <v>22.19489999999988</v>
      </c>
      <c r="G2025">
        <f t="shared" si="94"/>
        <v>0</v>
      </c>
    </row>
    <row r="2026" spans="1:7" hidden="1" x14ac:dyDescent="0.35">
      <c r="A2026" s="7">
        <v>50665</v>
      </c>
      <c r="B2026" s="8" t="s">
        <v>6</v>
      </c>
      <c r="C2026" s="9">
        <v>17.600000000000001</v>
      </c>
      <c r="D2026" s="10">
        <v>5.5</v>
      </c>
      <c r="E2026">
        <f t="shared" si="93"/>
        <v>0.96800000000000008</v>
      </c>
      <c r="F2026">
        <f t="shared" si="95"/>
        <v>23.16289999999988</v>
      </c>
      <c r="G2026">
        <f t="shared" si="94"/>
        <v>0</v>
      </c>
    </row>
    <row r="2027" spans="1:7" hidden="1" x14ac:dyDescent="0.35">
      <c r="A2027" s="11">
        <v>50666</v>
      </c>
      <c r="B2027" s="12" t="s">
        <v>19</v>
      </c>
      <c r="C2027" s="13">
        <v>27.8</v>
      </c>
      <c r="D2027" s="14">
        <v>0</v>
      </c>
      <c r="E2027">
        <f t="shared" si="93"/>
        <v>0</v>
      </c>
      <c r="F2027">
        <f t="shared" si="95"/>
        <v>23.16289999999988</v>
      </c>
      <c r="G2027">
        <f t="shared" si="94"/>
        <v>0</v>
      </c>
    </row>
    <row r="2028" spans="1:7" hidden="1" x14ac:dyDescent="0.35">
      <c r="A2028" s="7">
        <v>50667</v>
      </c>
      <c r="B2028" s="8" t="s">
        <v>10</v>
      </c>
      <c r="C2028" s="9">
        <v>25.8</v>
      </c>
      <c r="D2028" s="10">
        <v>12.1</v>
      </c>
      <c r="E2028">
        <f t="shared" si="93"/>
        <v>3.1217999999999999</v>
      </c>
      <c r="F2028">
        <f t="shared" si="95"/>
        <v>26.28469999999988</v>
      </c>
      <c r="G2028">
        <f t="shared" si="94"/>
        <v>0</v>
      </c>
    </row>
    <row r="2029" spans="1:7" hidden="1" x14ac:dyDescent="0.35">
      <c r="A2029" s="11">
        <v>50668</v>
      </c>
      <c r="B2029" s="12" t="s">
        <v>26</v>
      </c>
      <c r="C2029" s="13">
        <v>18.100000000000001</v>
      </c>
      <c r="D2029" s="14">
        <v>1.1000000000000001</v>
      </c>
      <c r="E2029">
        <f t="shared" si="93"/>
        <v>0.19910000000000003</v>
      </c>
      <c r="F2029">
        <f t="shared" si="95"/>
        <v>26.483799999999881</v>
      </c>
      <c r="G2029">
        <f t="shared" si="94"/>
        <v>0</v>
      </c>
    </row>
    <row r="2030" spans="1:7" hidden="1" x14ac:dyDescent="0.35">
      <c r="A2030" s="7">
        <v>50669</v>
      </c>
      <c r="B2030" s="8" t="s">
        <v>12</v>
      </c>
      <c r="C2030" s="9">
        <v>21.9</v>
      </c>
      <c r="D2030" s="10">
        <v>7.7</v>
      </c>
      <c r="E2030">
        <f t="shared" si="93"/>
        <v>1.6862999999999999</v>
      </c>
      <c r="F2030">
        <f t="shared" si="95"/>
        <v>28.170099999999881</v>
      </c>
      <c r="G2030">
        <f t="shared" si="94"/>
        <v>0</v>
      </c>
    </row>
    <row r="2031" spans="1:7" hidden="1" x14ac:dyDescent="0.35">
      <c r="A2031" s="11">
        <v>50670</v>
      </c>
      <c r="B2031" s="12" t="s">
        <v>27</v>
      </c>
      <c r="C2031" s="13">
        <v>23.2</v>
      </c>
      <c r="D2031" s="14">
        <v>5.0999999999999996</v>
      </c>
      <c r="E2031">
        <f t="shared" si="93"/>
        <v>1.1832</v>
      </c>
      <c r="F2031">
        <f t="shared" si="95"/>
        <v>29.35329999999988</v>
      </c>
      <c r="G2031">
        <f t="shared" si="94"/>
        <v>0</v>
      </c>
    </row>
    <row r="2032" spans="1:7" hidden="1" x14ac:dyDescent="0.35">
      <c r="A2032" s="7">
        <v>50671</v>
      </c>
      <c r="B2032" s="8" t="s">
        <v>31</v>
      </c>
      <c r="C2032" s="9">
        <v>26.6</v>
      </c>
      <c r="D2032" s="10">
        <v>0.3</v>
      </c>
      <c r="E2032">
        <f t="shared" si="93"/>
        <v>0</v>
      </c>
      <c r="F2032">
        <f t="shared" si="95"/>
        <v>29.35329999999988</v>
      </c>
      <c r="G2032">
        <f t="shared" si="94"/>
        <v>0</v>
      </c>
    </row>
    <row r="2033" spans="1:7" hidden="1" x14ac:dyDescent="0.35">
      <c r="A2033" s="11">
        <v>50672</v>
      </c>
      <c r="B2033" s="12" t="s">
        <v>11</v>
      </c>
      <c r="C2033" s="13">
        <v>23.2</v>
      </c>
      <c r="D2033" s="14">
        <v>0</v>
      </c>
      <c r="E2033">
        <f t="shared" si="93"/>
        <v>0</v>
      </c>
      <c r="F2033">
        <f t="shared" si="95"/>
        <v>29.35329999999988</v>
      </c>
      <c r="G2033">
        <f t="shared" si="94"/>
        <v>0</v>
      </c>
    </row>
    <row r="2034" spans="1:7" hidden="1" x14ac:dyDescent="0.35">
      <c r="A2034" s="7">
        <v>50673</v>
      </c>
      <c r="B2034" s="8" t="s">
        <v>10</v>
      </c>
      <c r="C2034" s="9">
        <v>11</v>
      </c>
      <c r="D2034" s="10">
        <v>40.9</v>
      </c>
      <c r="E2034">
        <f t="shared" si="93"/>
        <v>4.4989999999999997</v>
      </c>
      <c r="F2034">
        <f t="shared" si="95"/>
        <v>33.852299999999879</v>
      </c>
      <c r="G2034">
        <f t="shared" si="94"/>
        <v>0</v>
      </c>
    </row>
    <row r="2035" spans="1:7" hidden="1" x14ac:dyDescent="0.35">
      <c r="A2035" s="11">
        <v>50674</v>
      </c>
      <c r="B2035" s="12" t="s">
        <v>23</v>
      </c>
      <c r="C2035" s="13">
        <v>26.8</v>
      </c>
      <c r="D2035" s="14">
        <v>2.2999999999999998</v>
      </c>
      <c r="E2035">
        <f t="shared" si="93"/>
        <v>0.61639999999999995</v>
      </c>
      <c r="F2035">
        <f t="shared" si="95"/>
        <v>34.468699999999878</v>
      </c>
      <c r="G2035">
        <f t="shared" si="94"/>
        <v>0</v>
      </c>
    </row>
    <row r="2036" spans="1:7" hidden="1" x14ac:dyDescent="0.35">
      <c r="A2036" s="7">
        <v>50675</v>
      </c>
      <c r="B2036" s="8" t="s">
        <v>13</v>
      </c>
      <c r="C2036" s="9">
        <v>22.2</v>
      </c>
      <c r="D2036" s="10">
        <v>0</v>
      </c>
      <c r="E2036">
        <f t="shared" si="93"/>
        <v>0</v>
      </c>
      <c r="F2036">
        <f t="shared" si="95"/>
        <v>34.468699999999878</v>
      </c>
      <c r="G2036">
        <f t="shared" si="94"/>
        <v>0</v>
      </c>
    </row>
    <row r="2037" spans="1:7" hidden="1" x14ac:dyDescent="0.35">
      <c r="A2037" s="11">
        <v>50676</v>
      </c>
      <c r="B2037" s="12" t="s">
        <v>18</v>
      </c>
      <c r="C2037" s="13">
        <v>10.199999999999999</v>
      </c>
      <c r="D2037" s="14">
        <v>6.1</v>
      </c>
      <c r="E2037">
        <f t="shared" si="93"/>
        <v>0.62219999999999986</v>
      </c>
      <c r="F2037">
        <f t="shared" si="95"/>
        <v>35.090899999999877</v>
      </c>
      <c r="G2037">
        <f t="shared" si="94"/>
        <v>0</v>
      </c>
    </row>
    <row r="2038" spans="1:7" hidden="1" x14ac:dyDescent="0.35">
      <c r="A2038" s="7">
        <v>50677</v>
      </c>
      <c r="B2038" s="8" t="s">
        <v>33</v>
      </c>
      <c r="C2038" s="9">
        <v>18.399999999999999</v>
      </c>
      <c r="D2038" s="10">
        <v>1.5</v>
      </c>
      <c r="E2038">
        <f t="shared" si="93"/>
        <v>0.27599999999999997</v>
      </c>
      <c r="F2038">
        <f t="shared" si="95"/>
        <v>35.36689999999988</v>
      </c>
      <c r="G2038">
        <f t="shared" si="94"/>
        <v>0</v>
      </c>
    </row>
    <row r="2039" spans="1:7" hidden="1" x14ac:dyDescent="0.35">
      <c r="A2039" s="11">
        <v>50678</v>
      </c>
      <c r="B2039" s="12" t="s">
        <v>7</v>
      </c>
      <c r="C2039" s="13">
        <v>29.4</v>
      </c>
      <c r="D2039" s="14">
        <v>22.3</v>
      </c>
      <c r="E2039">
        <f t="shared" si="93"/>
        <v>6.5562000000000005</v>
      </c>
      <c r="F2039">
        <f t="shared" si="95"/>
        <v>41.923099999999877</v>
      </c>
      <c r="G2039">
        <f t="shared" si="94"/>
        <v>0</v>
      </c>
    </row>
    <row r="2040" spans="1:7" hidden="1" x14ac:dyDescent="0.35">
      <c r="A2040" s="7">
        <v>50679</v>
      </c>
      <c r="B2040" s="8" t="s">
        <v>23</v>
      </c>
      <c r="C2040" s="9">
        <v>23.4</v>
      </c>
      <c r="D2040" s="10">
        <v>0</v>
      </c>
      <c r="E2040">
        <f t="shared" si="93"/>
        <v>0</v>
      </c>
      <c r="F2040">
        <f t="shared" si="95"/>
        <v>41.923099999999877</v>
      </c>
      <c r="G2040">
        <f t="shared" si="94"/>
        <v>0</v>
      </c>
    </row>
    <row r="2041" spans="1:7" hidden="1" x14ac:dyDescent="0.35">
      <c r="A2041" s="11">
        <v>50680</v>
      </c>
      <c r="B2041" s="12" t="s">
        <v>5</v>
      </c>
      <c r="C2041" s="13">
        <v>13.6</v>
      </c>
      <c r="D2041" s="14">
        <v>6.1</v>
      </c>
      <c r="E2041">
        <f t="shared" si="93"/>
        <v>0.82959999999999989</v>
      </c>
      <c r="F2041">
        <f t="shared" si="95"/>
        <v>42.752699999999876</v>
      </c>
      <c r="G2041">
        <f t="shared" si="94"/>
        <v>0</v>
      </c>
    </row>
    <row r="2042" spans="1:7" hidden="1" x14ac:dyDescent="0.35">
      <c r="A2042" s="7">
        <v>50681</v>
      </c>
      <c r="B2042" s="8" t="s">
        <v>7</v>
      </c>
      <c r="C2042" s="9">
        <v>17.7</v>
      </c>
      <c r="D2042" s="10">
        <v>1.4</v>
      </c>
      <c r="E2042">
        <f t="shared" si="93"/>
        <v>0.24779999999999996</v>
      </c>
      <c r="F2042">
        <f t="shared" si="95"/>
        <v>43.000499999999874</v>
      </c>
      <c r="G2042">
        <f t="shared" si="94"/>
        <v>0</v>
      </c>
    </row>
    <row r="2043" spans="1:7" hidden="1" x14ac:dyDescent="0.35">
      <c r="A2043" s="11">
        <v>50682</v>
      </c>
      <c r="B2043" s="12" t="s">
        <v>23</v>
      </c>
      <c r="C2043" s="13">
        <v>17</v>
      </c>
      <c r="D2043" s="14">
        <v>5.9</v>
      </c>
      <c r="E2043">
        <f t="shared" si="93"/>
        <v>1.0030000000000001</v>
      </c>
      <c r="F2043">
        <f t="shared" si="95"/>
        <v>44.003499999999875</v>
      </c>
      <c r="G2043">
        <f t="shared" si="94"/>
        <v>0</v>
      </c>
    </row>
    <row r="2044" spans="1:7" hidden="1" x14ac:dyDescent="0.35">
      <c r="A2044" s="7">
        <v>50683</v>
      </c>
      <c r="B2044" s="8" t="s">
        <v>6</v>
      </c>
      <c r="C2044" s="9">
        <v>29.6</v>
      </c>
      <c r="D2044" s="10">
        <v>6.6</v>
      </c>
      <c r="E2044">
        <f t="shared" si="93"/>
        <v>1.9535999999999998</v>
      </c>
      <c r="F2044">
        <f t="shared" si="95"/>
        <v>45.957099999999876</v>
      </c>
      <c r="G2044">
        <f t="shared" si="94"/>
        <v>0</v>
      </c>
    </row>
    <row r="2045" spans="1:7" hidden="1" x14ac:dyDescent="0.35">
      <c r="A2045" s="11">
        <v>50684</v>
      </c>
      <c r="B2045" s="12" t="s">
        <v>10</v>
      </c>
      <c r="C2045" s="13">
        <v>23.4</v>
      </c>
      <c r="D2045" s="14">
        <v>0</v>
      </c>
      <c r="E2045">
        <f t="shared" si="93"/>
        <v>0</v>
      </c>
      <c r="F2045">
        <f t="shared" si="95"/>
        <v>45.957099999999876</v>
      </c>
      <c r="G2045">
        <f t="shared" si="94"/>
        <v>0</v>
      </c>
    </row>
    <row r="2046" spans="1:7" hidden="1" x14ac:dyDescent="0.35">
      <c r="A2046" s="7">
        <v>50685</v>
      </c>
      <c r="B2046" s="8" t="s">
        <v>7</v>
      </c>
      <c r="C2046" s="9">
        <v>21.3</v>
      </c>
      <c r="D2046" s="10">
        <v>22.4</v>
      </c>
      <c r="E2046">
        <f t="shared" si="93"/>
        <v>4.7712000000000003</v>
      </c>
      <c r="F2046">
        <f t="shared" si="95"/>
        <v>50.728299999999876</v>
      </c>
      <c r="G2046">
        <f t="shared" si="94"/>
        <v>0</v>
      </c>
    </row>
    <row r="2047" spans="1:7" hidden="1" x14ac:dyDescent="0.35">
      <c r="A2047" s="11">
        <v>50686</v>
      </c>
      <c r="B2047" s="12" t="s">
        <v>19</v>
      </c>
      <c r="C2047" s="13">
        <v>18.600000000000001</v>
      </c>
      <c r="D2047" s="14">
        <v>0</v>
      </c>
      <c r="E2047">
        <f t="shared" si="93"/>
        <v>0</v>
      </c>
      <c r="F2047">
        <f t="shared" si="95"/>
        <v>50.728299999999876</v>
      </c>
      <c r="G2047">
        <f t="shared" si="94"/>
        <v>0</v>
      </c>
    </row>
    <row r="2048" spans="1:7" hidden="1" x14ac:dyDescent="0.35">
      <c r="A2048" s="7">
        <v>50687</v>
      </c>
      <c r="B2048" s="8" t="s">
        <v>13</v>
      </c>
      <c r="C2048" s="9">
        <v>16.8</v>
      </c>
      <c r="D2048" s="10">
        <v>2.8</v>
      </c>
      <c r="E2048">
        <f t="shared" si="93"/>
        <v>0.47039999999999998</v>
      </c>
      <c r="F2048">
        <f t="shared" si="95"/>
        <v>51.198699999999874</v>
      </c>
      <c r="G2048">
        <f t="shared" si="94"/>
        <v>0</v>
      </c>
    </row>
    <row r="2049" spans="1:7" hidden="1" x14ac:dyDescent="0.35">
      <c r="A2049" s="11">
        <v>50688</v>
      </c>
      <c r="B2049" s="12" t="s">
        <v>20</v>
      </c>
      <c r="C2049" s="13">
        <v>13.2</v>
      </c>
      <c r="D2049" s="14">
        <v>4</v>
      </c>
      <c r="E2049">
        <f t="shared" si="93"/>
        <v>0.52800000000000002</v>
      </c>
      <c r="F2049">
        <f t="shared" si="95"/>
        <v>51.726699999999873</v>
      </c>
      <c r="G2049">
        <f t="shared" si="94"/>
        <v>0</v>
      </c>
    </row>
    <row r="2050" spans="1:7" hidden="1" x14ac:dyDescent="0.35">
      <c r="A2050" s="7">
        <v>50689</v>
      </c>
      <c r="B2050" s="8" t="s">
        <v>19</v>
      </c>
      <c r="C2050" s="9">
        <v>29.8</v>
      </c>
      <c r="D2050" s="10">
        <v>24.9</v>
      </c>
      <c r="E2050">
        <f t="shared" si="93"/>
        <v>7.4201999999999995</v>
      </c>
      <c r="F2050">
        <f t="shared" si="95"/>
        <v>59.146899999999874</v>
      </c>
      <c r="G2050">
        <f t="shared" si="94"/>
        <v>0</v>
      </c>
    </row>
    <row r="2051" spans="1:7" hidden="1" x14ac:dyDescent="0.35">
      <c r="A2051" s="11">
        <v>50690</v>
      </c>
      <c r="B2051" s="12" t="s">
        <v>10</v>
      </c>
      <c r="C2051" s="13">
        <v>10.6</v>
      </c>
      <c r="D2051" s="14">
        <v>31.8</v>
      </c>
      <c r="E2051">
        <f t="shared" ref="E2051:E2073" si="96">IF(D2051&gt;=1,C2051*D2051/100,0)</f>
        <v>3.3708</v>
      </c>
      <c r="F2051">
        <f t="shared" si="95"/>
        <v>62.517699999999877</v>
      </c>
      <c r="G2051">
        <f t="shared" ref="G2051:G2073" si="97">IF(F2051&gt;=100,1,0)</f>
        <v>0</v>
      </c>
    </row>
    <row r="2052" spans="1:7" hidden="1" x14ac:dyDescent="0.35">
      <c r="A2052" s="7">
        <v>50691</v>
      </c>
      <c r="B2052" s="8" t="s">
        <v>15</v>
      </c>
      <c r="C2052" s="9">
        <v>11.9</v>
      </c>
      <c r="D2052" s="10">
        <v>12.3</v>
      </c>
      <c r="E2052">
        <f t="shared" si="96"/>
        <v>1.4637</v>
      </c>
      <c r="F2052">
        <f t="shared" ref="F2052:F2073" si="98">IF(G2051=1,E2052+F2051-100,F2051+E2052)</f>
        <v>63.98139999999988</v>
      </c>
      <c r="G2052">
        <f t="shared" si="97"/>
        <v>0</v>
      </c>
    </row>
    <row r="2053" spans="1:7" hidden="1" x14ac:dyDescent="0.35">
      <c r="A2053" s="11">
        <v>50692</v>
      </c>
      <c r="B2053" s="12" t="s">
        <v>30</v>
      </c>
      <c r="C2053" s="13">
        <v>26.8</v>
      </c>
      <c r="D2053" s="14">
        <v>0.5</v>
      </c>
      <c r="E2053">
        <f t="shared" si="96"/>
        <v>0</v>
      </c>
      <c r="F2053">
        <f t="shared" si="98"/>
        <v>63.98139999999988</v>
      </c>
      <c r="G2053">
        <f t="shared" si="97"/>
        <v>0</v>
      </c>
    </row>
    <row r="2054" spans="1:7" hidden="1" x14ac:dyDescent="0.35">
      <c r="A2054" s="7">
        <v>50693</v>
      </c>
      <c r="B2054" s="8" t="s">
        <v>22</v>
      </c>
      <c r="C2054" s="9">
        <v>29</v>
      </c>
      <c r="D2054" s="10">
        <v>3.5</v>
      </c>
      <c r="E2054">
        <f t="shared" si="96"/>
        <v>1.0149999999999999</v>
      </c>
      <c r="F2054">
        <f t="shared" si="98"/>
        <v>64.99639999999988</v>
      </c>
      <c r="G2054">
        <f t="shared" si="97"/>
        <v>0</v>
      </c>
    </row>
    <row r="2055" spans="1:7" hidden="1" x14ac:dyDescent="0.35">
      <c r="A2055" s="11">
        <v>50694</v>
      </c>
      <c r="B2055" s="12" t="s">
        <v>20</v>
      </c>
      <c r="C2055" s="13">
        <v>22.9</v>
      </c>
      <c r="D2055" s="14">
        <v>2</v>
      </c>
      <c r="E2055">
        <f t="shared" si="96"/>
        <v>0.45799999999999996</v>
      </c>
      <c r="F2055">
        <f t="shared" si="98"/>
        <v>65.454399999999879</v>
      </c>
      <c r="G2055">
        <f t="shared" si="97"/>
        <v>0</v>
      </c>
    </row>
    <row r="2056" spans="1:7" hidden="1" x14ac:dyDescent="0.35">
      <c r="A2056" s="7">
        <v>50695</v>
      </c>
      <c r="B2056" s="8" t="s">
        <v>21</v>
      </c>
      <c r="C2056" s="9">
        <v>27.1</v>
      </c>
      <c r="D2056" s="10">
        <v>0</v>
      </c>
      <c r="E2056">
        <f t="shared" si="96"/>
        <v>0</v>
      </c>
      <c r="F2056">
        <f t="shared" si="98"/>
        <v>65.454399999999879</v>
      </c>
      <c r="G2056">
        <f t="shared" si="97"/>
        <v>0</v>
      </c>
    </row>
    <row r="2057" spans="1:7" hidden="1" x14ac:dyDescent="0.35">
      <c r="A2057" s="11">
        <v>50696</v>
      </c>
      <c r="B2057" s="12" t="s">
        <v>10</v>
      </c>
      <c r="C2057" s="13">
        <v>11.8</v>
      </c>
      <c r="D2057" s="14">
        <v>49</v>
      </c>
      <c r="E2057">
        <f t="shared" si="96"/>
        <v>5.782</v>
      </c>
      <c r="F2057">
        <f t="shared" si="98"/>
        <v>71.236399999999875</v>
      </c>
      <c r="G2057">
        <f t="shared" si="97"/>
        <v>0</v>
      </c>
    </row>
    <row r="2058" spans="1:7" hidden="1" x14ac:dyDescent="0.35">
      <c r="A2058" s="7">
        <v>50697</v>
      </c>
      <c r="B2058" s="8" t="s">
        <v>6</v>
      </c>
      <c r="C2058" s="9">
        <v>26.6</v>
      </c>
      <c r="D2058" s="10">
        <v>0</v>
      </c>
      <c r="E2058">
        <f t="shared" si="96"/>
        <v>0</v>
      </c>
      <c r="F2058">
        <f t="shared" si="98"/>
        <v>71.236399999999875</v>
      </c>
      <c r="G2058">
        <f t="shared" si="97"/>
        <v>0</v>
      </c>
    </row>
    <row r="2059" spans="1:7" hidden="1" x14ac:dyDescent="0.35">
      <c r="A2059" s="11">
        <v>50698</v>
      </c>
      <c r="B2059" s="12" t="s">
        <v>18</v>
      </c>
      <c r="C2059" s="13">
        <v>21.3</v>
      </c>
      <c r="D2059" s="14">
        <v>0</v>
      </c>
      <c r="E2059">
        <f t="shared" si="96"/>
        <v>0</v>
      </c>
      <c r="F2059">
        <f t="shared" si="98"/>
        <v>71.236399999999875</v>
      </c>
      <c r="G2059">
        <f t="shared" si="97"/>
        <v>0</v>
      </c>
    </row>
    <row r="2060" spans="1:7" hidden="1" x14ac:dyDescent="0.35">
      <c r="A2060" s="7">
        <v>50699</v>
      </c>
      <c r="B2060" s="8" t="s">
        <v>11</v>
      </c>
      <c r="C2060" s="9">
        <v>23.2</v>
      </c>
      <c r="D2060" s="10">
        <v>0</v>
      </c>
      <c r="E2060">
        <f t="shared" si="96"/>
        <v>0</v>
      </c>
      <c r="F2060">
        <f t="shared" si="98"/>
        <v>71.236399999999875</v>
      </c>
      <c r="G2060">
        <f t="shared" si="97"/>
        <v>0</v>
      </c>
    </row>
    <row r="2061" spans="1:7" hidden="1" x14ac:dyDescent="0.35">
      <c r="A2061" s="11">
        <v>50700</v>
      </c>
      <c r="B2061" s="12" t="s">
        <v>10</v>
      </c>
      <c r="C2061" s="13">
        <v>27.3</v>
      </c>
      <c r="D2061" s="14">
        <v>0</v>
      </c>
      <c r="E2061">
        <f t="shared" si="96"/>
        <v>0</v>
      </c>
      <c r="F2061">
        <f t="shared" si="98"/>
        <v>71.236399999999875</v>
      </c>
      <c r="G2061">
        <f t="shared" si="97"/>
        <v>0</v>
      </c>
    </row>
    <row r="2062" spans="1:7" hidden="1" x14ac:dyDescent="0.35">
      <c r="A2062" s="7">
        <v>50701</v>
      </c>
      <c r="B2062" s="8" t="s">
        <v>13</v>
      </c>
      <c r="C2062" s="9">
        <v>21.3</v>
      </c>
      <c r="D2062" s="10">
        <v>2.6</v>
      </c>
      <c r="E2062">
        <f t="shared" si="96"/>
        <v>0.55380000000000007</v>
      </c>
      <c r="F2062">
        <f t="shared" si="98"/>
        <v>71.790199999999871</v>
      </c>
      <c r="G2062">
        <f t="shared" si="97"/>
        <v>0</v>
      </c>
    </row>
    <row r="2063" spans="1:7" hidden="1" x14ac:dyDescent="0.35">
      <c r="A2063" s="11">
        <v>50702</v>
      </c>
      <c r="B2063" s="12" t="s">
        <v>19</v>
      </c>
      <c r="C2063" s="13">
        <v>22.9</v>
      </c>
      <c r="D2063" s="14">
        <v>5.3</v>
      </c>
      <c r="E2063">
        <f t="shared" si="96"/>
        <v>1.2137</v>
      </c>
      <c r="F2063">
        <f t="shared" si="98"/>
        <v>73.003899999999874</v>
      </c>
      <c r="G2063">
        <f t="shared" si="97"/>
        <v>0</v>
      </c>
    </row>
    <row r="2064" spans="1:7" hidden="1" x14ac:dyDescent="0.35">
      <c r="A2064" s="7">
        <v>50703</v>
      </c>
      <c r="B2064" s="8" t="s">
        <v>28</v>
      </c>
      <c r="C2064" s="9">
        <v>25</v>
      </c>
      <c r="D2064" s="10">
        <v>0</v>
      </c>
      <c r="E2064">
        <f t="shared" si="96"/>
        <v>0</v>
      </c>
      <c r="F2064">
        <f t="shared" si="98"/>
        <v>73.003899999999874</v>
      </c>
      <c r="G2064">
        <f t="shared" si="97"/>
        <v>0</v>
      </c>
    </row>
    <row r="2065" spans="1:7" hidden="1" x14ac:dyDescent="0.35">
      <c r="A2065" s="11">
        <v>50704</v>
      </c>
      <c r="B2065" s="12" t="s">
        <v>24</v>
      </c>
      <c r="C2065" s="13">
        <v>15.9</v>
      </c>
      <c r="D2065" s="14">
        <v>2.5</v>
      </c>
      <c r="E2065">
        <f t="shared" si="96"/>
        <v>0.39750000000000002</v>
      </c>
      <c r="F2065">
        <f t="shared" si="98"/>
        <v>73.401399999999867</v>
      </c>
      <c r="G2065">
        <f t="shared" si="97"/>
        <v>0</v>
      </c>
    </row>
    <row r="2066" spans="1:7" hidden="1" x14ac:dyDescent="0.35">
      <c r="A2066" s="7">
        <v>50705</v>
      </c>
      <c r="B2066" s="8" t="s">
        <v>22</v>
      </c>
      <c r="C2066" s="9">
        <v>19.2</v>
      </c>
      <c r="D2066" s="10">
        <v>1.3</v>
      </c>
      <c r="E2066">
        <f t="shared" si="96"/>
        <v>0.24960000000000002</v>
      </c>
      <c r="F2066">
        <f t="shared" si="98"/>
        <v>73.650999999999868</v>
      </c>
      <c r="G2066">
        <f t="shared" si="97"/>
        <v>0</v>
      </c>
    </row>
    <row r="2067" spans="1:7" hidden="1" x14ac:dyDescent="0.35">
      <c r="A2067" s="11">
        <v>50706</v>
      </c>
      <c r="B2067" s="12" t="s">
        <v>7</v>
      </c>
      <c r="C2067" s="13">
        <v>22.5</v>
      </c>
      <c r="D2067" s="14">
        <v>10.9</v>
      </c>
      <c r="E2067">
        <f t="shared" si="96"/>
        <v>2.4525000000000001</v>
      </c>
      <c r="F2067">
        <f t="shared" si="98"/>
        <v>76.103499999999869</v>
      </c>
      <c r="G2067">
        <f t="shared" si="97"/>
        <v>0</v>
      </c>
    </row>
    <row r="2068" spans="1:7" hidden="1" x14ac:dyDescent="0.35">
      <c r="A2068" s="7">
        <v>50707</v>
      </c>
      <c r="B2068" s="8" t="s">
        <v>13</v>
      </c>
      <c r="C2068" s="9">
        <v>28.7</v>
      </c>
      <c r="D2068" s="10">
        <v>13.3</v>
      </c>
      <c r="E2068">
        <f t="shared" si="96"/>
        <v>3.8171000000000004</v>
      </c>
      <c r="F2068">
        <f t="shared" si="98"/>
        <v>79.920599999999865</v>
      </c>
      <c r="G2068">
        <f t="shared" si="97"/>
        <v>0</v>
      </c>
    </row>
    <row r="2069" spans="1:7" hidden="1" x14ac:dyDescent="0.35">
      <c r="A2069" s="11">
        <v>50708</v>
      </c>
      <c r="B2069" s="12" t="s">
        <v>19</v>
      </c>
      <c r="C2069" s="13">
        <v>14.6</v>
      </c>
      <c r="D2069" s="14">
        <v>29.3</v>
      </c>
      <c r="E2069">
        <f t="shared" si="96"/>
        <v>4.2778</v>
      </c>
      <c r="F2069">
        <f t="shared" si="98"/>
        <v>84.198399999999864</v>
      </c>
      <c r="G2069">
        <f t="shared" si="97"/>
        <v>0</v>
      </c>
    </row>
    <row r="2070" spans="1:7" hidden="1" x14ac:dyDescent="0.35">
      <c r="A2070" s="7">
        <v>50709</v>
      </c>
      <c r="B2070" s="8" t="s">
        <v>18</v>
      </c>
      <c r="C2070" s="9">
        <v>12.1</v>
      </c>
      <c r="D2070" s="10">
        <v>6.5</v>
      </c>
      <c r="E2070">
        <f t="shared" si="96"/>
        <v>0.78649999999999987</v>
      </c>
      <c r="F2070">
        <f t="shared" si="98"/>
        <v>84.984899999999868</v>
      </c>
      <c r="G2070">
        <f t="shared" si="97"/>
        <v>0</v>
      </c>
    </row>
    <row r="2071" spans="1:7" hidden="1" x14ac:dyDescent="0.35">
      <c r="A2071" s="11">
        <v>50710</v>
      </c>
      <c r="B2071" s="12" t="s">
        <v>19</v>
      </c>
      <c r="C2071" s="13">
        <v>20</v>
      </c>
      <c r="D2071" s="14">
        <v>26.1</v>
      </c>
      <c r="E2071">
        <f t="shared" si="96"/>
        <v>5.22</v>
      </c>
      <c r="F2071">
        <f t="shared" si="98"/>
        <v>90.204899999999867</v>
      </c>
      <c r="G2071">
        <f t="shared" si="97"/>
        <v>0</v>
      </c>
    </row>
    <row r="2072" spans="1:7" hidden="1" x14ac:dyDescent="0.35">
      <c r="A2072" s="7">
        <v>50711</v>
      </c>
      <c r="B2072" s="8" t="s">
        <v>27</v>
      </c>
      <c r="C2072" s="9">
        <v>20.8</v>
      </c>
      <c r="D2072" s="10">
        <v>2.5</v>
      </c>
      <c r="E2072">
        <f t="shared" si="96"/>
        <v>0.52</v>
      </c>
      <c r="F2072">
        <f t="shared" si="98"/>
        <v>90.724899999999863</v>
      </c>
      <c r="G2072">
        <f t="shared" si="97"/>
        <v>0</v>
      </c>
    </row>
    <row r="2073" spans="1:7" hidden="1" x14ac:dyDescent="0.35">
      <c r="A2073" s="15">
        <v>50712</v>
      </c>
      <c r="B2073" s="16" t="s">
        <v>7</v>
      </c>
      <c r="C2073" s="2">
        <v>26.6</v>
      </c>
      <c r="D2073" s="3">
        <v>5.9</v>
      </c>
      <c r="E2073">
        <f t="shared" si="96"/>
        <v>1.5694000000000004</v>
      </c>
      <c r="F2073">
        <f t="shared" si="98"/>
        <v>92.294299999999865</v>
      </c>
      <c r="G2073">
        <f t="shared" si="97"/>
        <v>0</v>
      </c>
    </row>
  </sheetData>
  <autoFilter ref="A1:G2073" xr:uid="{6D6A809E-DA4F-4982-80AF-4188B9883AC8}">
    <filterColumn colId="6">
      <filters>
        <filter val="1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7E22D-2262-4879-9C12-64726F15C8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6.1</vt:lpstr>
      <vt:lpstr>6.2</vt:lpstr>
      <vt:lpstr>6.3</vt:lpstr>
      <vt:lpstr>6.4</vt:lpstr>
      <vt:lpstr>6.5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Oleg Psiarz</cp:lastModifiedBy>
  <dcterms:created xsi:type="dcterms:W3CDTF">2015-06-05T18:19:34Z</dcterms:created>
  <dcterms:modified xsi:type="dcterms:W3CDTF">2025-11-24T19:33:04Z</dcterms:modified>
</cp:coreProperties>
</file>