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6fb0b0e635340b/Desktop/cke/2017/czerwiec/"/>
    </mc:Choice>
  </mc:AlternateContent>
  <xr:revisionPtr revIDLastSave="2" documentId="8_{CCB2FFB6-415D-4894-A909-51911E7C8CDC}" xr6:coauthVersionLast="47" xr6:coauthVersionMax="47" xr10:uidLastSave="{2D858AFF-40A6-42D2-A731-02797F518076}"/>
  <bookViews>
    <workbookView xWindow="-110" yWindow="-110" windowWidth="19420" windowHeight="10300" activeTab="3" xr2:uid="{D19EC98A-A020-4EA3-99A2-3D7D08AD0185}"/>
  </bookViews>
  <sheets>
    <sheet name="dane" sheetId="2" r:id="rId1"/>
    <sheet name="5.1" sheetId="4" r:id="rId2"/>
    <sheet name="5.2" sheetId="5" r:id="rId3"/>
    <sheet name="5.4" sheetId="6" r:id="rId4"/>
  </sheets>
  <definedNames>
    <definedName name="_xlnm._FilterDatabase" localSheetId="1" hidden="1">'5.1'!$A$1:$I$135</definedName>
    <definedName name="_xlnm._FilterDatabase" localSheetId="3" hidden="1">'5.4'!$A$1:$G$135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6" l="1"/>
  <c r="G3" i="6"/>
  <c r="G4" i="6"/>
  <c r="G8" i="6"/>
  <c r="G114" i="6"/>
  <c r="G115" i="6"/>
  <c r="G40" i="6"/>
  <c r="G54" i="6"/>
  <c r="G83" i="6"/>
  <c r="G18" i="6"/>
  <c r="G41" i="6"/>
  <c r="G25" i="6"/>
  <c r="G42" i="6"/>
  <c r="G36" i="6"/>
  <c r="G87" i="6"/>
  <c r="G37" i="6"/>
  <c r="G55" i="6"/>
  <c r="G77" i="6"/>
  <c r="G2" i="6"/>
  <c r="G79" i="6"/>
  <c r="G80" i="6"/>
  <c r="G84" i="6"/>
  <c r="G38" i="6"/>
  <c r="G19" i="6"/>
  <c r="G27" i="6"/>
  <c r="G16" i="6"/>
  <c r="G88" i="6"/>
  <c r="G89" i="6"/>
  <c r="G75" i="6"/>
  <c r="G118" i="6"/>
  <c r="G69" i="6"/>
  <c r="G57" i="6"/>
  <c r="G106" i="6"/>
  <c r="G59" i="6"/>
  <c r="G65" i="6"/>
  <c r="G63" i="6"/>
  <c r="G67" i="6"/>
  <c r="G12" i="6"/>
  <c r="G90" i="6"/>
  <c r="G43" i="6"/>
  <c r="G7" i="6"/>
  <c r="G26" i="6"/>
  <c r="G28" i="6"/>
  <c r="G85" i="6"/>
  <c r="G29" i="6"/>
  <c r="G86" i="6"/>
  <c r="G52" i="6"/>
  <c r="G17" i="6"/>
  <c r="G14" i="6"/>
  <c r="G5" i="6"/>
  <c r="G45" i="6"/>
  <c r="G46" i="6"/>
  <c r="G47" i="6"/>
  <c r="G93" i="6"/>
  <c r="G66" i="6"/>
  <c r="G61" i="6"/>
  <c r="G68" i="6"/>
  <c r="G48" i="6"/>
  <c r="G49" i="6"/>
  <c r="G44" i="6"/>
  <c r="G30" i="6"/>
  <c r="G110" i="6"/>
  <c r="G111" i="6"/>
  <c r="G112" i="6"/>
  <c r="G113" i="6"/>
  <c r="G50" i="6"/>
  <c r="G51" i="6"/>
  <c r="G60" i="6"/>
  <c r="G100" i="6"/>
  <c r="G101" i="6"/>
  <c r="G102" i="6"/>
  <c r="G103" i="6"/>
  <c r="G104" i="6"/>
  <c r="G105" i="6"/>
  <c r="G13" i="6"/>
  <c r="G23" i="6"/>
  <c r="G56" i="6"/>
  <c r="G78" i="6"/>
  <c r="G39" i="6"/>
  <c r="G20" i="6"/>
  <c r="G76" i="6"/>
  <c r="G108" i="6"/>
  <c r="G10" i="6"/>
  <c r="G11" i="6"/>
  <c r="G70" i="6"/>
  <c r="G95" i="6"/>
  <c r="G96" i="6"/>
  <c r="G97" i="6"/>
  <c r="G98" i="6"/>
  <c r="G99" i="6"/>
  <c r="G91" i="6"/>
  <c r="G107" i="6"/>
  <c r="G92" i="6"/>
  <c r="G116" i="6"/>
  <c r="G94" i="6"/>
  <c r="G31" i="6"/>
  <c r="G32" i="6"/>
  <c r="G33" i="6"/>
  <c r="G34" i="6"/>
  <c r="G35" i="6"/>
  <c r="G64" i="6"/>
  <c r="G24" i="6"/>
  <c r="G81" i="6"/>
  <c r="G82" i="6"/>
  <c r="G53" i="6"/>
  <c r="G15" i="6"/>
  <c r="G119" i="6"/>
  <c r="G123" i="6"/>
  <c r="G124" i="6"/>
  <c r="G125" i="6"/>
  <c r="G126" i="6"/>
  <c r="G127" i="6"/>
  <c r="G128" i="6"/>
  <c r="G129" i="6"/>
  <c r="G130" i="6"/>
  <c r="G71" i="6"/>
  <c r="G117" i="6"/>
  <c r="G73" i="6"/>
  <c r="G74" i="6"/>
  <c r="G109" i="6"/>
  <c r="G58" i="6"/>
  <c r="G21" i="6"/>
  <c r="G120" i="6"/>
  <c r="G121" i="6"/>
  <c r="G122" i="6"/>
  <c r="G72" i="6"/>
  <c r="G22" i="6"/>
  <c r="G62" i="6"/>
  <c r="G131" i="6"/>
  <c r="G132" i="6"/>
  <c r="G133" i="6"/>
  <c r="G134" i="6"/>
  <c r="G135" i="6"/>
  <c r="G9" i="6"/>
  <c r="M13" i="5"/>
  <c r="M14" i="5"/>
  <c r="M15" i="5"/>
  <c r="M16" i="5"/>
  <c r="M17" i="5"/>
  <c r="M18" i="5"/>
  <c r="M1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2" i="5"/>
  <c r="I42" i="4"/>
  <c r="I7" i="4"/>
  <c r="I69" i="4"/>
  <c r="I84" i="4"/>
  <c r="I127" i="4"/>
  <c r="I97" i="4"/>
  <c r="G4" i="4"/>
  <c r="I4" i="4" s="1"/>
  <c r="G5" i="4"/>
  <c r="G6" i="4"/>
  <c r="G8" i="4"/>
  <c r="I8" i="4" s="1"/>
  <c r="G43" i="4"/>
  <c r="I43" i="4" s="1"/>
  <c r="G52" i="4"/>
  <c r="G10" i="4"/>
  <c r="G14" i="4"/>
  <c r="G34" i="4"/>
  <c r="I34" i="4" s="1"/>
  <c r="G35" i="4"/>
  <c r="G12" i="4"/>
  <c r="G13" i="4"/>
  <c r="I13" i="4" s="1"/>
  <c r="G15" i="4"/>
  <c r="I15" i="4" s="1"/>
  <c r="G16" i="4"/>
  <c r="G17" i="4"/>
  <c r="G18" i="4"/>
  <c r="G19" i="4"/>
  <c r="I19" i="4" s="1"/>
  <c r="G20" i="4"/>
  <c r="G23" i="4"/>
  <c r="G32" i="4"/>
  <c r="I32" i="4" s="1"/>
  <c r="G33" i="4"/>
  <c r="I33" i="4" s="1"/>
  <c r="G39" i="4"/>
  <c r="G38" i="4"/>
  <c r="G41" i="4"/>
  <c r="G42" i="4"/>
  <c r="G51" i="4"/>
  <c r="G54" i="4"/>
  <c r="G55" i="4"/>
  <c r="I55" i="4" s="1"/>
  <c r="G56" i="4"/>
  <c r="I56" i="4" s="1"/>
  <c r="G61" i="4"/>
  <c r="G63" i="4"/>
  <c r="G67" i="4"/>
  <c r="G71" i="4"/>
  <c r="I71" i="4" s="1"/>
  <c r="G73" i="4"/>
  <c r="G88" i="4"/>
  <c r="G109" i="4"/>
  <c r="I109" i="4" s="1"/>
  <c r="G3" i="4"/>
  <c r="I3" i="4" s="1"/>
  <c r="G9" i="4"/>
  <c r="G21" i="4"/>
  <c r="G27" i="4"/>
  <c r="G28" i="4"/>
  <c r="I28" i="4" s="1"/>
  <c r="G31" i="4"/>
  <c r="G36" i="4"/>
  <c r="G44" i="4"/>
  <c r="I44" i="4" s="1"/>
  <c r="G45" i="4"/>
  <c r="I45" i="4" s="1"/>
  <c r="G46" i="4"/>
  <c r="G50" i="4"/>
  <c r="G53" i="4"/>
  <c r="G62" i="4"/>
  <c r="I62" i="4" s="1"/>
  <c r="G66" i="4"/>
  <c r="G86" i="4"/>
  <c r="G87" i="4"/>
  <c r="I87" i="4" s="1"/>
  <c r="G90" i="4"/>
  <c r="I90" i="4" s="1"/>
  <c r="G91" i="4"/>
  <c r="G93" i="4"/>
  <c r="G106" i="4"/>
  <c r="G7" i="4"/>
  <c r="G25" i="4"/>
  <c r="G26" i="4"/>
  <c r="G29" i="4"/>
  <c r="I29" i="4" s="1"/>
  <c r="G40" i="4"/>
  <c r="I40" i="4" s="1"/>
  <c r="G76" i="4"/>
  <c r="G77" i="4"/>
  <c r="G80" i="4"/>
  <c r="G81" i="4"/>
  <c r="I81" i="4" s="1"/>
  <c r="G82" i="4"/>
  <c r="G89" i="4"/>
  <c r="G92" i="4"/>
  <c r="I92" i="4" s="1"/>
  <c r="G94" i="4"/>
  <c r="I94" i="4" s="1"/>
  <c r="G100" i="4"/>
  <c r="G101" i="4"/>
  <c r="G102" i="4"/>
  <c r="G103" i="4"/>
  <c r="I103" i="4" s="1"/>
  <c r="G104" i="4"/>
  <c r="G11" i="4"/>
  <c r="G22" i="4"/>
  <c r="I22" i="4" s="1"/>
  <c r="G30" i="4"/>
  <c r="I30" i="4" s="1"/>
  <c r="G37" i="4"/>
  <c r="G48" i="4"/>
  <c r="G58" i="4"/>
  <c r="G64" i="4"/>
  <c r="I64" i="4" s="1"/>
  <c r="G65" i="4"/>
  <c r="G68" i="4"/>
  <c r="G69" i="4"/>
  <c r="G74" i="4"/>
  <c r="I74" i="4" s="1"/>
  <c r="G78" i="4"/>
  <c r="G79" i="4"/>
  <c r="G83" i="4"/>
  <c r="G84" i="4"/>
  <c r="G85" i="4"/>
  <c r="G95" i="4"/>
  <c r="G96" i="4"/>
  <c r="I96" i="4" s="1"/>
  <c r="G98" i="4"/>
  <c r="I98" i="4" s="1"/>
  <c r="G99" i="4"/>
  <c r="G105" i="4"/>
  <c r="G107" i="4"/>
  <c r="G108" i="4"/>
  <c r="I108" i="4" s="1"/>
  <c r="G110" i="4"/>
  <c r="G111" i="4"/>
  <c r="G112" i="4"/>
  <c r="I112" i="4" s="1"/>
  <c r="G126" i="4"/>
  <c r="I126" i="4" s="1"/>
  <c r="G24" i="4"/>
  <c r="G47" i="4"/>
  <c r="G49" i="4"/>
  <c r="G57" i="4"/>
  <c r="I57" i="4" s="1"/>
  <c r="G70" i="4"/>
  <c r="G75" i="4"/>
  <c r="G113" i="4"/>
  <c r="I113" i="4" s="1"/>
  <c r="G115" i="4"/>
  <c r="I115" i="4" s="1"/>
  <c r="G116" i="4"/>
  <c r="G117" i="4"/>
  <c r="G118" i="4"/>
  <c r="G119" i="4"/>
  <c r="I119" i="4" s="1"/>
  <c r="G120" i="4"/>
  <c r="G121" i="4"/>
  <c r="G127" i="4"/>
  <c r="G128" i="4"/>
  <c r="I128" i="4" s="1"/>
  <c r="G59" i="4"/>
  <c r="G60" i="4"/>
  <c r="G72" i="4"/>
  <c r="G97" i="4"/>
  <c r="G114" i="4"/>
  <c r="G123" i="4"/>
  <c r="G124" i="4"/>
  <c r="I124" i="4" s="1"/>
  <c r="G125" i="4"/>
  <c r="I125" i="4" s="1"/>
  <c r="G129" i="4"/>
  <c r="I129" i="4" s="1"/>
  <c r="G122" i="4"/>
  <c r="G130" i="4"/>
  <c r="G135" i="4"/>
  <c r="I135" i="4" s="1"/>
  <c r="G131" i="4"/>
  <c r="G132" i="4"/>
  <c r="G133" i="4"/>
  <c r="I133" i="4" s="1"/>
  <c r="G134" i="4"/>
  <c r="I134" i="4" s="1"/>
  <c r="G2" i="4"/>
  <c r="I2" i="4" s="1"/>
  <c r="H4" i="4"/>
  <c r="H5" i="4"/>
  <c r="H6" i="4"/>
  <c r="H8" i="4"/>
  <c r="H43" i="4"/>
  <c r="H52" i="4"/>
  <c r="H10" i="4"/>
  <c r="I10" i="4" s="1"/>
  <c r="H14" i="4"/>
  <c r="H34" i="4"/>
  <c r="H35" i="4"/>
  <c r="H12" i="4"/>
  <c r="H13" i="4"/>
  <c r="H15" i="4"/>
  <c r="H16" i="4"/>
  <c r="H17" i="4"/>
  <c r="I17" i="4" s="1"/>
  <c r="H18" i="4"/>
  <c r="H19" i="4"/>
  <c r="H20" i="4"/>
  <c r="H23" i="4"/>
  <c r="H32" i="4"/>
  <c r="H33" i="4"/>
  <c r="H39" i="4"/>
  <c r="H38" i="4"/>
  <c r="I38" i="4" s="1"/>
  <c r="H41" i="4"/>
  <c r="H42" i="4"/>
  <c r="H51" i="4"/>
  <c r="H54" i="4"/>
  <c r="H55" i="4"/>
  <c r="H56" i="4"/>
  <c r="H61" i="4"/>
  <c r="H63" i="4"/>
  <c r="I63" i="4" s="1"/>
  <c r="H67" i="4"/>
  <c r="H71" i="4"/>
  <c r="H73" i="4"/>
  <c r="H88" i="4"/>
  <c r="H109" i="4"/>
  <c r="H3" i="4"/>
  <c r="H9" i="4"/>
  <c r="H21" i="4"/>
  <c r="I21" i="4" s="1"/>
  <c r="H27" i="4"/>
  <c r="H28" i="4"/>
  <c r="H31" i="4"/>
  <c r="H36" i="4"/>
  <c r="H44" i="4"/>
  <c r="H45" i="4"/>
  <c r="H46" i="4"/>
  <c r="H50" i="4"/>
  <c r="I50" i="4" s="1"/>
  <c r="H53" i="4"/>
  <c r="H62" i="4"/>
  <c r="H66" i="4"/>
  <c r="H86" i="4"/>
  <c r="H87" i="4"/>
  <c r="H90" i="4"/>
  <c r="H91" i="4"/>
  <c r="H93" i="4"/>
  <c r="I93" i="4" s="1"/>
  <c r="H106" i="4"/>
  <c r="H7" i="4"/>
  <c r="H25" i="4"/>
  <c r="H26" i="4"/>
  <c r="H29" i="4"/>
  <c r="H40" i="4"/>
  <c r="H76" i="4"/>
  <c r="H77" i="4"/>
  <c r="I77" i="4" s="1"/>
  <c r="H80" i="4"/>
  <c r="H81" i="4"/>
  <c r="H82" i="4"/>
  <c r="H89" i="4"/>
  <c r="H92" i="4"/>
  <c r="H94" i="4"/>
  <c r="H100" i="4"/>
  <c r="H101" i="4"/>
  <c r="I101" i="4" s="1"/>
  <c r="H102" i="4"/>
  <c r="H103" i="4"/>
  <c r="H104" i="4"/>
  <c r="H11" i="4"/>
  <c r="H22" i="4"/>
  <c r="H30" i="4"/>
  <c r="H37" i="4"/>
  <c r="H48" i="4"/>
  <c r="I48" i="4" s="1"/>
  <c r="H58" i="4"/>
  <c r="H64" i="4"/>
  <c r="H65" i="4"/>
  <c r="H68" i="4"/>
  <c r="H69" i="4"/>
  <c r="H74" i="4"/>
  <c r="H78" i="4"/>
  <c r="H79" i="4"/>
  <c r="I79" i="4" s="1"/>
  <c r="H83" i="4"/>
  <c r="H84" i="4"/>
  <c r="H85" i="4"/>
  <c r="H95" i="4"/>
  <c r="H96" i="4"/>
  <c r="H98" i="4"/>
  <c r="H99" i="4"/>
  <c r="H105" i="4"/>
  <c r="I105" i="4" s="1"/>
  <c r="H107" i="4"/>
  <c r="H108" i="4"/>
  <c r="H110" i="4"/>
  <c r="H111" i="4"/>
  <c r="H112" i="4"/>
  <c r="H126" i="4"/>
  <c r="H24" i="4"/>
  <c r="H47" i="4"/>
  <c r="I47" i="4" s="1"/>
  <c r="H49" i="4"/>
  <c r="H57" i="4"/>
  <c r="H70" i="4"/>
  <c r="H75" i="4"/>
  <c r="H113" i="4"/>
  <c r="H115" i="4"/>
  <c r="H116" i="4"/>
  <c r="H117" i="4"/>
  <c r="I117" i="4" s="1"/>
  <c r="H118" i="4"/>
  <c r="H119" i="4"/>
  <c r="H120" i="4"/>
  <c r="H121" i="4"/>
  <c r="H127" i="4"/>
  <c r="H128" i="4"/>
  <c r="H59" i="4"/>
  <c r="H60" i="4"/>
  <c r="I60" i="4" s="1"/>
  <c r="H72" i="4"/>
  <c r="H97" i="4"/>
  <c r="H114" i="4"/>
  <c r="H123" i="4"/>
  <c r="H124" i="4"/>
  <c r="H125" i="4"/>
  <c r="H129" i="4"/>
  <c r="H122" i="4"/>
  <c r="I122" i="4" s="1"/>
  <c r="H130" i="4"/>
  <c r="H135" i="4"/>
  <c r="H131" i="4"/>
  <c r="H132" i="4"/>
  <c r="H133" i="4"/>
  <c r="H134" i="4"/>
  <c r="H2" i="4"/>
  <c r="I59" i="4" l="1"/>
  <c r="I116" i="4"/>
  <c r="I24" i="4"/>
  <c r="I99" i="4"/>
  <c r="I78" i="4"/>
  <c r="I37" i="4"/>
  <c r="I100" i="4"/>
  <c r="I76" i="4"/>
  <c r="I91" i="4"/>
  <c r="I46" i="4"/>
  <c r="I9" i="4"/>
  <c r="I61" i="4"/>
  <c r="I39" i="4"/>
  <c r="I16" i="4"/>
  <c r="I52" i="4"/>
  <c r="I132" i="4"/>
  <c r="I123" i="4"/>
  <c r="I121" i="4"/>
  <c r="I75" i="4"/>
  <c r="I111" i="4"/>
  <c r="I95" i="4"/>
  <c r="I68" i="4"/>
  <c r="I11" i="4"/>
  <c r="I89" i="4"/>
  <c r="I26" i="4"/>
  <c r="I86" i="4"/>
  <c r="I36" i="4"/>
  <c r="I88" i="4"/>
  <c r="I54" i="4"/>
  <c r="I23" i="4"/>
  <c r="I12" i="4"/>
  <c r="I6" i="4"/>
  <c r="I131" i="4"/>
  <c r="I114" i="4"/>
  <c r="I120" i="4"/>
  <c r="I70" i="4"/>
  <c r="I110" i="4"/>
  <c r="I85" i="4"/>
  <c r="I65" i="4"/>
  <c r="I104" i="4"/>
  <c r="I82" i="4"/>
  <c r="I25" i="4"/>
  <c r="I66" i="4"/>
  <c r="I31" i="4"/>
  <c r="I73" i="4"/>
  <c r="I51" i="4"/>
  <c r="I20" i="4"/>
  <c r="I35" i="4"/>
  <c r="I5" i="4"/>
  <c r="I130" i="4"/>
  <c r="I72" i="4"/>
  <c r="I118" i="4"/>
  <c r="I49" i="4"/>
  <c r="I107" i="4"/>
  <c r="I83" i="4"/>
  <c r="I58" i="4"/>
  <c r="I102" i="4"/>
  <c r="I80" i="4"/>
  <c r="I106" i="4"/>
  <c r="I53" i="4"/>
  <c r="I27" i="4"/>
  <c r="I67" i="4"/>
  <c r="I41" i="4"/>
  <c r="I18" i="4"/>
  <c r="I1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769320-4024-4ECB-B4F1-7B0E6DBCEADA}" keepAlive="1" name="Zapytanie — transport" description="Połączenie z zapytaniem „transport” w skoroszycie." type="5" refreshedVersion="0" background="1" saveData="1">
    <dbPr connection="Provider=Microsoft.Mashup.OleDb.1;Data Source=$Workbook$;Location=transport;Extended Properties=&quot;&quot;" command="SELECT * FROM [transport]"/>
  </connection>
</connections>
</file>

<file path=xl/sharedStrings.xml><?xml version="1.0" encoding="utf-8"?>
<sst xmlns="http://schemas.openxmlformats.org/spreadsheetml/2006/main" count="1141" uniqueCount="197">
  <si>
    <t>Marka_i_model</t>
  </si>
  <si>
    <t>Rok_produkcji</t>
  </si>
  <si>
    <t>Cena_zakupu</t>
  </si>
  <si>
    <t>Nr_rejestracyjny</t>
  </si>
  <si>
    <t>Przebieg</t>
  </si>
  <si>
    <t>Data_ostatniego_remontu</t>
  </si>
  <si>
    <t>Iveco Strails</t>
  </si>
  <si>
    <t>ERA 210 TR</t>
  </si>
  <si>
    <t>ERA 211 TR</t>
  </si>
  <si>
    <t>ERA 212 TR</t>
  </si>
  <si>
    <t>ERA 213 TR</t>
  </si>
  <si>
    <t>ERA 209 TR</t>
  </si>
  <si>
    <t>Mercedes Axor</t>
  </si>
  <si>
    <t>ERA 223 TR</t>
  </si>
  <si>
    <t>MAN TGA</t>
  </si>
  <si>
    <t>ERA 217 TR</t>
  </si>
  <si>
    <t>Volvo FE</t>
  </si>
  <si>
    <t>ERA 095 TR</t>
  </si>
  <si>
    <t>Volvo FM</t>
  </si>
  <si>
    <t>ERA 093 TR</t>
  </si>
  <si>
    <t>Volvo FMX</t>
  </si>
  <si>
    <t>ERA 094 TR</t>
  </si>
  <si>
    <t>Volvo FH</t>
  </si>
  <si>
    <t>ERA 092 TR</t>
  </si>
  <si>
    <t>ERA 097 TR</t>
  </si>
  <si>
    <t>Iveco 100E</t>
  </si>
  <si>
    <t>ERA 114 TR</t>
  </si>
  <si>
    <t>ERA 108 TR</t>
  </si>
  <si>
    <t>Scania L94</t>
  </si>
  <si>
    <t>ERA 100 TR</t>
  </si>
  <si>
    <t>ERA 101 TR</t>
  </si>
  <si>
    <t>ERA 111 TR</t>
  </si>
  <si>
    <t>ERA 120 TR</t>
  </si>
  <si>
    <t>Renault Premium</t>
  </si>
  <si>
    <t>ERA 110 TR</t>
  </si>
  <si>
    <t>Mercedes Atego</t>
  </si>
  <si>
    <t>ERA 112 TR</t>
  </si>
  <si>
    <t>Scania M93</t>
  </si>
  <si>
    <t>ERA 102 TR</t>
  </si>
  <si>
    <t>ERA 302 TR</t>
  </si>
  <si>
    <t>ERA 096 TR</t>
  </si>
  <si>
    <t>Iveco EuroCargo</t>
  </si>
  <si>
    <t>ERA 104 TR</t>
  </si>
  <si>
    <t>ERA 119 TR</t>
  </si>
  <si>
    <t>ERA 106 TR</t>
  </si>
  <si>
    <t>MAN TGL</t>
  </si>
  <si>
    <t>ERA 117 TR</t>
  </si>
  <si>
    <t>Volvo FL</t>
  </si>
  <si>
    <t>ERA 098 TR</t>
  </si>
  <si>
    <t>ERA 109 TR</t>
  </si>
  <si>
    <t>DAF LF45</t>
  </si>
  <si>
    <t>ERA 115 TR</t>
  </si>
  <si>
    <t>ERA 113 TR</t>
  </si>
  <si>
    <t>ERA 107 TR</t>
  </si>
  <si>
    <t>MAN TGA41</t>
  </si>
  <si>
    <t>ERA 116 TR</t>
  </si>
  <si>
    <t>MAN TGA33</t>
  </si>
  <si>
    <t>ERA 105 TR</t>
  </si>
  <si>
    <t>DAF CF85</t>
  </si>
  <si>
    <t>ERA 103 TR</t>
  </si>
  <si>
    <t>Mercedes Sided</t>
  </si>
  <si>
    <t>ERA 099 TR</t>
  </si>
  <si>
    <t>Mercedes Actros</t>
  </si>
  <si>
    <t>ERA 118 TR</t>
  </si>
  <si>
    <t>ERA 132 TR</t>
  </si>
  <si>
    <t>ERA 142 TR</t>
  </si>
  <si>
    <t>ERA 145 TR</t>
  </si>
  <si>
    <t>Renault Midlum</t>
  </si>
  <si>
    <t>ERA 146 TR</t>
  </si>
  <si>
    <t>ERA 135 TR</t>
  </si>
  <si>
    <t>ERA 136 TR</t>
  </si>
  <si>
    <t>Renault D10</t>
  </si>
  <si>
    <t>ERA 141 TR</t>
  </si>
  <si>
    <t>ERA 340 TR</t>
  </si>
  <si>
    <t>ERA 147 TR</t>
  </si>
  <si>
    <t>ERA 394 TR</t>
  </si>
  <si>
    <t>DAF CF75</t>
  </si>
  <si>
    <t>ERA 143 TR</t>
  </si>
  <si>
    <t>ERA 140 TR</t>
  </si>
  <si>
    <t>DAF CF65</t>
  </si>
  <si>
    <t>ERA 133 TR</t>
  </si>
  <si>
    <t>Iveco TrakkerEuro5</t>
  </si>
  <si>
    <t>ERA 214 TR</t>
  </si>
  <si>
    <t>Renault Magnum</t>
  </si>
  <si>
    <t>ERA 227 TR</t>
  </si>
  <si>
    <t>ERA 228 TR</t>
  </si>
  <si>
    <t>ERA 226 TR</t>
  </si>
  <si>
    <t>ERA 131 TR</t>
  </si>
  <si>
    <t>ERA 144 TR</t>
  </si>
  <si>
    <t>ERA 134 TR</t>
  </si>
  <si>
    <t>ERA 161 TR</t>
  </si>
  <si>
    <t>Renault R385</t>
  </si>
  <si>
    <t>ERA 158 TR</t>
  </si>
  <si>
    <t>ERA 160 TR</t>
  </si>
  <si>
    <t>ERA 159 TR</t>
  </si>
  <si>
    <t>ERA 157 TR</t>
  </si>
  <si>
    <t>ERA 221 TR</t>
  </si>
  <si>
    <t>ERA 225 TR</t>
  </si>
  <si>
    <t>ERA 220 TR</t>
  </si>
  <si>
    <t>ERA 222 TR</t>
  </si>
  <si>
    <t>Renault Pelen</t>
  </si>
  <si>
    <t>ERA 230 TR</t>
  </si>
  <si>
    <t>ERA 229 TR</t>
  </si>
  <si>
    <t>ERA 162 TR</t>
  </si>
  <si>
    <t>Scania R500</t>
  </si>
  <si>
    <t>ERA 237 TR</t>
  </si>
  <si>
    <t>ERA 236 TR</t>
  </si>
  <si>
    <t>ERA 238 TR</t>
  </si>
  <si>
    <t>ERA 240 TR</t>
  </si>
  <si>
    <t>ERA 241 TR</t>
  </si>
  <si>
    <t>ERA 239 TR</t>
  </si>
  <si>
    <t>ERA 168 TR</t>
  </si>
  <si>
    <t>ERA 175 TR</t>
  </si>
  <si>
    <t>ERA 173 TR</t>
  </si>
  <si>
    <t>ERA 166 TR</t>
  </si>
  <si>
    <t>ERA 176 TR</t>
  </si>
  <si>
    <t>ERA 172 TR</t>
  </si>
  <si>
    <t>ERA 169 TR</t>
  </si>
  <si>
    <t>ERA 170 TR</t>
  </si>
  <si>
    <t>Iveco STRALIS</t>
  </si>
  <si>
    <t>ERA 215 TR</t>
  </si>
  <si>
    <t>ERA 216 TR</t>
  </si>
  <si>
    <t>ERA 178 TR</t>
  </si>
  <si>
    <t>Scania R420</t>
  </si>
  <si>
    <t>ERA 232 TR</t>
  </si>
  <si>
    <t>ERA 233 TR</t>
  </si>
  <si>
    <t>ERA 231 TR</t>
  </si>
  <si>
    <t>ERA 234 TR</t>
  </si>
  <si>
    <t>ERA 235 TR</t>
  </si>
  <si>
    <t>Volvo FH13-500</t>
  </si>
  <si>
    <t>ERA 248 TR</t>
  </si>
  <si>
    <t>ERA 177 TR</t>
  </si>
  <si>
    <t>ERA 247 TR</t>
  </si>
  <si>
    <t>MAN TGX</t>
  </si>
  <si>
    <t>ERA 218 TR</t>
  </si>
  <si>
    <t>ERA 174 TR</t>
  </si>
  <si>
    <t>DAF XF460</t>
  </si>
  <si>
    <t>ERA 207 TR</t>
  </si>
  <si>
    <t>ERA 405 TR</t>
  </si>
  <si>
    <t>ERA 204 TR</t>
  </si>
  <si>
    <t>ERA 208 TR</t>
  </si>
  <si>
    <t>ERA 406 TR</t>
  </si>
  <si>
    <t>ERA 171 TR</t>
  </si>
  <si>
    <t>ERA 183 TR</t>
  </si>
  <si>
    <t>ERA 388 TR</t>
  </si>
  <si>
    <t>ERA 188 TR</t>
  </si>
  <si>
    <t>ERA 184 TR</t>
  </si>
  <si>
    <t>ERA 186 TR</t>
  </si>
  <si>
    <t>ERA 185 TR</t>
  </si>
  <si>
    <t>ERA 199 TR</t>
  </si>
  <si>
    <t>ERA 198 TR</t>
  </si>
  <si>
    <t>ERA 200 TR</t>
  </si>
  <si>
    <t>ERA 201 TR</t>
  </si>
  <si>
    <t>ERA 496 TR</t>
  </si>
  <si>
    <t>ERA 497 TR</t>
  </si>
  <si>
    <t>ERA 202 TR</t>
  </si>
  <si>
    <t>ERA 203 TR</t>
  </si>
  <si>
    <t>MAN TGS</t>
  </si>
  <si>
    <t>ERA 187 TR</t>
  </si>
  <si>
    <t>ERA 219 TR</t>
  </si>
  <si>
    <t>MAN TGA18</t>
  </si>
  <si>
    <t>ERA 193 TR</t>
  </si>
  <si>
    <t>ERA 195 TR</t>
  </si>
  <si>
    <t>ERA 197 TR</t>
  </si>
  <si>
    <t>ERA 194 TR</t>
  </si>
  <si>
    <t>ERA 196 TR</t>
  </si>
  <si>
    <t>ERA 393 TR</t>
  </si>
  <si>
    <t>ERA 494 TR</t>
  </si>
  <si>
    <t>ERA 495 TR</t>
  </si>
  <si>
    <t>ERA 192 TR</t>
  </si>
  <si>
    <t>ERA 205 TR</t>
  </si>
  <si>
    <t>ERA 206 TR</t>
  </si>
  <si>
    <t>Volvo 2015Euro6M</t>
  </si>
  <si>
    <t>ERA 242 TR</t>
  </si>
  <si>
    <t>ERA 243 TR</t>
  </si>
  <si>
    <t>ERA 244 TR</t>
  </si>
  <si>
    <t>ERA 245 TR</t>
  </si>
  <si>
    <t>ERA 246 TR</t>
  </si>
  <si>
    <t>amortyzacja od czasu w 2017</t>
  </si>
  <si>
    <t>amortyzacja od przebiegu w 2017</t>
  </si>
  <si>
    <t>wartosc auta w 2017</t>
  </si>
  <si>
    <t>Etykiety wierszy</t>
  </si>
  <si>
    <t>Suma końcowa</t>
  </si>
  <si>
    <t>marka</t>
  </si>
  <si>
    <t xml:space="preserve">DAF </t>
  </si>
  <si>
    <t xml:space="preserve">Iveco </t>
  </si>
  <si>
    <t xml:space="preserve">MAN </t>
  </si>
  <si>
    <t xml:space="preserve">Mercedes </t>
  </si>
  <si>
    <t xml:space="preserve">Renault </t>
  </si>
  <si>
    <t xml:space="preserve">Scania </t>
  </si>
  <si>
    <t xml:space="preserve">Volvo </t>
  </si>
  <si>
    <t>Liczba z marka</t>
  </si>
  <si>
    <t>Suma z Przebieg</t>
  </si>
  <si>
    <t>sredni przebieg</t>
  </si>
  <si>
    <t>Etykiety kolumn</t>
  </si>
  <si>
    <t>Marka</t>
  </si>
  <si>
    <t>liczba dni do 1.01.2017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</si>
</sst>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14" fontId="0" fillId="3" borderId="6" xfId="0" applyNumberFormat="1" applyFill="1" applyBorder="1"/>
    <xf numFmtId="0" fontId="0" fillId="0" borderId="4" xfId="0" applyBorder="1"/>
    <xf numFmtId="0" fontId="0" fillId="0" borderId="5" xfId="0" applyBorder="1"/>
    <xf numFmtId="14" fontId="0" fillId="0" borderId="6" xfId="0" applyNumberFormat="1" applyBorder="1"/>
    <xf numFmtId="0" fontId="0" fillId="0" borderId="1" xfId="0" applyBorder="1"/>
    <xf numFmtId="14" fontId="0" fillId="0" borderId="3" xfId="0" applyNumberFormat="1" applyBorder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2" fillId="4" borderId="7" xfId="0" applyFont="1" applyFill="1" applyBorder="1"/>
    <xf numFmtId="0" fontId="1" fillId="2" borderId="0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394.785554166665" createdVersion="8" refreshedVersion="8" minRefreshableVersion="3" recordCount="134" xr:uid="{0284F1FD-5616-4290-8C94-B6323BE993F5}">
  <cacheSource type="worksheet">
    <worksheetSource ref="A1:G135" sheet="5.2"/>
  </cacheSource>
  <cacheFields count="7">
    <cacheField name="Marka_i_model" numFmtId="0">
      <sharedItems count="38">
        <s v="Iveco Strails"/>
        <s v="Mercedes Axor"/>
        <s v="MAN TGA"/>
        <s v="Volvo FE"/>
        <s v="Volvo FM"/>
        <s v="Volvo FMX"/>
        <s v="Volvo FH"/>
        <s v="Iveco 100E"/>
        <s v="Scania L94"/>
        <s v="Renault Premium"/>
        <s v="Mercedes Atego"/>
        <s v="Scania M93"/>
        <s v="Iveco EuroCargo"/>
        <s v="MAN TGL"/>
        <s v="Volvo FL"/>
        <s v="DAF LF45"/>
        <s v="MAN TGA41"/>
        <s v="MAN TGA33"/>
        <s v="DAF CF85"/>
        <s v="Mercedes Sided"/>
        <s v="Mercedes Actros"/>
        <s v="Renault Midlum"/>
        <s v="Renault D10"/>
        <s v="DAF CF75"/>
        <s v="DAF CF65"/>
        <s v="Iveco TrakkerEuro5"/>
        <s v="Renault Magnum"/>
        <s v="Renault R385"/>
        <s v="Renault Pelen"/>
        <s v="Scania R500"/>
        <s v="Iveco STRALIS"/>
        <s v="Scania R420"/>
        <s v="Volvo FH13-500"/>
        <s v="MAN TGX"/>
        <s v="DAF XF460"/>
        <s v="MAN TGS"/>
        <s v="MAN TGA18"/>
        <s v="Volvo 2015Euro6M"/>
      </sharedItems>
    </cacheField>
    <cacheField name="Rok_produkcji" numFmtId="0">
      <sharedItems containsSemiMixedTypes="0" containsString="0" containsNumber="1" containsInteger="1" minValue="2006" maxValue="2015" count="10">
        <n v="2006"/>
        <n v="2007"/>
        <n v="2008"/>
        <n v="2009"/>
        <n v="2010"/>
        <n v="2011"/>
        <n v="2012"/>
        <n v="2013"/>
        <n v="2014"/>
        <n v="2015"/>
      </sharedItems>
    </cacheField>
    <cacheField name="Cena_zakupu" numFmtId="0">
      <sharedItems containsSemiMixedTypes="0" containsString="0" containsNumber="1" containsInteger="1" minValue="37000" maxValue="360000"/>
    </cacheField>
    <cacheField name="Nr_rejestracyjny" numFmtId="0">
      <sharedItems/>
    </cacheField>
    <cacheField name="Przebieg" numFmtId="0">
      <sharedItems containsSemiMixedTypes="0" containsString="0" containsNumber="1" containsInteger="1" minValue="91000" maxValue="1260000"/>
    </cacheField>
    <cacheField name="Data_ostatniego_remontu" numFmtId="14">
      <sharedItems containsSemiMixedTypes="0" containsNonDate="0" containsDate="1" containsString="0" minDate="2015-01-10T00:00:00" maxDate="2016-12-31T00:00:00"/>
    </cacheField>
    <cacheField name="marka" numFmtId="0">
      <sharedItems count="7">
        <s v="Iveco "/>
        <s v="Mercedes "/>
        <s v="MAN "/>
        <s v="Volvo "/>
        <s v="Scania "/>
        <s v="Renault "/>
        <s v="DAF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x v="0"/>
    <n v="85900"/>
    <s v="ERA 210 TR"/>
    <n v="1200655"/>
    <d v="2015-01-31T00:00:00"/>
    <x v="0"/>
  </r>
  <r>
    <x v="0"/>
    <x v="0"/>
    <n v="85900"/>
    <s v="ERA 211 TR"/>
    <n v="1068570"/>
    <d v="2015-01-25T00:00:00"/>
    <x v="0"/>
  </r>
  <r>
    <x v="0"/>
    <x v="0"/>
    <n v="85900"/>
    <s v="ERA 212 TR"/>
    <n v="998704"/>
    <d v="2015-01-24T00:00:00"/>
    <x v="0"/>
  </r>
  <r>
    <x v="0"/>
    <x v="0"/>
    <n v="85900"/>
    <s v="ERA 213 TR"/>
    <n v="936780"/>
    <d v="2015-01-24T00:00:00"/>
    <x v="0"/>
  </r>
  <r>
    <x v="0"/>
    <x v="0"/>
    <n v="85900"/>
    <s v="ERA 209 TR"/>
    <n v="870233"/>
    <d v="2015-01-30T00:00:00"/>
    <x v="0"/>
  </r>
  <r>
    <x v="1"/>
    <x v="1"/>
    <n v="205000"/>
    <s v="ERA 223 TR"/>
    <n v="1260000"/>
    <d v="2016-04-23T00:00:00"/>
    <x v="1"/>
  </r>
  <r>
    <x v="2"/>
    <x v="1"/>
    <n v="198000"/>
    <s v="ERA 217 TR"/>
    <n v="890200"/>
    <d v="2016-05-30T00:00:00"/>
    <x v="2"/>
  </r>
  <r>
    <x v="3"/>
    <x v="2"/>
    <n v="49411"/>
    <s v="ERA 095 TR"/>
    <n v="186000"/>
    <d v="2015-07-25T00:00:00"/>
    <x v="3"/>
  </r>
  <r>
    <x v="4"/>
    <x v="2"/>
    <n v="58000"/>
    <s v="ERA 093 TR"/>
    <n v="306000"/>
    <d v="2015-09-24T00:00:00"/>
    <x v="3"/>
  </r>
  <r>
    <x v="5"/>
    <x v="2"/>
    <n v="84000"/>
    <s v="ERA 094 TR"/>
    <n v="266000"/>
    <d v="2016-01-13T00:00:00"/>
    <x v="3"/>
  </r>
  <r>
    <x v="6"/>
    <x v="2"/>
    <n v="89000"/>
    <s v="ERA 092 TR"/>
    <n v="305000"/>
    <d v="2015-03-12T00:00:00"/>
    <x v="3"/>
  </r>
  <r>
    <x v="3"/>
    <x v="3"/>
    <n v="48411"/>
    <s v="ERA 097 TR"/>
    <n v="190000"/>
    <d v="2015-07-25T00:00:00"/>
    <x v="3"/>
  </r>
  <r>
    <x v="7"/>
    <x v="3"/>
    <n v="68000"/>
    <s v="ERA 114 TR"/>
    <n v="992600"/>
    <d v="2015-06-02T00:00:00"/>
    <x v="0"/>
  </r>
  <r>
    <x v="3"/>
    <x v="3"/>
    <n v="49411"/>
    <s v="ERA 108 TR"/>
    <n v="186000"/>
    <d v="2015-07-25T00:00:00"/>
    <x v="3"/>
  </r>
  <r>
    <x v="8"/>
    <x v="3"/>
    <n v="67900"/>
    <s v="ERA 100 TR"/>
    <n v="850000"/>
    <d v="2015-07-09T00:00:00"/>
    <x v="4"/>
  </r>
  <r>
    <x v="3"/>
    <x v="3"/>
    <n v="65000"/>
    <s v="ERA 101 TR"/>
    <n v="740000"/>
    <d v="2016-01-16T00:00:00"/>
    <x v="3"/>
  </r>
  <r>
    <x v="8"/>
    <x v="3"/>
    <n v="68900"/>
    <s v="ERA 111 TR"/>
    <n v="846000"/>
    <d v="2015-07-09T00:00:00"/>
    <x v="4"/>
  </r>
  <r>
    <x v="4"/>
    <x v="3"/>
    <n v="59000"/>
    <s v="ERA 120 TR"/>
    <n v="302000"/>
    <d v="2015-09-24T00:00:00"/>
    <x v="3"/>
  </r>
  <r>
    <x v="9"/>
    <x v="3"/>
    <n v="77000"/>
    <s v="ERA 110 TR"/>
    <n v="846000"/>
    <d v="2016-01-07T00:00:00"/>
    <x v="5"/>
  </r>
  <r>
    <x v="10"/>
    <x v="3"/>
    <n v="85000"/>
    <s v="ERA 112 TR"/>
    <n v="946000"/>
    <d v="2015-01-10T00:00:00"/>
    <x v="1"/>
  </r>
  <r>
    <x v="11"/>
    <x v="3"/>
    <n v="79000"/>
    <s v="ERA 102 TR"/>
    <n v="390000"/>
    <d v="2016-01-10T00:00:00"/>
    <x v="4"/>
  </r>
  <r>
    <x v="11"/>
    <x v="3"/>
    <n v="79000"/>
    <s v="ERA 302 TR"/>
    <n v="390000"/>
    <d v="2016-01-10T00:00:00"/>
    <x v="4"/>
  </r>
  <r>
    <x v="5"/>
    <x v="3"/>
    <n v="83000"/>
    <s v="ERA 096 TR"/>
    <n v="270000"/>
    <d v="2016-01-13T00:00:00"/>
    <x v="3"/>
  </r>
  <r>
    <x v="12"/>
    <x v="3"/>
    <n v="86133"/>
    <s v="ERA 104 TR"/>
    <n v="380000"/>
    <d v="2015-07-23T00:00:00"/>
    <x v="0"/>
  </r>
  <r>
    <x v="6"/>
    <x v="3"/>
    <n v="90000"/>
    <s v="ERA 119 TR"/>
    <n v="301000"/>
    <d v="2015-03-12T00:00:00"/>
    <x v="3"/>
  </r>
  <r>
    <x v="10"/>
    <x v="3"/>
    <n v="91000"/>
    <s v="ERA 106 TR"/>
    <n v="360000"/>
    <d v="2015-06-19T00:00:00"/>
    <x v="1"/>
  </r>
  <r>
    <x v="13"/>
    <x v="3"/>
    <n v="114400"/>
    <s v="ERA 117 TR"/>
    <n v="226000"/>
    <d v="2015-03-10T00:00:00"/>
    <x v="2"/>
  </r>
  <r>
    <x v="14"/>
    <x v="3"/>
    <n v="134000"/>
    <s v="ERA 098 TR"/>
    <n v="482000"/>
    <d v="2016-01-16T00:00:00"/>
    <x v="3"/>
  </r>
  <r>
    <x v="14"/>
    <x v="3"/>
    <n v="135000"/>
    <s v="ERA 109 TR"/>
    <n v="478000"/>
    <d v="2016-01-16T00:00:00"/>
    <x v="3"/>
  </r>
  <r>
    <x v="15"/>
    <x v="3"/>
    <n v="131780"/>
    <s v="ERA 115 TR"/>
    <n v="306000"/>
    <d v="2015-12-27T00:00:00"/>
    <x v="6"/>
  </r>
  <r>
    <x v="13"/>
    <x v="3"/>
    <n v="159000"/>
    <s v="ERA 113 TR"/>
    <n v="403000"/>
    <d v="2016-11-07T00:00:00"/>
    <x v="2"/>
  </r>
  <r>
    <x v="9"/>
    <x v="3"/>
    <n v="162800"/>
    <s v="ERA 107 TR"/>
    <n v="370000"/>
    <d v="2015-11-21T00:00:00"/>
    <x v="5"/>
  </r>
  <r>
    <x v="16"/>
    <x v="3"/>
    <n v="168800"/>
    <s v="ERA 116 TR"/>
    <n v="186300"/>
    <d v="2015-09-25T00:00:00"/>
    <x v="2"/>
  </r>
  <r>
    <x v="17"/>
    <x v="3"/>
    <n v="195370"/>
    <s v="ERA 105 TR"/>
    <n v="290000"/>
    <d v="2016-04-07T00:00:00"/>
    <x v="2"/>
  </r>
  <r>
    <x v="18"/>
    <x v="3"/>
    <n v="195340"/>
    <s v="ERA 103 TR"/>
    <n v="190000"/>
    <d v="2015-10-01T00:00:00"/>
    <x v="6"/>
  </r>
  <r>
    <x v="19"/>
    <x v="3"/>
    <n v="230000"/>
    <s v="ERA 099 TR"/>
    <n v="305000"/>
    <d v="2015-10-30T00:00:00"/>
    <x v="1"/>
  </r>
  <r>
    <x v="20"/>
    <x v="3"/>
    <n v="291000"/>
    <s v="ERA 118 TR"/>
    <n v="166000"/>
    <d v="2015-10-20T00:00:00"/>
    <x v="1"/>
  </r>
  <r>
    <x v="15"/>
    <x v="4"/>
    <n v="37000"/>
    <s v="ERA 132 TR"/>
    <n v="978000"/>
    <d v="2015-11-01T00:00:00"/>
    <x v="6"/>
  </r>
  <r>
    <x v="15"/>
    <x v="4"/>
    <n v="40830"/>
    <s v="ERA 142 TR"/>
    <n v="326000"/>
    <d v="2015-02-27T00:00:00"/>
    <x v="6"/>
  </r>
  <r>
    <x v="3"/>
    <x v="4"/>
    <n v="66000"/>
    <s v="ERA 145 TR"/>
    <n v="736000"/>
    <d v="2016-01-16T00:00:00"/>
    <x v="3"/>
  </r>
  <r>
    <x v="21"/>
    <x v="4"/>
    <n v="60000"/>
    <s v="ERA 146 TR"/>
    <n v="99250"/>
    <d v="2015-08-10T00:00:00"/>
    <x v="5"/>
  </r>
  <r>
    <x v="10"/>
    <x v="4"/>
    <n v="84000"/>
    <s v="ERA 135 TR"/>
    <n v="950000"/>
    <d v="2015-01-25T00:00:00"/>
    <x v="1"/>
  </r>
  <r>
    <x v="7"/>
    <x v="4"/>
    <n v="67000"/>
    <s v="ERA 136 TR"/>
    <n v="103260"/>
    <d v="2015-06-02T00:00:00"/>
    <x v="0"/>
  </r>
  <r>
    <x v="22"/>
    <x v="4"/>
    <n v="75300"/>
    <s v="ERA 141 TR"/>
    <n v="302000"/>
    <d v="2015-06-19T00:00:00"/>
    <x v="5"/>
  </r>
  <r>
    <x v="5"/>
    <x v="4"/>
    <n v="84000"/>
    <s v="ERA 340 TR"/>
    <n v="266000"/>
    <d v="2016-01-13T00:00:00"/>
    <x v="3"/>
  </r>
  <r>
    <x v="10"/>
    <x v="4"/>
    <n v="92000"/>
    <s v="ERA 147 TR"/>
    <n v="356000"/>
    <d v="2015-06-19T00:00:00"/>
    <x v="1"/>
  </r>
  <r>
    <x v="13"/>
    <x v="4"/>
    <n v="89000"/>
    <s v="ERA 394 TR"/>
    <n v="266000"/>
    <d v="2016-01-13T00:00:00"/>
    <x v="2"/>
  </r>
  <r>
    <x v="23"/>
    <x v="4"/>
    <n v="94000"/>
    <s v="ERA 143 TR"/>
    <n v="91000"/>
    <d v="2015-09-21T00:00:00"/>
    <x v="6"/>
  </r>
  <r>
    <x v="13"/>
    <x v="4"/>
    <n v="113400"/>
    <s v="ERA 140 TR"/>
    <n v="230000"/>
    <d v="2015-03-10T00:00:00"/>
    <x v="2"/>
  </r>
  <r>
    <x v="24"/>
    <x v="4"/>
    <n v="135000"/>
    <s v="ERA 133 TR"/>
    <n v="251000"/>
    <d v="2015-03-04T00:00:00"/>
    <x v="6"/>
  </r>
  <r>
    <x v="25"/>
    <x v="4"/>
    <n v="160000"/>
    <s v="ERA 214 TR"/>
    <n v="263000"/>
    <d v="2015-01-24T00:00:00"/>
    <x v="0"/>
  </r>
  <r>
    <x v="26"/>
    <x v="4"/>
    <n v="265000"/>
    <s v="ERA 227 TR"/>
    <n v="930000"/>
    <d v="2015-08-20T00:00:00"/>
    <x v="5"/>
  </r>
  <r>
    <x v="26"/>
    <x v="4"/>
    <n v="265000"/>
    <s v="ERA 228 TR"/>
    <n v="912000"/>
    <d v="2015-08-20T00:00:00"/>
    <x v="5"/>
  </r>
  <r>
    <x v="26"/>
    <x v="4"/>
    <n v="265000"/>
    <s v="ERA 226 TR"/>
    <n v="856000"/>
    <d v="2015-08-20T00:00:00"/>
    <x v="5"/>
  </r>
  <r>
    <x v="9"/>
    <x v="4"/>
    <n v="230000"/>
    <s v="ERA 131 TR"/>
    <n v="455000"/>
    <d v="2016-03-10T00:00:00"/>
    <x v="5"/>
  </r>
  <r>
    <x v="19"/>
    <x v="4"/>
    <n v="231000"/>
    <s v="ERA 144 TR"/>
    <n v="301000"/>
    <d v="2015-10-30T00:00:00"/>
    <x v="1"/>
  </r>
  <r>
    <x v="20"/>
    <x v="4"/>
    <n v="257000"/>
    <s v="ERA 134 TR"/>
    <n v="164700"/>
    <d v="2015-10-09T00:00:00"/>
    <x v="1"/>
  </r>
  <r>
    <x v="15"/>
    <x v="5"/>
    <n v="38000"/>
    <s v="ERA 161 TR"/>
    <n v="574000"/>
    <d v="2015-11-01T00:00:00"/>
    <x v="6"/>
  </r>
  <r>
    <x v="27"/>
    <x v="5"/>
    <n v="56700"/>
    <s v="ERA 158 TR"/>
    <n v="290000"/>
    <d v="2015-08-20T00:00:00"/>
    <x v="5"/>
  </r>
  <r>
    <x v="27"/>
    <x v="5"/>
    <n v="57700"/>
    <s v="ERA 160 TR"/>
    <n v="286000"/>
    <d v="2015-08-20T00:00:00"/>
    <x v="5"/>
  </r>
  <r>
    <x v="21"/>
    <x v="5"/>
    <n v="59000"/>
    <s v="ERA 159 TR"/>
    <n v="103250"/>
    <d v="2015-08-10T00:00:00"/>
    <x v="5"/>
  </r>
  <r>
    <x v="22"/>
    <x v="5"/>
    <n v="74300"/>
    <s v="ERA 157 TR"/>
    <n v="306000"/>
    <d v="2015-06-19T00:00:00"/>
    <x v="5"/>
  </r>
  <r>
    <x v="20"/>
    <x v="5"/>
    <n v="210000"/>
    <s v="ERA 221 TR"/>
    <n v="780000"/>
    <d v="2016-04-21T00:00:00"/>
    <x v="1"/>
  </r>
  <r>
    <x v="20"/>
    <x v="5"/>
    <n v="210000"/>
    <s v="ERA 225 TR"/>
    <n v="760300"/>
    <d v="2016-04-21T00:00:00"/>
    <x v="1"/>
  </r>
  <r>
    <x v="20"/>
    <x v="5"/>
    <n v="210000"/>
    <s v="ERA 220 TR"/>
    <n v="680000"/>
    <d v="2016-04-21T00:00:00"/>
    <x v="1"/>
  </r>
  <r>
    <x v="20"/>
    <x v="5"/>
    <n v="210000"/>
    <s v="ERA 222 TR"/>
    <n v="655000"/>
    <d v="2016-04-21T00:00:00"/>
    <x v="1"/>
  </r>
  <r>
    <x v="28"/>
    <x v="5"/>
    <n v="220000"/>
    <s v="ERA 230 TR"/>
    <n v="731000"/>
    <d v="2015-08-20T00:00:00"/>
    <x v="5"/>
  </r>
  <r>
    <x v="28"/>
    <x v="5"/>
    <n v="220000"/>
    <s v="ERA 229 TR"/>
    <n v="685413"/>
    <d v="2015-08-20T00:00:00"/>
    <x v="5"/>
  </r>
  <r>
    <x v="18"/>
    <x v="5"/>
    <n v="196340"/>
    <s v="ERA 162 TR"/>
    <n v="186000"/>
    <d v="2015-10-01T00:00:00"/>
    <x v="6"/>
  </r>
  <r>
    <x v="29"/>
    <x v="5"/>
    <n v="245000"/>
    <s v="ERA 237 TR"/>
    <n v="720000"/>
    <d v="2016-04-02T00:00:00"/>
    <x v="4"/>
  </r>
  <r>
    <x v="29"/>
    <x v="5"/>
    <n v="245000"/>
    <s v="ERA 236 TR"/>
    <n v="680000"/>
    <d v="2016-04-02T00:00:00"/>
    <x v="4"/>
  </r>
  <r>
    <x v="29"/>
    <x v="5"/>
    <n v="245000"/>
    <s v="ERA 238 TR"/>
    <n v="660000"/>
    <d v="2016-04-02T00:00:00"/>
    <x v="4"/>
  </r>
  <r>
    <x v="29"/>
    <x v="5"/>
    <n v="245000"/>
    <s v="ERA 240 TR"/>
    <n v="630000"/>
    <d v="2016-04-02T00:00:00"/>
    <x v="4"/>
  </r>
  <r>
    <x v="29"/>
    <x v="5"/>
    <n v="245000"/>
    <s v="ERA 241 TR"/>
    <n v="655000"/>
    <d v="2016-04-02T00:00:00"/>
    <x v="4"/>
  </r>
  <r>
    <x v="29"/>
    <x v="5"/>
    <n v="245000"/>
    <s v="ERA 239 TR"/>
    <n v="590000"/>
    <d v="2016-04-02T00:00:00"/>
    <x v="4"/>
  </r>
  <r>
    <x v="15"/>
    <x v="6"/>
    <n v="39830"/>
    <s v="ERA 168 TR"/>
    <n v="330000"/>
    <d v="2015-02-27T00:00:00"/>
    <x v="6"/>
  </r>
  <r>
    <x v="15"/>
    <x v="6"/>
    <n v="48800"/>
    <s v="ERA 175 TR"/>
    <n v="268650"/>
    <d v="2015-04-23T00:00:00"/>
    <x v="6"/>
  </r>
  <r>
    <x v="4"/>
    <x v="6"/>
    <n v="59000"/>
    <s v="ERA 173 TR"/>
    <n v="302000"/>
    <d v="2015-09-24T00:00:00"/>
    <x v="3"/>
  </r>
  <r>
    <x v="9"/>
    <x v="6"/>
    <n v="76000"/>
    <s v="ERA 166 TR"/>
    <n v="850000"/>
    <d v="2016-01-07T00:00:00"/>
    <x v="5"/>
  </r>
  <r>
    <x v="12"/>
    <x v="6"/>
    <n v="87133"/>
    <s v="ERA 176 TR"/>
    <n v="376000"/>
    <d v="2015-07-23T00:00:00"/>
    <x v="0"/>
  </r>
  <r>
    <x v="6"/>
    <x v="6"/>
    <n v="110000"/>
    <s v="ERA 172 TR"/>
    <n v="201000"/>
    <d v="2015-03-12T00:00:00"/>
    <x v="3"/>
  </r>
  <r>
    <x v="15"/>
    <x v="6"/>
    <n v="130780"/>
    <s v="ERA 169 TR"/>
    <n v="310000"/>
    <d v="2015-12-27T00:00:00"/>
    <x v="6"/>
  </r>
  <r>
    <x v="13"/>
    <x v="6"/>
    <n v="135502"/>
    <s v="ERA 170 TR"/>
    <n v="247000"/>
    <d v="2016-04-16T00:00:00"/>
    <x v="2"/>
  </r>
  <r>
    <x v="30"/>
    <x v="6"/>
    <n v="145000"/>
    <s v="ERA 215 TR"/>
    <n v="386732"/>
    <d v="2015-02-24T00:00:00"/>
    <x v="0"/>
  </r>
  <r>
    <x v="30"/>
    <x v="6"/>
    <n v="145000"/>
    <s v="ERA 216 TR"/>
    <n v="312680"/>
    <d v="2015-02-24T00:00:00"/>
    <x v="0"/>
  </r>
  <r>
    <x v="9"/>
    <x v="6"/>
    <n v="163800"/>
    <s v="ERA 178 TR"/>
    <n v="366000"/>
    <d v="2015-11-21T00:00:00"/>
    <x v="5"/>
  </r>
  <r>
    <x v="31"/>
    <x v="6"/>
    <n v="183000"/>
    <s v="ERA 232 TR"/>
    <n v="520000"/>
    <d v="2016-03-15T00:00:00"/>
    <x v="4"/>
  </r>
  <r>
    <x v="31"/>
    <x v="6"/>
    <n v="183000"/>
    <s v="ERA 233 TR"/>
    <n v="530000"/>
    <d v="2016-03-15T00:00:00"/>
    <x v="4"/>
  </r>
  <r>
    <x v="31"/>
    <x v="6"/>
    <n v="183000"/>
    <s v="ERA 231 TR"/>
    <n v="490000"/>
    <d v="2016-03-15T00:00:00"/>
    <x v="4"/>
  </r>
  <r>
    <x v="31"/>
    <x v="6"/>
    <n v="183000"/>
    <s v="ERA 234 TR"/>
    <n v="481000"/>
    <d v="2016-03-15T00:00:00"/>
    <x v="4"/>
  </r>
  <r>
    <x v="31"/>
    <x v="6"/>
    <n v="183000"/>
    <s v="ERA 235 TR"/>
    <n v="454000"/>
    <d v="2016-03-15T00:00:00"/>
    <x v="4"/>
  </r>
  <r>
    <x v="32"/>
    <x v="6"/>
    <n v="210000"/>
    <s v="ERA 248 TR"/>
    <n v="517000"/>
    <d v="2016-02-15T00:00:00"/>
    <x v="3"/>
  </r>
  <r>
    <x v="17"/>
    <x v="6"/>
    <n v="196370"/>
    <s v="ERA 177 TR"/>
    <n v="286000"/>
    <d v="2016-04-07T00:00:00"/>
    <x v="2"/>
  </r>
  <r>
    <x v="32"/>
    <x v="6"/>
    <n v="210000"/>
    <s v="ERA 247 TR"/>
    <n v="435000"/>
    <d v="2016-02-15T00:00:00"/>
    <x v="3"/>
  </r>
  <r>
    <x v="33"/>
    <x v="6"/>
    <n v="210300"/>
    <s v="ERA 218 TR"/>
    <n v="417671"/>
    <d v="2016-05-30T00:00:00"/>
    <x v="2"/>
  </r>
  <r>
    <x v="9"/>
    <x v="6"/>
    <n v="231000"/>
    <s v="ERA 174 TR"/>
    <n v="451000"/>
    <d v="2016-03-10T00:00:00"/>
    <x v="5"/>
  </r>
  <r>
    <x v="34"/>
    <x v="6"/>
    <n v="240000"/>
    <s v="ERA 207 TR"/>
    <n v="301344"/>
    <d v="2015-06-30T00:00:00"/>
    <x v="6"/>
  </r>
  <r>
    <x v="34"/>
    <x v="6"/>
    <n v="240000"/>
    <s v="ERA 405 TR"/>
    <n v="315988"/>
    <d v="2015-06-30T00:00:00"/>
    <x v="6"/>
  </r>
  <r>
    <x v="34"/>
    <x v="6"/>
    <n v="240000"/>
    <s v="ERA 204 TR"/>
    <n v="234760"/>
    <d v="2015-06-30T00:00:00"/>
    <x v="6"/>
  </r>
  <r>
    <x v="34"/>
    <x v="6"/>
    <n v="240000"/>
    <s v="ERA 208 TR"/>
    <n v="210780"/>
    <d v="2015-06-30T00:00:00"/>
    <x v="6"/>
  </r>
  <r>
    <x v="34"/>
    <x v="6"/>
    <n v="240000"/>
    <s v="ERA 406 TR"/>
    <n v="198240"/>
    <d v="2015-06-30T00:00:00"/>
    <x v="6"/>
  </r>
  <r>
    <x v="20"/>
    <x v="6"/>
    <n v="290000"/>
    <s v="ERA 171 TR"/>
    <n v="170000"/>
    <d v="2015-10-20T00:00:00"/>
    <x v="1"/>
  </r>
  <r>
    <x v="15"/>
    <x v="7"/>
    <n v="47800"/>
    <s v="ERA 183 TR"/>
    <n v="272650"/>
    <d v="2015-04-23T00:00:00"/>
    <x v="6"/>
  </r>
  <r>
    <x v="11"/>
    <x v="7"/>
    <n v="80000"/>
    <s v="ERA 388 TR"/>
    <n v="350000"/>
    <d v="2016-01-10T00:00:00"/>
    <x v="4"/>
  </r>
  <r>
    <x v="11"/>
    <x v="7"/>
    <n v="80000"/>
    <s v="ERA 188 TR"/>
    <n v="235000"/>
    <d v="2016-01-10T00:00:00"/>
    <x v="4"/>
  </r>
  <r>
    <x v="23"/>
    <x v="7"/>
    <n v="93000"/>
    <s v="ERA 184 TR"/>
    <n v="195000"/>
    <d v="2015-09-21T00:00:00"/>
    <x v="6"/>
  </r>
  <r>
    <x v="24"/>
    <x v="7"/>
    <n v="136000"/>
    <s v="ERA 186 TR"/>
    <n v="247000"/>
    <d v="2015-03-04T00:00:00"/>
    <x v="6"/>
  </r>
  <r>
    <x v="13"/>
    <x v="7"/>
    <n v="158000"/>
    <s v="ERA 185 TR"/>
    <n v="407000"/>
    <d v="2016-11-07T00:00:00"/>
    <x v="2"/>
  </r>
  <r>
    <x v="34"/>
    <x v="7"/>
    <n v="240000"/>
    <s v="ERA 199 TR"/>
    <n v="301232"/>
    <d v="2016-12-15T00:00:00"/>
    <x v="6"/>
  </r>
  <r>
    <x v="34"/>
    <x v="7"/>
    <n v="240000"/>
    <s v="ERA 198 TR"/>
    <n v="289567"/>
    <d v="2016-12-15T00:00:00"/>
    <x v="6"/>
  </r>
  <r>
    <x v="34"/>
    <x v="7"/>
    <n v="240000"/>
    <s v="ERA 200 TR"/>
    <n v="245211"/>
    <d v="2016-12-15T00:00:00"/>
    <x v="6"/>
  </r>
  <r>
    <x v="34"/>
    <x v="7"/>
    <n v="240000"/>
    <s v="ERA 201 TR"/>
    <n v="200123"/>
    <d v="2016-12-15T00:00:00"/>
    <x v="6"/>
  </r>
  <r>
    <x v="34"/>
    <x v="7"/>
    <n v="240000"/>
    <s v="ERA 496 TR"/>
    <n v="235811"/>
    <d v="2016-12-15T00:00:00"/>
    <x v="6"/>
  </r>
  <r>
    <x v="34"/>
    <x v="7"/>
    <n v="240000"/>
    <s v="ERA 497 TR"/>
    <n v="250021"/>
    <d v="2016-12-15T00:00:00"/>
    <x v="6"/>
  </r>
  <r>
    <x v="34"/>
    <x v="7"/>
    <n v="240000"/>
    <s v="ERA 202 TR"/>
    <n v="198340"/>
    <d v="2016-12-15T00:00:00"/>
    <x v="6"/>
  </r>
  <r>
    <x v="34"/>
    <x v="7"/>
    <n v="240000"/>
    <s v="ERA 203 TR"/>
    <n v="189761"/>
    <d v="2016-12-15T00:00:00"/>
    <x v="6"/>
  </r>
  <r>
    <x v="35"/>
    <x v="7"/>
    <n v="271000"/>
    <s v="ERA 187 TR"/>
    <n v="153000"/>
    <d v="2015-11-26T00:00:00"/>
    <x v="2"/>
  </r>
  <r>
    <x v="35"/>
    <x v="7"/>
    <n v="271000"/>
    <s v="ERA 219 TR"/>
    <n v="123000"/>
    <d v="2016-05-30T00:00:00"/>
    <x v="2"/>
  </r>
  <r>
    <x v="36"/>
    <x v="8"/>
    <n v="98000"/>
    <s v="ERA 193 TR"/>
    <n v="251000"/>
    <d v="2015-12-06T00:00:00"/>
    <x v="2"/>
  </r>
  <r>
    <x v="36"/>
    <x v="8"/>
    <n v="99000"/>
    <s v="ERA 195 TR"/>
    <n v="247000"/>
    <d v="2015-12-06T00:00:00"/>
    <x v="2"/>
  </r>
  <r>
    <x v="13"/>
    <x v="8"/>
    <n v="136502"/>
    <s v="ERA 197 TR"/>
    <n v="243000"/>
    <d v="2016-04-16T00:00:00"/>
    <x v="2"/>
  </r>
  <r>
    <x v="16"/>
    <x v="8"/>
    <n v="167800"/>
    <s v="ERA 194 TR"/>
    <n v="190300"/>
    <d v="2015-09-25T00:00:00"/>
    <x v="2"/>
  </r>
  <r>
    <x v="10"/>
    <x v="8"/>
    <n v="219000"/>
    <s v="ERA 196 TR"/>
    <n v="126290"/>
    <d v="2015-03-20T00:00:00"/>
    <x v="1"/>
  </r>
  <r>
    <x v="34"/>
    <x v="8"/>
    <n v="240000"/>
    <s v="ERA 393 TR"/>
    <n v="183788"/>
    <d v="2016-11-07T00:00:00"/>
    <x v="6"/>
  </r>
  <r>
    <x v="34"/>
    <x v="8"/>
    <n v="240000"/>
    <s v="ERA 494 TR"/>
    <n v="160198"/>
    <d v="2016-11-07T00:00:00"/>
    <x v="6"/>
  </r>
  <r>
    <x v="34"/>
    <x v="8"/>
    <n v="240000"/>
    <s v="ERA 495 TR"/>
    <n v="156724"/>
    <d v="2016-11-07T00:00:00"/>
    <x v="6"/>
  </r>
  <r>
    <x v="35"/>
    <x v="8"/>
    <n v="270000"/>
    <s v="ERA 192 TR"/>
    <n v="157000"/>
    <d v="2015-11-26T00:00:00"/>
    <x v="2"/>
  </r>
  <r>
    <x v="10"/>
    <x v="9"/>
    <n v="218000"/>
    <s v="ERA 205 TR"/>
    <n v="130290"/>
    <d v="2015-03-20T00:00:00"/>
    <x v="1"/>
  </r>
  <r>
    <x v="20"/>
    <x v="9"/>
    <n v="258000"/>
    <s v="ERA 206 TR"/>
    <n v="160700"/>
    <d v="2015-10-09T00:00:00"/>
    <x v="1"/>
  </r>
  <r>
    <x v="37"/>
    <x v="9"/>
    <n v="360000"/>
    <s v="ERA 242 TR"/>
    <n v="100000"/>
    <d v="2016-12-30T00:00:00"/>
    <x v="3"/>
  </r>
  <r>
    <x v="37"/>
    <x v="9"/>
    <n v="360000"/>
    <s v="ERA 243 TR"/>
    <n v="115000"/>
    <d v="2016-12-30T00:00:00"/>
    <x v="3"/>
  </r>
  <r>
    <x v="37"/>
    <x v="9"/>
    <n v="360000"/>
    <s v="ERA 244 TR"/>
    <n v="132000"/>
    <d v="2016-12-30T00:00:00"/>
    <x v="3"/>
  </r>
  <r>
    <x v="37"/>
    <x v="9"/>
    <n v="360000"/>
    <s v="ERA 245 TR"/>
    <n v="108000"/>
    <d v="2016-12-30T00:00:00"/>
    <x v="3"/>
  </r>
  <r>
    <x v="37"/>
    <x v="9"/>
    <n v="360000"/>
    <s v="ERA 246 TR"/>
    <n v="140000"/>
    <d v="2016-12-30T00:00:0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F2E57-78DC-4BD7-A336-B5C1073A4F1E}" name="Tabela przestawna3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J11:L19" firstHeaderRow="0" firstDataRow="1" firstDataCol="1"/>
  <pivotFields count="7"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dataField="1" showAll="0"/>
    <pivotField numFmtId="14" showAll="0"/>
    <pivotField axis="axisRow" dataField="1" showAll="0">
      <items count="8">
        <item x="6"/>
        <item x="0"/>
        <item x="2"/>
        <item x="1"/>
        <item x="5"/>
        <item x="4"/>
        <item x="3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Przebieg" fld="4" baseField="0" baseItem="0"/>
    <dataField name="Liczba z marka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2A687E-94DC-4A47-A21C-197BD397C80D}" name="Tabela przestawna4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P22:AA31" firstHeaderRow="1" firstDataRow="2" firstDataCol="1"/>
  <pivotFields count="7">
    <pivotField showAll="0"/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numFmtId="14" showAll="0"/>
    <pivotField axis="axisRow" dataField="1" showAll="0">
      <items count="8">
        <item x="6"/>
        <item x="0"/>
        <item x="2"/>
        <item x="1"/>
        <item x="5"/>
        <item x="4"/>
        <item x="3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Liczba z marka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18B52-FCF1-4693-9CD4-FDAE7E2A3077}">
  <dimension ref="A1:F135"/>
  <sheetViews>
    <sheetView workbookViewId="0"/>
  </sheetViews>
  <sheetFormatPr defaultRowHeight="14.5" x14ac:dyDescent="0.35"/>
  <cols>
    <col min="1" max="1" width="17" bestFit="1" customWidth="1"/>
    <col min="2" max="2" width="15.26953125" bestFit="1" customWidth="1"/>
    <col min="3" max="3" width="14.36328125" bestFit="1" customWidth="1"/>
    <col min="4" max="4" width="17" bestFit="1" customWidth="1"/>
    <col min="5" max="5" width="10.1796875" bestFit="1" customWidth="1"/>
    <col min="6" max="6" width="25.6328125" bestFit="1" customWidth="1"/>
  </cols>
  <sheetData>
    <row r="1" spans="1:6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35">
      <c r="A2" s="5" t="s">
        <v>6</v>
      </c>
      <c r="B2" s="6">
        <v>2006</v>
      </c>
      <c r="C2" s="6">
        <v>85900</v>
      </c>
      <c r="D2" s="6" t="s">
        <v>7</v>
      </c>
      <c r="E2" s="6">
        <v>1200655</v>
      </c>
      <c r="F2" s="7">
        <v>42035</v>
      </c>
    </row>
    <row r="3" spans="1:6" x14ac:dyDescent="0.35">
      <c r="A3" s="8" t="s">
        <v>6</v>
      </c>
      <c r="B3" s="9">
        <v>2006</v>
      </c>
      <c r="C3" s="9">
        <v>85900</v>
      </c>
      <c r="D3" s="9" t="s">
        <v>8</v>
      </c>
      <c r="E3" s="9">
        <v>1068570</v>
      </c>
      <c r="F3" s="10">
        <v>42029</v>
      </c>
    </row>
    <row r="4" spans="1:6" x14ac:dyDescent="0.35">
      <c r="A4" s="5" t="s">
        <v>6</v>
      </c>
      <c r="B4" s="6">
        <v>2006</v>
      </c>
      <c r="C4" s="6">
        <v>85900</v>
      </c>
      <c r="D4" s="6" t="s">
        <v>9</v>
      </c>
      <c r="E4" s="6">
        <v>998704</v>
      </c>
      <c r="F4" s="7">
        <v>42028</v>
      </c>
    </row>
    <row r="5" spans="1:6" x14ac:dyDescent="0.35">
      <c r="A5" s="8" t="s">
        <v>6</v>
      </c>
      <c r="B5" s="9">
        <v>2006</v>
      </c>
      <c r="C5" s="9">
        <v>85900</v>
      </c>
      <c r="D5" s="9" t="s">
        <v>10</v>
      </c>
      <c r="E5" s="9">
        <v>936780</v>
      </c>
      <c r="F5" s="10">
        <v>42028</v>
      </c>
    </row>
    <row r="6" spans="1:6" x14ac:dyDescent="0.35">
      <c r="A6" s="5" t="s">
        <v>6</v>
      </c>
      <c r="B6" s="6">
        <v>2006</v>
      </c>
      <c r="C6" s="6">
        <v>85900</v>
      </c>
      <c r="D6" s="6" t="s">
        <v>11</v>
      </c>
      <c r="E6" s="6">
        <v>870233</v>
      </c>
      <c r="F6" s="7">
        <v>42034</v>
      </c>
    </row>
    <row r="7" spans="1:6" x14ac:dyDescent="0.35">
      <c r="A7" s="8" t="s">
        <v>12</v>
      </c>
      <c r="B7" s="9">
        <v>2007</v>
      </c>
      <c r="C7" s="9">
        <v>205000</v>
      </c>
      <c r="D7" s="9" t="s">
        <v>13</v>
      </c>
      <c r="E7" s="9">
        <v>1260000</v>
      </c>
      <c r="F7" s="10">
        <v>42483</v>
      </c>
    </row>
    <row r="8" spans="1:6" x14ac:dyDescent="0.35">
      <c r="A8" s="5" t="s">
        <v>14</v>
      </c>
      <c r="B8" s="6">
        <v>2007</v>
      </c>
      <c r="C8" s="6">
        <v>198000</v>
      </c>
      <c r="D8" s="6" t="s">
        <v>15</v>
      </c>
      <c r="E8" s="6">
        <v>890200</v>
      </c>
      <c r="F8" s="7">
        <v>42520</v>
      </c>
    </row>
    <row r="9" spans="1:6" x14ac:dyDescent="0.35">
      <c r="A9" s="8" t="s">
        <v>16</v>
      </c>
      <c r="B9" s="9">
        <v>2008</v>
      </c>
      <c r="C9" s="9">
        <v>49411</v>
      </c>
      <c r="D9" s="9" t="s">
        <v>17</v>
      </c>
      <c r="E9" s="9">
        <v>186000</v>
      </c>
      <c r="F9" s="10">
        <v>42210</v>
      </c>
    </row>
    <row r="10" spans="1:6" x14ac:dyDescent="0.35">
      <c r="A10" s="5" t="s">
        <v>18</v>
      </c>
      <c r="B10" s="6">
        <v>2008</v>
      </c>
      <c r="C10" s="6">
        <v>58000</v>
      </c>
      <c r="D10" s="6" t="s">
        <v>19</v>
      </c>
      <c r="E10" s="6">
        <v>306000</v>
      </c>
      <c r="F10" s="7">
        <v>42271</v>
      </c>
    </row>
    <row r="11" spans="1:6" x14ac:dyDescent="0.35">
      <c r="A11" s="8" t="s">
        <v>20</v>
      </c>
      <c r="B11" s="9">
        <v>2008</v>
      </c>
      <c r="C11" s="9">
        <v>84000</v>
      </c>
      <c r="D11" s="9" t="s">
        <v>21</v>
      </c>
      <c r="E11" s="9">
        <v>266000</v>
      </c>
      <c r="F11" s="10">
        <v>42382</v>
      </c>
    </row>
    <row r="12" spans="1:6" x14ac:dyDescent="0.35">
      <c r="A12" s="5" t="s">
        <v>22</v>
      </c>
      <c r="B12" s="6">
        <v>2008</v>
      </c>
      <c r="C12" s="6">
        <v>89000</v>
      </c>
      <c r="D12" s="6" t="s">
        <v>23</v>
      </c>
      <c r="E12" s="6">
        <v>305000</v>
      </c>
      <c r="F12" s="7">
        <v>42075</v>
      </c>
    </row>
    <row r="13" spans="1:6" x14ac:dyDescent="0.35">
      <c r="A13" s="8" t="s">
        <v>16</v>
      </c>
      <c r="B13" s="9">
        <v>2009</v>
      </c>
      <c r="C13" s="9">
        <v>48411</v>
      </c>
      <c r="D13" s="9" t="s">
        <v>24</v>
      </c>
      <c r="E13" s="9">
        <v>190000</v>
      </c>
      <c r="F13" s="10">
        <v>42210</v>
      </c>
    </row>
    <row r="14" spans="1:6" x14ac:dyDescent="0.35">
      <c r="A14" s="5" t="s">
        <v>25</v>
      </c>
      <c r="B14" s="6">
        <v>2009</v>
      </c>
      <c r="C14" s="6">
        <v>68000</v>
      </c>
      <c r="D14" s="6" t="s">
        <v>26</v>
      </c>
      <c r="E14" s="6">
        <v>992600</v>
      </c>
      <c r="F14" s="7">
        <v>42157</v>
      </c>
    </row>
    <row r="15" spans="1:6" x14ac:dyDescent="0.35">
      <c r="A15" s="8" t="s">
        <v>16</v>
      </c>
      <c r="B15" s="9">
        <v>2009</v>
      </c>
      <c r="C15" s="9">
        <v>49411</v>
      </c>
      <c r="D15" s="9" t="s">
        <v>27</v>
      </c>
      <c r="E15" s="9">
        <v>186000</v>
      </c>
      <c r="F15" s="10">
        <v>42210</v>
      </c>
    </row>
    <row r="16" spans="1:6" x14ac:dyDescent="0.35">
      <c r="A16" s="5" t="s">
        <v>28</v>
      </c>
      <c r="B16" s="6">
        <v>2009</v>
      </c>
      <c r="C16" s="6">
        <v>67900</v>
      </c>
      <c r="D16" s="6" t="s">
        <v>29</v>
      </c>
      <c r="E16" s="6">
        <v>850000</v>
      </c>
      <c r="F16" s="7">
        <v>42194</v>
      </c>
    </row>
    <row r="17" spans="1:6" x14ac:dyDescent="0.35">
      <c r="A17" s="8" t="s">
        <v>16</v>
      </c>
      <c r="B17" s="9">
        <v>2009</v>
      </c>
      <c r="C17" s="9">
        <v>65000</v>
      </c>
      <c r="D17" s="9" t="s">
        <v>30</v>
      </c>
      <c r="E17" s="9">
        <v>740000</v>
      </c>
      <c r="F17" s="10">
        <v>42385</v>
      </c>
    </row>
    <row r="18" spans="1:6" x14ac:dyDescent="0.35">
      <c r="A18" s="5" t="s">
        <v>28</v>
      </c>
      <c r="B18" s="6">
        <v>2009</v>
      </c>
      <c r="C18" s="6">
        <v>68900</v>
      </c>
      <c r="D18" s="6" t="s">
        <v>31</v>
      </c>
      <c r="E18" s="6">
        <v>846000</v>
      </c>
      <c r="F18" s="7">
        <v>42194</v>
      </c>
    </row>
    <row r="19" spans="1:6" x14ac:dyDescent="0.35">
      <c r="A19" s="8" t="s">
        <v>18</v>
      </c>
      <c r="B19" s="9">
        <v>2009</v>
      </c>
      <c r="C19" s="9">
        <v>59000</v>
      </c>
      <c r="D19" s="9" t="s">
        <v>32</v>
      </c>
      <c r="E19" s="9">
        <v>302000</v>
      </c>
      <c r="F19" s="10">
        <v>42271</v>
      </c>
    </row>
    <row r="20" spans="1:6" x14ac:dyDescent="0.35">
      <c r="A20" s="5" t="s">
        <v>33</v>
      </c>
      <c r="B20" s="6">
        <v>2009</v>
      </c>
      <c r="C20" s="6">
        <v>77000</v>
      </c>
      <c r="D20" s="6" t="s">
        <v>34</v>
      </c>
      <c r="E20" s="6">
        <v>846000</v>
      </c>
      <c r="F20" s="7">
        <v>42376</v>
      </c>
    </row>
    <row r="21" spans="1:6" x14ac:dyDescent="0.35">
      <c r="A21" s="8" t="s">
        <v>35</v>
      </c>
      <c r="B21" s="9">
        <v>2009</v>
      </c>
      <c r="C21" s="9">
        <v>85000</v>
      </c>
      <c r="D21" s="9" t="s">
        <v>36</v>
      </c>
      <c r="E21" s="9">
        <v>946000</v>
      </c>
      <c r="F21" s="10">
        <v>42014</v>
      </c>
    </row>
    <row r="22" spans="1:6" x14ac:dyDescent="0.35">
      <c r="A22" s="5" t="s">
        <v>37</v>
      </c>
      <c r="B22" s="6">
        <v>2009</v>
      </c>
      <c r="C22" s="6">
        <v>79000</v>
      </c>
      <c r="D22" s="6" t="s">
        <v>38</v>
      </c>
      <c r="E22" s="6">
        <v>390000</v>
      </c>
      <c r="F22" s="7">
        <v>42379</v>
      </c>
    </row>
    <row r="23" spans="1:6" x14ac:dyDescent="0.35">
      <c r="A23" s="8" t="s">
        <v>37</v>
      </c>
      <c r="B23" s="9">
        <v>2009</v>
      </c>
      <c r="C23" s="9">
        <v>79000</v>
      </c>
      <c r="D23" s="9" t="s">
        <v>39</v>
      </c>
      <c r="E23" s="9">
        <v>390000</v>
      </c>
      <c r="F23" s="10">
        <v>42379</v>
      </c>
    </row>
    <row r="24" spans="1:6" x14ac:dyDescent="0.35">
      <c r="A24" s="5" t="s">
        <v>20</v>
      </c>
      <c r="B24" s="6">
        <v>2009</v>
      </c>
      <c r="C24" s="6">
        <v>83000</v>
      </c>
      <c r="D24" s="6" t="s">
        <v>40</v>
      </c>
      <c r="E24" s="6">
        <v>270000</v>
      </c>
      <c r="F24" s="7">
        <v>42382</v>
      </c>
    </row>
    <row r="25" spans="1:6" x14ac:dyDescent="0.35">
      <c r="A25" s="8" t="s">
        <v>41</v>
      </c>
      <c r="B25" s="9">
        <v>2009</v>
      </c>
      <c r="C25" s="9">
        <v>86133</v>
      </c>
      <c r="D25" s="9" t="s">
        <v>42</v>
      </c>
      <c r="E25" s="9">
        <v>380000</v>
      </c>
      <c r="F25" s="10">
        <v>42208</v>
      </c>
    </row>
    <row r="26" spans="1:6" x14ac:dyDescent="0.35">
      <c r="A26" s="5" t="s">
        <v>22</v>
      </c>
      <c r="B26" s="6">
        <v>2009</v>
      </c>
      <c r="C26" s="6">
        <v>90000</v>
      </c>
      <c r="D26" s="6" t="s">
        <v>43</v>
      </c>
      <c r="E26" s="6">
        <v>301000</v>
      </c>
      <c r="F26" s="7">
        <v>42075</v>
      </c>
    </row>
    <row r="27" spans="1:6" x14ac:dyDescent="0.35">
      <c r="A27" s="8" t="s">
        <v>35</v>
      </c>
      <c r="B27" s="9">
        <v>2009</v>
      </c>
      <c r="C27" s="9">
        <v>91000</v>
      </c>
      <c r="D27" s="9" t="s">
        <v>44</v>
      </c>
      <c r="E27" s="9">
        <v>360000</v>
      </c>
      <c r="F27" s="10">
        <v>42174</v>
      </c>
    </row>
    <row r="28" spans="1:6" x14ac:dyDescent="0.35">
      <c r="A28" s="5" t="s">
        <v>45</v>
      </c>
      <c r="B28" s="6">
        <v>2009</v>
      </c>
      <c r="C28" s="6">
        <v>114400</v>
      </c>
      <c r="D28" s="6" t="s">
        <v>46</v>
      </c>
      <c r="E28" s="6">
        <v>226000</v>
      </c>
      <c r="F28" s="7">
        <v>42073</v>
      </c>
    </row>
    <row r="29" spans="1:6" x14ac:dyDescent="0.35">
      <c r="A29" s="8" t="s">
        <v>47</v>
      </c>
      <c r="B29" s="9">
        <v>2009</v>
      </c>
      <c r="C29" s="9">
        <v>134000</v>
      </c>
      <c r="D29" s="9" t="s">
        <v>48</v>
      </c>
      <c r="E29" s="9">
        <v>482000</v>
      </c>
      <c r="F29" s="10">
        <v>42385</v>
      </c>
    </row>
    <row r="30" spans="1:6" x14ac:dyDescent="0.35">
      <c r="A30" s="5" t="s">
        <v>47</v>
      </c>
      <c r="B30" s="6">
        <v>2009</v>
      </c>
      <c r="C30" s="6">
        <v>135000</v>
      </c>
      <c r="D30" s="6" t="s">
        <v>49</v>
      </c>
      <c r="E30" s="6">
        <v>478000</v>
      </c>
      <c r="F30" s="7">
        <v>42385</v>
      </c>
    </row>
    <row r="31" spans="1:6" x14ac:dyDescent="0.35">
      <c r="A31" s="8" t="s">
        <v>50</v>
      </c>
      <c r="B31" s="9">
        <v>2009</v>
      </c>
      <c r="C31" s="9">
        <v>131780</v>
      </c>
      <c r="D31" s="9" t="s">
        <v>51</v>
      </c>
      <c r="E31" s="9">
        <v>306000</v>
      </c>
      <c r="F31" s="10">
        <v>42365</v>
      </c>
    </row>
    <row r="32" spans="1:6" x14ac:dyDescent="0.35">
      <c r="A32" s="5" t="s">
        <v>45</v>
      </c>
      <c r="B32" s="6">
        <v>2009</v>
      </c>
      <c r="C32" s="6">
        <v>159000</v>
      </c>
      <c r="D32" s="6" t="s">
        <v>52</v>
      </c>
      <c r="E32" s="6">
        <v>403000</v>
      </c>
      <c r="F32" s="7">
        <v>42681</v>
      </c>
    </row>
    <row r="33" spans="1:6" x14ac:dyDescent="0.35">
      <c r="A33" s="8" t="s">
        <v>33</v>
      </c>
      <c r="B33" s="9">
        <v>2009</v>
      </c>
      <c r="C33" s="9">
        <v>162800</v>
      </c>
      <c r="D33" s="9" t="s">
        <v>53</v>
      </c>
      <c r="E33" s="9">
        <v>370000</v>
      </c>
      <c r="F33" s="10">
        <v>42329</v>
      </c>
    </row>
    <row r="34" spans="1:6" x14ac:dyDescent="0.35">
      <c r="A34" s="5" t="s">
        <v>54</v>
      </c>
      <c r="B34" s="6">
        <v>2009</v>
      </c>
      <c r="C34" s="6">
        <v>168800</v>
      </c>
      <c r="D34" s="6" t="s">
        <v>55</v>
      </c>
      <c r="E34" s="6">
        <v>186300</v>
      </c>
      <c r="F34" s="7">
        <v>42272</v>
      </c>
    </row>
    <row r="35" spans="1:6" x14ac:dyDescent="0.35">
      <c r="A35" s="8" t="s">
        <v>56</v>
      </c>
      <c r="B35" s="9">
        <v>2009</v>
      </c>
      <c r="C35" s="9">
        <v>195370</v>
      </c>
      <c r="D35" s="9" t="s">
        <v>57</v>
      </c>
      <c r="E35" s="9">
        <v>290000</v>
      </c>
      <c r="F35" s="10">
        <v>42467</v>
      </c>
    </row>
    <row r="36" spans="1:6" x14ac:dyDescent="0.35">
      <c r="A36" s="5" t="s">
        <v>58</v>
      </c>
      <c r="B36" s="6">
        <v>2009</v>
      </c>
      <c r="C36" s="6">
        <v>195340</v>
      </c>
      <c r="D36" s="6" t="s">
        <v>59</v>
      </c>
      <c r="E36" s="6">
        <v>190000</v>
      </c>
      <c r="F36" s="7">
        <v>42278</v>
      </c>
    </row>
    <row r="37" spans="1:6" x14ac:dyDescent="0.35">
      <c r="A37" s="8" t="s">
        <v>60</v>
      </c>
      <c r="B37" s="9">
        <v>2009</v>
      </c>
      <c r="C37" s="9">
        <v>230000</v>
      </c>
      <c r="D37" s="9" t="s">
        <v>61</v>
      </c>
      <c r="E37" s="9">
        <v>305000</v>
      </c>
      <c r="F37" s="10">
        <v>42307</v>
      </c>
    </row>
    <row r="38" spans="1:6" x14ac:dyDescent="0.35">
      <c r="A38" s="5" t="s">
        <v>62</v>
      </c>
      <c r="B38" s="6">
        <v>2009</v>
      </c>
      <c r="C38" s="6">
        <v>291000</v>
      </c>
      <c r="D38" s="6" t="s">
        <v>63</v>
      </c>
      <c r="E38" s="6">
        <v>166000</v>
      </c>
      <c r="F38" s="7">
        <v>42297</v>
      </c>
    </row>
    <row r="39" spans="1:6" x14ac:dyDescent="0.35">
      <c r="A39" s="8" t="s">
        <v>50</v>
      </c>
      <c r="B39" s="9">
        <v>2010</v>
      </c>
      <c r="C39" s="9">
        <v>37000</v>
      </c>
      <c r="D39" s="9" t="s">
        <v>64</v>
      </c>
      <c r="E39" s="9">
        <v>978000</v>
      </c>
      <c r="F39" s="10">
        <v>42309</v>
      </c>
    </row>
    <row r="40" spans="1:6" x14ac:dyDescent="0.35">
      <c r="A40" s="5" t="s">
        <v>50</v>
      </c>
      <c r="B40" s="6">
        <v>2010</v>
      </c>
      <c r="C40" s="6">
        <v>40830</v>
      </c>
      <c r="D40" s="6" t="s">
        <v>65</v>
      </c>
      <c r="E40" s="6">
        <v>326000</v>
      </c>
      <c r="F40" s="7">
        <v>42062</v>
      </c>
    </row>
    <row r="41" spans="1:6" x14ac:dyDescent="0.35">
      <c r="A41" s="8" t="s">
        <v>16</v>
      </c>
      <c r="B41" s="9">
        <v>2010</v>
      </c>
      <c r="C41" s="9">
        <v>66000</v>
      </c>
      <c r="D41" s="9" t="s">
        <v>66</v>
      </c>
      <c r="E41" s="9">
        <v>736000</v>
      </c>
      <c r="F41" s="10">
        <v>42385</v>
      </c>
    </row>
    <row r="42" spans="1:6" x14ac:dyDescent="0.35">
      <c r="A42" s="5" t="s">
        <v>67</v>
      </c>
      <c r="B42" s="6">
        <v>2010</v>
      </c>
      <c r="C42" s="6">
        <v>60000</v>
      </c>
      <c r="D42" s="6" t="s">
        <v>68</v>
      </c>
      <c r="E42" s="6">
        <v>99250</v>
      </c>
      <c r="F42" s="7">
        <v>42226</v>
      </c>
    </row>
    <row r="43" spans="1:6" x14ac:dyDescent="0.35">
      <c r="A43" s="8" t="s">
        <v>35</v>
      </c>
      <c r="B43" s="9">
        <v>2010</v>
      </c>
      <c r="C43" s="9">
        <v>84000</v>
      </c>
      <c r="D43" s="9" t="s">
        <v>69</v>
      </c>
      <c r="E43" s="9">
        <v>950000</v>
      </c>
      <c r="F43" s="10">
        <v>42029</v>
      </c>
    </row>
    <row r="44" spans="1:6" x14ac:dyDescent="0.35">
      <c r="A44" s="5" t="s">
        <v>25</v>
      </c>
      <c r="B44" s="6">
        <v>2010</v>
      </c>
      <c r="C44" s="6">
        <v>67000</v>
      </c>
      <c r="D44" s="6" t="s">
        <v>70</v>
      </c>
      <c r="E44" s="6">
        <v>103260</v>
      </c>
      <c r="F44" s="7">
        <v>42157</v>
      </c>
    </row>
    <row r="45" spans="1:6" x14ac:dyDescent="0.35">
      <c r="A45" s="8" t="s">
        <v>71</v>
      </c>
      <c r="B45" s="9">
        <v>2010</v>
      </c>
      <c r="C45" s="9">
        <v>75300</v>
      </c>
      <c r="D45" s="9" t="s">
        <v>72</v>
      </c>
      <c r="E45" s="9">
        <v>302000</v>
      </c>
      <c r="F45" s="10">
        <v>42174</v>
      </c>
    </row>
    <row r="46" spans="1:6" x14ac:dyDescent="0.35">
      <c r="A46" s="5" t="s">
        <v>20</v>
      </c>
      <c r="B46" s="6">
        <v>2010</v>
      </c>
      <c r="C46" s="6">
        <v>84000</v>
      </c>
      <c r="D46" s="6" t="s">
        <v>73</v>
      </c>
      <c r="E46" s="6">
        <v>266000</v>
      </c>
      <c r="F46" s="7">
        <v>42382</v>
      </c>
    </row>
    <row r="47" spans="1:6" x14ac:dyDescent="0.35">
      <c r="A47" s="8" t="s">
        <v>35</v>
      </c>
      <c r="B47" s="9">
        <v>2010</v>
      </c>
      <c r="C47" s="9">
        <v>92000</v>
      </c>
      <c r="D47" s="9" t="s">
        <v>74</v>
      </c>
      <c r="E47" s="9">
        <v>356000</v>
      </c>
      <c r="F47" s="10">
        <v>42174</v>
      </c>
    </row>
    <row r="48" spans="1:6" x14ac:dyDescent="0.35">
      <c r="A48" s="5" t="s">
        <v>45</v>
      </c>
      <c r="B48" s="6">
        <v>2010</v>
      </c>
      <c r="C48" s="6">
        <v>89000</v>
      </c>
      <c r="D48" s="6" t="s">
        <v>75</v>
      </c>
      <c r="E48" s="6">
        <v>266000</v>
      </c>
      <c r="F48" s="7">
        <v>42382</v>
      </c>
    </row>
    <row r="49" spans="1:6" x14ac:dyDescent="0.35">
      <c r="A49" s="8" t="s">
        <v>76</v>
      </c>
      <c r="B49" s="9">
        <v>2010</v>
      </c>
      <c r="C49" s="9">
        <v>94000</v>
      </c>
      <c r="D49" s="9" t="s">
        <v>77</v>
      </c>
      <c r="E49" s="9">
        <v>91000</v>
      </c>
      <c r="F49" s="10">
        <v>42268</v>
      </c>
    </row>
    <row r="50" spans="1:6" x14ac:dyDescent="0.35">
      <c r="A50" s="5" t="s">
        <v>45</v>
      </c>
      <c r="B50" s="6">
        <v>2010</v>
      </c>
      <c r="C50" s="6">
        <v>113400</v>
      </c>
      <c r="D50" s="6" t="s">
        <v>78</v>
      </c>
      <c r="E50" s="6">
        <v>230000</v>
      </c>
      <c r="F50" s="7">
        <v>42073</v>
      </c>
    </row>
    <row r="51" spans="1:6" x14ac:dyDescent="0.35">
      <c r="A51" s="8" t="s">
        <v>79</v>
      </c>
      <c r="B51" s="9">
        <v>2010</v>
      </c>
      <c r="C51" s="9">
        <v>135000</v>
      </c>
      <c r="D51" s="9" t="s">
        <v>80</v>
      </c>
      <c r="E51" s="9">
        <v>251000</v>
      </c>
      <c r="F51" s="10">
        <v>42067</v>
      </c>
    </row>
    <row r="52" spans="1:6" x14ac:dyDescent="0.35">
      <c r="A52" s="5" t="s">
        <v>81</v>
      </c>
      <c r="B52" s="6">
        <v>2010</v>
      </c>
      <c r="C52" s="6">
        <v>160000</v>
      </c>
      <c r="D52" s="6" t="s">
        <v>82</v>
      </c>
      <c r="E52" s="6">
        <v>263000</v>
      </c>
      <c r="F52" s="7">
        <v>42028</v>
      </c>
    </row>
    <row r="53" spans="1:6" x14ac:dyDescent="0.35">
      <c r="A53" s="8" t="s">
        <v>83</v>
      </c>
      <c r="B53" s="9">
        <v>2010</v>
      </c>
      <c r="C53" s="9">
        <v>265000</v>
      </c>
      <c r="D53" s="9" t="s">
        <v>84</v>
      </c>
      <c r="E53" s="9">
        <v>930000</v>
      </c>
      <c r="F53" s="10">
        <v>42236</v>
      </c>
    </row>
    <row r="54" spans="1:6" x14ac:dyDescent="0.35">
      <c r="A54" s="5" t="s">
        <v>83</v>
      </c>
      <c r="B54" s="6">
        <v>2010</v>
      </c>
      <c r="C54" s="6">
        <v>265000</v>
      </c>
      <c r="D54" s="6" t="s">
        <v>85</v>
      </c>
      <c r="E54" s="6">
        <v>912000</v>
      </c>
      <c r="F54" s="7">
        <v>42236</v>
      </c>
    </row>
    <row r="55" spans="1:6" x14ac:dyDescent="0.35">
      <c r="A55" s="8" t="s">
        <v>83</v>
      </c>
      <c r="B55" s="9">
        <v>2010</v>
      </c>
      <c r="C55" s="9">
        <v>265000</v>
      </c>
      <c r="D55" s="9" t="s">
        <v>86</v>
      </c>
      <c r="E55" s="9">
        <v>856000</v>
      </c>
      <c r="F55" s="10">
        <v>42236</v>
      </c>
    </row>
    <row r="56" spans="1:6" x14ac:dyDescent="0.35">
      <c r="A56" s="5" t="s">
        <v>33</v>
      </c>
      <c r="B56" s="6">
        <v>2010</v>
      </c>
      <c r="C56" s="6">
        <v>230000</v>
      </c>
      <c r="D56" s="6" t="s">
        <v>87</v>
      </c>
      <c r="E56" s="6">
        <v>455000</v>
      </c>
      <c r="F56" s="7">
        <v>42439</v>
      </c>
    </row>
    <row r="57" spans="1:6" x14ac:dyDescent="0.35">
      <c r="A57" s="8" t="s">
        <v>60</v>
      </c>
      <c r="B57" s="9">
        <v>2010</v>
      </c>
      <c r="C57" s="9">
        <v>231000</v>
      </c>
      <c r="D57" s="9" t="s">
        <v>88</v>
      </c>
      <c r="E57" s="9">
        <v>301000</v>
      </c>
      <c r="F57" s="10">
        <v>42307</v>
      </c>
    </row>
    <row r="58" spans="1:6" x14ac:dyDescent="0.35">
      <c r="A58" s="5" t="s">
        <v>62</v>
      </c>
      <c r="B58" s="6">
        <v>2010</v>
      </c>
      <c r="C58" s="6">
        <v>257000</v>
      </c>
      <c r="D58" s="6" t="s">
        <v>89</v>
      </c>
      <c r="E58" s="6">
        <v>164700</v>
      </c>
      <c r="F58" s="7">
        <v>42286</v>
      </c>
    </row>
    <row r="59" spans="1:6" x14ac:dyDescent="0.35">
      <c r="A59" s="8" t="s">
        <v>50</v>
      </c>
      <c r="B59" s="9">
        <v>2011</v>
      </c>
      <c r="C59" s="9">
        <v>38000</v>
      </c>
      <c r="D59" s="9" t="s">
        <v>90</v>
      </c>
      <c r="E59" s="9">
        <v>574000</v>
      </c>
      <c r="F59" s="10">
        <v>42309</v>
      </c>
    </row>
    <row r="60" spans="1:6" x14ac:dyDescent="0.35">
      <c r="A60" s="5" t="s">
        <v>91</v>
      </c>
      <c r="B60" s="6">
        <v>2011</v>
      </c>
      <c r="C60" s="6">
        <v>56700</v>
      </c>
      <c r="D60" s="6" t="s">
        <v>92</v>
      </c>
      <c r="E60" s="6">
        <v>290000</v>
      </c>
      <c r="F60" s="7">
        <v>42236</v>
      </c>
    </row>
    <row r="61" spans="1:6" x14ac:dyDescent="0.35">
      <c r="A61" s="8" t="s">
        <v>91</v>
      </c>
      <c r="B61" s="9">
        <v>2011</v>
      </c>
      <c r="C61" s="9">
        <v>57700</v>
      </c>
      <c r="D61" s="9" t="s">
        <v>93</v>
      </c>
      <c r="E61" s="9">
        <v>286000</v>
      </c>
      <c r="F61" s="10">
        <v>42236</v>
      </c>
    </row>
    <row r="62" spans="1:6" x14ac:dyDescent="0.35">
      <c r="A62" s="5" t="s">
        <v>67</v>
      </c>
      <c r="B62" s="6">
        <v>2011</v>
      </c>
      <c r="C62" s="6">
        <v>59000</v>
      </c>
      <c r="D62" s="6" t="s">
        <v>94</v>
      </c>
      <c r="E62" s="6">
        <v>103250</v>
      </c>
      <c r="F62" s="7">
        <v>42226</v>
      </c>
    </row>
    <row r="63" spans="1:6" x14ac:dyDescent="0.35">
      <c r="A63" s="8" t="s">
        <v>71</v>
      </c>
      <c r="B63" s="9">
        <v>2011</v>
      </c>
      <c r="C63" s="9">
        <v>74300</v>
      </c>
      <c r="D63" s="9" t="s">
        <v>95</v>
      </c>
      <c r="E63" s="9">
        <v>306000</v>
      </c>
      <c r="F63" s="10">
        <v>42174</v>
      </c>
    </row>
    <row r="64" spans="1:6" x14ac:dyDescent="0.35">
      <c r="A64" s="5" t="s">
        <v>62</v>
      </c>
      <c r="B64" s="6">
        <v>2011</v>
      </c>
      <c r="C64" s="6">
        <v>210000</v>
      </c>
      <c r="D64" s="6" t="s">
        <v>96</v>
      </c>
      <c r="E64" s="6">
        <v>780000</v>
      </c>
      <c r="F64" s="7">
        <v>42481</v>
      </c>
    </row>
    <row r="65" spans="1:6" x14ac:dyDescent="0.35">
      <c r="A65" s="8" t="s">
        <v>62</v>
      </c>
      <c r="B65" s="9">
        <v>2011</v>
      </c>
      <c r="C65" s="9">
        <v>210000</v>
      </c>
      <c r="D65" s="9" t="s">
        <v>97</v>
      </c>
      <c r="E65" s="9">
        <v>760300</v>
      </c>
      <c r="F65" s="10">
        <v>42481</v>
      </c>
    </row>
    <row r="66" spans="1:6" x14ac:dyDescent="0.35">
      <c r="A66" s="5" t="s">
        <v>62</v>
      </c>
      <c r="B66" s="6">
        <v>2011</v>
      </c>
      <c r="C66" s="6">
        <v>210000</v>
      </c>
      <c r="D66" s="6" t="s">
        <v>98</v>
      </c>
      <c r="E66" s="6">
        <v>680000</v>
      </c>
      <c r="F66" s="7">
        <v>42481</v>
      </c>
    </row>
    <row r="67" spans="1:6" x14ac:dyDescent="0.35">
      <c r="A67" s="8" t="s">
        <v>62</v>
      </c>
      <c r="B67" s="9">
        <v>2011</v>
      </c>
      <c r="C67" s="9">
        <v>210000</v>
      </c>
      <c r="D67" s="9" t="s">
        <v>99</v>
      </c>
      <c r="E67" s="9">
        <v>655000</v>
      </c>
      <c r="F67" s="10">
        <v>42481</v>
      </c>
    </row>
    <row r="68" spans="1:6" x14ac:dyDescent="0.35">
      <c r="A68" s="5" t="s">
        <v>100</v>
      </c>
      <c r="B68" s="6">
        <v>2011</v>
      </c>
      <c r="C68" s="6">
        <v>220000</v>
      </c>
      <c r="D68" s="6" t="s">
        <v>101</v>
      </c>
      <c r="E68" s="6">
        <v>731000</v>
      </c>
      <c r="F68" s="7">
        <v>42236</v>
      </c>
    </row>
    <row r="69" spans="1:6" x14ac:dyDescent="0.35">
      <c r="A69" s="8" t="s">
        <v>100</v>
      </c>
      <c r="B69" s="9">
        <v>2011</v>
      </c>
      <c r="C69" s="9">
        <v>220000</v>
      </c>
      <c r="D69" s="9" t="s">
        <v>102</v>
      </c>
      <c r="E69" s="9">
        <v>685413</v>
      </c>
      <c r="F69" s="10">
        <v>42236</v>
      </c>
    </row>
    <row r="70" spans="1:6" x14ac:dyDescent="0.35">
      <c r="A70" s="5" t="s">
        <v>58</v>
      </c>
      <c r="B70" s="6">
        <v>2011</v>
      </c>
      <c r="C70" s="6">
        <v>196340</v>
      </c>
      <c r="D70" s="6" t="s">
        <v>103</v>
      </c>
      <c r="E70" s="6">
        <v>186000</v>
      </c>
      <c r="F70" s="7">
        <v>42278</v>
      </c>
    </row>
    <row r="71" spans="1:6" x14ac:dyDescent="0.35">
      <c r="A71" s="8" t="s">
        <v>104</v>
      </c>
      <c r="B71" s="9">
        <v>2011</v>
      </c>
      <c r="C71" s="9">
        <v>245000</v>
      </c>
      <c r="D71" s="9" t="s">
        <v>105</v>
      </c>
      <c r="E71" s="9">
        <v>720000</v>
      </c>
      <c r="F71" s="10">
        <v>42462</v>
      </c>
    </row>
    <row r="72" spans="1:6" x14ac:dyDescent="0.35">
      <c r="A72" s="5" t="s">
        <v>104</v>
      </c>
      <c r="B72" s="6">
        <v>2011</v>
      </c>
      <c r="C72" s="6">
        <v>245000</v>
      </c>
      <c r="D72" s="6" t="s">
        <v>106</v>
      </c>
      <c r="E72" s="6">
        <v>680000</v>
      </c>
      <c r="F72" s="7">
        <v>42462</v>
      </c>
    </row>
    <row r="73" spans="1:6" x14ac:dyDescent="0.35">
      <c r="A73" s="8" t="s">
        <v>104</v>
      </c>
      <c r="B73" s="9">
        <v>2011</v>
      </c>
      <c r="C73" s="9">
        <v>245000</v>
      </c>
      <c r="D73" s="9" t="s">
        <v>107</v>
      </c>
      <c r="E73" s="9">
        <v>660000</v>
      </c>
      <c r="F73" s="10">
        <v>42462</v>
      </c>
    </row>
    <row r="74" spans="1:6" x14ac:dyDescent="0.35">
      <c r="A74" s="5" t="s">
        <v>104</v>
      </c>
      <c r="B74" s="6">
        <v>2011</v>
      </c>
      <c r="C74" s="6">
        <v>245000</v>
      </c>
      <c r="D74" s="6" t="s">
        <v>108</v>
      </c>
      <c r="E74" s="6">
        <v>630000</v>
      </c>
      <c r="F74" s="7">
        <v>42462</v>
      </c>
    </row>
    <row r="75" spans="1:6" x14ac:dyDescent="0.35">
      <c r="A75" s="8" t="s">
        <v>104</v>
      </c>
      <c r="B75" s="9">
        <v>2011</v>
      </c>
      <c r="C75" s="9">
        <v>245000</v>
      </c>
      <c r="D75" s="9" t="s">
        <v>109</v>
      </c>
      <c r="E75" s="9">
        <v>655000</v>
      </c>
      <c r="F75" s="10">
        <v>42462</v>
      </c>
    </row>
    <row r="76" spans="1:6" x14ac:dyDescent="0.35">
      <c r="A76" s="5" t="s">
        <v>104</v>
      </c>
      <c r="B76" s="6">
        <v>2011</v>
      </c>
      <c r="C76" s="6">
        <v>245000</v>
      </c>
      <c r="D76" s="6" t="s">
        <v>110</v>
      </c>
      <c r="E76" s="6">
        <v>590000</v>
      </c>
      <c r="F76" s="7">
        <v>42462</v>
      </c>
    </row>
    <row r="77" spans="1:6" x14ac:dyDescent="0.35">
      <c r="A77" s="8" t="s">
        <v>50</v>
      </c>
      <c r="B77" s="9">
        <v>2012</v>
      </c>
      <c r="C77" s="9">
        <v>39830</v>
      </c>
      <c r="D77" s="9" t="s">
        <v>111</v>
      </c>
      <c r="E77" s="9">
        <v>330000</v>
      </c>
      <c r="F77" s="10">
        <v>42062</v>
      </c>
    </row>
    <row r="78" spans="1:6" x14ac:dyDescent="0.35">
      <c r="A78" s="5" t="s">
        <v>50</v>
      </c>
      <c r="B78" s="6">
        <v>2012</v>
      </c>
      <c r="C78" s="6">
        <v>48800</v>
      </c>
      <c r="D78" s="6" t="s">
        <v>112</v>
      </c>
      <c r="E78" s="6">
        <v>268650</v>
      </c>
      <c r="F78" s="7">
        <v>42117</v>
      </c>
    </row>
    <row r="79" spans="1:6" x14ac:dyDescent="0.35">
      <c r="A79" s="8" t="s">
        <v>18</v>
      </c>
      <c r="B79" s="9">
        <v>2012</v>
      </c>
      <c r="C79" s="9">
        <v>59000</v>
      </c>
      <c r="D79" s="9" t="s">
        <v>113</v>
      </c>
      <c r="E79" s="9">
        <v>302000</v>
      </c>
      <c r="F79" s="10">
        <v>42271</v>
      </c>
    </row>
    <row r="80" spans="1:6" x14ac:dyDescent="0.35">
      <c r="A80" s="5" t="s">
        <v>33</v>
      </c>
      <c r="B80" s="6">
        <v>2012</v>
      </c>
      <c r="C80" s="6">
        <v>76000</v>
      </c>
      <c r="D80" s="6" t="s">
        <v>114</v>
      </c>
      <c r="E80" s="6">
        <v>850000</v>
      </c>
      <c r="F80" s="7">
        <v>42376</v>
      </c>
    </row>
    <row r="81" spans="1:6" x14ac:dyDescent="0.35">
      <c r="A81" s="8" t="s">
        <v>41</v>
      </c>
      <c r="B81" s="9">
        <v>2012</v>
      </c>
      <c r="C81" s="9">
        <v>87133</v>
      </c>
      <c r="D81" s="9" t="s">
        <v>115</v>
      </c>
      <c r="E81" s="9">
        <v>376000</v>
      </c>
      <c r="F81" s="10">
        <v>42208</v>
      </c>
    </row>
    <row r="82" spans="1:6" x14ac:dyDescent="0.35">
      <c r="A82" s="5" t="s">
        <v>22</v>
      </c>
      <c r="B82" s="6">
        <v>2012</v>
      </c>
      <c r="C82" s="6">
        <v>110000</v>
      </c>
      <c r="D82" s="6" t="s">
        <v>116</v>
      </c>
      <c r="E82" s="6">
        <v>201000</v>
      </c>
      <c r="F82" s="7">
        <v>42075</v>
      </c>
    </row>
    <row r="83" spans="1:6" x14ac:dyDescent="0.35">
      <c r="A83" s="8" t="s">
        <v>50</v>
      </c>
      <c r="B83" s="9">
        <v>2012</v>
      </c>
      <c r="C83" s="9">
        <v>130780</v>
      </c>
      <c r="D83" s="9" t="s">
        <v>117</v>
      </c>
      <c r="E83" s="9">
        <v>310000</v>
      </c>
      <c r="F83" s="10">
        <v>42365</v>
      </c>
    </row>
    <row r="84" spans="1:6" x14ac:dyDescent="0.35">
      <c r="A84" s="5" t="s">
        <v>45</v>
      </c>
      <c r="B84" s="6">
        <v>2012</v>
      </c>
      <c r="C84" s="6">
        <v>135502</v>
      </c>
      <c r="D84" s="6" t="s">
        <v>118</v>
      </c>
      <c r="E84" s="6">
        <v>247000</v>
      </c>
      <c r="F84" s="7">
        <v>42476</v>
      </c>
    </row>
    <row r="85" spans="1:6" x14ac:dyDescent="0.35">
      <c r="A85" s="8" t="s">
        <v>119</v>
      </c>
      <c r="B85" s="9">
        <v>2012</v>
      </c>
      <c r="C85" s="9">
        <v>145000</v>
      </c>
      <c r="D85" s="9" t="s">
        <v>120</v>
      </c>
      <c r="E85" s="9">
        <v>386732</v>
      </c>
      <c r="F85" s="10">
        <v>42059</v>
      </c>
    </row>
    <row r="86" spans="1:6" x14ac:dyDescent="0.35">
      <c r="A86" s="5" t="s">
        <v>119</v>
      </c>
      <c r="B86" s="6">
        <v>2012</v>
      </c>
      <c r="C86" s="6">
        <v>145000</v>
      </c>
      <c r="D86" s="6" t="s">
        <v>121</v>
      </c>
      <c r="E86" s="6">
        <v>312680</v>
      </c>
      <c r="F86" s="7">
        <v>42059</v>
      </c>
    </row>
    <row r="87" spans="1:6" x14ac:dyDescent="0.35">
      <c r="A87" s="8" t="s">
        <v>33</v>
      </c>
      <c r="B87" s="9">
        <v>2012</v>
      </c>
      <c r="C87" s="9">
        <v>163800</v>
      </c>
      <c r="D87" s="9" t="s">
        <v>122</v>
      </c>
      <c r="E87" s="9">
        <v>366000</v>
      </c>
      <c r="F87" s="10">
        <v>42329</v>
      </c>
    </row>
    <row r="88" spans="1:6" x14ac:dyDescent="0.35">
      <c r="A88" s="5" t="s">
        <v>123</v>
      </c>
      <c r="B88" s="6">
        <v>2012</v>
      </c>
      <c r="C88" s="6">
        <v>183000</v>
      </c>
      <c r="D88" s="6" t="s">
        <v>124</v>
      </c>
      <c r="E88" s="6">
        <v>520000</v>
      </c>
      <c r="F88" s="7">
        <v>42444</v>
      </c>
    </row>
    <row r="89" spans="1:6" x14ac:dyDescent="0.35">
      <c r="A89" s="8" t="s">
        <v>123</v>
      </c>
      <c r="B89" s="9">
        <v>2012</v>
      </c>
      <c r="C89" s="9">
        <v>183000</v>
      </c>
      <c r="D89" s="9" t="s">
        <v>125</v>
      </c>
      <c r="E89" s="9">
        <v>530000</v>
      </c>
      <c r="F89" s="10">
        <v>42444</v>
      </c>
    </row>
    <row r="90" spans="1:6" x14ac:dyDescent="0.35">
      <c r="A90" s="5" t="s">
        <v>123</v>
      </c>
      <c r="B90" s="6">
        <v>2012</v>
      </c>
      <c r="C90" s="6">
        <v>183000</v>
      </c>
      <c r="D90" s="6" t="s">
        <v>126</v>
      </c>
      <c r="E90" s="6">
        <v>490000</v>
      </c>
      <c r="F90" s="7">
        <v>42444</v>
      </c>
    </row>
    <row r="91" spans="1:6" x14ac:dyDescent="0.35">
      <c r="A91" s="8" t="s">
        <v>123</v>
      </c>
      <c r="B91" s="9">
        <v>2012</v>
      </c>
      <c r="C91" s="9">
        <v>183000</v>
      </c>
      <c r="D91" s="9" t="s">
        <v>127</v>
      </c>
      <c r="E91" s="9">
        <v>481000</v>
      </c>
      <c r="F91" s="10">
        <v>42444</v>
      </c>
    </row>
    <row r="92" spans="1:6" x14ac:dyDescent="0.35">
      <c r="A92" s="5" t="s">
        <v>123</v>
      </c>
      <c r="B92" s="6">
        <v>2012</v>
      </c>
      <c r="C92" s="6">
        <v>183000</v>
      </c>
      <c r="D92" s="6" t="s">
        <v>128</v>
      </c>
      <c r="E92" s="6">
        <v>454000</v>
      </c>
      <c r="F92" s="7">
        <v>42444</v>
      </c>
    </row>
    <row r="93" spans="1:6" x14ac:dyDescent="0.35">
      <c r="A93" s="8" t="s">
        <v>129</v>
      </c>
      <c r="B93" s="9">
        <v>2012</v>
      </c>
      <c r="C93" s="9">
        <v>210000</v>
      </c>
      <c r="D93" s="9" t="s">
        <v>130</v>
      </c>
      <c r="E93" s="9">
        <v>517000</v>
      </c>
      <c r="F93" s="10">
        <v>42415</v>
      </c>
    </row>
    <row r="94" spans="1:6" x14ac:dyDescent="0.35">
      <c r="A94" s="5" t="s">
        <v>56</v>
      </c>
      <c r="B94" s="6">
        <v>2012</v>
      </c>
      <c r="C94" s="6">
        <v>196370</v>
      </c>
      <c r="D94" s="6" t="s">
        <v>131</v>
      </c>
      <c r="E94" s="6">
        <v>286000</v>
      </c>
      <c r="F94" s="7">
        <v>42467</v>
      </c>
    </row>
    <row r="95" spans="1:6" x14ac:dyDescent="0.35">
      <c r="A95" s="8" t="s">
        <v>129</v>
      </c>
      <c r="B95" s="9">
        <v>2012</v>
      </c>
      <c r="C95" s="9">
        <v>210000</v>
      </c>
      <c r="D95" s="9" t="s">
        <v>132</v>
      </c>
      <c r="E95" s="9">
        <v>435000</v>
      </c>
      <c r="F95" s="10">
        <v>42415</v>
      </c>
    </row>
    <row r="96" spans="1:6" x14ac:dyDescent="0.35">
      <c r="A96" s="5" t="s">
        <v>133</v>
      </c>
      <c r="B96" s="6">
        <v>2012</v>
      </c>
      <c r="C96" s="6">
        <v>210300</v>
      </c>
      <c r="D96" s="6" t="s">
        <v>134</v>
      </c>
      <c r="E96" s="6">
        <v>417671</v>
      </c>
      <c r="F96" s="7">
        <v>42520</v>
      </c>
    </row>
    <row r="97" spans="1:6" x14ac:dyDescent="0.35">
      <c r="A97" s="8" t="s">
        <v>33</v>
      </c>
      <c r="B97" s="9">
        <v>2012</v>
      </c>
      <c r="C97" s="9">
        <v>231000</v>
      </c>
      <c r="D97" s="9" t="s">
        <v>135</v>
      </c>
      <c r="E97" s="9">
        <v>451000</v>
      </c>
      <c r="F97" s="10">
        <v>42439</v>
      </c>
    </row>
    <row r="98" spans="1:6" x14ac:dyDescent="0.35">
      <c r="A98" s="5" t="s">
        <v>136</v>
      </c>
      <c r="B98" s="6">
        <v>2012</v>
      </c>
      <c r="C98" s="6">
        <v>240000</v>
      </c>
      <c r="D98" s="6" t="s">
        <v>137</v>
      </c>
      <c r="E98" s="6">
        <v>301344</v>
      </c>
      <c r="F98" s="7">
        <v>42185</v>
      </c>
    </row>
    <row r="99" spans="1:6" x14ac:dyDescent="0.35">
      <c r="A99" s="8" t="s">
        <v>136</v>
      </c>
      <c r="B99" s="9">
        <v>2012</v>
      </c>
      <c r="C99" s="9">
        <v>240000</v>
      </c>
      <c r="D99" s="9" t="s">
        <v>138</v>
      </c>
      <c r="E99" s="9">
        <v>315988</v>
      </c>
      <c r="F99" s="10">
        <v>42185</v>
      </c>
    </row>
    <row r="100" spans="1:6" x14ac:dyDescent="0.35">
      <c r="A100" s="5" t="s">
        <v>136</v>
      </c>
      <c r="B100" s="6">
        <v>2012</v>
      </c>
      <c r="C100" s="6">
        <v>240000</v>
      </c>
      <c r="D100" s="6" t="s">
        <v>139</v>
      </c>
      <c r="E100" s="6">
        <v>234760</v>
      </c>
      <c r="F100" s="7">
        <v>42185</v>
      </c>
    </row>
    <row r="101" spans="1:6" x14ac:dyDescent="0.35">
      <c r="A101" s="8" t="s">
        <v>136</v>
      </c>
      <c r="B101" s="9">
        <v>2012</v>
      </c>
      <c r="C101" s="9">
        <v>240000</v>
      </c>
      <c r="D101" s="9" t="s">
        <v>140</v>
      </c>
      <c r="E101" s="9">
        <v>210780</v>
      </c>
      <c r="F101" s="10">
        <v>42185</v>
      </c>
    </row>
    <row r="102" spans="1:6" x14ac:dyDescent="0.35">
      <c r="A102" s="5" t="s">
        <v>136</v>
      </c>
      <c r="B102" s="6">
        <v>2012</v>
      </c>
      <c r="C102" s="6">
        <v>240000</v>
      </c>
      <c r="D102" s="6" t="s">
        <v>141</v>
      </c>
      <c r="E102" s="6">
        <v>198240</v>
      </c>
      <c r="F102" s="7">
        <v>42185</v>
      </c>
    </row>
    <row r="103" spans="1:6" x14ac:dyDescent="0.35">
      <c r="A103" s="8" t="s">
        <v>62</v>
      </c>
      <c r="B103" s="9">
        <v>2012</v>
      </c>
      <c r="C103" s="9">
        <v>290000</v>
      </c>
      <c r="D103" s="9" t="s">
        <v>142</v>
      </c>
      <c r="E103" s="9">
        <v>170000</v>
      </c>
      <c r="F103" s="10">
        <v>42297</v>
      </c>
    </row>
    <row r="104" spans="1:6" x14ac:dyDescent="0.35">
      <c r="A104" s="5" t="s">
        <v>50</v>
      </c>
      <c r="B104" s="6">
        <v>2013</v>
      </c>
      <c r="C104" s="6">
        <v>47800</v>
      </c>
      <c r="D104" s="6" t="s">
        <v>143</v>
      </c>
      <c r="E104" s="6">
        <v>272650</v>
      </c>
      <c r="F104" s="7">
        <v>42117</v>
      </c>
    </row>
    <row r="105" spans="1:6" x14ac:dyDescent="0.35">
      <c r="A105" s="8" t="s">
        <v>37</v>
      </c>
      <c r="B105" s="9">
        <v>2013</v>
      </c>
      <c r="C105" s="9">
        <v>80000</v>
      </c>
      <c r="D105" s="9" t="s">
        <v>144</v>
      </c>
      <c r="E105" s="9">
        <v>350000</v>
      </c>
      <c r="F105" s="10">
        <v>42379</v>
      </c>
    </row>
    <row r="106" spans="1:6" x14ac:dyDescent="0.35">
      <c r="A106" s="5" t="s">
        <v>37</v>
      </c>
      <c r="B106" s="6">
        <v>2013</v>
      </c>
      <c r="C106" s="6">
        <v>80000</v>
      </c>
      <c r="D106" s="6" t="s">
        <v>145</v>
      </c>
      <c r="E106" s="6">
        <v>235000</v>
      </c>
      <c r="F106" s="7">
        <v>42379</v>
      </c>
    </row>
    <row r="107" spans="1:6" x14ac:dyDescent="0.35">
      <c r="A107" s="8" t="s">
        <v>76</v>
      </c>
      <c r="B107" s="9">
        <v>2013</v>
      </c>
      <c r="C107" s="9">
        <v>93000</v>
      </c>
      <c r="D107" s="9" t="s">
        <v>146</v>
      </c>
      <c r="E107" s="9">
        <v>195000</v>
      </c>
      <c r="F107" s="10">
        <v>42268</v>
      </c>
    </row>
    <row r="108" spans="1:6" x14ac:dyDescent="0.35">
      <c r="A108" s="5" t="s">
        <v>79</v>
      </c>
      <c r="B108" s="6">
        <v>2013</v>
      </c>
      <c r="C108" s="6">
        <v>136000</v>
      </c>
      <c r="D108" s="6" t="s">
        <v>147</v>
      </c>
      <c r="E108" s="6">
        <v>247000</v>
      </c>
      <c r="F108" s="7">
        <v>42067</v>
      </c>
    </row>
    <row r="109" spans="1:6" x14ac:dyDescent="0.35">
      <c r="A109" s="8" t="s">
        <v>45</v>
      </c>
      <c r="B109" s="9">
        <v>2013</v>
      </c>
      <c r="C109" s="9">
        <v>158000</v>
      </c>
      <c r="D109" s="9" t="s">
        <v>148</v>
      </c>
      <c r="E109" s="9">
        <v>407000</v>
      </c>
      <c r="F109" s="10">
        <v>42681</v>
      </c>
    </row>
    <row r="110" spans="1:6" x14ac:dyDescent="0.35">
      <c r="A110" s="5" t="s">
        <v>136</v>
      </c>
      <c r="B110" s="6">
        <v>2013</v>
      </c>
      <c r="C110" s="6">
        <v>240000</v>
      </c>
      <c r="D110" s="6" t="s">
        <v>149</v>
      </c>
      <c r="E110" s="6">
        <v>301232</v>
      </c>
      <c r="F110" s="7">
        <v>42719</v>
      </c>
    </row>
    <row r="111" spans="1:6" x14ac:dyDescent="0.35">
      <c r="A111" s="8" t="s">
        <v>136</v>
      </c>
      <c r="B111" s="9">
        <v>2013</v>
      </c>
      <c r="C111" s="9">
        <v>240000</v>
      </c>
      <c r="D111" s="9" t="s">
        <v>150</v>
      </c>
      <c r="E111" s="9">
        <v>289567</v>
      </c>
      <c r="F111" s="10">
        <v>42719</v>
      </c>
    </row>
    <row r="112" spans="1:6" x14ac:dyDescent="0.35">
      <c r="A112" s="5" t="s">
        <v>136</v>
      </c>
      <c r="B112" s="6">
        <v>2013</v>
      </c>
      <c r="C112" s="6">
        <v>240000</v>
      </c>
      <c r="D112" s="6" t="s">
        <v>151</v>
      </c>
      <c r="E112" s="6">
        <v>245211</v>
      </c>
      <c r="F112" s="7">
        <v>42719</v>
      </c>
    </row>
    <row r="113" spans="1:6" x14ac:dyDescent="0.35">
      <c r="A113" s="8" t="s">
        <v>136</v>
      </c>
      <c r="B113" s="9">
        <v>2013</v>
      </c>
      <c r="C113" s="9">
        <v>240000</v>
      </c>
      <c r="D113" s="9" t="s">
        <v>152</v>
      </c>
      <c r="E113" s="9">
        <v>200123</v>
      </c>
      <c r="F113" s="10">
        <v>42719</v>
      </c>
    </row>
    <row r="114" spans="1:6" x14ac:dyDescent="0.35">
      <c r="A114" s="5" t="s">
        <v>136</v>
      </c>
      <c r="B114" s="6">
        <v>2013</v>
      </c>
      <c r="C114" s="6">
        <v>240000</v>
      </c>
      <c r="D114" s="6" t="s">
        <v>153</v>
      </c>
      <c r="E114" s="6">
        <v>235811</v>
      </c>
      <c r="F114" s="7">
        <v>42719</v>
      </c>
    </row>
    <row r="115" spans="1:6" x14ac:dyDescent="0.35">
      <c r="A115" s="8" t="s">
        <v>136</v>
      </c>
      <c r="B115" s="9">
        <v>2013</v>
      </c>
      <c r="C115" s="9">
        <v>240000</v>
      </c>
      <c r="D115" s="9" t="s">
        <v>154</v>
      </c>
      <c r="E115" s="9">
        <v>250021</v>
      </c>
      <c r="F115" s="10">
        <v>42719</v>
      </c>
    </row>
    <row r="116" spans="1:6" x14ac:dyDescent="0.35">
      <c r="A116" s="5" t="s">
        <v>136</v>
      </c>
      <c r="B116" s="6">
        <v>2013</v>
      </c>
      <c r="C116" s="6">
        <v>240000</v>
      </c>
      <c r="D116" s="6" t="s">
        <v>155</v>
      </c>
      <c r="E116" s="6">
        <v>198340</v>
      </c>
      <c r="F116" s="7">
        <v>42719</v>
      </c>
    </row>
    <row r="117" spans="1:6" x14ac:dyDescent="0.35">
      <c r="A117" s="8" t="s">
        <v>136</v>
      </c>
      <c r="B117" s="9">
        <v>2013</v>
      </c>
      <c r="C117" s="9">
        <v>240000</v>
      </c>
      <c r="D117" s="9" t="s">
        <v>156</v>
      </c>
      <c r="E117" s="9">
        <v>189761</v>
      </c>
      <c r="F117" s="10">
        <v>42719</v>
      </c>
    </row>
    <row r="118" spans="1:6" x14ac:dyDescent="0.35">
      <c r="A118" s="5" t="s">
        <v>157</v>
      </c>
      <c r="B118" s="6">
        <v>2013</v>
      </c>
      <c r="C118" s="6">
        <v>271000</v>
      </c>
      <c r="D118" s="6" t="s">
        <v>158</v>
      </c>
      <c r="E118" s="6">
        <v>153000</v>
      </c>
      <c r="F118" s="7">
        <v>42334</v>
      </c>
    </row>
    <row r="119" spans="1:6" x14ac:dyDescent="0.35">
      <c r="A119" s="8" t="s">
        <v>157</v>
      </c>
      <c r="B119" s="9">
        <v>2013</v>
      </c>
      <c r="C119" s="9">
        <v>271000</v>
      </c>
      <c r="D119" s="9" t="s">
        <v>159</v>
      </c>
      <c r="E119" s="9">
        <v>123000</v>
      </c>
      <c r="F119" s="10">
        <v>42520</v>
      </c>
    </row>
    <row r="120" spans="1:6" x14ac:dyDescent="0.35">
      <c r="A120" s="5" t="s">
        <v>160</v>
      </c>
      <c r="B120" s="6">
        <v>2014</v>
      </c>
      <c r="C120" s="6">
        <v>98000</v>
      </c>
      <c r="D120" s="6" t="s">
        <v>161</v>
      </c>
      <c r="E120" s="6">
        <v>251000</v>
      </c>
      <c r="F120" s="7">
        <v>42344</v>
      </c>
    </row>
    <row r="121" spans="1:6" x14ac:dyDescent="0.35">
      <c r="A121" s="8" t="s">
        <v>160</v>
      </c>
      <c r="B121" s="9">
        <v>2014</v>
      </c>
      <c r="C121" s="9">
        <v>99000</v>
      </c>
      <c r="D121" s="9" t="s">
        <v>162</v>
      </c>
      <c r="E121" s="9">
        <v>247000</v>
      </c>
      <c r="F121" s="10">
        <v>42344</v>
      </c>
    </row>
    <row r="122" spans="1:6" x14ac:dyDescent="0.35">
      <c r="A122" s="5" t="s">
        <v>45</v>
      </c>
      <c r="B122" s="6">
        <v>2014</v>
      </c>
      <c r="C122" s="6">
        <v>136502</v>
      </c>
      <c r="D122" s="6" t="s">
        <v>163</v>
      </c>
      <c r="E122" s="6">
        <v>243000</v>
      </c>
      <c r="F122" s="7">
        <v>42476</v>
      </c>
    </row>
    <row r="123" spans="1:6" x14ac:dyDescent="0.35">
      <c r="A123" s="8" t="s">
        <v>54</v>
      </c>
      <c r="B123" s="9">
        <v>2014</v>
      </c>
      <c r="C123" s="9">
        <v>167800</v>
      </c>
      <c r="D123" s="9" t="s">
        <v>164</v>
      </c>
      <c r="E123" s="9">
        <v>190300</v>
      </c>
      <c r="F123" s="10">
        <v>42272</v>
      </c>
    </row>
    <row r="124" spans="1:6" x14ac:dyDescent="0.35">
      <c r="A124" s="5" t="s">
        <v>35</v>
      </c>
      <c r="B124" s="6">
        <v>2014</v>
      </c>
      <c r="C124" s="6">
        <v>219000</v>
      </c>
      <c r="D124" s="6" t="s">
        <v>165</v>
      </c>
      <c r="E124" s="6">
        <v>126290</v>
      </c>
      <c r="F124" s="7">
        <v>42083</v>
      </c>
    </row>
    <row r="125" spans="1:6" x14ac:dyDescent="0.35">
      <c r="A125" s="8" t="s">
        <v>136</v>
      </c>
      <c r="B125" s="9">
        <v>2014</v>
      </c>
      <c r="C125" s="9">
        <v>240000</v>
      </c>
      <c r="D125" s="9" t="s">
        <v>166</v>
      </c>
      <c r="E125" s="9">
        <v>183788</v>
      </c>
      <c r="F125" s="10">
        <v>42681</v>
      </c>
    </row>
    <row r="126" spans="1:6" x14ac:dyDescent="0.35">
      <c r="A126" s="5" t="s">
        <v>136</v>
      </c>
      <c r="B126" s="6">
        <v>2014</v>
      </c>
      <c r="C126" s="6">
        <v>240000</v>
      </c>
      <c r="D126" s="6" t="s">
        <v>167</v>
      </c>
      <c r="E126" s="6">
        <v>160198</v>
      </c>
      <c r="F126" s="7">
        <v>42681</v>
      </c>
    </row>
    <row r="127" spans="1:6" x14ac:dyDescent="0.35">
      <c r="A127" s="8" t="s">
        <v>136</v>
      </c>
      <c r="B127" s="9">
        <v>2014</v>
      </c>
      <c r="C127" s="9">
        <v>240000</v>
      </c>
      <c r="D127" s="9" t="s">
        <v>168</v>
      </c>
      <c r="E127" s="9">
        <v>156724</v>
      </c>
      <c r="F127" s="10">
        <v>42681</v>
      </c>
    </row>
    <row r="128" spans="1:6" x14ac:dyDescent="0.35">
      <c r="A128" s="5" t="s">
        <v>157</v>
      </c>
      <c r="B128" s="6">
        <v>2014</v>
      </c>
      <c r="C128" s="6">
        <v>270000</v>
      </c>
      <c r="D128" s="6" t="s">
        <v>169</v>
      </c>
      <c r="E128" s="6">
        <v>157000</v>
      </c>
      <c r="F128" s="7">
        <v>42334</v>
      </c>
    </row>
    <row r="129" spans="1:6" x14ac:dyDescent="0.35">
      <c r="A129" s="8" t="s">
        <v>35</v>
      </c>
      <c r="B129" s="9">
        <v>2015</v>
      </c>
      <c r="C129" s="9">
        <v>218000</v>
      </c>
      <c r="D129" s="9" t="s">
        <v>170</v>
      </c>
      <c r="E129" s="9">
        <v>130290</v>
      </c>
      <c r="F129" s="10">
        <v>42083</v>
      </c>
    </row>
    <row r="130" spans="1:6" x14ac:dyDescent="0.35">
      <c r="A130" s="5" t="s">
        <v>62</v>
      </c>
      <c r="B130" s="6">
        <v>2015</v>
      </c>
      <c r="C130" s="6">
        <v>258000</v>
      </c>
      <c r="D130" s="6" t="s">
        <v>171</v>
      </c>
      <c r="E130" s="6">
        <v>160700</v>
      </c>
      <c r="F130" s="7">
        <v>42286</v>
      </c>
    </row>
    <row r="131" spans="1:6" x14ac:dyDescent="0.35">
      <c r="A131" s="8" t="s">
        <v>172</v>
      </c>
      <c r="B131" s="9">
        <v>2015</v>
      </c>
      <c r="C131" s="9">
        <v>360000</v>
      </c>
      <c r="D131" s="9" t="s">
        <v>173</v>
      </c>
      <c r="E131" s="9">
        <v>100000</v>
      </c>
      <c r="F131" s="10">
        <v>42734</v>
      </c>
    </row>
    <row r="132" spans="1:6" x14ac:dyDescent="0.35">
      <c r="A132" s="5" t="s">
        <v>172</v>
      </c>
      <c r="B132" s="6">
        <v>2015</v>
      </c>
      <c r="C132" s="6">
        <v>360000</v>
      </c>
      <c r="D132" s="6" t="s">
        <v>174</v>
      </c>
      <c r="E132" s="6">
        <v>115000</v>
      </c>
      <c r="F132" s="7">
        <v>42734</v>
      </c>
    </row>
    <row r="133" spans="1:6" x14ac:dyDescent="0.35">
      <c r="A133" s="8" t="s">
        <v>172</v>
      </c>
      <c r="B133" s="9">
        <v>2015</v>
      </c>
      <c r="C133" s="9">
        <v>360000</v>
      </c>
      <c r="D133" s="9" t="s">
        <v>175</v>
      </c>
      <c r="E133" s="9">
        <v>132000</v>
      </c>
      <c r="F133" s="10">
        <v>42734</v>
      </c>
    </row>
    <row r="134" spans="1:6" x14ac:dyDescent="0.35">
      <c r="A134" s="5" t="s">
        <v>172</v>
      </c>
      <c r="B134" s="6">
        <v>2015</v>
      </c>
      <c r="C134" s="6">
        <v>360000</v>
      </c>
      <c r="D134" s="6" t="s">
        <v>176</v>
      </c>
      <c r="E134" s="6">
        <v>108000</v>
      </c>
      <c r="F134" s="7">
        <v>42734</v>
      </c>
    </row>
    <row r="135" spans="1:6" x14ac:dyDescent="0.35">
      <c r="A135" s="11" t="s">
        <v>172</v>
      </c>
      <c r="B135" s="1">
        <v>2015</v>
      </c>
      <c r="C135" s="1">
        <v>360000</v>
      </c>
      <c r="D135" s="1" t="s">
        <v>177</v>
      </c>
      <c r="E135" s="1">
        <v>140000</v>
      </c>
      <c r="F135" s="12">
        <v>42734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E7A34-A307-4987-A9E2-5F19B6BE2C34}">
  <dimension ref="A1:I135"/>
  <sheetViews>
    <sheetView zoomScale="58" workbookViewId="0">
      <selection activeCell="I1" sqref="I1:I2"/>
    </sheetView>
  </sheetViews>
  <sheetFormatPr defaultRowHeight="14.5" x14ac:dyDescent="0.35"/>
  <cols>
    <col min="1" max="1" width="17" bestFit="1" customWidth="1"/>
    <col min="2" max="2" width="15.26953125" bestFit="1" customWidth="1"/>
    <col min="3" max="3" width="14.36328125" bestFit="1" customWidth="1"/>
    <col min="4" max="4" width="17" bestFit="1" customWidth="1"/>
    <col min="5" max="5" width="10.1796875" bestFit="1" customWidth="1"/>
    <col min="6" max="6" width="25.6328125" bestFit="1" customWidth="1"/>
    <col min="7" max="7" width="25.453125" bestFit="1" customWidth="1"/>
    <col min="8" max="8" width="29.08984375" bestFit="1" customWidth="1"/>
    <col min="9" max="9" width="18.26953125" bestFit="1" customWidth="1"/>
  </cols>
  <sheetData>
    <row r="1" spans="1:9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13" t="s">
        <v>178</v>
      </c>
      <c r="H1" s="13" t="s">
        <v>179</v>
      </c>
      <c r="I1" s="13" t="s">
        <v>180</v>
      </c>
    </row>
    <row r="2" spans="1:9" x14ac:dyDescent="0.35">
      <c r="A2" s="5" t="s">
        <v>6</v>
      </c>
      <c r="B2" s="6">
        <v>2006</v>
      </c>
      <c r="C2" s="6">
        <v>85900</v>
      </c>
      <c r="D2" s="6" t="s">
        <v>7</v>
      </c>
      <c r="E2" s="6">
        <v>1200655</v>
      </c>
      <c r="F2" s="7">
        <v>42035</v>
      </c>
      <c r="G2">
        <f t="shared" ref="G2:G33" si="0">0.05*C2*(2017-B2)</f>
        <v>47245</v>
      </c>
      <c r="H2">
        <f t="shared" ref="H2:H33" si="1">2/100*C2*ROUNDUP(E2/100000,0)</f>
        <v>22334</v>
      </c>
      <c r="I2">
        <f t="shared" ref="I2:I33" si="2">C2-G2-H2</f>
        <v>16321</v>
      </c>
    </row>
    <row r="3" spans="1:9" x14ac:dyDescent="0.35">
      <c r="A3" s="8" t="s">
        <v>50</v>
      </c>
      <c r="B3" s="9">
        <v>2010</v>
      </c>
      <c r="C3" s="9">
        <v>37000</v>
      </c>
      <c r="D3" s="9" t="s">
        <v>64</v>
      </c>
      <c r="E3" s="9">
        <v>978000</v>
      </c>
      <c r="F3" s="10">
        <v>42309</v>
      </c>
      <c r="G3">
        <f t="shared" si="0"/>
        <v>12950</v>
      </c>
      <c r="H3">
        <f t="shared" si="1"/>
        <v>7400</v>
      </c>
      <c r="I3">
        <f t="shared" si="2"/>
        <v>16650</v>
      </c>
    </row>
    <row r="4" spans="1:9" x14ac:dyDescent="0.35">
      <c r="A4" s="8" t="s">
        <v>6</v>
      </c>
      <c r="B4" s="9">
        <v>2006</v>
      </c>
      <c r="C4" s="9">
        <v>85900</v>
      </c>
      <c r="D4" s="9" t="s">
        <v>8</v>
      </c>
      <c r="E4" s="9">
        <v>1068570</v>
      </c>
      <c r="F4" s="10">
        <v>42029</v>
      </c>
      <c r="G4">
        <f t="shared" si="0"/>
        <v>47245</v>
      </c>
      <c r="H4">
        <f t="shared" si="1"/>
        <v>18898</v>
      </c>
      <c r="I4">
        <f t="shared" si="2"/>
        <v>19757</v>
      </c>
    </row>
    <row r="5" spans="1:9" x14ac:dyDescent="0.35">
      <c r="A5" s="5" t="s">
        <v>6</v>
      </c>
      <c r="B5" s="6">
        <v>2006</v>
      </c>
      <c r="C5" s="6">
        <v>85900</v>
      </c>
      <c r="D5" s="6" t="s">
        <v>9</v>
      </c>
      <c r="E5" s="6">
        <v>998704</v>
      </c>
      <c r="F5" s="7">
        <v>42028</v>
      </c>
      <c r="G5">
        <f t="shared" si="0"/>
        <v>47245</v>
      </c>
      <c r="H5">
        <f t="shared" si="1"/>
        <v>17180</v>
      </c>
      <c r="I5">
        <f t="shared" si="2"/>
        <v>21475</v>
      </c>
    </row>
    <row r="6" spans="1:9" x14ac:dyDescent="0.35">
      <c r="A6" s="8" t="s">
        <v>6</v>
      </c>
      <c r="B6" s="9">
        <v>2006</v>
      </c>
      <c r="C6" s="9">
        <v>85900</v>
      </c>
      <c r="D6" s="9" t="s">
        <v>10</v>
      </c>
      <c r="E6" s="9">
        <v>936780</v>
      </c>
      <c r="F6" s="10">
        <v>42028</v>
      </c>
      <c r="G6">
        <f t="shared" si="0"/>
        <v>47245</v>
      </c>
      <c r="H6">
        <f t="shared" si="1"/>
        <v>17180</v>
      </c>
      <c r="I6">
        <f t="shared" si="2"/>
        <v>21475</v>
      </c>
    </row>
    <row r="7" spans="1:9" x14ac:dyDescent="0.35">
      <c r="A7" s="8" t="s">
        <v>50</v>
      </c>
      <c r="B7" s="9">
        <v>2011</v>
      </c>
      <c r="C7" s="9">
        <v>38000</v>
      </c>
      <c r="D7" s="9" t="s">
        <v>90</v>
      </c>
      <c r="E7" s="9">
        <v>574000</v>
      </c>
      <c r="F7" s="10">
        <v>42309</v>
      </c>
      <c r="G7">
        <f t="shared" si="0"/>
        <v>11400</v>
      </c>
      <c r="H7">
        <f t="shared" si="1"/>
        <v>4560</v>
      </c>
      <c r="I7">
        <f t="shared" si="2"/>
        <v>22040</v>
      </c>
    </row>
    <row r="8" spans="1:9" x14ac:dyDescent="0.35">
      <c r="A8" s="5" t="s">
        <v>6</v>
      </c>
      <c r="B8" s="6">
        <v>2006</v>
      </c>
      <c r="C8" s="6">
        <v>85900</v>
      </c>
      <c r="D8" s="6" t="s">
        <v>11</v>
      </c>
      <c r="E8" s="6">
        <v>870233</v>
      </c>
      <c r="F8" s="7">
        <v>42034</v>
      </c>
      <c r="G8">
        <f t="shared" si="0"/>
        <v>47245</v>
      </c>
      <c r="H8">
        <f t="shared" si="1"/>
        <v>15462</v>
      </c>
      <c r="I8">
        <f t="shared" si="2"/>
        <v>23193</v>
      </c>
    </row>
    <row r="9" spans="1:9" x14ac:dyDescent="0.35">
      <c r="A9" s="5" t="s">
        <v>50</v>
      </c>
      <c r="B9" s="6">
        <v>2010</v>
      </c>
      <c r="C9" s="6">
        <v>40830</v>
      </c>
      <c r="D9" s="6" t="s">
        <v>65</v>
      </c>
      <c r="E9" s="6">
        <v>326000</v>
      </c>
      <c r="F9" s="7">
        <v>42062</v>
      </c>
      <c r="G9">
        <f t="shared" si="0"/>
        <v>14290.5</v>
      </c>
      <c r="H9">
        <f t="shared" si="1"/>
        <v>3266.4</v>
      </c>
      <c r="I9">
        <f t="shared" si="2"/>
        <v>23273.1</v>
      </c>
    </row>
    <row r="10" spans="1:9" x14ac:dyDescent="0.35">
      <c r="A10" s="8" t="s">
        <v>16</v>
      </c>
      <c r="B10" s="9">
        <v>2008</v>
      </c>
      <c r="C10" s="9">
        <v>49411</v>
      </c>
      <c r="D10" s="9" t="s">
        <v>17</v>
      </c>
      <c r="E10" s="9">
        <v>186000</v>
      </c>
      <c r="F10" s="10">
        <v>42210</v>
      </c>
      <c r="G10">
        <f t="shared" si="0"/>
        <v>22234.95</v>
      </c>
      <c r="H10">
        <f t="shared" si="1"/>
        <v>1976.44</v>
      </c>
      <c r="I10">
        <f t="shared" si="2"/>
        <v>25199.61</v>
      </c>
    </row>
    <row r="11" spans="1:9" x14ac:dyDescent="0.35">
      <c r="A11" s="8" t="s">
        <v>50</v>
      </c>
      <c r="B11" s="9">
        <v>2012</v>
      </c>
      <c r="C11" s="9">
        <v>39830</v>
      </c>
      <c r="D11" s="9" t="s">
        <v>111</v>
      </c>
      <c r="E11" s="9">
        <v>330000</v>
      </c>
      <c r="F11" s="10">
        <v>42062</v>
      </c>
      <c r="G11">
        <f t="shared" si="0"/>
        <v>9957.5</v>
      </c>
      <c r="H11">
        <f t="shared" si="1"/>
        <v>3186.4</v>
      </c>
      <c r="I11">
        <f t="shared" si="2"/>
        <v>26686.1</v>
      </c>
    </row>
    <row r="12" spans="1:9" x14ac:dyDescent="0.35">
      <c r="A12" s="8" t="s">
        <v>16</v>
      </c>
      <c r="B12" s="9">
        <v>2009</v>
      </c>
      <c r="C12" s="9">
        <v>48411</v>
      </c>
      <c r="D12" s="9" t="s">
        <v>24</v>
      </c>
      <c r="E12" s="9">
        <v>190000</v>
      </c>
      <c r="F12" s="10">
        <v>42210</v>
      </c>
      <c r="G12">
        <f t="shared" si="0"/>
        <v>19364.400000000001</v>
      </c>
      <c r="H12">
        <f t="shared" si="1"/>
        <v>1936.44</v>
      </c>
      <c r="I12">
        <f t="shared" si="2"/>
        <v>27110.16</v>
      </c>
    </row>
    <row r="13" spans="1:9" x14ac:dyDescent="0.35">
      <c r="A13" s="5" t="s">
        <v>25</v>
      </c>
      <c r="B13" s="6">
        <v>2009</v>
      </c>
      <c r="C13" s="6">
        <v>68000</v>
      </c>
      <c r="D13" s="6" t="s">
        <v>26</v>
      </c>
      <c r="E13" s="6">
        <v>992600</v>
      </c>
      <c r="F13" s="7">
        <v>42157</v>
      </c>
      <c r="G13">
        <f t="shared" si="0"/>
        <v>27200</v>
      </c>
      <c r="H13">
        <f t="shared" si="1"/>
        <v>13600</v>
      </c>
      <c r="I13">
        <f t="shared" si="2"/>
        <v>27200</v>
      </c>
    </row>
    <row r="14" spans="1:9" x14ac:dyDescent="0.35">
      <c r="A14" s="5" t="s">
        <v>18</v>
      </c>
      <c r="B14" s="6">
        <v>2008</v>
      </c>
      <c r="C14" s="6">
        <v>58000</v>
      </c>
      <c r="D14" s="6" t="s">
        <v>19</v>
      </c>
      <c r="E14" s="6">
        <v>306000</v>
      </c>
      <c r="F14" s="7">
        <v>42271</v>
      </c>
      <c r="G14">
        <f t="shared" si="0"/>
        <v>26100</v>
      </c>
      <c r="H14">
        <f t="shared" si="1"/>
        <v>4640</v>
      </c>
      <c r="I14">
        <f t="shared" si="2"/>
        <v>27260</v>
      </c>
    </row>
    <row r="15" spans="1:9" x14ac:dyDescent="0.35">
      <c r="A15" s="8" t="s">
        <v>16</v>
      </c>
      <c r="B15" s="9">
        <v>2009</v>
      </c>
      <c r="C15" s="9">
        <v>49411</v>
      </c>
      <c r="D15" s="9" t="s">
        <v>27</v>
      </c>
      <c r="E15" s="9">
        <v>186000</v>
      </c>
      <c r="F15" s="10">
        <v>42210</v>
      </c>
      <c r="G15">
        <f t="shared" si="0"/>
        <v>19764.400000000001</v>
      </c>
      <c r="H15">
        <f t="shared" si="1"/>
        <v>1976.44</v>
      </c>
      <c r="I15">
        <f t="shared" si="2"/>
        <v>27670.16</v>
      </c>
    </row>
    <row r="16" spans="1:9" x14ac:dyDescent="0.35">
      <c r="A16" s="5" t="s">
        <v>28</v>
      </c>
      <c r="B16" s="6">
        <v>2009</v>
      </c>
      <c r="C16" s="6">
        <v>67900</v>
      </c>
      <c r="D16" s="6" t="s">
        <v>29</v>
      </c>
      <c r="E16" s="6">
        <v>850000</v>
      </c>
      <c r="F16" s="7">
        <v>42194</v>
      </c>
      <c r="G16">
        <f t="shared" si="0"/>
        <v>27160</v>
      </c>
      <c r="H16">
        <f t="shared" si="1"/>
        <v>12222</v>
      </c>
      <c r="I16">
        <f t="shared" si="2"/>
        <v>28518</v>
      </c>
    </row>
    <row r="17" spans="1:9" x14ac:dyDescent="0.35">
      <c r="A17" s="8" t="s">
        <v>16</v>
      </c>
      <c r="B17" s="9">
        <v>2009</v>
      </c>
      <c r="C17" s="9">
        <v>65000</v>
      </c>
      <c r="D17" s="9" t="s">
        <v>30</v>
      </c>
      <c r="E17" s="9">
        <v>740000</v>
      </c>
      <c r="F17" s="10">
        <v>42385</v>
      </c>
      <c r="G17">
        <f t="shared" si="0"/>
        <v>26000</v>
      </c>
      <c r="H17">
        <f t="shared" si="1"/>
        <v>10400</v>
      </c>
      <c r="I17">
        <f t="shared" si="2"/>
        <v>28600</v>
      </c>
    </row>
    <row r="18" spans="1:9" x14ac:dyDescent="0.35">
      <c r="A18" s="5" t="s">
        <v>28</v>
      </c>
      <c r="B18" s="6">
        <v>2009</v>
      </c>
      <c r="C18" s="6">
        <v>68900</v>
      </c>
      <c r="D18" s="6" t="s">
        <v>31</v>
      </c>
      <c r="E18" s="6">
        <v>846000</v>
      </c>
      <c r="F18" s="7">
        <v>42194</v>
      </c>
      <c r="G18">
        <f t="shared" si="0"/>
        <v>27560</v>
      </c>
      <c r="H18">
        <f t="shared" si="1"/>
        <v>12402</v>
      </c>
      <c r="I18">
        <f t="shared" si="2"/>
        <v>28938</v>
      </c>
    </row>
    <row r="19" spans="1:9" x14ac:dyDescent="0.35">
      <c r="A19" s="8" t="s">
        <v>18</v>
      </c>
      <c r="B19" s="9">
        <v>2009</v>
      </c>
      <c r="C19" s="9">
        <v>59000</v>
      </c>
      <c r="D19" s="9" t="s">
        <v>32</v>
      </c>
      <c r="E19" s="9">
        <v>302000</v>
      </c>
      <c r="F19" s="10">
        <v>42271</v>
      </c>
      <c r="G19">
        <f t="shared" si="0"/>
        <v>23600</v>
      </c>
      <c r="H19">
        <f t="shared" si="1"/>
        <v>4720</v>
      </c>
      <c r="I19">
        <f t="shared" si="2"/>
        <v>30680</v>
      </c>
    </row>
    <row r="20" spans="1:9" x14ac:dyDescent="0.35">
      <c r="A20" s="5" t="s">
        <v>33</v>
      </c>
      <c r="B20" s="6">
        <v>2009</v>
      </c>
      <c r="C20" s="6">
        <v>77000</v>
      </c>
      <c r="D20" s="6" t="s">
        <v>34</v>
      </c>
      <c r="E20" s="6">
        <v>846000</v>
      </c>
      <c r="F20" s="7">
        <v>42376</v>
      </c>
      <c r="G20">
        <f t="shared" si="0"/>
        <v>30800</v>
      </c>
      <c r="H20">
        <f t="shared" si="1"/>
        <v>13860</v>
      </c>
      <c r="I20">
        <f t="shared" si="2"/>
        <v>32340</v>
      </c>
    </row>
    <row r="21" spans="1:9" x14ac:dyDescent="0.35">
      <c r="A21" s="8" t="s">
        <v>16</v>
      </c>
      <c r="B21" s="9">
        <v>2010</v>
      </c>
      <c r="C21" s="9">
        <v>66000</v>
      </c>
      <c r="D21" s="9" t="s">
        <v>66</v>
      </c>
      <c r="E21" s="9">
        <v>736000</v>
      </c>
      <c r="F21" s="10">
        <v>42385</v>
      </c>
      <c r="G21">
        <f t="shared" si="0"/>
        <v>23100</v>
      </c>
      <c r="H21">
        <f t="shared" si="1"/>
        <v>10560</v>
      </c>
      <c r="I21">
        <f t="shared" si="2"/>
        <v>32340</v>
      </c>
    </row>
    <row r="22" spans="1:9" x14ac:dyDescent="0.35">
      <c r="A22" s="5" t="s">
        <v>50</v>
      </c>
      <c r="B22" s="6">
        <v>2012</v>
      </c>
      <c r="C22" s="6">
        <v>48800</v>
      </c>
      <c r="D22" s="6" t="s">
        <v>112</v>
      </c>
      <c r="E22" s="6">
        <v>268650</v>
      </c>
      <c r="F22" s="7">
        <v>42117</v>
      </c>
      <c r="G22">
        <f t="shared" si="0"/>
        <v>12200</v>
      </c>
      <c r="H22">
        <f t="shared" si="1"/>
        <v>2928</v>
      </c>
      <c r="I22">
        <f t="shared" si="2"/>
        <v>33672</v>
      </c>
    </row>
    <row r="23" spans="1:9" x14ac:dyDescent="0.35">
      <c r="A23" s="8" t="s">
        <v>35</v>
      </c>
      <c r="B23" s="9">
        <v>2009</v>
      </c>
      <c r="C23" s="9">
        <v>85000</v>
      </c>
      <c r="D23" s="9" t="s">
        <v>36</v>
      </c>
      <c r="E23" s="9">
        <v>946000</v>
      </c>
      <c r="F23" s="10">
        <v>42014</v>
      </c>
      <c r="G23">
        <f t="shared" si="0"/>
        <v>34000</v>
      </c>
      <c r="H23">
        <f t="shared" si="1"/>
        <v>17000</v>
      </c>
      <c r="I23">
        <f t="shared" si="2"/>
        <v>34000</v>
      </c>
    </row>
    <row r="24" spans="1:9" x14ac:dyDescent="0.35">
      <c r="A24" s="5" t="s">
        <v>50</v>
      </c>
      <c r="B24" s="6">
        <v>2013</v>
      </c>
      <c r="C24" s="6">
        <v>47800</v>
      </c>
      <c r="D24" s="6" t="s">
        <v>143</v>
      </c>
      <c r="E24" s="6">
        <v>272650</v>
      </c>
      <c r="F24" s="7">
        <v>42117</v>
      </c>
      <c r="G24">
        <f t="shared" si="0"/>
        <v>9560</v>
      </c>
      <c r="H24">
        <f t="shared" si="1"/>
        <v>2868</v>
      </c>
      <c r="I24">
        <f t="shared" si="2"/>
        <v>35372</v>
      </c>
    </row>
    <row r="25" spans="1:9" x14ac:dyDescent="0.35">
      <c r="A25" s="5" t="s">
        <v>91</v>
      </c>
      <c r="B25" s="6">
        <v>2011</v>
      </c>
      <c r="C25" s="6">
        <v>56700</v>
      </c>
      <c r="D25" s="6" t="s">
        <v>92</v>
      </c>
      <c r="E25" s="6">
        <v>290000</v>
      </c>
      <c r="F25" s="7">
        <v>42236</v>
      </c>
      <c r="G25">
        <f t="shared" si="0"/>
        <v>17010</v>
      </c>
      <c r="H25">
        <f t="shared" si="1"/>
        <v>3402</v>
      </c>
      <c r="I25">
        <f t="shared" si="2"/>
        <v>36288</v>
      </c>
    </row>
    <row r="26" spans="1:9" x14ac:dyDescent="0.35">
      <c r="A26" s="8" t="s">
        <v>91</v>
      </c>
      <c r="B26" s="9">
        <v>2011</v>
      </c>
      <c r="C26" s="9">
        <v>57700</v>
      </c>
      <c r="D26" s="9" t="s">
        <v>93</v>
      </c>
      <c r="E26" s="9">
        <v>286000</v>
      </c>
      <c r="F26" s="10">
        <v>42236</v>
      </c>
      <c r="G26">
        <f t="shared" si="0"/>
        <v>17310</v>
      </c>
      <c r="H26">
        <f t="shared" si="1"/>
        <v>3462</v>
      </c>
      <c r="I26">
        <f t="shared" si="2"/>
        <v>36928</v>
      </c>
    </row>
    <row r="27" spans="1:9" x14ac:dyDescent="0.35">
      <c r="A27" s="5" t="s">
        <v>67</v>
      </c>
      <c r="B27" s="6">
        <v>2010</v>
      </c>
      <c r="C27" s="6">
        <v>60000</v>
      </c>
      <c r="D27" s="6" t="s">
        <v>68</v>
      </c>
      <c r="E27" s="6">
        <v>99250</v>
      </c>
      <c r="F27" s="7">
        <v>42226</v>
      </c>
      <c r="G27">
        <f t="shared" si="0"/>
        <v>21000</v>
      </c>
      <c r="H27">
        <f t="shared" si="1"/>
        <v>1200</v>
      </c>
      <c r="I27">
        <f t="shared" si="2"/>
        <v>37800</v>
      </c>
    </row>
    <row r="28" spans="1:9" x14ac:dyDescent="0.35">
      <c r="A28" s="8" t="s">
        <v>35</v>
      </c>
      <c r="B28" s="9">
        <v>2010</v>
      </c>
      <c r="C28" s="9">
        <v>84000</v>
      </c>
      <c r="D28" s="9" t="s">
        <v>69</v>
      </c>
      <c r="E28" s="9">
        <v>950000</v>
      </c>
      <c r="F28" s="10">
        <v>42029</v>
      </c>
      <c r="G28">
        <f t="shared" si="0"/>
        <v>29400</v>
      </c>
      <c r="H28">
        <f t="shared" si="1"/>
        <v>16800</v>
      </c>
      <c r="I28">
        <f t="shared" si="2"/>
        <v>37800</v>
      </c>
    </row>
    <row r="29" spans="1:9" x14ac:dyDescent="0.35">
      <c r="A29" s="5" t="s">
        <v>67</v>
      </c>
      <c r="B29" s="6">
        <v>2011</v>
      </c>
      <c r="C29" s="6">
        <v>59000</v>
      </c>
      <c r="D29" s="6" t="s">
        <v>94</v>
      </c>
      <c r="E29" s="6">
        <v>103250</v>
      </c>
      <c r="F29" s="7">
        <v>42226</v>
      </c>
      <c r="G29">
        <f t="shared" si="0"/>
        <v>17700</v>
      </c>
      <c r="H29">
        <f t="shared" si="1"/>
        <v>2360</v>
      </c>
      <c r="I29">
        <f t="shared" si="2"/>
        <v>38940</v>
      </c>
    </row>
    <row r="30" spans="1:9" x14ac:dyDescent="0.35">
      <c r="A30" s="8" t="s">
        <v>18</v>
      </c>
      <c r="B30" s="9">
        <v>2012</v>
      </c>
      <c r="C30" s="9">
        <v>59000</v>
      </c>
      <c r="D30" s="9" t="s">
        <v>113</v>
      </c>
      <c r="E30" s="9">
        <v>302000</v>
      </c>
      <c r="F30" s="10">
        <v>42271</v>
      </c>
      <c r="G30">
        <f t="shared" si="0"/>
        <v>14750</v>
      </c>
      <c r="H30">
        <f t="shared" si="1"/>
        <v>4720</v>
      </c>
      <c r="I30">
        <f t="shared" si="2"/>
        <v>39530</v>
      </c>
    </row>
    <row r="31" spans="1:9" x14ac:dyDescent="0.35">
      <c r="A31" s="5" t="s">
        <v>25</v>
      </c>
      <c r="B31" s="6">
        <v>2010</v>
      </c>
      <c r="C31" s="6">
        <v>67000</v>
      </c>
      <c r="D31" s="6" t="s">
        <v>70</v>
      </c>
      <c r="E31" s="6">
        <v>103260</v>
      </c>
      <c r="F31" s="7">
        <v>42157</v>
      </c>
      <c r="G31">
        <f t="shared" si="0"/>
        <v>23450</v>
      </c>
      <c r="H31">
        <f t="shared" si="1"/>
        <v>2680</v>
      </c>
      <c r="I31">
        <f t="shared" si="2"/>
        <v>40870</v>
      </c>
    </row>
    <row r="32" spans="1:9" x14ac:dyDescent="0.35">
      <c r="A32" s="5" t="s">
        <v>37</v>
      </c>
      <c r="B32" s="6">
        <v>2009</v>
      </c>
      <c r="C32" s="6">
        <v>79000</v>
      </c>
      <c r="D32" s="6" t="s">
        <v>38</v>
      </c>
      <c r="E32" s="6">
        <v>390000</v>
      </c>
      <c r="F32" s="7">
        <v>42379</v>
      </c>
      <c r="G32">
        <f t="shared" si="0"/>
        <v>31600</v>
      </c>
      <c r="H32">
        <f t="shared" si="1"/>
        <v>6320</v>
      </c>
      <c r="I32">
        <f t="shared" si="2"/>
        <v>41080</v>
      </c>
    </row>
    <row r="33" spans="1:9" x14ac:dyDescent="0.35">
      <c r="A33" s="8" t="s">
        <v>37</v>
      </c>
      <c r="B33" s="9">
        <v>2009</v>
      </c>
      <c r="C33" s="9">
        <v>79000</v>
      </c>
      <c r="D33" s="9" t="s">
        <v>39</v>
      </c>
      <c r="E33" s="9">
        <v>390000</v>
      </c>
      <c r="F33" s="10">
        <v>42379</v>
      </c>
      <c r="G33">
        <f t="shared" si="0"/>
        <v>31600</v>
      </c>
      <c r="H33">
        <f t="shared" si="1"/>
        <v>6320</v>
      </c>
      <c r="I33">
        <f t="shared" si="2"/>
        <v>41080</v>
      </c>
    </row>
    <row r="34" spans="1:9" x14ac:dyDescent="0.35">
      <c r="A34" s="8" t="s">
        <v>20</v>
      </c>
      <c r="B34" s="9">
        <v>2008</v>
      </c>
      <c r="C34" s="9">
        <v>84000</v>
      </c>
      <c r="D34" s="9" t="s">
        <v>21</v>
      </c>
      <c r="E34" s="9">
        <v>266000</v>
      </c>
      <c r="F34" s="10">
        <v>42382</v>
      </c>
      <c r="G34">
        <f t="shared" ref="G34:G65" si="3">0.05*C34*(2017-B34)</f>
        <v>37800</v>
      </c>
      <c r="H34">
        <f t="shared" ref="H34:H65" si="4">2/100*C34*ROUNDUP(E34/100000,0)</f>
        <v>5040</v>
      </c>
      <c r="I34">
        <f t="shared" ref="I34:I65" si="5">C34-G34-H34</f>
        <v>41160</v>
      </c>
    </row>
    <row r="35" spans="1:9" x14ac:dyDescent="0.35">
      <c r="A35" s="5" t="s">
        <v>22</v>
      </c>
      <c r="B35" s="6">
        <v>2008</v>
      </c>
      <c r="C35" s="6">
        <v>89000</v>
      </c>
      <c r="D35" s="6" t="s">
        <v>23</v>
      </c>
      <c r="E35" s="6">
        <v>305000</v>
      </c>
      <c r="F35" s="7">
        <v>42075</v>
      </c>
      <c r="G35">
        <f t="shared" si="3"/>
        <v>40050</v>
      </c>
      <c r="H35">
        <f t="shared" si="4"/>
        <v>7120</v>
      </c>
      <c r="I35">
        <f t="shared" si="5"/>
        <v>41830</v>
      </c>
    </row>
    <row r="36" spans="1:9" x14ac:dyDescent="0.35">
      <c r="A36" s="8" t="s">
        <v>71</v>
      </c>
      <c r="B36" s="9">
        <v>2010</v>
      </c>
      <c r="C36" s="9">
        <v>75300</v>
      </c>
      <c r="D36" s="9" t="s">
        <v>72</v>
      </c>
      <c r="E36" s="9">
        <v>302000</v>
      </c>
      <c r="F36" s="10">
        <v>42174</v>
      </c>
      <c r="G36">
        <f t="shared" si="3"/>
        <v>26355</v>
      </c>
      <c r="H36">
        <f t="shared" si="4"/>
        <v>6024</v>
      </c>
      <c r="I36">
        <f t="shared" si="5"/>
        <v>42921</v>
      </c>
    </row>
    <row r="37" spans="1:9" x14ac:dyDescent="0.35">
      <c r="A37" s="5" t="s">
        <v>33</v>
      </c>
      <c r="B37" s="6">
        <v>2012</v>
      </c>
      <c r="C37" s="6">
        <v>76000</v>
      </c>
      <c r="D37" s="6" t="s">
        <v>114</v>
      </c>
      <c r="E37" s="6">
        <v>850000</v>
      </c>
      <c r="F37" s="7">
        <v>42376</v>
      </c>
      <c r="G37">
        <f t="shared" si="3"/>
        <v>19000</v>
      </c>
      <c r="H37">
        <f t="shared" si="4"/>
        <v>13680</v>
      </c>
      <c r="I37">
        <f t="shared" si="5"/>
        <v>43320</v>
      </c>
    </row>
    <row r="38" spans="1:9" x14ac:dyDescent="0.35">
      <c r="A38" s="8" t="s">
        <v>41</v>
      </c>
      <c r="B38" s="9">
        <v>2009</v>
      </c>
      <c r="C38" s="9">
        <v>86133</v>
      </c>
      <c r="D38" s="9" t="s">
        <v>42</v>
      </c>
      <c r="E38" s="9">
        <v>380000</v>
      </c>
      <c r="F38" s="10">
        <v>42208</v>
      </c>
      <c r="G38">
        <f t="shared" si="3"/>
        <v>34453.200000000004</v>
      </c>
      <c r="H38">
        <f t="shared" si="4"/>
        <v>6890.64</v>
      </c>
      <c r="I38">
        <f t="shared" si="5"/>
        <v>44789.159999999996</v>
      </c>
    </row>
    <row r="39" spans="1:9" x14ac:dyDescent="0.35">
      <c r="A39" s="5" t="s">
        <v>20</v>
      </c>
      <c r="B39" s="6">
        <v>2009</v>
      </c>
      <c r="C39" s="6">
        <v>83000</v>
      </c>
      <c r="D39" s="6" t="s">
        <v>40</v>
      </c>
      <c r="E39" s="6">
        <v>270000</v>
      </c>
      <c r="F39" s="7">
        <v>42382</v>
      </c>
      <c r="G39">
        <f t="shared" si="3"/>
        <v>33200</v>
      </c>
      <c r="H39">
        <f t="shared" si="4"/>
        <v>4980</v>
      </c>
      <c r="I39">
        <f t="shared" si="5"/>
        <v>44820</v>
      </c>
    </row>
    <row r="40" spans="1:9" x14ac:dyDescent="0.35">
      <c r="A40" s="8" t="s">
        <v>71</v>
      </c>
      <c r="B40" s="9">
        <v>2011</v>
      </c>
      <c r="C40" s="9">
        <v>74300</v>
      </c>
      <c r="D40" s="9" t="s">
        <v>95</v>
      </c>
      <c r="E40" s="9">
        <v>306000</v>
      </c>
      <c r="F40" s="10">
        <v>42174</v>
      </c>
      <c r="G40">
        <f t="shared" si="3"/>
        <v>22290</v>
      </c>
      <c r="H40">
        <f t="shared" si="4"/>
        <v>5944</v>
      </c>
      <c r="I40">
        <f t="shared" si="5"/>
        <v>46066</v>
      </c>
    </row>
    <row r="41" spans="1:9" x14ac:dyDescent="0.35">
      <c r="A41" s="5" t="s">
        <v>22</v>
      </c>
      <c r="B41" s="6">
        <v>2009</v>
      </c>
      <c r="C41" s="6">
        <v>90000</v>
      </c>
      <c r="D41" s="6" t="s">
        <v>43</v>
      </c>
      <c r="E41" s="6">
        <v>301000</v>
      </c>
      <c r="F41" s="7">
        <v>42075</v>
      </c>
      <c r="G41">
        <f t="shared" si="3"/>
        <v>36000</v>
      </c>
      <c r="H41">
        <f t="shared" si="4"/>
        <v>7200</v>
      </c>
      <c r="I41">
        <f t="shared" si="5"/>
        <v>46800</v>
      </c>
    </row>
    <row r="42" spans="1:9" x14ac:dyDescent="0.35">
      <c r="A42" s="8" t="s">
        <v>35</v>
      </c>
      <c r="B42" s="9">
        <v>2009</v>
      </c>
      <c r="C42" s="9">
        <v>91000</v>
      </c>
      <c r="D42" s="9" t="s">
        <v>44</v>
      </c>
      <c r="E42" s="9">
        <v>360000</v>
      </c>
      <c r="F42" s="10">
        <v>42174</v>
      </c>
      <c r="G42">
        <f t="shared" si="3"/>
        <v>36400</v>
      </c>
      <c r="H42">
        <f t="shared" si="4"/>
        <v>7280</v>
      </c>
      <c r="I42">
        <f t="shared" si="5"/>
        <v>47320</v>
      </c>
    </row>
    <row r="43" spans="1:9" x14ac:dyDescent="0.35">
      <c r="A43" s="8" t="s">
        <v>12</v>
      </c>
      <c r="B43" s="9">
        <v>2007</v>
      </c>
      <c r="C43" s="9">
        <v>205000</v>
      </c>
      <c r="D43" s="9" t="s">
        <v>13</v>
      </c>
      <c r="E43" s="9">
        <v>1260000</v>
      </c>
      <c r="F43" s="10">
        <v>42483</v>
      </c>
      <c r="G43">
        <f t="shared" si="3"/>
        <v>102500</v>
      </c>
      <c r="H43">
        <f t="shared" si="4"/>
        <v>53300</v>
      </c>
      <c r="I43">
        <f t="shared" si="5"/>
        <v>49200</v>
      </c>
    </row>
    <row r="44" spans="1:9" x14ac:dyDescent="0.35">
      <c r="A44" s="5" t="s">
        <v>20</v>
      </c>
      <c r="B44" s="6">
        <v>2010</v>
      </c>
      <c r="C44" s="6">
        <v>84000</v>
      </c>
      <c r="D44" s="6" t="s">
        <v>73</v>
      </c>
      <c r="E44" s="6">
        <v>266000</v>
      </c>
      <c r="F44" s="7">
        <v>42382</v>
      </c>
      <c r="G44">
        <f t="shared" si="3"/>
        <v>29400</v>
      </c>
      <c r="H44">
        <f t="shared" si="4"/>
        <v>5040</v>
      </c>
      <c r="I44">
        <f t="shared" si="5"/>
        <v>49560</v>
      </c>
    </row>
    <row r="45" spans="1:9" x14ac:dyDescent="0.35">
      <c r="A45" s="8" t="s">
        <v>35</v>
      </c>
      <c r="B45" s="9">
        <v>2010</v>
      </c>
      <c r="C45" s="9">
        <v>92000</v>
      </c>
      <c r="D45" s="9" t="s">
        <v>74</v>
      </c>
      <c r="E45" s="9">
        <v>356000</v>
      </c>
      <c r="F45" s="10">
        <v>42174</v>
      </c>
      <c r="G45">
        <f t="shared" si="3"/>
        <v>32200</v>
      </c>
      <c r="H45">
        <f t="shared" si="4"/>
        <v>7360</v>
      </c>
      <c r="I45">
        <f t="shared" si="5"/>
        <v>52440</v>
      </c>
    </row>
    <row r="46" spans="1:9" x14ac:dyDescent="0.35">
      <c r="A46" s="5" t="s">
        <v>45</v>
      </c>
      <c r="B46" s="6">
        <v>2010</v>
      </c>
      <c r="C46" s="6">
        <v>89000</v>
      </c>
      <c r="D46" s="6" t="s">
        <v>75</v>
      </c>
      <c r="E46" s="6">
        <v>266000</v>
      </c>
      <c r="F46" s="7">
        <v>42382</v>
      </c>
      <c r="G46">
        <f t="shared" si="3"/>
        <v>31150</v>
      </c>
      <c r="H46">
        <f t="shared" si="4"/>
        <v>5340</v>
      </c>
      <c r="I46">
        <f t="shared" si="5"/>
        <v>52510</v>
      </c>
    </row>
    <row r="47" spans="1:9" x14ac:dyDescent="0.35">
      <c r="A47" s="8" t="s">
        <v>37</v>
      </c>
      <c r="B47" s="9">
        <v>2013</v>
      </c>
      <c r="C47" s="9">
        <v>80000</v>
      </c>
      <c r="D47" s="9" t="s">
        <v>144</v>
      </c>
      <c r="E47" s="9">
        <v>350000</v>
      </c>
      <c r="F47" s="10">
        <v>42379</v>
      </c>
      <c r="G47">
        <f t="shared" si="3"/>
        <v>16000</v>
      </c>
      <c r="H47">
        <f t="shared" si="4"/>
        <v>6400</v>
      </c>
      <c r="I47">
        <f t="shared" si="5"/>
        <v>57600</v>
      </c>
    </row>
    <row r="48" spans="1:9" x14ac:dyDescent="0.35">
      <c r="A48" s="8" t="s">
        <v>41</v>
      </c>
      <c r="B48" s="9">
        <v>2012</v>
      </c>
      <c r="C48" s="9">
        <v>87133</v>
      </c>
      <c r="D48" s="9" t="s">
        <v>115</v>
      </c>
      <c r="E48" s="9">
        <v>376000</v>
      </c>
      <c r="F48" s="10">
        <v>42208</v>
      </c>
      <c r="G48">
        <f t="shared" si="3"/>
        <v>21783.250000000004</v>
      </c>
      <c r="H48">
        <f t="shared" si="4"/>
        <v>6970.64</v>
      </c>
      <c r="I48">
        <f t="shared" si="5"/>
        <v>58379.11</v>
      </c>
    </row>
    <row r="49" spans="1:9" x14ac:dyDescent="0.35">
      <c r="A49" s="5" t="s">
        <v>37</v>
      </c>
      <c r="B49" s="6">
        <v>2013</v>
      </c>
      <c r="C49" s="6">
        <v>80000</v>
      </c>
      <c r="D49" s="6" t="s">
        <v>145</v>
      </c>
      <c r="E49" s="6">
        <v>235000</v>
      </c>
      <c r="F49" s="7">
        <v>42379</v>
      </c>
      <c r="G49">
        <f t="shared" si="3"/>
        <v>16000</v>
      </c>
      <c r="H49">
        <f t="shared" si="4"/>
        <v>4800</v>
      </c>
      <c r="I49">
        <f t="shared" si="5"/>
        <v>59200</v>
      </c>
    </row>
    <row r="50" spans="1:9" x14ac:dyDescent="0.35">
      <c r="A50" s="8" t="s">
        <v>76</v>
      </c>
      <c r="B50" s="9">
        <v>2010</v>
      </c>
      <c r="C50" s="9">
        <v>94000</v>
      </c>
      <c r="D50" s="9" t="s">
        <v>77</v>
      </c>
      <c r="E50" s="9">
        <v>91000</v>
      </c>
      <c r="F50" s="10">
        <v>42268</v>
      </c>
      <c r="G50">
        <f t="shared" si="3"/>
        <v>32900</v>
      </c>
      <c r="H50">
        <f t="shared" si="4"/>
        <v>1880</v>
      </c>
      <c r="I50">
        <f t="shared" si="5"/>
        <v>59220</v>
      </c>
    </row>
    <row r="51" spans="1:9" x14ac:dyDescent="0.35">
      <c r="A51" s="5" t="s">
        <v>45</v>
      </c>
      <c r="B51" s="6">
        <v>2009</v>
      </c>
      <c r="C51" s="6">
        <v>114400</v>
      </c>
      <c r="D51" s="6" t="s">
        <v>46</v>
      </c>
      <c r="E51" s="6">
        <v>226000</v>
      </c>
      <c r="F51" s="7">
        <v>42073</v>
      </c>
      <c r="G51">
        <f t="shared" si="3"/>
        <v>45760</v>
      </c>
      <c r="H51">
        <f t="shared" si="4"/>
        <v>6864</v>
      </c>
      <c r="I51">
        <f t="shared" si="5"/>
        <v>61776</v>
      </c>
    </row>
    <row r="52" spans="1:9" x14ac:dyDescent="0.35">
      <c r="A52" s="5" t="s">
        <v>14</v>
      </c>
      <c r="B52" s="6">
        <v>2007</v>
      </c>
      <c r="C52" s="6">
        <v>198000</v>
      </c>
      <c r="D52" s="6" t="s">
        <v>15</v>
      </c>
      <c r="E52" s="6">
        <v>890200</v>
      </c>
      <c r="F52" s="7">
        <v>42520</v>
      </c>
      <c r="G52">
        <f t="shared" si="3"/>
        <v>99000</v>
      </c>
      <c r="H52">
        <f t="shared" si="4"/>
        <v>35640</v>
      </c>
      <c r="I52">
        <f t="shared" si="5"/>
        <v>63360</v>
      </c>
    </row>
    <row r="53" spans="1:9" x14ac:dyDescent="0.35">
      <c r="A53" s="5" t="s">
        <v>45</v>
      </c>
      <c r="B53" s="6">
        <v>2010</v>
      </c>
      <c r="C53" s="6">
        <v>113400</v>
      </c>
      <c r="D53" s="6" t="s">
        <v>78</v>
      </c>
      <c r="E53" s="6">
        <v>230000</v>
      </c>
      <c r="F53" s="7">
        <v>42073</v>
      </c>
      <c r="G53">
        <f t="shared" si="3"/>
        <v>39690</v>
      </c>
      <c r="H53">
        <f t="shared" si="4"/>
        <v>6804</v>
      </c>
      <c r="I53">
        <f t="shared" si="5"/>
        <v>66906</v>
      </c>
    </row>
    <row r="54" spans="1:9" x14ac:dyDescent="0.35">
      <c r="A54" s="8" t="s">
        <v>47</v>
      </c>
      <c r="B54" s="9">
        <v>2009</v>
      </c>
      <c r="C54" s="9">
        <v>134000</v>
      </c>
      <c r="D54" s="9" t="s">
        <v>48</v>
      </c>
      <c r="E54" s="9">
        <v>482000</v>
      </c>
      <c r="F54" s="10">
        <v>42385</v>
      </c>
      <c r="G54">
        <f t="shared" si="3"/>
        <v>53600</v>
      </c>
      <c r="H54">
        <f t="shared" si="4"/>
        <v>13400</v>
      </c>
      <c r="I54">
        <f t="shared" si="5"/>
        <v>67000</v>
      </c>
    </row>
    <row r="55" spans="1:9" x14ac:dyDescent="0.35">
      <c r="A55" s="5" t="s">
        <v>47</v>
      </c>
      <c r="B55" s="6">
        <v>2009</v>
      </c>
      <c r="C55" s="6">
        <v>135000</v>
      </c>
      <c r="D55" s="6" t="s">
        <v>49</v>
      </c>
      <c r="E55" s="6">
        <v>478000</v>
      </c>
      <c r="F55" s="7">
        <v>42385</v>
      </c>
      <c r="G55">
        <f t="shared" si="3"/>
        <v>54000</v>
      </c>
      <c r="H55">
        <f t="shared" si="4"/>
        <v>13500</v>
      </c>
      <c r="I55">
        <f t="shared" si="5"/>
        <v>67500</v>
      </c>
    </row>
    <row r="56" spans="1:9" x14ac:dyDescent="0.35">
      <c r="A56" s="8" t="s">
        <v>50</v>
      </c>
      <c r="B56" s="9">
        <v>2009</v>
      </c>
      <c r="C56" s="9">
        <v>131780</v>
      </c>
      <c r="D56" s="9" t="s">
        <v>51</v>
      </c>
      <c r="E56" s="9">
        <v>306000</v>
      </c>
      <c r="F56" s="10">
        <v>42365</v>
      </c>
      <c r="G56">
        <f t="shared" si="3"/>
        <v>52712</v>
      </c>
      <c r="H56">
        <f t="shared" si="4"/>
        <v>10542.4</v>
      </c>
      <c r="I56">
        <f t="shared" si="5"/>
        <v>68525.600000000006</v>
      </c>
    </row>
    <row r="57" spans="1:9" x14ac:dyDescent="0.35">
      <c r="A57" s="8" t="s">
        <v>76</v>
      </c>
      <c r="B57" s="9">
        <v>2013</v>
      </c>
      <c r="C57" s="9">
        <v>93000</v>
      </c>
      <c r="D57" s="9" t="s">
        <v>146</v>
      </c>
      <c r="E57" s="9">
        <v>195000</v>
      </c>
      <c r="F57" s="10">
        <v>42268</v>
      </c>
      <c r="G57">
        <f t="shared" si="3"/>
        <v>18600</v>
      </c>
      <c r="H57">
        <f t="shared" si="4"/>
        <v>3720</v>
      </c>
      <c r="I57">
        <f t="shared" si="5"/>
        <v>70680</v>
      </c>
    </row>
    <row r="58" spans="1:9" x14ac:dyDescent="0.35">
      <c r="A58" s="5" t="s">
        <v>22</v>
      </c>
      <c r="B58" s="6">
        <v>2012</v>
      </c>
      <c r="C58" s="6">
        <v>110000</v>
      </c>
      <c r="D58" s="6" t="s">
        <v>116</v>
      </c>
      <c r="E58" s="6">
        <v>201000</v>
      </c>
      <c r="F58" s="7">
        <v>42075</v>
      </c>
      <c r="G58">
        <f t="shared" si="3"/>
        <v>27500</v>
      </c>
      <c r="H58">
        <f t="shared" si="4"/>
        <v>6600</v>
      </c>
      <c r="I58">
        <f t="shared" si="5"/>
        <v>75900</v>
      </c>
    </row>
    <row r="59" spans="1:9" x14ac:dyDescent="0.35">
      <c r="A59" s="5" t="s">
        <v>160</v>
      </c>
      <c r="B59" s="6">
        <v>2014</v>
      </c>
      <c r="C59" s="6">
        <v>98000</v>
      </c>
      <c r="D59" s="6" t="s">
        <v>161</v>
      </c>
      <c r="E59" s="6">
        <v>251000</v>
      </c>
      <c r="F59" s="7">
        <v>42344</v>
      </c>
      <c r="G59">
        <f t="shared" si="3"/>
        <v>14700</v>
      </c>
      <c r="H59">
        <f t="shared" si="4"/>
        <v>5880</v>
      </c>
      <c r="I59">
        <f t="shared" si="5"/>
        <v>77420</v>
      </c>
    </row>
    <row r="60" spans="1:9" x14ac:dyDescent="0.35">
      <c r="A60" s="8" t="s">
        <v>160</v>
      </c>
      <c r="B60" s="9">
        <v>2014</v>
      </c>
      <c r="C60" s="9">
        <v>99000</v>
      </c>
      <c r="D60" s="9" t="s">
        <v>162</v>
      </c>
      <c r="E60" s="9">
        <v>247000</v>
      </c>
      <c r="F60" s="10">
        <v>42344</v>
      </c>
      <c r="G60">
        <f t="shared" si="3"/>
        <v>14850</v>
      </c>
      <c r="H60">
        <f t="shared" si="4"/>
        <v>5940</v>
      </c>
      <c r="I60">
        <f t="shared" si="5"/>
        <v>78210</v>
      </c>
    </row>
    <row r="61" spans="1:9" x14ac:dyDescent="0.35">
      <c r="A61" s="5" t="s">
        <v>45</v>
      </c>
      <c r="B61" s="6">
        <v>2009</v>
      </c>
      <c r="C61" s="6">
        <v>159000</v>
      </c>
      <c r="D61" s="6" t="s">
        <v>52</v>
      </c>
      <c r="E61" s="6">
        <v>403000</v>
      </c>
      <c r="F61" s="7">
        <v>42681</v>
      </c>
      <c r="G61">
        <f t="shared" si="3"/>
        <v>63600</v>
      </c>
      <c r="H61">
        <f t="shared" si="4"/>
        <v>15900</v>
      </c>
      <c r="I61">
        <f t="shared" si="5"/>
        <v>79500</v>
      </c>
    </row>
    <row r="62" spans="1:9" x14ac:dyDescent="0.35">
      <c r="A62" s="8" t="s">
        <v>79</v>
      </c>
      <c r="B62" s="9">
        <v>2010</v>
      </c>
      <c r="C62" s="9">
        <v>135000</v>
      </c>
      <c r="D62" s="9" t="s">
        <v>80</v>
      </c>
      <c r="E62" s="9">
        <v>251000</v>
      </c>
      <c r="F62" s="10">
        <v>42067</v>
      </c>
      <c r="G62">
        <f t="shared" si="3"/>
        <v>47250</v>
      </c>
      <c r="H62">
        <f t="shared" si="4"/>
        <v>8100</v>
      </c>
      <c r="I62">
        <f t="shared" si="5"/>
        <v>79650</v>
      </c>
    </row>
    <row r="63" spans="1:9" x14ac:dyDescent="0.35">
      <c r="A63" s="8" t="s">
        <v>33</v>
      </c>
      <c r="B63" s="9">
        <v>2009</v>
      </c>
      <c r="C63" s="9">
        <v>162800</v>
      </c>
      <c r="D63" s="9" t="s">
        <v>53</v>
      </c>
      <c r="E63" s="9">
        <v>370000</v>
      </c>
      <c r="F63" s="10">
        <v>42329</v>
      </c>
      <c r="G63">
        <f t="shared" si="3"/>
        <v>65120</v>
      </c>
      <c r="H63">
        <f t="shared" si="4"/>
        <v>13024</v>
      </c>
      <c r="I63">
        <f t="shared" si="5"/>
        <v>84656</v>
      </c>
    </row>
    <row r="64" spans="1:9" x14ac:dyDescent="0.35">
      <c r="A64" s="8" t="s">
        <v>50</v>
      </c>
      <c r="B64" s="9">
        <v>2012</v>
      </c>
      <c r="C64" s="9">
        <v>130780</v>
      </c>
      <c r="D64" s="9" t="s">
        <v>117</v>
      </c>
      <c r="E64" s="9">
        <v>310000</v>
      </c>
      <c r="F64" s="10">
        <v>42365</v>
      </c>
      <c r="G64">
        <f t="shared" si="3"/>
        <v>32695</v>
      </c>
      <c r="H64">
        <f t="shared" si="4"/>
        <v>10462.4</v>
      </c>
      <c r="I64">
        <f t="shared" si="5"/>
        <v>87622.6</v>
      </c>
    </row>
    <row r="65" spans="1:9" x14ac:dyDescent="0.35">
      <c r="A65" s="5" t="s">
        <v>45</v>
      </c>
      <c r="B65" s="6">
        <v>2012</v>
      </c>
      <c r="C65" s="6">
        <v>135502</v>
      </c>
      <c r="D65" s="6" t="s">
        <v>118</v>
      </c>
      <c r="E65" s="6">
        <v>247000</v>
      </c>
      <c r="F65" s="7">
        <v>42476</v>
      </c>
      <c r="G65">
        <f t="shared" si="3"/>
        <v>33875.5</v>
      </c>
      <c r="H65">
        <f t="shared" si="4"/>
        <v>8130.12</v>
      </c>
      <c r="I65">
        <f t="shared" si="5"/>
        <v>93496.38</v>
      </c>
    </row>
    <row r="66" spans="1:9" x14ac:dyDescent="0.35">
      <c r="A66" s="5" t="s">
        <v>81</v>
      </c>
      <c r="B66" s="6">
        <v>2010</v>
      </c>
      <c r="C66" s="6">
        <v>160000</v>
      </c>
      <c r="D66" s="6" t="s">
        <v>82</v>
      </c>
      <c r="E66" s="6">
        <v>263000</v>
      </c>
      <c r="F66" s="7">
        <v>42028</v>
      </c>
      <c r="G66">
        <f t="shared" ref="G66:G97" si="6">0.05*C66*(2017-B66)</f>
        <v>56000</v>
      </c>
      <c r="H66">
        <f t="shared" ref="H66:H97" si="7">2/100*C66*ROUNDUP(E66/100000,0)</f>
        <v>9600</v>
      </c>
      <c r="I66">
        <f t="shared" ref="I66:I97" si="8">C66-G66-H66</f>
        <v>94400</v>
      </c>
    </row>
    <row r="67" spans="1:9" x14ac:dyDescent="0.35">
      <c r="A67" s="5" t="s">
        <v>54</v>
      </c>
      <c r="B67" s="6">
        <v>2009</v>
      </c>
      <c r="C67" s="6">
        <v>168800</v>
      </c>
      <c r="D67" s="6" t="s">
        <v>55</v>
      </c>
      <c r="E67" s="6">
        <v>186300</v>
      </c>
      <c r="F67" s="7">
        <v>42272</v>
      </c>
      <c r="G67">
        <f t="shared" si="6"/>
        <v>67520</v>
      </c>
      <c r="H67">
        <f t="shared" si="7"/>
        <v>6752</v>
      </c>
      <c r="I67">
        <f t="shared" si="8"/>
        <v>94528</v>
      </c>
    </row>
    <row r="68" spans="1:9" x14ac:dyDescent="0.35">
      <c r="A68" s="8" t="s">
        <v>119</v>
      </c>
      <c r="B68" s="9">
        <v>2012</v>
      </c>
      <c r="C68" s="9">
        <v>145000</v>
      </c>
      <c r="D68" s="9" t="s">
        <v>120</v>
      </c>
      <c r="E68" s="9">
        <v>386732</v>
      </c>
      <c r="F68" s="10">
        <v>42059</v>
      </c>
      <c r="G68">
        <f t="shared" si="6"/>
        <v>36250</v>
      </c>
      <c r="H68">
        <f t="shared" si="7"/>
        <v>11600</v>
      </c>
      <c r="I68">
        <f t="shared" si="8"/>
        <v>97150</v>
      </c>
    </row>
    <row r="69" spans="1:9" x14ac:dyDescent="0.35">
      <c r="A69" s="5" t="s">
        <v>119</v>
      </c>
      <c r="B69" s="6">
        <v>2012</v>
      </c>
      <c r="C69" s="6">
        <v>145000</v>
      </c>
      <c r="D69" s="6" t="s">
        <v>121</v>
      </c>
      <c r="E69" s="6">
        <v>312680</v>
      </c>
      <c r="F69" s="7">
        <v>42059</v>
      </c>
      <c r="G69">
        <f t="shared" si="6"/>
        <v>36250</v>
      </c>
      <c r="H69">
        <f t="shared" si="7"/>
        <v>11600</v>
      </c>
      <c r="I69">
        <f t="shared" si="8"/>
        <v>97150</v>
      </c>
    </row>
    <row r="70" spans="1:9" x14ac:dyDescent="0.35">
      <c r="A70" s="5" t="s">
        <v>79</v>
      </c>
      <c r="B70" s="6">
        <v>2013</v>
      </c>
      <c r="C70" s="6">
        <v>136000</v>
      </c>
      <c r="D70" s="6" t="s">
        <v>147</v>
      </c>
      <c r="E70" s="6">
        <v>247000</v>
      </c>
      <c r="F70" s="7">
        <v>42067</v>
      </c>
      <c r="G70">
        <f t="shared" si="6"/>
        <v>27200</v>
      </c>
      <c r="H70">
        <f t="shared" si="7"/>
        <v>8160</v>
      </c>
      <c r="I70">
        <f t="shared" si="8"/>
        <v>100640</v>
      </c>
    </row>
    <row r="71" spans="1:9" x14ac:dyDescent="0.35">
      <c r="A71" s="8" t="s">
        <v>56</v>
      </c>
      <c r="B71" s="9">
        <v>2009</v>
      </c>
      <c r="C71" s="9">
        <v>195370</v>
      </c>
      <c r="D71" s="9" t="s">
        <v>57</v>
      </c>
      <c r="E71" s="9">
        <v>290000</v>
      </c>
      <c r="F71" s="10">
        <v>42467</v>
      </c>
      <c r="G71">
        <f t="shared" si="6"/>
        <v>78148</v>
      </c>
      <c r="H71">
        <f t="shared" si="7"/>
        <v>11722.2</v>
      </c>
      <c r="I71">
        <f t="shared" si="8"/>
        <v>105499.8</v>
      </c>
    </row>
    <row r="72" spans="1:9" x14ac:dyDescent="0.35">
      <c r="A72" s="5" t="s">
        <v>45</v>
      </c>
      <c r="B72" s="6">
        <v>2014</v>
      </c>
      <c r="C72" s="6">
        <v>136502</v>
      </c>
      <c r="D72" s="6" t="s">
        <v>163</v>
      </c>
      <c r="E72" s="6">
        <v>243000</v>
      </c>
      <c r="F72" s="7">
        <v>42476</v>
      </c>
      <c r="G72">
        <f t="shared" si="6"/>
        <v>20475.300000000003</v>
      </c>
      <c r="H72">
        <f t="shared" si="7"/>
        <v>8190.12</v>
      </c>
      <c r="I72">
        <f t="shared" si="8"/>
        <v>107836.58</v>
      </c>
    </row>
    <row r="73" spans="1:9" x14ac:dyDescent="0.35">
      <c r="A73" s="5" t="s">
        <v>58</v>
      </c>
      <c r="B73" s="6">
        <v>2009</v>
      </c>
      <c r="C73" s="6">
        <v>195340</v>
      </c>
      <c r="D73" s="6" t="s">
        <v>59</v>
      </c>
      <c r="E73" s="6">
        <v>190000</v>
      </c>
      <c r="F73" s="7">
        <v>42278</v>
      </c>
      <c r="G73">
        <f t="shared" si="6"/>
        <v>78136</v>
      </c>
      <c r="H73">
        <f t="shared" si="7"/>
        <v>7813.6</v>
      </c>
      <c r="I73">
        <f t="shared" si="8"/>
        <v>109390.39999999999</v>
      </c>
    </row>
    <row r="74" spans="1:9" x14ac:dyDescent="0.35">
      <c r="A74" s="8" t="s">
        <v>33</v>
      </c>
      <c r="B74" s="9">
        <v>2012</v>
      </c>
      <c r="C74" s="9">
        <v>163800</v>
      </c>
      <c r="D74" s="9" t="s">
        <v>122</v>
      </c>
      <c r="E74" s="9">
        <v>366000</v>
      </c>
      <c r="F74" s="10">
        <v>42329</v>
      </c>
      <c r="G74">
        <f t="shared" si="6"/>
        <v>40950</v>
      </c>
      <c r="H74">
        <f t="shared" si="7"/>
        <v>13104</v>
      </c>
      <c r="I74">
        <f t="shared" si="8"/>
        <v>109746</v>
      </c>
    </row>
    <row r="75" spans="1:9" x14ac:dyDescent="0.35">
      <c r="A75" s="8" t="s">
        <v>45</v>
      </c>
      <c r="B75" s="9">
        <v>2013</v>
      </c>
      <c r="C75" s="9">
        <v>158000</v>
      </c>
      <c r="D75" s="9" t="s">
        <v>148</v>
      </c>
      <c r="E75" s="9">
        <v>407000</v>
      </c>
      <c r="F75" s="10">
        <v>42681</v>
      </c>
      <c r="G75">
        <f t="shared" si="6"/>
        <v>31600</v>
      </c>
      <c r="H75">
        <f t="shared" si="7"/>
        <v>15800</v>
      </c>
      <c r="I75">
        <f t="shared" si="8"/>
        <v>110600</v>
      </c>
    </row>
    <row r="76" spans="1:9" x14ac:dyDescent="0.35">
      <c r="A76" s="5" t="s">
        <v>62</v>
      </c>
      <c r="B76" s="6">
        <v>2011</v>
      </c>
      <c r="C76" s="6">
        <v>210000</v>
      </c>
      <c r="D76" s="6" t="s">
        <v>96</v>
      </c>
      <c r="E76" s="6">
        <v>780000</v>
      </c>
      <c r="F76" s="7">
        <v>42481</v>
      </c>
      <c r="G76">
        <f t="shared" si="6"/>
        <v>63000</v>
      </c>
      <c r="H76">
        <f t="shared" si="7"/>
        <v>33600</v>
      </c>
      <c r="I76">
        <f t="shared" si="8"/>
        <v>113400</v>
      </c>
    </row>
    <row r="77" spans="1:9" x14ac:dyDescent="0.35">
      <c r="A77" s="8" t="s">
        <v>62</v>
      </c>
      <c r="B77" s="9">
        <v>2011</v>
      </c>
      <c r="C77" s="9">
        <v>210000</v>
      </c>
      <c r="D77" s="9" t="s">
        <v>97</v>
      </c>
      <c r="E77" s="9">
        <v>760300</v>
      </c>
      <c r="F77" s="10">
        <v>42481</v>
      </c>
      <c r="G77">
        <f t="shared" si="6"/>
        <v>63000</v>
      </c>
      <c r="H77">
        <f t="shared" si="7"/>
        <v>33600</v>
      </c>
      <c r="I77">
        <f t="shared" si="8"/>
        <v>113400</v>
      </c>
    </row>
    <row r="78" spans="1:9" x14ac:dyDescent="0.35">
      <c r="A78" s="5" t="s">
        <v>123</v>
      </c>
      <c r="B78" s="6">
        <v>2012</v>
      </c>
      <c r="C78" s="6">
        <v>183000</v>
      </c>
      <c r="D78" s="6" t="s">
        <v>124</v>
      </c>
      <c r="E78" s="6">
        <v>520000</v>
      </c>
      <c r="F78" s="7">
        <v>42444</v>
      </c>
      <c r="G78">
        <f t="shared" si="6"/>
        <v>45750</v>
      </c>
      <c r="H78">
        <f t="shared" si="7"/>
        <v>21960</v>
      </c>
      <c r="I78">
        <f t="shared" si="8"/>
        <v>115290</v>
      </c>
    </row>
    <row r="79" spans="1:9" x14ac:dyDescent="0.35">
      <c r="A79" s="8" t="s">
        <v>123</v>
      </c>
      <c r="B79" s="9">
        <v>2012</v>
      </c>
      <c r="C79" s="9">
        <v>183000</v>
      </c>
      <c r="D79" s="9" t="s">
        <v>125</v>
      </c>
      <c r="E79" s="9">
        <v>530000</v>
      </c>
      <c r="F79" s="10">
        <v>42444</v>
      </c>
      <c r="G79">
        <f t="shared" si="6"/>
        <v>45750</v>
      </c>
      <c r="H79">
        <f t="shared" si="7"/>
        <v>21960</v>
      </c>
      <c r="I79">
        <f t="shared" si="8"/>
        <v>115290</v>
      </c>
    </row>
    <row r="80" spans="1:9" x14ac:dyDescent="0.35">
      <c r="A80" s="5" t="s">
        <v>62</v>
      </c>
      <c r="B80" s="6">
        <v>2011</v>
      </c>
      <c r="C80" s="6">
        <v>210000</v>
      </c>
      <c r="D80" s="6" t="s">
        <v>98</v>
      </c>
      <c r="E80" s="6">
        <v>680000</v>
      </c>
      <c r="F80" s="7">
        <v>42481</v>
      </c>
      <c r="G80">
        <f t="shared" si="6"/>
        <v>63000</v>
      </c>
      <c r="H80">
        <f t="shared" si="7"/>
        <v>29400</v>
      </c>
      <c r="I80">
        <f t="shared" si="8"/>
        <v>117600</v>
      </c>
    </row>
    <row r="81" spans="1:9" x14ac:dyDescent="0.35">
      <c r="A81" s="8" t="s">
        <v>62</v>
      </c>
      <c r="B81" s="9">
        <v>2011</v>
      </c>
      <c r="C81" s="9">
        <v>210000</v>
      </c>
      <c r="D81" s="9" t="s">
        <v>99</v>
      </c>
      <c r="E81" s="9">
        <v>655000</v>
      </c>
      <c r="F81" s="10">
        <v>42481</v>
      </c>
      <c r="G81">
        <f t="shared" si="6"/>
        <v>63000</v>
      </c>
      <c r="H81">
        <f t="shared" si="7"/>
        <v>29400</v>
      </c>
      <c r="I81">
        <f t="shared" si="8"/>
        <v>117600</v>
      </c>
    </row>
    <row r="82" spans="1:9" x14ac:dyDescent="0.35">
      <c r="A82" s="5" t="s">
        <v>100</v>
      </c>
      <c r="B82" s="6">
        <v>2011</v>
      </c>
      <c r="C82" s="6">
        <v>220000</v>
      </c>
      <c r="D82" s="6" t="s">
        <v>101</v>
      </c>
      <c r="E82" s="6">
        <v>731000</v>
      </c>
      <c r="F82" s="7">
        <v>42236</v>
      </c>
      <c r="G82">
        <f t="shared" si="6"/>
        <v>66000</v>
      </c>
      <c r="H82">
        <f t="shared" si="7"/>
        <v>35200</v>
      </c>
      <c r="I82">
        <f t="shared" si="8"/>
        <v>118800</v>
      </c>
    </row>
    <row r="83" spans="1:9" x14ac:dyDescent="0.35">
      <c r="A83" s="5" t="s">
        <v>123</v>
      </c>
      <c r="B83" s="6">
        <v>2012</v>
      </c>
      <c r="C83" s="6">
        <v>183000</v>
      </c>
      <c r="D83" s="6" t="s">
        <v>126</v>
      </c>
      <c r="E83" s="6">
        <v>490000</v>
      </c>
      <c r="F83" s="7">
        <v>42444</v>
      </c>
      <c r="G83">
        <f t="shared" si="6"/>
        <v>45750</v>
      </c>
      <c r="H83">
        <f t="shared" si="7"/>
        <v>18300</v>
      </c>
      <c r="I83">
        <f t="shared" si="8"/>
        <v>118950</v>
      </c>
    </row>
    <row r="84" spans="1:9" x14ac:dyDescent="0.35">
      <c r="A84" s="8" t="s">
        <v>123</v>
      </c>
      <c r="B84" s="9">
        <v>2012</v>
      </c>
      <c r="C84" s="9">
        <v>183000</v>
      </c>
      <c r="D84" s="9" t="s">
        <v>127</v>
      </c>
      <c r="E84" s="9">
        <v>481000</v>
      </c>
      <c r="F84" s="10">
        <v>42444</v>
      </c>
      <c r="G84">
        <f t="shared" si="6"/>
        <v>45750</v>
      </c>
      <c r="H84">
        <f t="shared" si="7"/>
        <v>18300</v>
      </c>
      <c r="I84">
        <f t="shared" si="8"/>
        <v>118950</v>
      </c>
    </row>
    <row r="85" spans="1:9" x14ac:dyDescent="0.35">
      <c r="A85" s="5" t="s">
        <v>123</v>
      </c>
      <c r="B85" s="6">
        <v>2012</v>
      </c>
      <c r="C85" s="6">
        <v>183000</v>
      </c>
      <c r="D85" s="6" t="s">
        <v>128</v>
      </c>
      <c r="E85" s="6">
        <v>454000</v>
      </c>
      <c r="F85" s="7">
        <v>42444</v>
      </c>
      <c r="G85">
        <f t="shared" si="6"/>
        <v>45750</v>
      </c>
      <c r="H85">
        <f t="shared" si="7"/>
        <v>18300</v>
      </c>
      <c r="I85">
        <f t="shared" si="8"/>
        <v>118950</v>
      </c>
    </row>
    <row r="86" spans="1:9" x14ac:dyDescent="0.35">
      <c r="A86" s="8" t="s">
        <v>83</v>
      </c>
      <c r="B86" s="9">
        <v>2010</v>
      </c>
      <c r="C86" s="9">
        <v>265000</v>
      </c>
      <c r="D86" s="9" t="s">
        <v>84</v>
      </c>
      <c r="E86" s="9">
        <v>930000</v>
      </c>
      <c r="F86" s="10">
        <v>42236</v>
      </c>
      <c r="G86">
        <f t="shared" si="6"/>
        <v>92750</v>
      </c>
      <c r="H86">
        <f t="shared" si="7"/>
        <v>53000</v>
      </c>
      <c r="I86">
        <f t="shared" si="8"/>
        <v>119250</v>
      </c>
    </row>
    <row r="87" spans="1:9" x14ac:dyDescent="0.35">
      <c r="A87" s="5" t="s">
        <v>83</v>
      </c>
      <c r="B87" s="6">
        <v>2010</v>
      </c>
      <c r="C87" s="6">
        <v>265000</v>
      </c>
      <c r="D87" s="6" t="s">
        <v>85</v>
      </c>
      <c r="E87" s="6">
        <v>912000</v>
      </c>
      <c r="F87" s="7">
        <v>42236</v>
      </c>
      <c r="G87">
        <f t="shared" si="6"/>
        <v>92750</v>
      </c>
      <c r="H87">
        <f t="shared" si="7"/>
        <v>53000</v>
      </c>
      <c r="I87">
        <f t="shared" si="8"/>
        <v>119250</v>
      </c>
    </row>
    <row r="88" spans="1:9" x14ac:dyDescent="0.35">
      <c r="A88" s="8" t="s">
        <v>60</v>
      </c>
      <c r="B88" s="9">
        <v>2009</v>
      </c>
      <c r="C88" s="9">
        <v>230000</v>
      </c>
      <c r="D88" s="9" t="s">
        <v>61</v>
      </c>
      <c r="E88" s="9">
        <v>305000</v>
      </c>
      <c r="F88" s="10">
        <v>42307</v>
      </c>
      <c r="G88">
        <f t="shared" si="6"/>
        <v>92000</v>
      </c>
      <c r="H88">
        <f t="shared" si="7"/>
        <v>18400</v>
      </c>
      <c r="I88">
        <f t="shared" si="8"/>
        <v>119600</v>
      </c>
    </row>
    <row r="89" spans="1:9" x14ac:dyDescent="0.35">
      <c r="A89" s="8" t="s">
        <v>100</v>
      </c>
      <c r="B89" s="9">
        <v>2011</v>
      </c>
      <c r="C89" s="9">
        <v>220000</v>
      </c>
      <c r="D89" s="9" t="s">
        <v>102</v>
      </c>
      <c r="E89" s="9">
        <v>685413</v>
      </c>
      <c r="F89" s="10">
        <v>42236</v>
      </c>
      <c r="G89">
        <f t="shared" si="6"/>
        <v>66000</v>
      </c>
      <c r="H89">
        <f t="shared" si="7"/>
        <v>30800</v>
      </c>
      <c r="I89">
        <f t="shared" si="8"/>
        <v>123200</v>
      </c>
    </row>
    <row r="90" spans="1:9" x14ac:dyDescent="0.35">
      <c r="A90" s="8" t="s">
        <v>83</v>
      </c>
      <c r="B90" s="9">
        <v>2010</v>
      </c>
      <c r="C90" s="9">
        <v>265000</v>
      </c>
      <c r="D90" s="9" t="s">
        <v>86</v>
      </c>
      <c r="E90" s="9">
        <v>856000</v>
      </c>
      <c r="F90" s="10">
        <v>42236</v>
      </c>
      <c r="G90">
        <f t="shared" si="6"/>
        <v>92750</v>
      </c>
      <c r="H90">
        <f t="shared" si="7"/>
        <v>47700</v>
      </c>
      <c r="I90">
        <f t="shared" si="8"/>
        <v>124550</v>
      </c>
    </row>
    <row r="91" spans="1:9" x14ac:dyDescent="0.35">
      <c r="A91" s="5" t="s">
        <v>33</v>
      </c>
      <c r="B91" s="6">
        <v>2010</v>
      </c>
      <c r="C91" s="6">
        <v>230000</v>
      </c>
      <c r="D91" s="6" t="s">
        <v>87</v>
      </c>
      <c r="E91" s="6">
        <v>455000</v>
      </c>
      <c r="F91" s="7">
        <v>42439</v>
      </c>
      <c r="G91">
        <f t="shared" si="6"/>
        <v>80500</v>
      </c>
      <c r="H91">
        <f t="shared" si="7"/>
        <v>23000</v>
      </c>
      <c r="I91">
        <f t="shared" si="8"/>
        <v>126500</v>
      </c>
    </row>
    <row r="92" spans="1:9" x14ac:dyDescent="0.35">
      <c r="A92" s="5" t="s">
        <v>58</v>
      </c>
      <c r="B92" s="6">
        <v>2011</v>
      </c>
      <c r="C92" s="6">
        <v>196340</v>
      </c>
      <c r="D92" s="6" t="s">
        <v>103</v>
      </c>
      <c r="E92" s="6">
        <v>186000</v>
      </c>
      <c r="F92" s="7">
        <v>42278</v>
      </c>
      <c r="G92">
        <f t="shared" si="6"/>
        <v>58902</v>
      </c>
      <c r="H92">
        <f t="shared" si="7"/>
        <v>7853.6</v>
      </c>
      <c r="I92">
        <f t="shared" si="8"/>
        <v>129584.4</v>
      </c>
    </row>
    <row r="93" spans="1:9" x14ac:dyDescent="0.35">
      <c r="A93" s="8" t="s">
        <v>60</v>
      </c>
      <c r="B93" s="9">
        <v>2010</v>
      </c>
      <c r="C93" s="9">
        <v>231000</v>
      </c>
      <c r="D93" s="9" t="s">
        <v>88</v>
      </c>
      <c r="E93" s="9">
        <v>301000</v>
      </c>
      <c r="F93" s="10">
        <v>42307</v>
      </c>
      <c r="G93">
        <f t="shared" si="6"/>
        <v>80850</v>
      </c>
      <c r="H93">
        <f t="shared" si="7"/>
        <v>18480</v>
      </c>
      <c r="I93">
        <f t="shared" si="8"/>
        <v>131670</v>
      </c>
    </row>
    <row r="94" spans="1:9" x14ac:dyDescent="0.35">
      <c r="A94" s="8" t="s">
        <v>104</v>
      </c>
      <c r="B94" s="9">
        <v>2011</v>
      </c>
      <c r="C94" s="9">
        <v>245000</v>
      </c>
      <c r="D94" s="9" t="s">
        <v>105</v>
      </c>
      <c r="E94" s="9">
        <v>720000</v>
      </c>
      <c r="F94" s="10">
        <v>42462</v>
      </c>
      <c r="G94">
        <f t="shared" si="6"/>
        <v>73500</v>
      </c>
      <c r="H94">
        <f t="shared" si="7"/>
        <v>39200</v>
      </c>
      <c r="I94">
        <f t="shared" si="8"/>
        <v>132300</v>
      </c>
    </row>
    <row r="95" spans="1:9" x14ac:dyDescent="0.35">
      <c r="A95" s="8" t="s">
        <v>129</v>
      </c>
      <c r="B95" s="9">
        <v>2012</v>
      </c>
      <c r="C95" s="9">
        <v>210000</v>
      </c>
      <c r="D95" s="9" t="s">
        <v>130</v>
      </c>
      <c r="E95" s="9">
        <v>517000</v>
      </c>
      <c r="F95" s="10">
        <v>42415</v>
      </c>
      <c r="G95">
        <f t="shared" si="6"/>
        <v>52500</v>
      </c>
      <c r="H95">
        <f t="shared" si="7"/>
        <v>25200</v>
      </c>
      <c r="I95">
        <f t="shared" si="8"/>
        <v>132300</v>
      </c>
    </row>
    <row r="96" spans="1:9" x14ac:dyDescent="0.35">
      <c r="A96" s="5" t="s">
        <v>56</v>
      </c>
      <c r="B96" s="6">
        <v>2012</v>
      </c>
      <c r="C96" s="6">
        <v>196370</v>
      </c>
      <c r="D96" s="6" t="s">
        <v>131</v>
      </c>
      <c r="E96" s="6">
        <v>286000</v>
      </c>
      <c r="F96" s="7">
        <v>42467</v>
      </c>
      <c r="G96">
        <f t="shared" si="6"/>
        <v>49092.5</v>
      </c>
      <c r="H96">
        <f t="shared" si="7"/>
        <v>11782.2</v>
      </c>
      <c r="I96">
        <f t="shared" si="8"/>
        <v>135495.29999999999</v>
      </c>
    </row>
    <row r="97" spans="1:9" x14ac:dyDescent="0.35">
      <c r="A97" s="8" t="s">
        <v>54</v>
      </c>
      <c r="B97" s="9">
        <v>2014</v>
      </c>
      <c r="C97" s="9">
        <v>167800</v>
      </c>
      <c r="D97" s="9" t="s">
        <v>164</v>
      </c>
      <c r="E97" s="9">
        <v>190300</v>
      </c>
      <c r="F97" s="10">
        <v>42272</v>
      </c>
      <c r="G97">
        <f t="shared" si="6"/>
        <v>25170</v>
      </c>
      <c r="H97">
        <f t="shared" si="7"/>
        <v>6712</v>
      </c>
      <c r="I97">
        <f t="shared" si="8"/>
        <v>135918</v>
      </c>
    </row>
    <row r="98" spans="1:9" x14ac:dyDescent="0.35">
      <c r="A98" s="8" t="s">
        <v>129</v>
      </c>
      <c r="B98" s="9">
        <v>2012</v>
      </c>
      <c r="C98" s="9">
        <v>210000</v>
      </c>
      <c r="D98" s="9" t="s">
        <v>132</v>
      </c>
      <c r="E98" s="9">
        <v>435000</v>
      </c>
      <c r="F98" s="10">
        <v>42415</v>
      </c>
      <c r="G98">
        <f t="shared" ref="G98:G129" si="9">0.05*C98*(2017-B98)</f>
        <v>52500</v>
      </c>
      <c r="H98">
        <f t="shared" ref="H98:H129" si="10">2/100*C98*ROUNDUP(E98/100000,0)</f>
        <v>21000</v>
      </c>
      <c r="I98">
        <f t="shared" ref="I98:I129" si="11">C98-G98-H98</f>
        <v>136500</v>
      </c>
    </row>
    <row r="99" spans="1:9" x14ac:dyDescent="0.35">
      <c r="A99" s="5" t="s">
        <v>133</v>
      </c>
      <c r="B99" s="6">
        <v>2012</v>
      </c>
      <c r="C99" s="6">
        <v>210300</v>
      </c>
      <c r="D99" s="6" t="s">
        <v>134</v>
      </c>
      <c r="E99" s="6">
        <v>417671</v>
      </c>
      <c r="F99" s="7">
        <v>42520</v>
      </c>
      <c r="G99">
        <f t="shared" si="9"/>
        <v>52575</v>
      </c>
      <c r="H99">
        <f t="shared" si="10"/>
        <v>21030</v>
      </c>
      <c r="I99">
        <f t="shared" si="11"/>
        <v>136695</v>
      </c>
    </row>
    <row r="100" spans="1:9" x14ac:dyDescent="0.35">
      <c r="A100" s="5" t="s">
        <v>104</v>
      </c>
      <c r="B100" s="6">
        <v>2011</v>
      </c>
      <c r="C100" s="6">
        <v>245000</v>
      </c>
      <c r="D100" s="6" t="s">
        <v>106</v>
      </c>
      <c r="E100" s="6">
        <v>680000</v>
      </c>
      <c r="F100" s="7">
        <v>42462</v>
      </c>
      <c r="G100">
        <f t="shared" si="9"/>
        <v>73500</v>
      </c>
      <c r="H100">
        <f t="shared" si="10"/>
        <v>34300</v>
      </c>
      <c r="I100">
        <f t="shared" si="11"/>
        <v>137200</v>
      </c>
    </row>
    <row r="101" spans="1:9" x14ac:dyDescent="0.35">
      <c r="A101" s="8" t="s">
        <v>104</v>
      </c>
      <c r="B101" s="9">
        <v>2011</v>
      </c>
      <c r="C101" s="9">
        <v>245000</v>
      </c>
      <c r="D101" s="9" t="s">
        <v>107</v>
      </c>
      <c r="E101" s="9">
        <v>660000</v>
      </c>
      <c r="F101" s="10">
        <v>42462</v>
      </c>
      <c r="G101">
        <f t="shared" si="9"/>
        <v>73500</v>
      </c>
      <c r="H101">
        <f t="shared" si="10"/>
        <v>34300</v>
      </c>
      <c r="I101">
        <f t="shared" si="11"/>
        <v>137200</v>
      </c>
    </row>
    <row r="102" spans="1:9" x14ac:dyDescent="0.35">
      <c r="A102" s="5" t="s">
        <v>104</v>
      </c>
      <c r="B102" s="6">
        <v>2011</v>
      </c>
      <c r="C102" s="6">
        <v>245000</v>
      </c>
      <c r="D102" s="6" t="s">
        <v>108</v>
      </c>
      <c r="E102" s="6">
        <v>630000</v>
      </c>
      <c r="F102" s="7">
        <v>42462</v>
      </c>
      <c r="G102">
        <f t="shared" si="9"/>
        <v>73500</v>
      </c>
      <c r="H102">
        <f t="shared" si="10"/>
        <v>34300</v>
      </c>
      <c r="I102">
        <f t="shared" si="11"/>
        <v>137200</v>
      </c>
    </row>
    <row r="103" spans="1:9" x14ac:dyDescent="0.35">
      <c r="A103" s="8" t="s">
        <v>104</v>
      </c>
      <c r="B103" s="9">
        <v>2011</v>
      </c>
      <c r="C103" s="9">
        <v>245000</v>
      </c>
      <c r="D103" s="9" t="s">
        <v>109</v>
      </c>
      <c r="E103" s="9">
        <v>655000</v>
      </c>
      <c r="F103" s="10">
        <v>42462</v>
      </c>
      <c r="G103">
        <f t="shared" si="9"/>
        <v>73500</v>
      </c>
      <c r="H103">
        <f t="shared" si="10"/>
        <v>34300</v>
      </c>
      <c r="I103">
        <f t="shared" si="11"/>
        <v>137200</v>
      </c>
    </row>
    <row r="104" spans="1:9" x14ac:dyDescent="0.35">
      <c r="A104" s="5" t="s">
        <v>104</v>
      </c>
      <c r="B104" s="6">
        <v>2011</v>
      </c>
      <c r="C104" s="6">
        <v>245000</v>
      </c>
      <c r="D104" s="6" t="s">
        <v>110</v>
      </c>
      <c r="E104" s="6">
        <v>590000</v>
      </c>
      <c r="F104" s="7">
        <v>42462</v>
      </c>
      <c r="G104">
        <f t="shared" si="9"/>
        <v>73500</v>
      </c>
      <c r="H104">
        <f t="shared" si="10"/>
        <v>29400</v>
      </c>
      <c r="I104">
        <f t="shared" si="11"/>
        <v>142100</v>
      </c>
    </row>
    <row r="105" spans="1:9" x14ac:dyDescent="0.35">
      <c r="A105" s="8" t="s">
        <v>33</v>
      </c>
      <c r="B105" s="9">
        <v>2012</v>
      </c>
      <c r="C105" s="9">
        <v>231000</v>
      </c>
      <c r="D105" s="9" t="s">
        <v>135</v>
      </c>
      <c r="E105" s="9">
        <v>451000</v>
      </c>
      <c r="F105" s="10">
        <v>42439</v>
      </c>
      <c r="G105">
        <f t="shared" si="9"/>
        <v>57750</v>
      </c>
      <c r="H105">
        <f t="shared" si="10"/>
        <v>23100</v>
      </c>
      <c r="I105">
        <f t="shared" si="11"/>
        <v>150150</v>
      </c>
    </row>
    <row r="106" spans="1:9" x14ac:dyDescent="0.35">
      <c r="A106" s="5" t="s">
        <v>62</v>
      </c>
      <c r="B106" s="6">
        <v>2010</v>
      </c>
      <c r="C106" s="6">
        <v>257000</v>
      </c>
      <c r="D106" s="6" t="s">
        <v>89</v>
      </c>
      <c r="E106" s="6">
        <v>164700</v>
      </c>
      <c r="F106" s="7">
        <v>42286</v>
      </c>
      <c r="G106">
        <f t="shared" si="9"/>
        <v>89950</v>
      </c>
      <c r="H106">
        <f t="shared" si="10"/>
        <v>10280</v>
      </c>
      <c r="I106">
        <f t="shared" si="11"/>
        <v>156770</v>
      </c>
    </row>
    <row r="107" spans="1:9" x14ac:dyDescent="0.35">
      <c r="A107" s="5" t="s">
        <v>136</v>
      </c>
      <c r="B107" s="6">
        <v>2012</v>
      </c>
      <c r="C107" s="6">
        <v>240000</v>
      </c>
      <c r="D107" s="6" t="s">
        <v>137</v>
      </c>
      <c r="E107" s="6">
        <v>301344</v>
      </c>
      <c r="F107" s="7">
        <v>42185</v>
      </c>
      <c r="G107">
        <f t="shared" si="9"/>
        <v>60000</v>
      </c>
      <c r="H107">
        <f t="shared" si="10"/>
        <v>19200</v>
      </c>
      <c r="I107">
        <f t="shared" si="11"/>
        <v>160800</v>
      </c>
    </row>
    <row r="108" spans="1:9" x14ac:dyDescent="0.35">
      <c r="A108" s="8" t="s">
        <v>136</v>
      </c>
      <c r="B108" s="9">
        <v>2012</v>
      </c>
      <c r="C108" s="9">
        <v>240000</v>
      </c>
      <c r="D108" s="9" t="s">
        <v>138</v>
      </c>
      <c r="E108" s="9">
        <v>315988</v>
      </c>
      <c r="F108" s="10">
        <v>42185</v>
      </c>
      <c r="G108">
        <f t="shared" si="9"/>
        <v>60000</v>
      </c>
      <c r="H108">
        <f t="shared" si="10"/>
        <v>19200</v>
      </c>
      <c r="I108">
        <f t="shared" si="11"/>
        <v>160800</v>
      </c>
    </row>
    <row r="109" spans="1:9" x14ac:dyDescent="0.35">
      <c r="A109" s="5" t="s">
        <v>62</v>
      </c>
      <c r="B109" s="6">
        <v>2009</v>
      </c>
      <c r="C109" s="6">
        <v>291000</v>
      </c>
      <c r="D109" s="6" t="s">
        <v>63</v>
      </c>
      <c r="E109" s="6">
        <v>166000</v>
      </c>
      <c r="F109" s="7">
        <v>42297</v>
      </c>
      <c r="G109">
        <f t="shared" si="9"/>
        <v>116400</v>
      </c>
      <c r="H109">
        <f t="shared" si="10"/>
        <v>11640</v>
      </c>
      <c r="I109">
        <f t="shared" si="11"/>
        <v>162960</v>
      </c>
    </row>
    <row r="110" spans="1:9" x14ac:dyDescent="0.35">
      <c r="A110" s="5" t="s">
        <v>136</v>
      </c>
      <c r="B110" s="6">
        <v>2012</v>
      </c>
      <c r="C110" s="6">
        <v>240000</v>
      </c>
      <c r="D110" s="6" t="s">
        <v>139</v>
      </c>
      <c r="E110" s="6">
        <v>234760</v>
      </c>
      <c r="F110" s="7">
        <v>42185</v>
      </c>
      <c r="G110">
        <f t="shared" si="9"/>
        <v>60000</v>
      </c>
      <c r="H110">
        <f t="shared" si="10"/>
        <v>14400</v>
      </c>
      <c r="I110">
        <f t="shared" si="11"/>
        <v>165600</v>
      </c>
    </row>
    <row r="111" spans="1:9" x14ac:dyDescent="0.35">
      <c r="A111" s="8" t="s">
        <v>136</v>
      </c>
      <c r="B111" s="9">
        <v>2012</v>
      </c>
      <c r="C111" s="9">
        <v>240000</v>
      </c>
      <c r="D111" s="9" t="s">
        <v>140</v>
      </c>
      <c r="E111" s="9">
        <v>210780</v>
      </c>
      <c r="F111" s="10">
        <v>42185</v>
      </c>
      <c r="G111">
        <f t="shared" si="9"/>
        <v>60000</v>
      </c>
      <c r="H111">
        <f t="shared" si="10"/>
        <v>14400</v>
      </c>
      <c r="I111">
        <f t="shared" si="11"/>
        <v>165600</v>
      </c>
    </row>
    <row r="112" spans="1:9" x14ac:dyDescent="0.35">
      <c r="A112" s="5" t="s">
        <v>136</v>
      </c>
      <c r="B112" s="6">
        <v>2012</v>
      </c>
      <c r="C112" s="6">
        <v>240000</v>
      </c>
      <c r="D112" s="6" t="s">
        <v>141</v>
      </c>
      <c r="E112" s="6">
        <v>198240</v>
      </c>
      <c r="F112" s="7">
        <v>42185</v>
      </c>
      <c r="G112">
        <f t="shared" si="9"/>
        <v>60000</v>
      </c>
      <c r="H112">
        <f t="shared" si="10"/>
        <v>9600</v>
      </c>
      <c r="I112">
        <f t="shared" si="11"/>
        <v>170400</v>
      </c>
    </row>
    <row r="113" spans="1:9" x14ac:dyDescent="0.35">
      <c r="A113" s="5" t="s">
        <v>136</v>
      </c>
      <c r="B113" s="6">
        <v>2013</v>
      </c>
      <c r="C113" s="6">
        <v>240000</v>
      </c>
      <c r="D113" s="6" t="s">
        <v>149</v>
      </c>
      <c r="E113" s="6">
        <v>301232</v>
      </c>
      <c r="F113" s="7">
        <v>42719</v>
      </c>
      <c r="G113">
        <f t="shared" si="9"/>
        <v>48000</v>
      </c>
      <c r="H113">
        <f t="shared" si="10"/>
        <v>19200</v>
      </c>
      <c r="I113">
        <f t="shared" si="11"/>
        <v>172800</v>
      </c>
    </row>
    <row r="114" spans="1:9" x14ac:dyDescent="0.35">
      <c r="A114" s="5" t="s">
        <v>35</v>
      </c>
      <c r="B114" s="6">
        <v>2014</v>
      </c>
      <c r="C114" s="6">
        <v>219000</v>
      </c>
      <c r="D114" s="6" t="s">
        <v>165</v>
      </c>
      <c r="E114" s="6">
        <v>126290</v>
      </c>
      <c r="F114" s="7">
        <v>42083</v>
      </c>
      <c r="G114">
        <f t="shared" si="9"/>
        <v>32850</v>
      </c>
      <c r="H114">
        <f t="shared" si="10"/>
        <v>8760</v>
      </c>
      <c r="I114">
        <f t="shared" si="11"/>
        <v>177390</v>
      </c>
    </row>
    <row r="115" spans="1:9" x14ac:dyDescent="0.35">
      <c r="A115" s="8" t="s">
        <v>136</v>
      </c>
      <c r="B115" s="9">
        <v>2013</v>
      </c>
      <c r="C115" s="9">
        <v>240000</v>
      </c>
      <c r="D115" s="9" t="s">
        <v>150</v>
      </c>
      <c r="E115" s="9">
        <v>289567</v>
      </c>
      <c r="F115" s="10">
        <v>42719</v>
      </c>
      <c r="G115">
        <f t="shared" si="9"/>
        <v>48000</v>
      </c>
      <c r="H115">
        <f t="shared" si="10"/>
        <v>14400</v>
      </c>
      <c r="I115">
        <f t="shared" si="11"/>
        <v>177600</v>
      </c>
    </row>
    <row r="116" spans="1:9" x14ac:dyDescent="0.35">
      <c r="A116" s="5" t="s">
        <v>136</v>
      </c>
      <c r="B116" s="6">
        <v>2013</v>
      </c>
      <c r="C116" s="6">
        <v>240000</v>
      </c>
      <c r="D116" s="6" t="s">
        <v>151</v>
      </c>
      <c r="E116" s="6">
        <v>245211</v>
      </c>
      <c r="F116" s="7">
        <v>42719</v>
      </c>
      <c r="G116">
        <f t="shared" si="9"/>
        <v>48000</v>
      </c>
      <c r="H116">
        <f t="shared" si="10"/>
        <v>14400</v>
      </c>
      <c r="I116">
        <f t="shared" si="11"/>
        <v>177600</v>
      </c>
    </row>
    <row r="117" spans="1:9" x14ac:dyDescent="0.35">
      <c r="A117" s="8" t="s">
        <v>136</v>
      </c>
      <c r="B117" s="9">
        <v>2013</v>
      </c>
      <c r="C117" s="9">
        <v>240000</v>
      </c>
      <c r="D117" s="9" t="s">
        <v>152</v>
      </c>
      <c r="E117" s="9">
        <v>200123</v>
      </c>
      <c r="F117" s="10">
        <v>42719</v>
      </c>
      <c r="G117">
        <f t="shared" si="9"/>
        <v>48000</v>
      </c>
      <c r="H117">
        <f t="shared" si="10"/>
        <v>14400</v>
      </c>
      <c r="I117">
        <f t="shared" si="11"/>
        <v>177600</v>
      </c>
    </row>
    <row r="118" spans="1:9" x14ac:dyDescent="0.35">
      <c r="A118" s="5" t="s">
        <v>136</v>
      </c>
      <c r="B118" s="6">
        <v>2013</v>
      </c>
      <c r="C118" s="6">
        <v>240000</v>
      </c>
      <c r="D118" s="6" t="s">
        <v>153</v>
      </c>
      <c r="E118" s="6">
        <v>235811</v>
      </c>
      <c r="F118" s="7">
        <v>42719</v>
      </c>
      <c r="G118">
        <f t="shared" si="9"/>
        <v>48000</v>
      </c>
      <c r="H118">
        <f t="shared" si="10"/>
        <v>14400</v>
      </c>
      <c r="I118">
        <f t="shared" si="11"/>
        <v>177600</v>
      </c>
    </row>
    <row r="119" spans="1:9" x14ac:dyDescent="0.35">
      <c r="A119" s="8" t="s">
        <v>136</v>
      </c>
      <c r="B119" s="9">
        <v>2013</v>
      </c>
      <c r="C119" s="9">
        <v>240000</v>
      </c>
      <c r="D119" s="9" t="s">
        <v>154</v>
      </c>
      <c r="E119" s="9">
        <v>250021</v>
      </c>
      <c r="F119" s="10">
        <v>42719</v>
      </c>
      <c r="G119">
        <f t="shared" si="9"/>
        <v>48000</v>
      </c>
      <c r="H119">
        <f t="shared" si="10"/>
        <v>14400</v>
      </c>
      <c r="I119">
        <f t="shared" si="11"/>
        <v>177600</v>
      </c>
    </row>
    <row r="120" spans="1:9" x14ac:dyDescent="0.35">
      <c r="A120" s="5" t="s">
        <v>136</v>
      </c>
      <c r="B120" s="6">
        <v>2013</v>
      </c>
      <c r="C120" s="6">
        <v>240000</v>
      </c>
      <c r="D120" s="6" t="s">
        <v>155</v>
      </c>
      <c r="E120" s="6">
        <v>198340</v>
      </c>
      <c r="F120" s="7">
        <v>42719</v>
      </c>
      <c r="G120">
        <f t="shared" si="9"/>
        <v>48000</v>
      </c>
      <c r="H120">
        <f t="shared" si="10"/>
        <v>9600</v>
      </c>
      <c r="I120">
        <f t="shared" si="11"/>
        <v>182400</v>
      </c>
    </row>
    <row r="121" spans="1:9" x14ac:dyDescent="0.35">
      <c r="A121" s="8" t="s">
        <v>136</v>
      </c>
      <c r="B121" s="9">
        <v>2013</v>
      </c>
      <c r="C121" s="9">
        <v>240000</v>
      </c>
      <c r="D121" s="9" t="s">
        <v>156</v>
      </c>
      <c r="E121" s="9">
        <v>189761</v>
      </c>
      <c r="F121" s="10">
        <v>42719</v>
      </c>
      <c r="G121">
        <f t="shared" si="9"/>
        <v>48000</v>
      </c>
      <c r="H121">
        <f t="shared" si="10"/>
        <v>9600</v>
      </c>
      <c r="I121">
        <f t="shared" si="11"/>
        <v>182400</v>
      </c>
    </row>
    <row r="122" spans="1:9" x14ac:dyDescent="0.35">
      <c r="A122" s="8" t="s">
        <v>35</v>
      </c>
      <c r="B122" s="9">
        <v>2015</v>
      </c>
      <c r="C122" s="9">
        <v>218000</v>
      </c>
      <c r="D122" s="9" t="s">
        <v>170</v>
      </c>
      <c r="E122" s="9">
        <v>130290</v>
      </c>
      <c r="F122" s="10">
        <v>42083</v>
      </c>
      <c r="G122">
        <f t="shared" si="9"/>
        <v>21800</v>
      </c>
      <c r="H122">
        <f t="shared" si="10"/>
        <v>8720</v>
      </c>
      <c r="I122">
        <f t="shared" si="11"/>
        <v>187480</v>
      </c>
    </row>
    <row r="123" spans="1:9" x14ac:dyDescent="0.35">
      <c r="A123" s="8" t="s">
        <v>136</v>
      </c>
      <c r="B123" s="9">
        <v>2014</v>
      </c>
      <c r="C123" s="9">
        <v>240000</v>
      </c>
      <c r="D123" s="9" t="s">
        <v>166</v>
      </c>
      <c r="E123" s="9">
        <v>183788</v>
      </c>
      <c r="F123" s="10">
        <v>42681</v>
      </c>
      <c r="G123">
        <f t="shared" si="9"/>
        <v>36000</v>
      </c>
      <c r="H123">
        <f t="shared" si="10"/>
        <v>9600</v>
      </c>
      <c r="I123">
        <f t="shared" si="11"/>
        <v>194400</v>
      </c>
    </row>
    <row r="124" spans="1:9" x14ac:dyDescent="0.35">
      <c r="A124" s="5" t="s">
        <v>136</v>
      </c>
      <c r="B124" s="6">
        <v>2014</v>
      </c>
      <c r="C124" s="6">
        <v>240000</v>
      </c>
      <c r="D124" s="6" t="s">
        <v>167</v>
      </c>
      <c r="E124" s="6">
        <v>160198</v>
      </c>
      <c r="F124" s="7">
        <v>42681</v>
      </c>
      <c r="G124">
        <f t="shared" si="9"/>
        <v>36000</v>
      </c>
      <c r="H124">
        <f t="shared" si="10"/>
        <v>9600</v>
      </c>
      <c r="I124">
        <f t="shared" si="11"/>
        <v>194400</v>
      </c>
    </row>
    <row r="125" spans="1:9" x14ac:dyDescent="0.35">
      <c r="A125" s="8" t="s">
        <v>136</v>
      </c>
      <c r="B125" s="9">
        <v>2014</v>
      </c>
      <c r="C125" s="9">
        <v>240000</v>
      </c>
      <c r="D125" s="9" t="s">
        <v>168</v>
      </c>
      <c r="E125" s="9">
        <v>156724</v>
      </c>
      <c r="F125" s="10">
        <v>42681</v>
      </c>
      <c r="G125">
        <f t="shared" si="9"/>
        <v>36000</v>
      </c>
      <c r="H125">
        <f t="shared" si="10"/>
        <v>9600</v>
      </c>
      <c r="I125">
        <f t="shared" si="11"/>
        <v>194400</v>
      </c>
    </row>
    <row r="126" spans="1:9" x14ac:dyDescent="0.35">
      <c r="A126" s="8" t="s">
        <v>62</v>
      </c>
      <c r="B126" s="9">
        <v>2012</v>
      </c>
      <c r="C126" s="9">
        <v>290000</v>
      </c>
      <c r="D126" s="9" t="s">
        <v>142</v>
      </c>
      <c r="E126" s="9">
        <v>170000</v>
      </c>
      <c r="F126" s="10">
        <v>42297</v>
      </c>
      <c r="G126">
        <f t="shared" si="9"/>
        <v>72500</v>
      </c>
      <c r="H126">
        <f t="shared" si="10"/>
        <v>11600</v>
      </c>
      <c r="I126">
        <f t="shared" si="11"/>
        <v>205900</v>
      </c>
    </row>
    <row r="127" spans="1:9" x14ac:dyDescent="0.35">
      <c r="A127" s="5" t="s">
        <v>157</v>
      </c>
      <c r="B127" s="6">
        <v>2013</v>
      </c>
      <c r="C127" s="6">
        <v>271000</v>
      </c>
      <c r="D127" s="6" t="s">
        <v>158</v>
      </c>
      <c r="E127" s="6">
        <v>153000</v>
      </c>
      <c r="F127" s="7">
        <v>42334</v>
      </c>
      <c r="G127">
        <f t="shared" si="9"/>
        <v>54200</v>
      </c>
      <c r="H127">
        <f t="shared" si="10"/>
        <v>10840</v>
      </c>
      <c r="I127">
        <f t="shared" si="11"/>
        <v>205960</v>
      </c>
    </row>
    <row r="128" spans="1:9" x14ac:dyDescent="0.35">
      <c r="A128" s="8" t="s">
        <v>157</v>
      </c>
      <c r="B128" s="9">
        <v>2013</v>
      </c>
      <c r="C128" s="9">
        <v>271000</v>
      </c>
      <c r="D128" s="9" t="s">
        <v>159</v>
      </c>
      <c r="E128" s="9">
        <v>123000</v>
      </c>
      <c r="F128" s="10">
        <v>42520</v>
      </c>
      <c r="G128">
        <f t="shared" si="9"/>
        <v>54200</v>
      </c>
      <c r="H128">
        <f t="shared" si="10"/>
        <v>10840</v>
      </c>
      <c r="I128">
        <f t="shared" si="11"/>
        <v>205960</v>
      </c>
    </row>
    <row r="129" spans="1:9" x14ac:dyDescent="0.35">
      <c r="A129" s="5" t="s">
        <v>157</v>
      </c>
      <c r="B129" s="6">
        <v>2014</v>
      </c>
      <c r="C129" s="6">
        <v>270000</v>
      </c>
      <c r="D129" s="6" t="s">
        <v>169</v>
      </c>
      <c r="E129" s="6">
        <v>157000</v>
      </c>
      <c r="F129" s="7">
        <v>42334</v>
      </c>
      <c r="G129">
        <f t="shared" si="9"/>
        <v>40500</v>
      </c>
      <c r="H129">
        <f t="shared" si="10"/>
        <v>10800</v>
      </c>
      <c r="I129">
        <f t="shared" si="11"/>
        <v>218700</v>
      </c>
    </row>
    <row r="130" spans="1:9" x14ac:dyDescent="0.35">
      <c r="A130" s="5" t="s">
        <v>62</v>
      </c>
      <c r="B130" s="6">
        <v>2015</v>
      </c>
      <c r="C130" s="6">
        <v>258000</v>
      </c>
      <c r="D130" s="6" t="s">
        <v>171</v>
      </c>
      <c r="E130" s="6">
        <v>160700</v>
      </c>
      <c r="F130" s="7">
        <v>42286</v>
      </c>
      <c r="G130">
        <f t="shared" ref="G130:G135" si="12">0.05*C130*(2017-B130)</f>
        <v>25800</v>
      </c>
      <c r="H130">
        <f t="shared" ref="H130:H135" si="13">2/100*C130*ROUNDUP(E130/100000,0)</f>
        <v>10320</v>
      </c>
      <c r="I130">
        <f t="shared" ref="I130:I161" si="14">C130-G130-H130</f>
        <v>221880</v>
      </c>
    </row>
    <row r="131" spans="1:9" x14ac:dyDescent="0.35">
      <c r="A131" s="5" t="s">
        <v>172</v>
      </c>
      <c r="B131" s="6">
        <v>2015</v>
      </c>
      <c r="C131" s="6">
        <v>360000</v>
      </c>
      <c r="D131" s="6" t="s">
        <v>174</v>
      </c>
      <c r="E131" s="6">
        <v>115000</v>
      </c>
      <c r="F131" s="7">
        <v>42734</v>
      </c>
      <c r="G131">
        <f t="shared" si="12"/>
        <v>36000</v>
      </c>
      <c r="H131">
        <f t="shared" si="13"/>
        <v>14400</v>
      </c>
      <c r="I131">
        <f t="shared" si="14"/>
        <v>309600</v>
      </c>
    </row>
    <row r="132" spans="1:9" x14ac:dyDescent="0.35">
      <c r="A132" s="8" t="s">
        <v>172</v>
      </c>
      <c r="B132" s="9">
        <v>2015</v>
      </c>
      <c r="C132" s="9">
        <v>360000</v>
      </c>
      <c r="D132" s="9" t="s">
        <v>175</v>
      </c>
      <c r="E132" s="9">
        <v>132000</v>
      </c>
      <c r="F132" s="10">
        <v>42734</v>
      </c>
      <c r="G132">
        <f t="shared" si="12"/>
        <v>36000</v>
      </c>
      <c r="H132">
        <f t="shared" si="13"/>
        <v>14400</v>
      </c>
      <c r="I132">
        <f t="shared" si="14"/>
        <v>309600</v>
      </c>
    </row>
    <row r="133" spans="1:9" x14ac:dyDescent="0.35">
      <c r="A133" s="5" t="s">
        <v>172</v>
      </c>
      <c r="B133" s="6">
        <v>2015</v>
      </c>
      <c r="C133" s="6">
        <v>360000</v>
      </c>
      <c r="D133" s="6" t="s">
        <v>176</v>
      </c>
      <c r="E133" s="6">
        <v>108000</v>
      </c>
      <c r="F133" s="7">
        <v>42734</v>
      </c>
      <c r="G133">
        <f t="shared" si="12"/>
        <v>36000</v>
      </c>
      <c r="H133">
        <f t="shared" si="13"/>
        <v>14400</v>
      </c>
      <c r="I133">
        <f t="shared" si="14"/>
        <v>309600</v>
      </c>
    </row>
    <row r="134" spans="1:9" x14ac:dyDescent="0.35">
      <c r="A134" s="8" t="s">
        <v>172</v>
      </c>
      <c r="B134" s="9">
        <v>2015</v>
      </c>
      <c r="C134" s="9">
        <v>360000</v>
      </c>
      <c r="D134" s="9" t="s">
        <v>177</v>
      </c>
      <c r="E134" s="9">
        <v>140000</v>
      </c>
      <c r="F134" s="10">
        <v>42734</v>
      </c>
      <c r="G134">
        <f t="shared" si="12"/>
        <v>36000</v>
      </c>
      <c r="H134">
        <f t="shared" si="13"/>
        <v>14400</v>
      </c>
      <c r="I134">
        <f t="shared" si="14"/>
        <v>309600</v>
      </c>
    </row>
    <row r="135" spans="1:9" x14ac:dyDescent="0.35">
      <c r="A135" s="11" t="s">
        <v>172</v>
      </c>
      <c r="B135" s="1">
        <v>2015</v>
      </c>
      <c r="C135" s="1">
        <v>360000</v>
      </c>
      <c r="D135" s="1" t="s">
        <v>173</v>
      </c>
      <c r="E135" s="1">
        <v>100000</v>
      </c>
      <c r="F135" s="12">
        <v>42734</v>
      </c>
      <c r="G135">
        <f t="shared" si="12"/>
        <v>36000</v>
      </c>
      <c r="H135">
        <f t="shared" si="13"/>
        <v>7200</v>
      </c>
      <c r="I135">
        <f t="shared" si="14"/>
        <v>316800</v>
      </c>
    </row>
  </sheetData>
  <autoFilter ref="A1:I135" xr:uid="{901E7A34-A307-4987-A9E2-5F19B6BE2C34}">
    <sortState xmlns:xlrd2="http://schemas.microsoft.com/office/spreadsheetml/2017/richdata2" ref="A2:I135">
      <sortCondition ref="I1:I13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8B86-3483-4979-B19D-E03CDC8CF4F7}">
  <dimension ref="A1:AN135"/>
  <sheetViews>
    <sheetView zoomScale="53" zoomScaleNormal="100" workbookViewId="0">
      <selection activeCell="AA41" sqref="P34:AA41"/>
    </sheetView>
  </sheetViews>
  <sheetFormatPr defaultRowHeight="14.5" x14ac:dyDescent="0.35"/>
  <cols>
    <col min="1" max="1" width="17" bestFit="1" customWidth="1"/>
    <col min="2" max="2" width="15.26953125" bestFit="1" customWidth="1"/>
    <col min="3" max="3" width="14.36328125" bestFit="1" customWidth="1"/>
    <col min="4" max="4" width="17" bestFit="1" customWidth="1"/>
    <col min="5" max="5" width="10.1796875" bestFit="1" customWidth="1"/>
    <col min="6" max="6" width="25.6328125" bestFit="1" customWidth="1"/>
    <col min="10" max="10" width="16.54296875" bestFit="1" customWidth="1"/>
    <col min="11" max="11" width="14.36328125" bestFit="1" customWidth="1"/>
    <col min="12" max="12" width="13" bestFit="1" customWidth="1"/>
    <col min="13" max="13" width="13.6328125" bestFit="1" customWidth="1"/>
    <col min="16" max="16" width="18.90625" bestFit="1" customWidth="1"/>
    <col min="17" max="17" width="18" bestFit="1" customWidth="1"/>
    <col min="18" max="26" width="5.453125" bestFit="1" customWidth="1"/>
    <col min="27" max="27" width="13.7265625" bestFit="1" customWidth="1"/>
    <col min="30" max="30" width="9.54296875" bestFit="1" customWidth="1"/>
    <col min="31" max="40" width="5.1796875" bestFit="1" customWidth="1"/>
  </cols>
  <sheetData>
    <row r="1" spans="1:13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13" t="s">
        <v>183</v>
      </c>
    </row>
    <row r="2" spans="1:13" x14ac:dyDescent="0.35">
      <c r="A2" s="5" t="s">
        <v>6</v>
      </c>
      <c r="B2" s="6">
        <v>2006</v>
      </c>
      <c r="C2" s="6">
        <v>85900</v>
      </c>
      <c r="D2" s="6" t="s">
        <v>7</v>
      </c>
      <c r="E2" s="6">
        <v>1200655</v>
      </c>
      <c r="F2" s="7">
        <v>42035</v>
      </c>
      <c r="G2" t="str">
        <f>LEFT(A2,SEARCH(" ",A2))</f>
        <v xml:space="preserve">Iveco </v>
      </c>
    </row>
    <row r="3" spans="1:13" x14ac:dyDescent="0.35">
      <c r="A3" s="8" t="s">
        <v>6</v>
      </c>
      <c r="B3" s="9">
        <v>2006</v>
      </c>
      <c r="C3" s="9">
        <v>85900</v>
      </c>
      <c r="D3" s="9" t="s">
        <v>8</v>
      </c>
      <c r="E3" s="9">
        <v>1068570</v>
      </c>
      <c r="F3" s="10">
        <v>42029</v>
      </c>
      <c r="G3" t="str">
        <f t="shared" ref="G3:G66" si="0">LEFT(A3,SEARCH(" ",A3))</f>
        <v xml:space="preserve">Iveco </v>
      </c>
    </row>
    <row r="4" spans="1:13" x14ac:dyDescent="0.35">
      <c r="A4" s="5" t="s">
        <v>6</v>
      </c>
      <c r="B4" s="6">
        <v>2006</v>
      </c>
      <c r="C4" s="6">
        <v>85900</v>
      </c>
      <c r="D4" s="6" t="s">
        <v>9</v>
      </c>
      <c r="E4" s="6">
        <v>998704</v>
      </c>
      <c r="F4" s="7">
        <v>42028</v>
      </c>
      <c r="G4" t="str">
        <f t="shared" si="0"/>
        <v xml:space="preserve">Iveco </v>
      </c>
    </row>
    <row r="5" spans="1:13" x14ac:dyDescent="0.35">
      <c r="A5" s="8" t="s">
        <v>6</v>
      </c>
      <c r="B5" s="9">
        <v>2006</v>
      </c>
      <c r="C5" s="9">
        <v>85900</v>
      </c>
      <c r="D5" s="9" t="s">
        <v>10</v>
      </c>
      <c r="E5" s="9">
        <v>936780</v>
      </c>
      <c r="F5" s="10">
        <v>42028</v>
      </c>
      <c r="G5" t="str">
        <f t="shared" si="0"/>
        <v xml:space="preserve">Iveco </v>
      </c>
    </row>
    <row r="6" spans="1:13" x14ac:dyDescent="0.35">
      <c r="A6" s="5" t="s">
        <v>6</v>
      </c>
      <c r="B6" s="6">
        <v>2006</v>
      </c>
      <c r="C6" s="6">
        <v>85900</v>
      </c>
      <c r="D6" s="6" t="s">
        <v>11</v>
      </c>
      <c r="E6" s="6">
        <v>870233</v>
      </c>
      <c r="F6" s="7">
        <v>42034</v>
      </c>
      <c r="G6" t="str">
        <f t="shared" si="0"/>
        <v xml:space="preserve">Iveco </v>
      </c>
    </row>
    <row r="7" spans="1:13" x14ac:dyDescent="0.35">
      <c r="A7" s="8" t="s">
        <v>12</v>
      </c>
      <c r="B7" s="9">
        <v>2007</v>
      </c>
      <c r="C7" s="9">
        <v>205000</v>
      </c>
      <c r="D7" s="9" t="s">
        <v>13</v>
      </c>
      <c r="E7" s="9">
        <v>1260000</v>
      </c>
      <c r="F7" s="10">
        <v>42483</v>
      </c>
      <c r="G7" t="str">
        <f t="shared" si="0"/>
        <v xml:space="preserve">Mercedes </v>
      </c>
    </row>
    <row r="8" spans="1:13" x14ac:dyDescent="0.35">
      <c r="A8" s="5" t="s">
        <v>14</v>
      </c>
      <c r="B8" s="6">
        <v>2007</v>
      </c>
      <c r="C8" s="6">
        <v>198000</v>
      </c>
      <c r="D8" s="6" t="s">
        <v>15</v>
      </c>
      <c r="E8" s="6">
        <v>890200</v>
      </c>
      <c r="F8" s="7">
        <v>42520</v>
      </c>
      <c r="G8" t="str">
        <f t="shared" si="0"/>
        <v xml:space="preserve">MAN </v>
      </c>
    </row>
    <row r="9" spans="1:13" x14ac:dyDescent="0.35">
      <c r="A9" s="8" t="s">
        <v>16</v>
      </c>
      <c r="B9" s="9">
        <v>2008</v>
      </c>
      <c r="C9" s="9">
        <v>49411</v>
      </c>
      <c r="D9" s="9" t="s">
        <v>17</v>
      </c>
      <c r="E9" s="9">
        <v>186000</v>
      </c>
      <c r="F9" s="10">
        <v>42210</v>
      </c>
      <c r="G9" t="str">
        <f t="shared" si="0"/>
        <v xml:space="preserve">Volvo </v>
      </c>
    </row>
    <row r="10" spans="1:13" x14ac:dyDescent="0.35">
      <c r="A10" s="5" t="s">
        <v>18</v>
      </c>
      <c r="B10" s="6">
        <v>2008</v>
      </c>
      <c r="C10" s="6">
        <v>58000</v>
      </c>
      <c r="D10" s="6" t="s">
        <v>19</v>
      </c>
      <c r="E10" s="6">
        <v>306000</v>
      </c>
      <c r="F10" s="7">
        <v>42271</v>
      </c>
      <c r="G10" t="str">
        <f t="shared" si="0"/>
        <v xml:space="preserve">Volvo </v>
      </c>
    </row>
    <row r="11" spans="1:13" x14ac:dyDescent="0.35">
      <c r="A11" s="8" t="s">
        <v>20</v>
      </c>
      <c r="B11" s="9">
        <v>2008</v>
      </c>
      <c r="C11" s="9">
        <v>84000</v>
      </c>
      <c r="D11" s="9" t="s">
        <v>21</v>
      </c>
      <c r="E11" s="9">
        <v>266000</v>
      </c>
      <c r="F11" s="10">
        <v>42382</v>
      </c>
      <c r="G11" t="str">
        <f t="shared" si="0"/>
        <v xml:space="preserve">Volvo </v>
      </c>
      <c r="J11" s="14" t="s">
        <v>181</v>
      </c>
      <c r="K11" t="s">
        <v>192</v>
      </c>
      <c r="L11" t="s">
        <v>191</v>
      </c>
      <c r="M11" t="s">
        <v>193</v>
      </c>
    </row>
    <row r="12" spans="1:13" x14ac:dyDescent="0.35">
      <c r="A12" s="5" t="s">
        <v>22</v>
      </c>
      <c r="B12" s="6">
        <v>2008</v>
      </c>
      <c r="C12" s="6">
        <v>89000</v>
      </c>
      <c r="D12" s="6" t="s">
        <v>23</v>
      </c>
      <c r="E12" s="6">
        <v>305000</v>
      </c>
      <c r="F12" s="7">
        <v>42075</v>
      </c>
      <c r="G12" t="str">
        <f t="shared" si="0"/>
        <v xml:space="preserve">Volvo </v>
      </c>
      <c r="J12" s="15" t="s">
        <v>184</v>
      </c>
      <c r="K12">
        <v>8197188</v>
      </c>
      <c r="L12">
        <v>30</v>
      </c>
      <c r="M12">
        <f>INT(K12/L12)</f>
        <v>273239</v>
      </c>
    </row>
    <row r="13" spans="1:13" x14ac:dyDescent="0.35">
      <c r="A13" s="8" t="s">
        <v>16</v>
      </c>
      <c r="B13" s="9">
        <v>2009</v>
      </c>
      <c r="C13" s="9">
        <v>48411</v>
      </c>
      <c r="D13" s="9" t="s">
        <v>24</v>
      </c>
      <c r="E13" s="9">
        <v>190000</v>
      </c>
      <c r="F13" s="10">
        <v>42210</v>
      </c>
      <c r="G13" t="str">
        <f t="shared" si="0"/>
        <v xml:space="preserve">Volvo </v>
      </c>
      <c r="J13" s="15" t="s">
        <v>185</v>
      </c>
      <c r="K13">
        <v>7889214</v>
      </c>
      <c r="L13">
        <v>12</v>
      </c>
      <c r="M13">
        <f t="shared" ref="M13:M18" si="1">INT(K13/L13)</f>
        <v>657434</v>
      </c>
    </row>
    <row r="14" spans="1:13" x14ac:dyDescent="0.35">
      <c r="A14" s="5" t="s">
        <v>25</v>
      </c>
      <c r="B14" s="6">
        <v>2009</v>
      </c>
      <c r="C14" s="6">
        <v>68000</v>
      </c>
      <c r="D14" s="6" t="s">
        <v>26</v>
      </c>
      <c r="E14" s="6">
        <v>992600</v>
      </c>
      <c r="F14" s="7">
        <v>42157</v>
      </c>
      <c r="G14" t="str">
        <f t="shared" si="0"/>
        <v xml:space="preserve">Iveco </v>
      </c>
      <c r="J14" s="15" t="s">
        <v>186</v>
      </c>
      <c r="K14">
        <v>5213471</v>
      </c>
      <c r="L14">
        <v>18</v>
      </c>
      <c r="M14">
        <f t="shared" si="1"/>
        <v>289637</v>
      </c>
    </row>
    <row r="15" spans="1:13" x14ac:dyDescent="0.35">
      <c r="A15" s="8" t="s">
        <v>16</v>
      </c>
      <c r="B15" s="9">
        <v>2009</v>
      </c>
      <c r="C15" s="9">
        <v>49411</v>
      </c>
      <c r="D15" s="9" t="s">
        <v>27</v>
      </c>
      <c r="E15" s="9">
        <v>186000</v>
      </c>
      <c r="F15" s="10">
        <v>42210</v>
      </c>
      <c r="G15" t="str">
        <f t="shared" si="0"/>
        <v xml:space="preserve">Volvo </v>
      </c>
      <c r="J15" s="15" t="s">
        <v>187</v>
      </c>
      <c r="K15">
        <v>8271280</v>
      </c>
      <c r="L15">
        <v>17</v>
      </c>
      <c r="M15">
        <f t="shared" si="1"/>
        <v>486545</v>
      </c>
    </row>
    <row r="16" spans="1:13" x14ac:dyDescent="0.35">
      <c r="A16" s="5" t="s">
        <v>28</v>
      </c>
      <c r="B16" s="6">
        <v>2009</v>
      </c>
      <c r="C16" s="6">
        <v>67900</v>
      </c>
      <c r="D16" s="6" t="s">
        <v>29</v>
      </c>
      <c r="E16" s="6">
        <v>850000</v>
      </c>
      <c r="F16" s="7">
        <v>42194</v>
      </c>
      <c r="G16" t="str">
        <f t="shared" si="0"/>
        <v xml:space="preserve">Scania </v>
      </c>
      <c r="J16" s="15" t="s">
        <v>188</v>
      </c>
      <c r="K16">
        <v>8838913</v>
      </c>
      <c r="L16">
        <v>17</v>
      </c>
      <c r="M16">
        <f t="shared" si="1"/>
        <v>519936</v>
      </c>
    </row>
    <row r="17" spans="1:40" x14ac:dyDescent="0.35">
      <c r="A17" s="8" t="s">
        <v>16</v>
      </c>
      <c r="B17" s="9">
        <v>2009</v>
      </c>
      <c r="C17" s="9">
        <v>65000</v>
      </c>
      <c r="D17" s="9" t="s">
        <v>30</v>
      </c>
      <c r="E17" s="9">
        <v>740000</v>
      </c>
      <c r="F17" s="10">
        <v>42385</v>
      </c>
      <c r="G17" t="str">
        <f t="shared" si="0"/>
        <v xml:space="preserve">Volvo </v>
      </c>
      <c r="J17" s="15" t="s">
        <v>189</v>
      </c>
      <c r="K17">
        <v>9471000</v>
      </c>
      <c r="L17">
        <v>17</v>
      </c>
      <c r="M17">
        <f t="shared" si="1"/>
        <v>557117</v>
      </c>
    </row>
    <row r="18" spans="1:40" x14ac:dyDescent="0.35">
      <c r="A18" s="5" t="s">
        <v>28</v>
      </c>
      <c r="B18" s="6">
        <v>2009</v>
      </c>
      <c r="C18" s="6">
        <v>68900</v>
      </c>
      <c r="D18" s="6" t="s">
        <v>31</v>
      </c>
      <c r="E18" s="6">
        <v>846000</v>
      </c>
      <c r="F18" s="7">
        <v>42194</v>
      </c>
      <c r="G18" t="str">
        <f t="shared" si="0"/>
        <v xml:space="preserve">Scania </v>
      </c>
      <c r="J18" s="15" t="s">
        <v>190</v>
      </c>
      <c r="K18">
        <v>7064000</v>
      </c>
      <c r="L18">
        <v>23</v>
      </c>
      <c r="M18">
        <f t="shared" si="1"/>
        <v>307130</v>
      </c>
    </row>
    <row r="19" spans="1:40" x14ac:dyDescent="0.35">
      <c r="A19" s="8" t="s">
        <v>18</v>
      </c>
      <c r="B19" s="9">
        <v>2009</v>
      </c>
      <c r="C19" s="9">
        <v>59000</v>
      </c>
      <c r="D19" s="9" t="s">
        <v>32</v>
      </c>
      <c r="E19" s="9">
        <v>302000</v>
      </c>
      <c r="F19" s="10">
        <v>42271</v>
      </c>
      <c r="G19" t="str">
        <f t="shared" si="0"/>
        <v xml:space="preserve">Volvo </v>
      </c>
      <c r="J19" s="15" t="s">
        <v>182</v>
      </c>
      <c r="K19">
        <v>54945066</v>
      </c>
      <c r="L19">
        <v>134</v>
      </c>
    </row>
    <row r="20" spans="1:40" x14ac:dyDescent="0.35">
      <c r="A20" s="5" t="s">
        <v>33</v>
      </c>
      <c r="B20" s="6">
        <v>2009</v>
      </c>
      <c r="C20" s="6">
        <v>77000</v>
      </c>
      <c r="D20" s="6" t="s">
        <v>34</v>
      </c>
      <c r="E20" s="6">
        <v>846000</v>
      </c>
      <c r="F20" s="7">
        <v>42376</v>
      </c>
      <c r="G20" t="str">
        <f t="shared" si="0"/>
        <v xml:space="preserve">Renault </v>
      </c>
    </row>
    <row r="21" spans="1:40" x14ac:dyDescent="0.35">
      <c r="A21" s="8" t="s">
        <v>35</v>
      </c>
      <c r="B21" s="9">
        <v>2009</v>
      </c>
      <c r="C21" s="9">
        <v>85000</v>
      </c>
      <c r="D21" s="9" t="s">
        <v>36</v>
      </c>
      <c r="E21" s="9">
        <v>946000</v>
      </c>
      <c r="F21" s="10">
        <v>42014</v>
      </c>
      <c r="G21" t="str">
        <f t="shared" si="0"/>
        <v xml:space="preserve">Mercedes </v>
      </c>
    </row>
    <row r="22" spans="1:40" x14ac:dyDescent="0.35">
      <c r="A22" s="5" t="s">
        <v>37</v>
      </c>
      <c r="B22" s="6">
        <v>2009</v>
      </c>
      <c r="C22" s="6">
        <v>79000</v>
      </c>
      <c r="D22" s="6" t="s">
        <v>38</v>
      </c>
      <c r="E22" s="6">
        <v>390000</v>
      </c>
      <c r="F22" s="7">
        <v>42379</v>
      </c>
      <c r="G22" t="str">
        <f t="shared" si="0"/>
        <v xml:space="preserve">Scania </v>
      </c>
      <c r="P22" s="14" t="s">
        <v>191</v>
      </c>
      <c r="Q22" s="14" t="s">
        <v>194</v>
      </c>
    </row>
    <row r="23" spans="1:40" x14ac:dyDescent="0.35">
      <c r="A23" s="8" t="s">
        <v>37</v>
      </c>
      <c r="B23" s="9">
        <v>2009</v>
      </c>
      <c r="C23" s="9">
        <v>79000</v>
      </c>
      <c r="D23" s="9" t="s">
        <v>39</v>
      </c>
      <c r="E23" s="9">
        <v>390000</v>
      </c>
      <c r="F23" s="10">
        <v>42379</v>
      </c>
      <c r="G23" t="str">
        <f t="shared" si="0"/>
        <v xml:space="preserve">Scania </v>
      </c>
      <c r="P23" s="14" t="s">
        <v>181</v>
      </c>
      <c r="Q23">
        <v>2006</v>
      </c>
      <c r="R23">
        <v>2007</v>
      </c>
      <c r="S23">
        <v>2008</v>
      </c>
      <c r="T23">
        <v>2009</v>
      </c>
      <c r="U23">
        <v>2010</v>
      </c>
      <c r="V23">
        <v>2011</v>
      </c>
      <c r="W23">
        <v>2012</v>
      </c>
      <c r="X23">
        <v>2013</v>
      </c>
      <c r="Y23">
        <v>2014</v>
      </c>
      <c r="Z23">
        <v>2015</v>
      </c>
      <c r="AA23" t="s">
        <v>182</v>
      </c>
      <c r="AD23" s="16" t="s">
        <v>195</v>
      </c>
      <c r="AE23" s="16">
        <v>2006</v>
      </c>
      <c r="AF23" s="16">
        <v>2007</v>
      </c>
      <c r="AG23" s="16">
        <v>2008</v>
      </c>
      <c r="AH23" s="16">
        <v>2009</v>
      </c>
      <c r="AI23" s="16">
        <v>2010</v>
      </c>
      <c r="AJ23" s="16">
        <v>2011</v>
      </c>
      <c r="AK23" s="16">
        <v>2012</v>
      </c>
      <c r="AL23" s="16">
        <v>2013</v>
      </c>
      <c r="AM23" s="16">
        <v>2014</v>
      </c>
      <c r="AN23" s="16">
        <v>2015</v>
      </c>
    </row>
    <row r="24" spans="1:40" x14ac:dyDescent="0.35">
      <c r="A24" s="5" t="s">
        <v>20</v>
      </c>
      <c r="B24" s="6">
        <v>2009</v>
      </c>
      <c r="C24" s="6">
        <v>83000</v>
      </c>
      <c r="D24" s="6" t="s">
        <v>40</v>
      </c>
      <c r="E24" s="6">
        <v>270000</v>
      </c>
      <c r="F24" s="7">
        <v>42382</v>
      </c>
      <c r="G24" t="str">
        <f t="shared" si="0"/>
        <v xml:space="preserve">Volvo </v>
      </c>
      <c r="P24" s="15" t="s">
        <v>184</v>
      </c>
      <c r="T24">
        <v>2</v>
      </c>
      <c r="U24">
        <v>4</v>
      </c>
      <c r="V24">
        <v>2</v>
      </c>
      <c r="W24">
        <v>8</v>
      </c>
      <c r="X24">
        <v>11</v>
      </c>
      <c r="Y24">
        <v>3</v>
      </c>
      <c r="AA24">
        <v>30</v>
      </c>
      <c r="AD24" s="15" t="s">
        <v>184</v>
      </c>
      <c r="AH24">
        <v>2</v>
      </c>
      <c r="AI24">
        <v>4</v>
      </c>
      <c r="AJ24">
        <v>2</v>
      </c>
      <c r="AK24">
        <v>8</v>
      </c>
      <c r="AL24">
        <v>11</v>
      </c>
      <c r="AM24">
        <v>3</v>
      </c>
    </row>
    <row r="25" spans="1:40" x14ac:dyDescent="0.35">
      <c r="A25" s="8" t="s">
        <v>41</v>
      </c>
      <c r="B25" s="9">
        <v>2009</v>
      </c>
      <c r="C25" s="9">
        <v>86133</v>
      </c>
      <c r="D25" s="9" t="s">
        <v>42</v>
      </c>
      <c r="E25" s="9">
        <v>380000</v>
      </c>
      <c r="F25" s="10">
        <v>42208</v>
      </c>
      <c r="G25" t="str">
        <f t="shared" si="0"/>
        <v xml:space="preserve">Iveco </v>
      </c>
      <c r="P25" s="15" t="s">
        <v>185</v>
      </c>
      <c r="Q25">
        <v>5</v>
      </c>
      <c r="T25">
        <v>2</v>
      </c>
      <c r="U25">
        <v>2</v>
      </c>
      <c r="W25">
        <v>3</v>
      </c>
      <c r="AA25">
        <v>12</v>
      </c>
      <c r="AD25" s="15" t="s">
        <v>185</v>
      </c>
      <c r="AE25">
        <v>5</v>
      </c>
      <c r="AH25">
        <v>2</v>
      </c>
      <c r="AI25">
        <v>2</v>
      </c>
      <c r="AK25">
        <v>3</v>
      </c>
    </row>
    <row r="26" spans="1:40" x14ac:dyDescent="0.35">
      <c r="A26" s="5" t="s">
        <v>22</v>
      </c>
      <c r="B26" s="6">
        <v>2009</v>
      </c>
      <c r="C26" s="6">
        <v>90000</v>
      </c>
      <c r="D26" s="6" t="s">
        <v>43</v>
      </c>
      <c r="E26" s="6">
        <v>301000</v>
      </c>
      <c r="F26" s="7">
        <v>42075</v>
      </c>
      <c r="G26" t="str">
        <f t="shared" si="0"/>
        <v xml:space="preserve">Volvo </v>
      </c>
      <c r="P26" s="15" t="s">
        <v>186</v>
      </c>
      <c r="R26">
        <v>1</v>
      </c>
      <c r="T26">
        <v>4</v>
      </c>
      <c r="U26">
        <v>2</v>
      </c>
      <c r="W26">
        <v>3</v>
      </c>
      <c r="X26">
        <v>3</v>
      </c>
      <c r="Y26">
        <v>5</v>
      </c>
      <c r="AA26">
        <v>18</v>
      </c>
      <c r="AD26" s="15" t="s">
        <v>186</v>
      </c>
      <c r="AF26">
        <v>1</v>
      </c>
      <c r="AH26">
        <v>4</v>
      </c>
      <c r="AI26">
        <v>2</v>
      </c>
      <c r="AK26">
        <v>3</v>
      </c>
      <c r="AL26">
        <v>3</v>
      </c>
      <c r="AM26">
        <v>5</v>
      </c>
    </row>
    <row r="27" spans="1:40" x14ac:dyDescent="0.35">
      <c r="A27" s="8" t="s">
        <v>35</v>
      </c>
      <c r="B27" s="9">
        <v>2009</v>
      </c>
      <c r="C27" s="9">
        <v>91000</v>
      </c>
      <c r="D27" s="9" t="s">
        <v>44</v>
      </c>
      <c r="E27" s="9">
        <v>360000</v>
      </c>
      <c r="F27" s="10">
        <v>42174</v>
      </c>
      <c r="G27" t="str">
        <f t="shared" si="0"/>
        <v xml:space="preserve">Mercedes </v>
      </c>
      <c r="P27" s="15" t="s">
        <v>187</v>
      </c>
      <c r="R27">
        <v>1</v>
      </c>
      <c r="T27">
        <v>4</v>
      </c>
      <c r="U27">
        <v>4</v>
      </c>
      <c r="V27">
        <v>4</v>
      </c>
      <c r="W27">
        <v>1</v>
      </c>
      <c r="Y27">
        <v>1</v>
      </c>
      <c r="Z27">
        <v>2</v>
      </c>
      <c r="AA27">
        <v>17</v>
      </c>
      <c r="AD27" s="15" t="s">
        <v>187</v>
      </c>
      <c r="AF27">
        <v>1</v>
      </c>
      <c r="AH27">
        <v>4</v>
      </c>
      <c r="AI27">
        <v>4</v>
      </c>
      <c r="AJ27">
        <v>4</v>
      </c>
      <c r="AK27">
        <v>1</v>
      </c>
      <c r="AM27">
        <v>1</v>
      </c>
      <c r="AN27">
        <v>2</v>
      </c>
    </row>
    <row r="28" spans="1:40" x14ac:dyDescent="0.35">
      <c r="A28" s="5" t="s">
        <v>45</v>
      </c>
      <c r="B28" s="6">
        <v>2009</v>
      </c>
      <c r="C28" s="6">
        <v>114400</v>
      </c>
      <c r="D28" s="6" t="s">
        <v>46</v>
      </c>
      <c r="E28" s="6">
        <v>226000</v>
      </c>
      <c r="F28" s="7">
        <v>42073</v>
      </c>
      <c r="G28" t="str">
        <f t="shared" si="0"/>
        <v xml:space="preserve">MAN </v>
      </c>
      <c r="P28" s="15" t="s">
        <v>188</v>
      </c>
      <c r="T28">
        <v>2</v>
      </c>
      <c r="U28">
        <v>6</v>
      </c>
      <c r="V28">
        <v>6</v>
      </c>
      <c r="W28">
        <v>3</v>
      </c>
      <c r="AA28">
        <v>17</v>
      </c>
      <c r="AD28" s="15" t="s">
        <v>188</v>
      </c>
      <c r="AH28">
        <v>2</v>
      </c>
      <c r="AI28">
        <v>6</v>
      </c>
      <c r="AJ28">
        <v>6</v>
      </c>
      <c r="AK28">
        <v>3</v>
      </c>
    </row>
    <row r="29" spans="1:40" x14ac:dyDescent="0.35">
      <c r="A29" s="8" t="s">
        <v>47</v>
      </c>
      <c r="B29" s="9">
        <v>2009</v>
      </c>
      <c r="C29" s="9">
        <v>134000</v>
      </c>
      <c r="D29" s="9" t="s">
        <v>48</v>
      </c>
      <c r="E29" s="9">
        <v>482000</v>
      </c>
      <c r="F29" s="10">
        <v>42385</v>
      </c>
      <c r="G29" t="str">
        <f t="shared" si="0"/>
        <v xml:space="preserve">Volvo </v>
      </c>
      <c r="P29" s="15" t="s">
        <v>189</v>
      </c>
      <c r="T29">
        <v>4</v>
      </c>
      <c r="V29">
        <v>6</v>
      </c>
      <c r="W29">
        <v>5</v>
      </c>
      <c r="X29">
        <v>2</v>
      </c>
      <c r="AA29">
        <v>17</v>
      </c>
      <c r="AD29" s="15" t="s">
        <v>189</v>
      </c>
      <c r="AH29">
        <v>4</v>
      </c>
      <c r="AJ29">
        <v>6</v>
      </c>
      <c r="AK29">
        <v>5</v>
      </c>
      <c r="AL29">
        <v>2</v>
      </c>
    </row>
    <row r="30" spans="1:40" x14ac:dyDescent="0.35">
      <c r="A30" s="5" t="s">
        <v>47</v>
      </c>
      <c r="B30" s="6">
        <v>2009</v>
      </c>
      <c r="C30" s="6">
        <v>135000</v>
      </c>
      <c r="D30" s="6" t="s">
        <v>49</v>
      </c>
      <c r="E30" s="6">
        <v>478000</v>
      </c>
      <c r="F30" s="7">
        <v>42385</v>
      </c>
      <c r="G30" t="str">
        <f t="shared" si="0"/>
        <v xml:space="preserve">Volvo </v>
      </c>
      <c r="P30" s="15" t="s">
        <v>190</v>
      </c>
      <c r="S30">
        <v>4</v>
      </c>
      <c r="T30">
        <v>8</v>
      </c>
      <c r="U30">
        <v>2</v>
      </c>
      <c r="W30">
        <v>4</v>
      </c>
      <c r="Z30">
        <v>5</v>
      </c>
      <c r="AA30">
        <v>23</v>
      </c>
      <c r="AD30" s="15" t="s">
        <v>190</v>
      </c>
      <c r="AG30">
        <v>4</v>
      </c>
      <c r="AH30">
        <v>8</v>
      </c>
      <c r="AI30">
        <v>2</v>
      </c>
      <c r="AK30">
        <v>4</v>
      </c>
      <c r="AN30">
        <v>5</v>
      </c>
    </row>
    <row r="31" spans="1:40" x14ac:dyDescent="0.35">
      <c r="A31" s="8" t="s">
        <v>50</v>
      </c>
      <c r="B31" s="9">
        <v>2009</v>
      </c>
      <c r="C31" s="9">
        <v>131780</v>
      </c>
      <c r="D31" s="9" t="s">
        <v>51</v>
      </c>
      <c r="E31" s="9">
        <v>306000</v>
      </c>
      <c r="F31" s="10">
        <v>42365</v>
      </c>
      <c r="G31" t="str">
        <f t="shared" si="0"/>
        <v xml:space="preserve">DAF </v>
      </c>
      <c r="P31" s="15" t="s">
        <v>182</v>
      </c>
      <c r="Q31">
        <v>5</v>
      </c>
      <c r="R31">
        <v>2</v>
      </c>
      <c r="S31">
        <v>4</v>
      </c>
      <c r="T31">
        <v>26</v>
      </c>
      <c r="U31">
        <v>20</v>
      </c>
      <c r="V31">
        <v>18</v>
      </c>
      <c r="W31">
        <v>27</v>
      </c>
      <c r="X31">
        <v>16</v>
      </c>
      <c r="Y31">
        <v>9</v>
      </c>
      <c r="Z31">
        <v>7</v>
      </c>
      <c r="AA31">
        <v>134</v>
      </c>
    </row>
    <row r="32" spans="1:40" x14ac:dyDescent="0.35">
      <c r="A32" s="5" t="s">
        <v>45</v>
      </c>
      <c r="B32" s="6">
        <v>2009</v>
      </c>
      <c r="C32" s="6">
        <v>159000</v>
      </c>
      <c r="D32" s="6" t="s">
        <v>52</v>
      </c>
      <c r="E32" s="6">
        <v>403000</v>
      </c>
      <c r="F32" s="7">
        <v>42681</v>
      </c>
      <c r="G32" t="str">
        <f t="shared" si="0"/>
        <v xml:space="preserve">MAN </v>
      </c>
    </row>
    <row r="33" spans="1:27" x14ac:dyDescent="0.35">
      <c r="A33" s="8" t="s">
        <v>33</v>
      </c>
      <c r="B33" s="9">
        <v>2009</v>
      </c>
      <c r="C33" s="9">
        <v>162800</v>
      </c>
      <c r="D33" s="9" t="s">
        <v>53</v>
      </c>
      <c r="E33" s="9">
        <v>370000</v>
      </c>
      <c r="F33" s="10">
        <v>42329</v>
      </c>
      <c r="G33" t="str">
        <f t="shared" si="0"/>
        <v xml:space="preserve">Renault </v>
      </c>
    </row>
    <row r="34" spans="1:27" x14ac:dyDescent="0.35">
      <c r="A34" s="5" t="s">
        <v>54</v>
      </c>
      <c r="B34" s="6">
        <v>2009</v>
      </c>
      <c r="C34" s="6">
        <v>168800</v>
      </c>
      <c r="D34" s="6" t="s">
        <v>55</v>
      </c>
      <c r="E34" s="6">
        <v>186300</v>
      </c>
      <c r="F34" s="7">
        <v>42272</v>
      </c>
      <c r="G34" t="str">
        <f t="shared" si="0"/>
        <v xml:space="preserve">MAN </v>
      </c>
      <c r="P34" s="16" t="s">
        <v>195</v>
      </c>
      <c r="Q34" s="16">
        <v>2006</v>
      </c>
      <c r="R34" s="16">
        <v>2007</v>
      </c>
      <c r="S34" s="16">
        <v>2008</v>
      </c>
      <c r="T34" s="16">
        <v>2009</v>
      </c>
      <c r="U34" s="16">
        <v>2010</v>
      </c>
      <c r="V34" s="16">
        <v>2011</v>
      </c>
      <c r="W34" s="16">
        <v>2012</v>
      </c>
      <c r="X34" s="16">
        <v>2013</v>
      </c>
      <c r="Y34" s="16">
        <v>2014</v>
      </c>
      <c r="Z34" s="16">
        <v>2015</v>
      </c>
      <c r="AA34" s="16"/>
    </row>
    <row r="35" spans="1:27" x14ac:dyDescent="0.35">
      <c r="A35" s="8" t="s">
        <v>56</v>
      </c>
      <c r="B35" s="9">
        <v>2009</v>
      </c>
      <c r="C35" s="9">
        <v>195370</v>
      </c>
      <c r="D35" s="9" t="s">
        <v>57</v>
      </c>
      <c r="E35" s="9">
        <v>290000</v>
      </c>
      <c r="F35" s="10">
        <v>42467</v>
      </c>
      <c r="G35" t="str">
        <f t="shared" si="0"/>
        <v xml:space="preserve">MAN </v>
      </c>
      <c r="P35" s="15" t="s">
        <v>184</v>
      </c>
      <c r="T35">
        <v>2</v>
      </c>
      <c r="U35">
        <v>4</v>
      </c>
      <c r="V35">
        <v>2</v>
      </c>
      <c r="W35">
        <v>8</v>
      </c>
      <c r="X35">
        <v>11</v>
      </c>
      <c r="Y35">
        <v>3</v>
      </c>
      <c r="AA35">
        <v>30</v>
      </c>
    </row>
    <row r="36" spans="1:27" x14ac:dyDescent="0.35">
      <c r="A36" s="5" t="s">
        <v>58</v>
      </c>
      <c r="B36" s="6">
        <v>2009</v>
      </c>
      <c r="C36" s="6">
        <v>195340</v>
      </c>
      <c r="D36" s="6" t="s">
        <v>59</v>
      </c>
      <c r="E36" s="6">
        <v>190000</v>
      </c>
      <c r="F36" s="7">
        <v>42278</v>
      </c>
      <c r="G36" t="str">
        <f t="shared" si="0"/>
        <v xml:space="preserve">DAF </v>
      </c>
      <c r="P36" s="15" t="s">
        <v>185</v>
      </c>
      <c r="Q36">
        <v>5</v>
      </c>
      <c r="T36">
        <v>2</v>
      </c>
      <c r="U36">
        <v>2</v>
      </c>
      <c r="W36">
        <v>3</v>
      </c>
      <c r="AA36">
        <v>12</v>
      </c>
    </row>
    <row r="37" spans="1:27" x14ac:dyDescent="0.35">
      <c r="A37" s="8" t="s">
        <v>60</v>
      </c>
      <c r="B37" s="9">
        <v>2009</v>
      </c>
      <c r="C37" s="9">
        <v>230000</v>
      </c>
      <c r="D37" s="9" t="s">
        <v>61</v>
      </c>
      <c r="E37" s="9">
        <v>305000</v>
      </c>
      <c r="F37" s="10">
        <v>42307</v>
      </c>
      <c r="G37" t="str">
        <f t="shared" si="0"/>
        <v xml:space="preserve">Mercedes </v>
      </c>
      <c r="P37" s="15" t="s">
        <v>186</v>
      </c>
      <c r="R37">
        <v>1</v>
      </c>
      <c r="T37">
        <v>4</v>
      </c>
      <c r="U37">
        <v>2</v>
      </c>
      <c r="W37">
        <v>3</v>
      </c>
      <c r="X37">
        <v>3</v>
      </c>
      <c r="Y37">
        <v>5</v>
      </c>
      <c r="AA37">
        <v>18</v>
      </c>
    </row>
    <row r="38" spans="1:27" x14ac:dyDescent="0.35">
      <c r="A38" s="5" t="s">
        <v>62</v>
      </c>
      <c r="B38" s="6">
        <v>2009</v>
      </c>
      <c r="C38" s="6">
        <v>291000</v>
      </c>
      <c r="D38" s="6" t="s">
        <v>63</v>
      </c>
      <c r="E38" s="6">
        <v>166000</v>
      </c>
      <c r="F38" s="7">
        <v>42297</v>
      </c>
      <c r="G38" t="str">
        <f t="shared" si="0"/>
        <v xml:space="preserve">Mercedes </v>
      </c>
      <c r="P38" s="15" t="s">
        <v>187</v>
      </c>
      <c r="R38">
        <v>1</v>
      </c>
      <c r="T38">
        <v>4</v>
      </c>
      <c r="U38">
        <v>4</v>
      </c>
      <c r="V38">
        <v>4</v>
      </c>
      <c r="W38">
        <v>1</v>
      </c>
      <c r="Y38">
        <v>1</v>
      </c>
      <c r="Z38">
        <v>2</v>
      </c>
      <c r="AA38">
        <v>17</v>
      </c>
    </row>
    <row r="39" spans="1:27" x14ac:dyDescent="0.35">
      <c r="A39" s="8" t="s">
        <v>50</v>
      </c>
      <c r="B39" s="9">
        <v>2010</v>
      </c>
      <c r="C39" s="9">
        <v>37000</v>
      </c>
      <c r="D39" s="9" t="s">
        <v>64</v>
      </c>
      <c r="E39" s="9">
        <v>978000</v>
      </c>
      <c r="F39" s="10">
        <v>42309</v>
      </c>
      <c r="G39" t="str">
        <f t="shared" si="0"/>
        <v xml:space="preserve">DAF </v>
      </c>
      <c r="P39" s="15" t="s">
        <v>188</v>
      </c>
      <c r="T39">
        <v>2</v>
      </c>
      <c r="U39">
        <v>6</v>
      </c>
      <c r="V39">
        <v>6</v>
      </c>
      <c r="W39">
        <v>3</v>
      </c>
      <c r="AA39">
        <v>17</v>
      </c>
    </row>
    <row r="40" spans="1:27" x14ac:dyDescent="0.35">
      <c r="A40" s="5" t="s">
        <v>50</v>
      </c>
      <c r="B40" s="6">
        <v>2010</v>
      </c>
      <c r="C40" s="6">
        <v>40830</v>
      </c>
      <c r="D40" s="6" t="s">
        <v>65</v>
      </c>
      <c r="E40" s="6">
        <v>326000</v>
      </c>
      <c r="F40" s="7">
        <v>42062</v>
      </c>
      <c r="G40" t="str">
        <f t="shared" si="0"/>
        <v xml:space="preserve">DAF </v>
      </c>
      <c r="P40" s="15" t="s">
        <v>189</v>
      </c>
      <c r="T40">
        <v>4</v>
      </c>
      <c r="V40">
        <v>6</v>
      </c>
      <c r="W40">
        <v>5</v>
      </c>
      <c r="X40">
        <v>2</v>
      </c>
      <c r="AA40">
        <v>17</v>
      </c>
    </row>
    <row r="41" spans="1:27" x14ac:dyDescent="0.35">
      <c r="A41" s="8" t="s">
        <v>16</v>
      </c>
      <c r="B41" s="9">
        <v>2010</v>
      </c>
      <c r="C41" s="9">
        <v>66000</v>
      </c>
      <c r="D41" s="9" t="s">
        <v>66</v>
      </c>
      <c r="E41" s="9">
        <v>736000</v>
      </c>
      <c r="F41" s="10">
        <v>42385</v>
      </c>
      <c r="G41" t="str">
        <f t="shared" si="0"/>
        <v xml:space="preserve">Volvo </v>
      </c>
      <c r="P41" s="15" t="s">
        <v>190</v>
      </c>
      <c r="S41">
        <v>4</v>
      </c>
      <c r="T41">
        <v>8</v>
      </c>
      <c r="U41">
        <v>2</v>
      </c>
      <c r="W41">
        <v>4</v>
      </c>
      <c r="Z41">
        <v>5</v>
      </c>
    </row>
    <row r="42" spans="1:27" x14ac:dyDescent="0.35">
      <c r="A42" s="5" t="s">
        <v>67</v>
      </c>
      <c r="B42" s="6">
        <v>2010</v>
      </c>
      <c r="C42" s="6">
        <v>60000</v>
      </c>
      <c r="D42" s="6" t="s">
        <v>68</v>
      </c>
      <c r="E42" s="6">
        <v>99250</v>
      </c>
      <c r="F42" s="7">
        <v>42226</v>
      </c>
      <c r="G42" t="str">
        <f t="shared" si="0"/>
        <v xml:space="preserve">Renault </v>
      </c>
    </row>
    <row r="43" spans="1:27" x14ac:dyDescent="0.35">
      <c r="A43" s="8" t="s">
        <v>35</v>
      </c>
      <c r="B43" s="9">
        <v>2010</v>
      </c>
      <c r="C43" s="9">
        <v>84000</v>
      </c>
      <c r="D43" s="9" t="s">
        <v>69</v>
      </c>
      <c r="E43" s="9">
        <v>950000</v>
      </c>
      <c r="F43" s="10">
        <v>42029</v>
      </c>
      <c r="G43" t="str">
        <f t="shared" si="0"/>
        <v xml:space="preserve">Mercedes </v>
      </c>
    </row>
    <row r="44" spans="1:27" x14ac:dyDescent="0.35">
      <c r="A44" s="5" t="s">
        <v>25</v>
      </c>
      <c r="B44" s="6">
        <v>2010</v>
      </c>
      <c r="C44" s="6">
        <v>67000</v>
      </c>
      <c r="D44" s="6" t="s">
        <v>70</v>
      </c>
      <c r="E44" s="6">
        <v>103260</v>
      </c>
      <c r="F44" s="7">
        <v>42157</v>
      </c>
      <c r="G44" t="str">
        <f t="shared" si="0"/>
        <v xml:space="preserve">Iveco </v>
      </c>
    </row>
    <row r="45" spans="1:27" x14ac:dyDescent="0.35">
      <c r="A45" s="8" t="s">
        <v>71</v>
      </c>
      <c r="B45" s="9">
        <v>2010</v>
      </c>
      <c r="C45" s="9">
        <v>75300</v>
      </c>
      <c r="D45" s="9" t="s">
        <v>72</v>
      </c>
      <c r="E45" s="9">
        <v>302000</v>
      </c>
      <c r="F45" s="10">
        <v>42174</v>
      </c>
      <c r="G45" t="str">
        <f t="shared" si="0"/>
        <v xml:space="preserve">Renault </v>
      </c>
    </row>
    <row r="46" spans="1:27" x14ac:dyDescent="0.35">
      <c r="A46" s="5" t="s">
        <v>20</v>
      </c>
      <c r="B46" s="6">
        <v>2010</v>
      </c>
      <c r="C46" s="6">
        <v>84000</v>
      </c>
      <c r="D46" s="6" t="s">
        <v>73</v>
      </c>
      <c r="E46" s="6">
        <v>266000</v>
      </c>
      <c r="F46" s="7">
        <v>42382</v>
      </c>
      <c r="G46" t="str">
        <f t="shared" si="0"/>
        <v xml:space="preserve">Volvo </v>
      </c>
    </row>
    <row r="47" spans="1:27" x14ac:dyDescent="0.35">
      <c r="A47" s="8" t="s">
        <v>35</v>
      </c>
      <c r="B47" s="9">
        <v>2010</v>
      </c>
      <c r="C47" s="9">
        <v>92000</v>
      </c>
      <c r="D47" s="9" t="s">
        <v>74</v>
      </c>
      <c r="E47" s="9">
        <v>356000</v>
      </c>
      <c r="F47" s="10">
        <v>42174</v>
      </c>
      <c r="G47" t="str">
        <f t="shared" si="0"/>
        <v xml:space="preserve">Mercedes </v>
      </c>
    </row>
    <row r="48" spans="1:27" x14ac:dyDescent="0.35">
      <c r="A48" s="5" t="s">
        <v>45</v>
      </c>
      <c r="B48" s="6">
        <v>2010</v>
      </c>
      <c r="C48" s="6">
        <v>89000</v>
      </c>
      <c r="D48" s="6" t="s">
        <v>75</v>
      </c>
      <c r="E48" s="6">
        <v>266000</v>
      </c>
      <c r="F48" s="7">
        <v>42382</v>
      </c>
      <c r="G48" t="str">
        <f t="shared" si="0"/>
        <v xml:space="preserve">MAN </v>
      </c>
    </row>
    <row r="49" spans="1:7" x14ac:dyDescent="0.35">
      <c r="A49" s="8" t="s">
        <v>76</v>
      </c>
      <c r="B49" s="9">
        <v>2010</v>
      </c>
      <c r="C49" s="9">
        <v>94000</v>
      </c>
      <c r="D49" s="9" t="s">
        <v>77</v>
      </c>
      <c r="E49" s="9">
        <v>91000</v>
      </c>
      <c r="F49" s="10">
        <v>42268</v>
      </c>
      <c r="G49" t="str">
        <f t="shared" si="0"/>
        <v xml:space="preserve">DAF </v>
      </c>
    </row>
    <row r="50" spans="1:7" x14ac:dyDescent="0.35">
      <c r="A50" s="5" t="s">
        <v>45</v>
      </c>
      <c r="B50" s="6">
        <v>2010</v>
      </c>
      <c r="C50" s="6">
        <v>113400</v>
      </c>
      <c r="D50" s="6" t="s">
        <v>78</v>
      </c>
      <c r="E50" s="6">
        <v>230000</v>
      </c>
      <c r="F50" s="7">
        <v>42073</v>
      </c>
      <c r="G50" t="str">
        <f t="shared" si="0"/>
        <v xml:space="preserve">MAN </v>
      </c>
    </row>
    <row r="51" spans="1:7" x14ac:dyDescent="0.35">
      <c r="A51" s="8" t="s">
        <v>79</v>
      </c>
      <c r="B51" s="9">
        <v>2010</v>
      </c>
      <c r="C51" s="9">
        <v>135000</v>
      </c>
      <c r="D51" s="9" t="s">
        <v>80</v>
      </c>
      <c r="E51" s="9">
        <v>251000</v>
      </c>
      <c r="F51" s="10">
        <v>42067</v>
      </c>
      <c r="G51" t="str">
        <f t="shared" si="0"/>
        <v xml:space="preserve">DAF </v>
      </c>
    </row>
    <row r="52" spans="1:7" x14ac:dyDescent="0.35">
      <c r="A52" s="5" t="s">
        <v>81</v>
      </c>
      <c r="B52" s="6">
        <v>2010</v>
      </c>
      <c r="C52" s="6">
        <v>160000</v>
      </c>
      <c r="D52" s="6" t="s">
        <v>82</v>
      </c>
      <c r="E52" s="6">
        <v>263000</v>
      </c>
      <c r="F52" s="7">
        <v>42028</v>
      </c>
      <c r="G52" t="str">
        <f t="shared" si="0"/>
        <v xml:space="preserve">Iveco </v>
      </c>
    </row>
    <row r="53" spans="1:7" x14ac:dyDescent="0.35">
      <c r="A53" s="8" t="s">
        <v>83</v>
      </c>
      <c r="B53" s="9">
        <v>2010</v>
      </c>
      <c r="C53" s="9">
        <v>265000</v>
      </c>
      <c r="D53" s="9" t="s">
        <v>84</v>
      </c>
      <c r="E53" s="9">
        <v>930000</v>
      </c>
      <c r="F53" s="10">
        <v>42236</v>
      </c>
      <c r="G53" t="str">
        <f t="shared" si="0"/>
        <v xml:space="preserve">Renault </v>
      </c>
    </row>
    <row r="54" spans="1:7" x14ac:dyDescent="0.35">
      <c r="A54" s="5" t="s">
        <v>83</v>
      </c>
      <c r="B54" s="6">
        <v>2010</v>
      </c>
      <c r="C54" s="6">
        <v>265000</v>
      </c>
      <c r="D54" s="6" t="s">
        <v>85</v>
      </c>
      <c r="E54" s="6">
        <v>912000</v>
      </c>
      <c r="F54" s="7">
        <v>42236</v>
      </c>
      <c r="G54" t="str">
        <f t="shared" si="0"/>
        <v xml:space="preserve">Renault </v>
      </c>
    </row>
    <row r="55" spans="1:7" x14ac:dyDescent="0.35">
      <c r="A55" s="8" t="s">
        <v>83</v>
      </c>
      <c r="B55" s="9">
        <v>2010</v>
      </c>
      <c r="C55" s="9">
        <v>265000</v>
      </c>
      <c r="D55" s="9" t="s">
        <v>86</v>
      </c>
      <c r="E55" s="9">
        <v>856000</v>
      </c>
      <c r="F55" s="10">
        <v>42236</v>
      </c>
      <c r="G55" t="str">
        <f t="shared" si="0"/>
        <v xml:space="preserve">Renault </v>
      </c>
    </row>
    <row r="56" spans="1:7" x14ac:dyDescent="0.35">
      <c r="A56" s="5" t="s">
        <v>33</v>
      </c>
      <c r="B56" s="6">
        <v>2010</v>
      </c>
      <c r="C56" s="6">
        <v>230000</v>
      </c>
      <c r="D56" s="6" t="s">
        <v>87</v>
      </c>
      <c r="E56" s="6">
        <v>455000</v>
      </c>
      <c r="F56" s="7">
        <v>42439</v>
      </c>
      <c r="G56" t="str">
        <f t="shared" si="0"/>
        <v xml:space="preserve">Renault </v>
      </c>
    </row>
    <row r="57" spans="1:7" x14ac:dyDescent="0.35">
      <c r="A57" s="8" t="s">
        <v>60</v>
      </c>
      <c r="B57" s="9">
        <v>2010</v>
      </c>
      <c r="C57" s="9">
        <v>231000</v>
      </c>
      <c r="D57" s="9" t="s">
        <v>88</v>
      </c>
      <c r="E57" s="9">
        <v>301000</v>
      </c>
      <c r="F57" s="10">
        <v>42307</v>
      </c>
      <c r="G57" t="str">
        <f t="shared" si="0"/>
        <v xml:space="preserve">Mercedes </v>
      </c>
    </row>
    <row r="58" spans="1:7" x14ac:dyDescent="0.35">
      <c r="A58" s="5" t="s">
        <v>62</v>
      </c>
      <c r="B58" s="6">
        <v>2010</v>
      </c>
      <c r="C58" s="6">
        <v>257000</v>
      </c>
      <c r="D58" s="6" t="s">
        <v>89</v>
      </c>
      <c r="E58" s="6">
        <v>164700</v>
      </c>
      <c r="F58" s="7">
        <v>42286</v>
      </c>
      <c r="G58" t="str">
        <f t="shared" si="0"/>
        <v xml:space="preserve">Mercedes </v>
      </c>
    </row>
    <row r="59" spans="1:7" x14ac:dyDescent="0.35">
      <c r="A59" s="8" t="s">
        <v>50</v>
      </c>
      <c r="B59" s="9">
        <v>2011</v>
      </c>
      <c r="C59" s="9">
        <v>38000</v>
      </c>
      <c r="D59" s="9" t="s">
        <v>90</v>
      </c>
      <c r="E59" s="9">
        <v>574000</v>
      </c>
      <c r="F59" s="10">
        <v>42309</v>
      </c>
      <c r="G59" t="str">
        <f t="shared" si="0"/>
        <v xml:space="preserve">DAF </v>
      </c>
    </row>
    <row r="60" spans="1:7" x14ac:dyDescent="0.35">
      <c r="A60" s="5" t="s">
        <v>91</v>
      </c>
      <c r="B60" s="6">
        <v>2011</v>
      </c>
      <c r="C60" s="6">
        <v>56700</v>
      </c>
      <c r="D60" s="6" t="s">
        <v>92</v>
      </c>
      <c r="E60" s="6">
        <v>290000</v>
      </c>
      <c r="F60" s="7">
        <v>42236</v>
      </c>
      <c r="G60" t="str">
        <f t="shared" si="0"/>
        <v xml:space="preserve">Renault </v>
      </c>
    </row>
    <row r="61" spans="1:7" x14ac:dyDescent="0.35">
      <c r="A61" s="8" t="s">
        <v>91</v>
      </c>
      <c r="B61" s="9">
        <v>2011</v>
      </c>
      <c r="C61" s="9">
        <v>57700</v>
      </c>
      <c r="D61" s="9" t="s">
        <v>93</v>
      </c>
      <c r="E61" s="9">
        <v>286000</v>
      </c>
      <c r="F61" s="10">
        <v>42236</v>
      </c>
      <c r="G61" t="str">
        <f t="shared" si="0"/>
        <v xml:space="preserve">Renault </v>
      </c>
    </row>
    <row r="62" spans="1:7" x14ac:dyDescent="0.35">
      <c r="A62" s="5" t="s">
        <v>67</v>
      </c>
      <c r="B62" s="6">
        <v>2011</v>
      </c>
      <c r="C62" s="6">
        <v>59000</v>
      </c>
      <c r="D62" s="6" t="s">
        <v>94</v>
      </c>
      <c r="E62" s="6">
        <v>103250</v>
      </c>
      <c r="F62" s="7">
        <v>42226</v>
      </c>
      <c r="G62" t="str">
        <f t="shared" si="0"/>
        <v xml:space="preserve">Renault </v>
      </c>
    </row>
    <row r="63" spans="1:7" x14ac:dyDescent="0.35">
      <c r="A63" s="8" t="s">
        <v>71</v>
      </c>
      <c r="B63" s="9">
        <v>2011</v>
      </c>
      <c r="C63" s="9">
        <v>74300</v>
      </c>
      <c r="D63" s="9" t="s">
        <v>95</v>
      </c>
      <c r="E63" s="9">
        <v>306000</v>
      </c>
      <c r="F63" s="10">
        <v>42174</v>
      </c>
      <c r="G63" t="str">
        <f t="shared" si="0"/>
        <v xml:space="preserve">Renault </v>
      </c>
    </row>
    <row r="64" spans="1:7" x14ac:dyDescent="0.35">
      <c r="A64" s="5" t="s">
        <v>62</v>
      </c>
      <c r="B64" s="6">
        <v>2011</v>
      </c>
      <c r="C64" s="6">
        <v>210000</v>
      </c>
      <c r="D64" s="6" t="s">
        <v>96</v>
      </c>
      <c r="E64" s="6">
        <v>780000</v>
      </c>
      <c r="F64" s="7">
        <v>42481</v>
      </c>
      <c r="G64" t="str">
        <f t="shared" si="0"/>
        <v xml:space="preserve">Mercedes </v>
      </c>
    </row>
    <row r="65" spans="1:7" x14ac:dyDescent="0.35">
      <c r="A65" s="8" t="s">
        <v>62</v>
      </c>
      <c r="B65" s="9">
        <v>2011</v>
      </c>
      <c r="C65" s="9">
        <v>210000</v>
      </c>
      <c r="D65" s="9" t="s">
        <v>97</v>
      </c>
      <c r="E65" s="9">
        <v>760300</v>
      </c>
      <c r="F65" s="10">
        <v>42481</v>
      </c>
      <c r="G65" t="str">
        <f t="shared" si="0"/>
        <v xml:space="preserve">Mercedes </v>
      </c>
    </row>
    <row r="66" spans="1:7" x14ac:dyDescent="0.35">
      <c r="A66" s="5" t="s">
        <v>62</v>
      </c>
      <c r="B66" s="6">
        <v>2011</v>
      </c>
      <c r="C66" s="6">
        <v>210000</v>
      </c>
      <c r="D66" s="6" t="s">
        <v>98</v>
      </c>
      <c r="E66" s="6">
        <v>680000</v>
      </c>
      <c r="F66" s="7">
        <v>42481</v>
      </c>
      <c r="G66" t="str">
        <f t="shared" si="0"/>
        <v xml:space="preserve">Mercedes </v>
      </c>
    </row>
    <row r="67" spans="1:7" x14ac:dyDescent="0.35">
      <c r="A67" s="8" t="s">
        <v>62</v>
      </c>
      <c r="B67" s="9">
        <v>2011</v>
      </c>
      <c r="C67" s="9">
        <v>210000</v>
      </c>
      <c r="D67" s="9" t="s">
        <v>99</v>
      </c>
      <c r="E67" s="9">
        <v>655000</v>
      </c>
      <c r="F67" s="10">
        <v>42481</v>
      </c>
      <c r="G67" t="str">
        <f t="shared" ref="G67:G130" si="2">LEFT(A67,SEARCH(" ",A67))</f>
        <v xml:space="preserve">Mercedes </v>
      </c>
    </row>
    <row r="68" spans="1:7" x14ac:dyDescent="0.35">
      <c r="A68" s="5" t="s">
        <v>100</v>
      </c>
      <c r="B68" s="6">
        <v>2011</v>
      </c>
      <c r="C68" s="6">
        <v>220000</v>
      </c>
      <c r="D68" s="6" t="s">
        <v>101</v>
      </c>
      <c r="E68" s="6">
        <v>731000</v>
      </c>
      <c r="F68" s="7">
        <v>42236</v>
      </c>
      <c r="G68" t="str">
        <f t="shared" si="2"/>
        <v xml:space="preserve">Renault </v>
      </c>
    </row>
    <row r="69" spans="1:7" x14ac:dyDescent="0.35">
      <c r="A69" s="8" t="s">
        <v>100</v>
      </c>
      <c r="B69" s="9">
        <v>2011</v>
      </c>
      <c r="C69" s="9">
        <v>220000</v>
      </c>
      <c r="D69" s="9" t="s">
        <v>102</v>
      </c>
      <c r="E69" s="9">
        <v>685413</v>
      </c>
      <c r="F69" s="10">
        <v>42236</v>
      </c>
      <c r="G69" t="str">
        <f t="shared" si="2"/>
        <v xml:space="preserve">Renault </v>
      </c>
    </row>
    <row r="70" spans="1:7" x14ac:dyDescent="0.35">
      <c r="A70" s="5" t="s">
        <v>58</v>
      </c>
      <c r="B70" s="6">
        <v>2011</v>
      </c>
      <c r="C70" s="6">
        <v>196340</v>
      </c>
      <c r="D70" s="6" t="s">
        <v>103</v>
      </c>
      <c r="E70" s="6">
        <v>186000</v>
      </c>
      <c r="F70" s="7">
        <v>42278</v>
      </c>
      <c r="G70" t="str">
        <f t="shared" si="2"/>
        <v xml:space="preserve">DAF </v>
      </c>
    </row>
    <row r="71" spans="1:7" x14ac:dyDescent="0.35">
      <c r="A71" s="8" t="s">
        <v>104</v>
      </c>
      <c r="B71" s="9">
        <v>2011</v>
      </c>
      <c r="C71" s="9">
        <v>245000</v>
      </c>
      <c r="D71" s="9" t="s">
        <v>105</v>
      </c>
      <c r="E71" s="9">
        <v>720000</v>
      </c>
      <c r="F71" s="10">
        <v>42462</v>
      </c>
      <c r="G71" t="str">
        <f t="shared" si="2"/>
        <v xml:space="preserve">Scania </v>
      </c>
    </row>
    <row r="72" spans="1:7" x14ac:dyDescent="0.35">
      <c r="A72" s="5" t="s">
        <v>104</v>
      </c>
      <c r="B72" s="6">
        <v>2011</v>
      </c>
      <c r="C72" s="6">
        <v>245000</v>
      </c>
      <c r="D72" s="6" t="s">
        <v>106</v>
      </c>
      <c r="E72" s="6">
        <v>680000</v>
      </c>
      <c r="F72" s="7">
        <v>42462</v>
      </c>
      <c r="G72" t="str">
        <f t="shared" si="2"/>
        <v xml:space="preserve">Scania </v>
      </c>
    </row>
    <row r="73" spans="1:7" x14ac:dyDescent="0.35">
      <c r="A73" s="8" t="s">
        <v>104</v>
      </c>
      <c r="B73" s="9">
        <v>2011</v>
      </c>
      <c r="C73" s="9">
        <v>245000</v>
      </c>
      <c r="D73" s="9" t="s">
        <v>107</v>
      </c>
      <c r="E73" s="9">
        <v>660000</v>
      </c>
      <c r="F73" s="10">
        <v>42462</v>
      </c>
      <c r="G73" t="str">
        <f t="shared" si="2"/>
        <v xml:space="preserve">Scania </v>
      </c>
    </row>
    <row r="74" spans="1:7" x14ac:dyDescent="0.35">
      <c r="A74" s="5" t="s">
        <v>104</v>
      </c>
      <c r="B74" s="6">
        <v>2011</v>
      </c>
      <c r="C74" s="6">
        <v>245000</v>
      </c>
      <c r="D74" s="6" t="s">
        <v>108</v>
      </c>
      <c r="E74" s="6">
        <v>630000</v>
      </c>
      <c r="F74" s="7">
        <v>42462</v>
      </c>
      <c r="G74" t="str">
        <f t="shared" si="2"/>
        <v xml:space="preserve">Scania </v>
      </c>
    </row>
    <row r="75" spans="1:7" x14ac:dyDescent="0.35">
      <c r="A75" s="8" t="s">
        <v>104</v>
      </c>
      <c r="B75" s="9">
        <v>2011</v>
      </c>
      <c r="C75" s="9">
        <v>245000</v>
      </c>
      <c r="D75" s="9" t="s">
        <v>109</v>
      </c>
      <c r="E75" s="9">
        <v>655000</v>
      </c>
      <c r="F75" s="10">
        <v>42462</v>
      </c>
      <c r="G75" t="str">
        <f t="shared" si="2"/>
        <v xml:space="preserve">Scania </v>
      </c>
    </row>
    <row r="76" spans="1:7" x14ac:dyDescent="0.35">
      <c r="A76" s="5" t="s">
        <v>104</v>
      </c>
      <c r="B76" s="6">
        <v>2011</v>
      </c>
      <c r="C76" s="6">
        <v>245000</v>
      </c>
      <c r="D76" s="6" t="s">
        <v>110</v>
      </c>
      <c r="E76" s="6">
        <v>590000</v>
      </c>
      <c r="F76" s="7">
        <v>42462</v>
      </c>
      <c r="G76" t="str">
        <f t="shared" si="2"/>
        <v xml:space="preserve">Scania </v>
      </c>
    </row>
    <row r="77" spans="1:7" x14ac:dyDescent="0.35">
      <c r="A77" s="8" t="s">
        <v>50</v>
      </c>
      <c r="B77" s="9">
        <v>2012</v>
      </c>
      <c r="C77" s="9">
        <v>39830</v>
      </c>
      <c r="D77" s="9" t="s">
        <v>111</v>
      </c>
      <c r="E77" s="9">
        <v>330000</v>
      </c>
      <c r="F77" s="10">
        <v>42062</v>
      </c>
      <c r="G77" t="str">
        <f t="shared" si="2"/>
        <v xml:space="preserve">DAF </v>
      </c>
    </row>
    <row r="78" spans="1:7" x14ac:dyDescent="0.35">
      <c r="A78" s="5" t="s">
        <v>50</v>
      </c>
      <c r="B78" s="6">
        <v>2012</v>
      </c>
      <c r="C78" s="6">
        <v>48800</v>
      </c>
      <c r="D78" s="6" t="s">
        <v>112</v>
      </c>
      <c r="E78" s="6">
        <v>268650</v>
      </c>
      <c r="F78" s="7">
        <v>42117</v>
      </c>
      <c r="G78" t="str">
        <f t="shared" si="2"/>
        <v xml:space="preserve">DAF </v>
      </c>
    </row>
    <row r="79" spans="1:7" x14ac:dyDescent="0.35">
      <c r="A79" s="8" t="s">
        <v>18</v>
      </c>
      <c r="B79" s="9">
        <v>2012</v>
      </c>
      <c r="C79" s="9">
        <v>59000</v>
      </c>
      <c r="D79" s="9" t="s">
        <v>113</v>
      </c>
      <c r="E79" s="9">
        <v>302000</v>
      </c>
      <c r="F79" s="10">
        <v>42271</v>
      </c>
      <c r="G79" t="str">
        <f t="shared" si="2"/>
        <v xml:space="preserve">Volvo </v>
      </c>
    </row>
    <row r="80" spans="1:7" x14ac:dyDescent="0.35">
      <c r="A80" s="5" t="s">
        <v>33</v>
      </c>
      <c r="B80" s="6">
        <v>2012</v>
      </c>
      <c r="C80" s="6">
        <v>76000</v>
      </c>
      <c r="D80" s="6" t="s">
        <v>114</v>
      </c>
      <c r="E80" s="6">
        <v>850000</v>
      </c>
      <c r="F80" s="7">
        <v>42376</v>
      </c>
      <c r="G80" t="str">
        <f t="shared" si="2"/>
        <v xml:space="preserve">Renault </v>
      </c>
    </row>
    <row r="81" spans="1:7" x14ac:dyDescent="0.35">
      <c r="A81" s="8" t="s">
        <v>41</v>
      </c>
      <c r="B81" s="9">
        <v>2012</v>
      </c>
      <c r="C81" s="9">
        <v>87133</v>
      </c>
      <c r="D81" s="9" t="s">
        <v>115</v>
      </c>
      <c r="E81" s="9">
        <v>376000</v>
      </c>
      <c r="F81" s="10">
        <v>42208</v>
      </c>
      <c r="G81" t="str">
        <f t="shared" si="2"/>
        <v xml:space="preserve">Iveco </v>
      </c>
    </row>
    <row r="82" spans="1:7" x14ac:dyDescent="0.35">
      <c r="A82" s="5" t="s">
        <v>22</v>
      </c>
      <c r="B82" s="6">
        <v>2012</v>
      </c>
      <c r="C82" s="6">
        <v>110000</v>
      </c>
      <c r="D82" s="6" t="s">
        <v>116</v>
      </c>
      <c r="E82" s="6">
        <v>201000</v>
      </c>
      <c r="F82" s="7">
        <v>42075</v>
      </c>
      <c r="G82" t="str">
        <f t="shared" si="2"/>
        <v xml:space="preserve">Volvo </v>
      </c>
    </row>
    <row r="83" spans="1:7" x14ac:dyDescent="0.35">
      <c r="A83" s="8" t="s">
        <v>50</v>
      </c>
      <c r="B83" s="9">
        <v>2012</v>
      </c>
      <c r="C83" s="9">
        <v>130780</v>
      </c>
      <c r="D83" s="9" t="s">
        <v>117</v>
      </c>
      <c r="E83" s="9">
        <v>310000</v>
      </c>
      <c r="F83" s="10">
        <v>42365</v>
      </c>
      <c r="G83" t="str">
        <f t="shared" si="2"/>
        <v xml:space="preserve">DAF </v>
      </c>
    </row>
    <row r="84" spans="1:7" x14ac:dyDescent="0.35">
      <c r="A84" s="5" t="s">
        <v>45</v>
      </c>
      <c r="B84" s="6">
        <v>2012</v>
      </c>
      <c r="C84" s="6">
        <v>135502</v>
      </c>
      <c r="D84" s="6" t="s">
        <v>118</v>
      </c>
      <c r="E84" s="6">
        <v>247000</v>
      </c>
      <c r="F84" s="7">
        <v>42476</v>
      </c>
      <c r="G84" t="str">
        <f t="shared" si="2"/>
        <v xml:space="preserve">MAN </v>
      </c>
    </row>
    <row r="85" spans="1:7" x14ac:dyDescent="0.35">
      <c r="A85" s="8" t="s">
        <v>119</v>
      </c>
      <c r="B85" s="9">
        <v>2012</v>
      </c>
      <c r="C85" s="9">
        <v>145000</v>
      </c>
      <c r="D85" s="9" t="s">
        <v>120</v>
      </c>
      <c r="E85" s="9">
        <v>386732</v>
      </c>
      <c r="F85" s="10">
        <v>42059</v>
      </c>
      <c r="G85" t="str">
        <f t="shared" si="2"/>
        <v xml:space="preserve">Iveco </v>
      </c>
    </row>
    <row r="86" spans="1:7" x14ac:dyDescent="0.35">
      <c r="A86" s="5" t="s">
        <v>119</v>
      </c>
      <c r="B86" s="6">
        <v>2012</v>
      </c>
      <c r="C86" s="6">
        <v>145000</v>
      </c>
      <c r="D86" s="6" t="s">
        <v>121</v>
      </c>
      <c r="E86" s="6">
        <v>312680</v>
      </c>
      <c r="F86" s="7">
        <v>42059</v>
      </c>
      <c r="G86" t="str">
        <f t="shared" si="2"/>
        <v xml:space="preserve">Iveco </v>
      </c>
    </row>
    <row r="87" spans="1:7" x14ac:dyDescent="0.35">
      <c r="A87" s="8" t="s">
        <v>33</v>
      </c>
      <c r="B87" s="9">
        <v>2012</v>
      </c>
      <c r="C87" s="9">
        <v>163800</v>
      </c>
      <c r="D87" s="9" t="s">
        <v>122</v>
      </c>
      <c r="E87" s="9">
        <v>366000</v>
      </c>
      <c r="F87" s="10">
        <v>42329</v>
      </c>
      <c r="G87" t="str">
        <f t="shared" si="2"/>
        <v xml:space="preserve">Renault </v>
      </c>
    </row>
    <row r="88" spans="1:7" x14ac:dyDescent="0.35">
      <c r="A88" s="5" t="s">
        <v>123</v>
      </c>
      <c r="B88" s="6">
        <v>2012</v>
      </c>
      <c r="C88" s="6">
        <v>183000</v>
      </c>
      <c r="D88" s="6" t="s">
        <v>124</v>
      </c>
      <c r="E88" s="6">
        <v>520000</v>
      </c>
      <c r="F88" s="7">
        <v>42444</v>
      </c>
      <c r="G88" t="str">
        <f t="shared" si="2"/>
        <v xml:space="preserve">Scania </v>
      </c>
    </row>
    <row r="89" spans="1:7" x14ac:dyDescent="0.35">
      <c r="A89" s="8" t="s">
        <v>123</v>
      </c>
      <c r="B89" s="9">
        <v>2012</v>
      </c>
      <c r="C89" s="9">
        <v>183000</v>
      </c>
      <c r="D89" s="9" t="s">
        <v>125</v>
      </c>
      <c r="E89" s="9">
        <v>530000</v>
      </c>
      <c r="F89" s="10">
        <v>42444</v>
      </c>
      <c r="G89" t="str">
        <f t="shared" si="2"/>
        <v xml:space="preserve">Scania </v>
      </c>
    </row>
    <row r="90" spans="1:7" x14ac:dyDescent="0.35">
      <c r="A90" s="5" t="s">
        <v>123</v>
      </c>
      <c r="B90" s="6">
        <v>2012</v>
      </c>
      <c r="C90" s="6">
        <v>183000</v>
      </c>
      <c r="D90" s="6" t="s">
        <v>126</v>
      </c>
      <c r="E90" s="6">
        <v>490000</v>
      </c>
      <c r="F90" s="7">
        <v>42444</v>
      </c>
      <c r="G90" t="str">
        <f t="shared" si="2"/>
        <v xml:space="preserve">Scania </v>
      </c>
    </row>
    <row r="91" spans="1:7" x14ac:dyDescent="0.35">
      <c r="A91" s="8" t="s">
        <v>123</v>
      </c>
      <c r="B91" s="9">
        <v>2012</v>
      </c>
      <c r="C91" s="9">
        <v>183000</v>
      </c>
      <c r="D91" s="9" t="s">
        <v>127</v>
      </c>
      <c r="E91" s="9">
        <v>481000</v>
      </c>
      <c r="F91" s="10">
        <v>42444</v>
      </c>
      <c r="G91" t="str">
        <f t="shared" si="2"/>
        <v xml:space="preserve">Scania </v>
      </c>
    </row>
    <row r="92" spans="1:7" x14ac:dyDescent="0.35">
      <c r="A92" s="5" t="s">
        <v>123</v>
      </c>
      <c r="B92" s="6">
        <v>2012</v>
      </c>
      <c r="C92" s="6">
        <v>183000</v>
      </c>
      <c r="D92" s="6" t="s">
        <v>128</v>
      </c>
      <c r="E92" s="6">
        <v>454000</v>
      </c>
      <c r="F92" s="7">
        <v>42444</v>
      </c>
      <c r="G92" t="str">
        <f t="shared" si="2"/>
        <v xml:space="preserve">Scania </v>
      </c>
    </row>
    <row r="93" spans="1:7" x14ac:dyDescent="0.35">
      <c r="A93" s="8" t="s">
        <v>129</v>
      </c>
      <c r="B93" s="9">
        <v>2012</v>
      </c>
      <c r="C93" s="9">
        <v>210000</v>
      </c>
      <c r="D93" s="9" t="s">
        <v>130</v>
      </c>
      <c r="E93" s="9">
        <v>517000</v>
      </c>
      <c r="F93" s="10">
        <v>42415</v>
      </c>
      <c r="G93" t="str">
        <f t="shared" si="2"/>
        <v xml:space="preserve">Volvo </v>
      </c>
    </row>
    <row r="94" spans="1:7" x14ac:dyDescent="0.35">
      <c r="A94" s="5" t="s">
        <v>56</v>
      </c>
      <c r="B94" s="6">
        <v>2012</v>
      </c>
      <c r="C94" s="6">
        <v>196370</v>
      </c>
      <c r="D94" s="6" t="s">
        <v>131</v>
      </c>
      <c r="E94" s="6">
        <v>286000</v>
      </c>
      <c r="F94" s="7">
        <v>42467</v>
      </c>
      <c r="G94" t="str">
        <f t="shared" si="2"/>
        <v xml:space="preserve">MAN </v>
      </c>
    </row>
    <row r="95" spans="1:7" x14ac:dyDescent="0.35">
      <c r="A95" s="8" t="s">
        <v>129</v>
      </c>
      <c r="B95" s="9">
        <v>2012</v>
      </c>
      <c r="C95" s="9">
        <v>210000</v>
      </c>
      <c r="D95" s="9" t="s">
        <v>132</v>
      </c>
      <c r="E95" s="9">
        <v>435000</v>
      </c>
      <c r="F95" s="10">
        <v>42415</v>
      </c>
      <c r="G95" t="str">
        <f t="shared" si="2"/>
        <v xml:space="preserve">Volvo </v>
      </c>
    </row>
    <row r="96" spans="1:7" x14ac:dyDescent="0.35">
      <c r="A96" s="5" t="s">
        <v>133</v>
      </c>
      <c r="B96" s="6">
        <v>2012</v>
      </c>
      <c r="C96" s="6">
        <v>210300</v>
      </c>
      <c r="D96" s="6" t="s">
        <v>134</v>
      </c>
      <c r="E96" s="6">
        <v>417671</v>
      </c>
      <c r="F96" s="7">
        <v>42520</v>
      </c>
      <c r="G96" t="str">
        <f t="shared" si="2"/>
        <v xml:space="preserve">MAN </v>
      </c>
    </row>
    <row r="97" spans="1:7" x14ac:dyDescent="0.35">
      <c r="A97" s="8" t="s">
        <v>33</v>
      </c>
      <c r="B97" s="9">
        <v>2012</v>
      </c>
      <c r="C97" s="9">
        <v>231000</v>
      </c>
      <c r="D97" s="9" t="s">
        <v>135</v>
      </c>
      <c r="E97" s="9">
        <v>451000</v>
      </c>
      <c r="F97" s="10">
        <v>42439</v>
      </c>
      <c r="G97" t="str">
        <f t="shared" si="2"/>
        <v xml:space="preserve">Renault </v>
      </c>
    </row>
    <row r="98" spans="1:7" x14ac:dyDescent="0.35">
      <c r="A98" s="5" t="s">
        <v>136</v>
      </c>
      <c r="B98" s="6">
        <v>2012</v>
      </c>
      <c r="C98" s="6">
        <v>240000</v>
      </c>
      <c r="D98" s="6" t="s">
        <v>137</v>
      </c>
      <c r="E98" s="6">
        <v>301344</v>
      </c>
      <c r="F98" s="7">
        <v>42185</v>
      </c>
      <c r="G98" t="str">
        <f t="shared" si="2"/>
        <v xml:space="preserve">DAF </v>
      </c>
    </row>
    <row r="99" spans="1:7" x14ac:dyDescent="0.35">
      <c r="A99" s="8" t="s">
        <v>136</v>
      </c>
      <c r="B99" s="9">
        <v>2012</v>
      </c>
      <c r="C99" s="9">
        <v>240000</v>
      </c>
      <c r="D99" s="9" t="s">
        <v>138</v>
      </c>
      <c r="E99" s="9">
        <v>315988</v>
      </c>
      <c r="F99" s="10">
        <v>42185</v>
      </c>
      <c r="G99" t="str">
        <f t="shared" si="2"/>
        <v xml:space="preserve">DAF </v>
      </c>
    </row>
    <row r="100" spans="1:7" x14ac:dyDescent="0.35">
      <c r="A100" s="5" t="s">
        <v>136</v>
      </c>
      <c r="B100" s="6">
        <v>2012</v>
      </c>
      <c r="C100" s="6">
        <v>240000</v>
      </c>
      <c r="D100" s="6" t="s">
        <v>139</v>
      </c>
      <c r="E100" s="6">
        <v>234760</v>
      </c>
      <c r="F100" s="7">
        <v>42185</v>
      </c>
      <c r="G100" t="str">
        <f t="shared" si="2"/>
        <v xml:space="preserve">DAF </v>
      </c>
    </row>
    <row r="101" spans="1:7" x14ac:dyDescent="0.35">
      <c r="A101" s="8" t="s">
        <v>136</v>
      </c>
      <c r="B101" s="9">
        <v>2012</v>
      </c>
      <c r="C101" s="9">
        <v>240000</v>
      </c>
      <c r="D101" s="9" t="s">
        <v>140</v>
      </c>
      <c r="E101" s="9">
        <v>210780</v>
      </c>
      <c r="F101" s="10">
        <v>42185</v>
      </c>
      <c r="G101" t="str">
        <f t="shared" si="2"/>
        <v xml:space="preserve">DAF </v>
      </c>
    </row>
    <row r="102" spans="1:7" x14ac:dyDescent="0.35">
      <c r="A102" s="5" t="s">
        <v>136</v>
      </c>
      <c r="B102" s="6">
        <v>2012</v>
      </c>
      <c r="C102" s="6">
        <v>240000</v>
      </c>
      <c r="D102" s="6" t="s">
        <v>141</v>
      </c>
      <c r="E102" s="6">
        <v>198240</v>
      </c>
      <c r="F102" s="7">
        <v>42185</v>
      </c>
      <c r="G102" t="str">
        <f t="shared" si="2"/>
        <v xml:space="preserve">DAF </v>
      </c>
    </row>
    <row r="103" spans="1:7" x14ac:dyDescent="0.35">
      <c r="A103" s="8" t="s">
        <v>62</v>
      </c>
      <c r="B103" s="9">
        <v>2012</v>
      </c>
      <c r="C103" s="9">
        <v>290000</v>
      </c>
      <c r="D103" s="9" t="s">
        <v>142</v>
      </c>
      <c r="E103" s="9">
        <v>170000</v>
      </c>
      <c r="F103" s="10">
        <v>42297</v>
      </c>
      <c r="G103" t="str">
        <f t="shared" si="2"/>
        <v xml:space="preserve">Mercedes </v>
      </c>
    </row>
    <row r="104" spans="1:7" x14ac:dyDescent="0.35">
      <c r="A104" s="5" t="s">
        <v>50</v>
      </c>
      <c r="B104" s="6">
        <v>2013</v>
      </c>
      <c r="C104" s="6">
        <v>47800</v>
      </c>
      <c r="D104" s="6" t="s">
        <v>143</v>
      </c>
      <c r="E104" s="6">
        <v>272650</v>
      </c>
      <c r="F104" s="7">
        <v>42117</v>
      </c>
      <c r="G104" t="str">
        <f t="shared" si="2"/>
        <v xml:space="preserve">DAF </v>
      </c>
    </row>
    <row r="105" spans="1:7" x14ac:dyDescent="0.35">
      <c r="A105" s="8" t="s">
        <v>37</v>
      </c>
      <c r="B105" s="9">
        <v>2013</v>
      </c>
      <c r="C105" s="9">
        <v>80000</v>
      </c>
      <c r="D105" s="9" t="s">
        <v>144</v>
      </c>
      <c r="E105" s="9">
        <v>350000</v>
      </c>
      <c r="F105" s="10">
        <v>42379</v>
      </c>
      <c r="G105" t="str">
        <f t="shared" si="2"/>
        <v xml:space="preserve">Scania </v>
      </c>
    </row>
    <row r="106" spans="1:7" x14ac:dyDescent="0.35">
      <c r="A106" s="5" t="s">
        <v>37</v>
      </c>
      <c r="B106" s="6">
        <v>2013</v>
      </c>
      <c r="C106" s="6">
        <v>80000</v>
      </c>
      <c r="D106" s="6" t="s">
        <v>145</v>
      </c>
      <c r="E106" s="6">
        <v>235000</v>
      </c>
      <c r="F106" s="7">
        <v>42379</v>
      </c>
      <c r="G106" t="str">
        <f t="shared" si="2"/>
        <v xml:space="preserve">Scania </v>
      </c>
    </row>
    <row r="107" spans="1:7" x14ac:dyDescent="0.35">
      <c r="A107" s="8" t="s">
        <v>76</v>
      </c>
      <c r="B107" s="9">
        <v>2013</v>
      </c>
      <c r="C107" s="9">
        <v>93000</v>
      </c>
      <c r="D107" s="9" t="s">
        <v>146</v>
      </c>
      <c r="E107" s="9">
        <v>195000</v>
      </c>
      <c r="F107" s="10">
        <v>42268</v>
      </c>
      <c r="G107" t="str">
        <f t="shared" si="2"/>
        <v xml:space="preserve">DAF </v>
      </c>
    </row>
    <row r="108" spans="1:7" x14ac:dyDescent="0.35">
      <c r="A108" s="5" t="s">
        <v>79</v>
      </c>
      <c r="B108" s="6">
        <v>2013</v>
      </c>
      <c r="C108" s="6">
        <v>136000</v>
      </c>
      <c r="D108" s="6" t="s">
        <v>147</v>
      </c>
      <c r="E108" s="6">
        <v>247000</v>
      </c>
      <c r="F108" s="7">
        <v>42067</v>
      </c>
      <c r="G108" t="str">
        <f t="shared" si="2"/>
        <v xml:space="preserve">DAF </v>
      </c>
    </row>
    <row r="109" spans="1:7" x14ac:dyDescent="0.35">
      <c r="A109" s="8" t="s">
        <v>45</v>
      </c>
      <c r="B109" s="9">
        <v>2013</v>
      </c>
      <c r="C109" s="9">
        <v>158000</v>
      </c>
      <c r="D109" s="9" t="s">
        <v>148</v>
      </c>
      <c r="E109" s="9">
        <v>407000</v>
      </c>
      <c r="F109" s="10">
        <v>42681</v>
      </c>
      <c r="G109" t="str">
        <f t="shared" si="2"/>
        <v xml:space="preserve">MAN </v>
      </c>
    </row>
    <row r="110" spans="1:7" x14ac:dyDescent="0.35">
      <c r="A110" s="5" t="s">
        <v>136</v>
      </c>
      <c r="B110" s="6">
        <v>2013</v>
      </c>
      <c r="C110" s="6">
        <v>240000</v>
      </c>
      <c r="D110" s="6" t="s">
        <v>149</v>
      </c>
      <c r="E110" s="6">
        <v>301232</v>
      </c>
      <c r="F110" s="7">
        <v>42719</v>
      </c>
      <c r="G110" t="str">
        <f t="shared" si="2"/>
        <v xml:space="preserve">DAF </v>
      </c>
    </row>
    <row r="111" spans="1:7" x14ac:dyDescent="0.35">
      <c r="A111" s="8" t="s">
        <v>136</v>
      </c>
      <c r="B111" s="9">
        <v>2013</v>
      </c>
      <c r="C111" s="9">
        <v>240000</v>
      </c>
      <c r="D111" s="9" t="s">
        <v>150</v>
      </c>
      <c r="E111" s="9">
        <v>289567</v>
      </c>
      <c r="F111" s="10">
        <v>42719</v>
      </c>
      <c r="G111" t="str">
        <f t="shared" si="2"/>
        <v xml:space="preserve">DAF </v>
      </c>
    </row>
    <row r="112" spans="1:7" x14ac:dyDescent="0.35">
      <c r="A112" s="5" t="s">
        <v>136</v>
      </c>
      <c r="B112" s="6">
        <v>2013</v>
      </c>
      <c r="C112" s="6">
        <v>240000</v>
      </c>
      <c r="D112" s="6" t="s">
        <v>151</v>
      </c>
      <c r="E112" s="6">
        <v>245211</v>
      </c>
      <c r="F112" s="7">
        <v>42719</v>
      </c>
      <c r="G112" t="str">
        <f t="shared" si="2"/>
        <v xml:space="preserve">DAF </v>
      </c>
    </row>
    <row r="113" spans="1:7" x14ac:dyDescent="0.35">
      <c r="A113" s="8" t="s">
        <v>136</v>
      </c>
      <c r="B113" s="9">
        <v>2013</v>
      </c>
      <c r="C113" s="9">
        <v>240000</v>
      </c>
      <c r="D113" s="9" t="s">
        <v>152</v>
      </c>
      <c r="E113" s="9">
        <v>200123</v>
      </c>
      <c r="F113" s="10">
        <v>42719</v>
      </c>
      <c r="G113" t="str">
        <f t="shared" si="2"/>
        <v xml:space="preserve">DAF </v>
      </c>
    </row>
    <row r="114" spans="1:7" x14ac:dyDescent="0.35">
      <c r="A114" s="5" t="s">
        <v>136</v>
      </c>
      <c r="B114" s="6">
        <v>2013</v>
      </c>
      <c r="C114" s="6">
        <v>240000</v>
      </c>
      <c r="D114" s="6" t="s">
        <v>153</v>
      </c>
      <c r="E114" s="6">
        <v>235811</v>
      </c>
      <c r="F114" s="7">
        <v>42719</v>
      </c>
      <c r="G114" t="str">
        <f t="shared" si="2"/>
        <v xml:space="preserve">DAF </v>
      </c>
    </row>
    <row r="115" spans="1:7" x14ac:dyDescent="0.35">
      <c r="A115" s="8" t="s">
        <v>136</v>
      </c>
      <c r="B115" s="9">
        <v>2013</v>
      </c>
      <c r="C115" s="9">
        <v>240000</v>
      </c>
      <c r="D115" s="9" t="s">
        <v>154</v>
      </c>
      <c r="E115" s="9">
        <v>250021</v>
      </c>
      <c r="F115" s="10">
        <v>42719</v>
      </c>
      <c r="G115" t="str">
        <f t="shared" si="2"/>
        <v xml:space="preserve">DAF </v>
      </c>
    </row>
    <row r="116" spans="1:7" x14ac:dyDescent="0.35">
      <c r="A116" s="5" t="s">
        <v>136</v>
      </c>
      <c r="B116" s="6">
        <v>2013</v>
      </c>
      <c r="C116" s="6">
        <v>240000</v>
      </c>
      <c r="D116" s="6" t="s">
        <v>155</v>
      </c>
      <c r="E116" s="6">
        <v>198340</v>
      </c>
      <c r="F116" s="7">
        <v>42719</v>
      </c>
      <c r="G116" t="str">
        <f t="shared" si="2"/>
        <v xml:space="preserve">DAF </v>
      </c>
    </row>
    <row r="117" spans="1:7" x14ac:dyDescent="0.35">
      <c r="A117" s="8" t="s">
        <v>136</v>
      </c>
      <c r="B117" s="9">
        <v>2013</v>
      </c>
      <c r="C117" s="9">
        <v>240000</v>
      </c>
      <c r="D117" s="9" t="s">
        <v>156</v>
      </c>
      <c r="E117" s="9">
        <v>189761</v>
      </c>
      <c r="F117" s="10">
        <v>42719</v>
      </c>
      <c r="G117" t="str">
        <f t="shared" si="2"/>
        <v xml:space="preserve">DAF </v>
      </c>
    </row>
    <row r="118" spans="1:7" x14ac:dyDescent="0.35">
      <c r="A118" s="5" t="s">
        <v>157</v>
      </c>
      <c r="B118" s="6">
        <v>2013</v>
      </c>
      <c r="C118" s="6">
        <v>271000</v>
      </c>
      <c r="D118" s="6" t="s">
        <v>158</v>
      </c>
      <c r="E118" s="6">
        <v>153000</v>
      </c>
      <c r="F118" s="7">
        <v>42334</v>
      </c>
      <c r="G118" t="str">
        <f t="shared" si="2"/>
        <v xml:space="preserve">MAN </v>
      </c>
    </row>
    <row r="119" spans="1:7" x14ac:dyDescent="0.35">
      <c r="A119" s="8" t="s">
        <v>157</v>
      </c>
      <c r="B119" s="9">
        <v>2013</v>
      </c>
      <c r="C119" s="9">
        <v>271000</v>
      </c>
      <c r="D119" s="9" t="s">
        <v>159</v>
      </c>
      <c r="E119" s="9">
        <v>123000</v>
      </c>
      <c r="F119" s="10">
        <v>42520</v>
      </c>
      <c r="G119" t="str">
        <f t="shared" si="2"/>
        <v xml:space="preserve">MAN </v>
      </c>
    </row>
    <row r="120" spans="1:7" x14ac:dyDescent="0.35">
      <c r="A120" s="5" t="s">
        <v>160</v>
      </c>
      <c r="B120" s="6">
        <v>2014</v>
      </c>
      <c r="C120" s="6">
        <v>98000</v>
      </c>
      <c r="D120" s="6" t="s">
        <v>161</v>
      </c>
      <c r="E120" s="6">
        <v>251000</v>
      </c>
      <c r="F120" s="7">
        <v>42344</v>
      </c>
      <c r="G120" t="str">
        <f t="shared" si="2"/>
        <v xml:space="preserve">MAN </v>
      </c>
    </row>
    <row r="121" spans="1:7" x14ac:dyDescent="0.35">
      <c r="A121" s="8" t="s">
        <v>160</v>
      </c>
      <c r="B121" s="9">
        <v>2014</v>
      </c>
      <c r="C121" s="9">
        <v>99000</v>
      </c>
      <c r="D121" s="9" t="s">
        <v>162</v>
      </c>
      <c r="E121" s="9">
        <v>247000</v>
      </c>
      <c r="F121" s="10">
        <v>42344</v>
      </c>
      <c r="G121" t="str">
        <f t="shared" si="2"/>
        <v xml:space="preserve">MAN </v>
      </c>
    </row>
    <row r="122" spans="1:7" x14ac:dyDescent="0.35">
      <c r="A122" s="5" t="s">
        <v>45</v>
      </c>
      <c r="B122" s="6">
        <v>2014</v>
      </c>
      <c r="C122" s="6">
        <v>136502</v>
      </c>
      <c r="D122" s="6" t="s">
        <v>163</v>
      </c>
      <c r="E122" s="6">
        <v>243000</v>
      </c>
      <c r="F122" s="7">
        <v>42476</v>
      </c>
      <c r="G122" t="str">
        <f t="shared" si="2"/>
        <v xml:space="preserve">MAN </v>
      </c>
    </row>
    <row r="123" spans="1:7" x14ac:dyDescent="0.35">
      <c r="A123" s="8" t="s">
        <v>54</v>
      </c>
      <c r="B123" s="9">
        <v>2014</v>
      </c>
      <c r="C123" s="9">
        <v>167800</v>
      </c>
      <c r="D123" s="9" t="s">
        <v>164</v>
      </c>
      <c r="E123" s="9">
        <v>190300</v>
      </c>
      <c r="F123" s="10">
        <v>42272</v>
      </c>
      <c r="G123" t="str">
        <f t="shared" si="2"/>
        <v xml:space="preserve">MAN </v>
      </c>
    </row>
    <row r="124" spans="1:7" x14ac:dyDescent="0.35">
      <c r="A124" s="5" t="s">
        <v>35</v>
      </c>
      <c r="B124" s="6">
        <v>2014</v>
      </c>
      <c r="C124" s="6">
        <v>219000</v>
      </c>
      <c r="D124" s="6" t="s">
        <v>165</v>
      </c>
      <c r="E124" s="6">
        <v>126290</v>
      </c>
      <c r="F124" s="7">
        <v>42083</v>
      </c>
      <c r="G124" t="str">
        <f t="shared" si="2"/>
        <v xml:space="preserve">Mercedes </v>
      </c>
    </row>
    <row r="125" spans="1:7" x14ac:dyDescent="0.35">
      <c r="A125" s="8" t="s">
        <v>136</v>
      </c>
      <c r="B125" s="9">
        <v>2014</v>
      </c>
      <c r="C125" s="9">
        <v>240000</v>
      </c>
      <c r="D125" s="9" t="s">
        <v>166</v>
      </c>
      <c r="E125" s="9">
        <v>183788</v>
      </c>
      <c r="F125" s="10">
        <v>42681</v>
      </c>
      <c r="G125" t="str">
        <f t="shared" si="2"/>
        <v xml:space="preserve">DAF </v>
      </c>
    </row>
    <row r="126" spans="1:7" x14ac:dyDescent="0.35">
      <c r="A126" s="5" t="s">
        <v>136</v>
      </c>
      <c r="B126" s="6">
        <v>2014</v>
      </c>
      <c r="C126" s="6">
        <v>240000</v>
      </c>
      <c r="D126" s="6" t="s">
        <v>167</v>
      </c>
      <c r="E126" s="6">
        <v>160198</v>
      </c>
      <c r="F126" s="7">
        <v>42681</v>
      </c>
      <c r="G126" t="str">
        <f t="shared" si="2"/>
        <v xml:space="preserve">DAF </v>
      </c>
    </row>
    <row r="127" spans="1:7" x14ac:dyDescent="0.35">
      <c r="A127" s="8" t="s">
        <v>136</v>
      </c>
      <c r="B127" s="9">
        <v>2014</v>
      </c>
      <c r="C127" s="9">
        <v>240000</v>
      </c>
      <c r="D127" s="9" t="s">
        <v>168</v>
      </c>
      <c r="E127" s="9">
        <v>156724</v>
      </c>
      <c r="F127" s="10">
        <v>42681</v>
      </c>
      <c r="G127" t="str">
        <f t="shared" si="2"/>
        <v xml:space="preserve">DAF </v>
      </c>
    </row>
    <row r="128" spans="1:7" x14ac:dyDescent="0.35">
      <c r="A128" s="5" t="s">
        <v>157</v>
      </c>
      <c r="B128" s="6">
        <v>2014</v>
      </c>
      <c r="C128" s="6">
        <v>270000</v>
      </c>
      <c r="D128" s="6" t="s">
        <v>169</v>
      </c>
      <c r="E128" s="6">
        <v>157000</v>
      </c>
      <c r="F128" s="7">
        <v>42334</v>
      </c>
      <c r="G128" t="str">
        <f t="shared" si="2"/>
        <v xml:space="preserve">MAN </v>
      </c>
    </row>
    <row r="129" spans="1:7" x14ac:dyDescent="0.35">
      <c r="A129" s="8" t="s">
        <v>35</v>
      </c>
      <c r="B129" s="9">
        <v>2015</v>
      </c>
      <c r="C129" s="9">
        <v>218000</v>
      </c>
      <c r="D129" s="9" t="s">
        <v>170</v>
      </c>
      <c r="E129" s="9">
        <v>130290</v>
      </c>
      <c r="F129" s="10">
        <v>42083</v>
      </c>
      <c r="G129" t="str">
        <f t="shared" si="2"/>
        <v xml:space="preserve">Mercedes </v>
      </c>
    </row>
    <row r="130" spans="1:7" x14ac:dyDescent="0.35">
      <c r="A130" s="5" t="s">
        <v>62</v>
      </c>
      <c r="B130" s="6">
        <v>2015</v>
      </c>
      <c r="C130" s="6">
        <v>258000</v>
      </c>
      <c r="D130" s="6" t="s">
        <v>171</v>
      </c>
      <c r="E130" s="6">
        <v>160700</v>
      </c>
      <c r="F130" s="7">
        <v>42286</v>
      </c>
      <c r="G130" t="str">
        <f t="shared" si="2"/>
        <v xml:space="preserve">Mercedes </v>
      </c>
    </row>
    <row r="131" spans="1:7" x14ac:dyDescent="0.35">
      <c r="A131" s="8" t="s">
        <v>172</v>
      </c>
      <c r="B131" s="9">
        <v>2015</v>
      </c>
      <c r="C131" s="9">
        <v>360000</v>
      </c>
      <c r="D131" s="9" t="s">
        <v>173</v>
      </c>
      <c r="E131" s="9">
        <v>100000</v>
      </c>
      <c r="F131" s="10">
        <v>42734</v>
      </c>
      <c r="G131" t="str">
        <f t="shared" ref="G131:G135" si="3">LEFT(A131,SEARCH(" ",A131))</f>
        <v xml:space="preserve">Volvo </v>
      </c>
    </row>
    <row r="132" spans="1:7" x14ac:dyDescent="0.35">
      <c r="A132" s="5" t="s">
        <v>172</v>
      </c>
      <c r="B132" s="6">
        <v>2015</v>
      </c>
      <c r="C132" s="6">
        <v>360000</v>
      </c>
      <c r="D132" s="6" t="s">
        <v>174</v>
      </c>
      <c r="E132" s="6">
        <v>115000</v>
      </c>
      <c r="F132" s="7">
        <v>42734</v>
      </c>
      <c r="G132" t="str">
        <f t="shared" si="3"/>
        <v xml:space="preserve">Volvo </v>
      </c>
    </row>
    <row r="133" spans="1:7" x14ac:dyDescent="0.35">
      <c r="A133" s="8" t="s">
        <v>172</v>
      </c>
      <c r="B133" s="9">
        <v>2015</v>
      </c>
      <c r="C133" s="9">
        <v>360000</v>
      </c>
      <c r="D133" s="9" t="s">
        <v>175</v>
      </c>
      <c r="E133" s="9">
        <v>132000</v>
      </c>
      <c r="F133" s="10">
        <v>42734</v>
      </c>
      <c r="G133" t="str">
        <f t="shared" si="3"/>
        <v xml:space="preserve">Volvo </v>
      </c>
    </row>
    <row r="134" spans="1:7" x14ac:dyDescent="0.35">
      <c r="A134" s="5" t="s">
        <v>172</v>
      </c>
      <c r="B134" s="6">
        <v>2015</v>
      </c>
      <c r="C134" s="6">
        <v>360000</v>
      </c>
      <c r="D134" s="6" t="s">
        <v>176</v>
      </c>
      <c r="E134" s="6">
        <v>108000</v>
      </c>
      <c r="F134" s="7">
        <v>42734</v>
      </c>
      <c r="G134" t="str">
        <f t="shared" si="3"/>
        <v xml:space="preserve">Volvo </v>
      </c>
    </row>
    <row r="135" spans="1:7" x14ac:dyDescent="0.35">
      <c r="A135" s="11" t="s">
        <v>172</v>
      </c>
      <c r="B135" s="1">
        <v>2015</v>
      </c>
      <c r="C135" s="1">
        <v>360000</v>
      </c>
      <c r="D135" s="1" t="s">
        <v>177</v>
      </c>
      <c r="E135" s="1">
        <v>140000</v>
      </c>
      <c r="F135" s="12">
        <v>42734</v>
      </c>
      <c r="G135" t="str">
        <f t="shared" si="3"/>
        <v xml:space="preserve">Volvo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251C7-4903-4EE4-AA84-5311E49A9084}">
  <dimension ref="A1:G135"/>
  <sheetViews>
    <sheetView tabSelected="1" zoomScale="78" workbookViewId="0">
      <selection sqref="A1:G5"/>
    </sheetView>
  </sheetViews>
  <sheetFormatPr defaultRowHeight="14.5" x14ac:dyDescent="0.35"/>
  <cols>
    <col min="1" max="1" width="17" bestFit="1" customWidth="1"/>
    <col min="2" max="2" width="15.26953125" bestFit="1" customWidth="1"/>
    <col min="3" max="3" width="14.36328125" bestFit="1" customWidth="1"/>
    <col min="4" max="4" width="17" bestFit="1" customWidth="1"/>
    <col min="5" max="5" width="10.1796875" bestFit="1" customWidth="1"/>
    <col min="6" max="6" width="25.6328125" bestFit="1" customWidth="1"/>
    <col min="7" max="7" width="20.36328125" bestFit="1" customWidth="1"/>
  </cols>
  <sheetData>
    <row r="1" spans="1:7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17" t="s">
        <v>196</v>
      </c>
    </row>
    <row r="2" spans="1:7" x14ac:dyDescent="0.35">
      <c r="A2" s="8" t="s">
        <v>35</v>
      </c>
      <c r="B2" s="9">
        <v>2009</v>
      </c>
      <c r="C2" s="9">
        <v>85000</v>
      </c>
      <c r="D2" s="9" t="s">
        <v>36</v>
      </c>
      <c r="E2" s="9">
        <v>946000</v>
      </c>
      <c r="F2" s="10">
        <v>42014</v>
      </c>
      <c r="G2">
        <f>_xlfn.DAYS(DATE(2017,1,1),F2)</f>
        <v>722</v>
      </c>
    </row>
    <row r="3" spans="1:7" x14ac:dyDescent="0.35">
      <c r="A3" s="5" t="s">
        <v>6</v>
      </c>
      <c r="B3" s="6">
        <v>2006</v>
      </c>
      <c r="C3" s="6">
        <v>85900</v>
      </c>
      <c r="D3" s="6" t="s">
        <v>9</v>
      </c>
      <c r="E3" s="6">
        <v>998704</v>
      </c>
      <c r="F3" s="7">
        <v>42028</v>
      </c>
      <c r="G3">
        <f>_xlfn.DAYS(DATE(2017,1,1),F3)</f>
        <v>708</v>
      </c>
    </row>
    <row r="4" spans="1:7" x14ac:dyDescent="0.35">
      <c r="A4" s="8" t="s">
        <v>6</v>
      </c>
      <c r="B4" s="9">
        <v>2006</v>
      </c>
      <c r="C4" s="9">
        <v>85900</v>
      </c>
      <c r="D4" s="9" t="s">
        <v>10</v>
      </c>
      <c r="E4" s="9">
        <v>936780</v>
      </c>
      <c r="F4" s="10">
        <v>42028</v>
      </c>
      <c r="G4">
        <f>_xlfn.DAYS(DATE(2017,1,1),F4)</f>
        <v>708</v>
      </c>
    </row>
    <row r="5" spans="1:7" x14ac:dyDescent="0.35">
      <c r="A5" s="5" t="s">
        <v>81</v>
      </c>
      <c r="B5" s="6">
        <v>2010</v>
      </c>
      <c r="C5" s="6">
        <v>160000</v>
      </c>
      <c r="D5" s="6" t="s">
        <v>82</v>
      </c>
      <c r="E5" s="6">
        <v>263000</v>
      </c>
      <c r="F5" s="7">
        <v>42028</v>
      </c>
      <c r="G5">
        <f>_xlfn.DAYS(DATE(2017,1,1),F5)</f>
        <v>708</v>
      </c>
    </row>
    <row r="6" spans="1:7" x14ac:dyDescent="0.35">
      <c r="A6" s="8" t="s">
        <v>6</v>
      </c>
      <c r="B6" s="9">
        <v>2006</v>
      </c>
      <c r="C6" s="9">
        <v>85900</v>
      </c>
      <c r="D6" s="9" t="s">
        <v>8</v>
      </c>
      <c r="E6" s="9">
        <v>1068570</v>
      </c>
      <c r="F6" s="10">
        <v>42029</v>
      </c>
      <c r="G6">
        <f>_xlfn.DAYS(DATE(2017,1,1),F6)</f>
        <v>707</v>
      </c>
    </row>
    <row r="7" spans="1:7" x14ac:dyDescent="0.35">
      <c r="A7" s="8" t="s">
        <v>35</v>
      </c>
      <c r="B7" s="9">
        <v>2010</v>
      </c>
      <c r="C7" s="9">
        <v>84000</v>
      </c>
      <c r="D7" s="9" t="s">
        <v>69</v>
      </c>
      <c r="E7" s="9">
        <v>950000</v>
      </c>
      <c r="F7" s="10">
        <v>42029</v>
      </c>
      <c r="G7">
        <f>_xlfn.DAYS(DATE(2017,1,1),F7)</f>
        <v>707</v>
      </c>
    </row>
    <row r="8" spans="1:7" x14ac:dyDescent="0.35">
      <c r="A8" s="5" t="s">
        <v>6</v>
      </c>
      <c r="B8" s="6">
        <v>2006</v>
      </c>
      <c r="C8" s="6">
        <v>85900</v>
      </c>
      <c r="D8" s="6" t="s">
        <v>11</v>
      </c>
      <c r="E8" s="6">
        <v>870233</v>
      </c>
      <c r="F8" s="7">
        <v>42034</v>
      </c>
      <c r="G8">
        <f>_xlfn.DAYS(DATE(2017,1,1),F8)</f>
        <v>702</v>
      </c>
    </row>
    <row r="9" spans="1:7" x14ac:dyDescent="0.35">
      <c r="A9" s="5" t="s">
        <v>6</v>
      </c>
      <c r="B9" s="6">
        <v>2006</v>
      </c>
      <c r="C9" s="6">
        <v>85900</v>
      </c>
      <c r="D9" s="6" t="s">
        <v>7</v>
      </c>
      <c r="E9" s="6">
        <v>1200655</v>
      </c>
      <c r="F9" s="7">
        <v>42035</v>
      </c>
      <c r="G9">
        <f>_xlfn.DAYS(DATE(2017,1,1),F9)</f>
        <v>701</v>
      </c>
    </row>
    <row r="10" spans="1:7" x14ac:dyDescent="0.35">
      <c r="A10" s="8" t="s">
        <v>119</v>
      </c>
      <c r="B10" s="9">
        <v>2012</v>
      </c>
      <c r="C10" s="9">
        <v>145000</v>
      </c>
      <c r="D10" s="9" t="s">
        <v>120</v>
      </c>
      <c r="E10" s="9">
        <v>386732</v>
      </c>
      <c r="F10" s="10">
        <v>42059</v>
      </c>
      <c r="G10">
        <f>_xlfn.DAYS(DATE(2017,1,1),F10)</f>
        <v>677</v>
      </c>
    </row>
    <row r="11" spans="1:7" x14ac:dyDescent="0.35">
      <c r="A11" s="5" t="s">
        <v>119</v>
      </c>
      <c r="B11" s="6">
        <v>2012</v>
      </c>
      <c r="C11" s="6">
        <v>145000</v>
      </c>
      <c r="D11" s="6" t="s">
        <v>121</v>
      </c>
      <c r="E11" s="6">
        <v>312680</v>
      </c>
      <c r="F11" s="7">
        <v>42059</v>
      </c>
      <c r="G11">
        <f>_xlfn.DAYS(DATE(2017,1,1),F11)</f>
        <v>677</v>
      </c>
    </row>
    <row r="12" spans="1:7" x14ac:dyDescent="0.35">
      <c r="A12" s="5" t="s">
        <v>50</v>
      </c>
      <c r="B12" s="6">
        <v>2010</v>
      </c>
      <c r="C12" s="6">
        <v>40830</v>
      </c>
      <c r="D12" s="6" t="s">
        <v>65</v>
      </c>
      <c r="E12" s="6">
        <v>326000</v>
      </c>
      <c r="F12" s="7">
        <v>42062</v>
      </c>
      <c r="G12">
        <f>_xlfn.DAYS(DATE(2017,1,1),F12)</f>
        <v>674</v>
      </c>
    </row>
    <row r="13" spans="1:7" x14ac:dyDescent="0.35">
      <c r="A13" s="8" t="s">
        <v>50</v>
      </c>
      <c r="B13" s="9">
        <v>2012</v>
      </c>
      <c r="C13" s="9">
        <v>39830</v>
      </c>
      <c r="D13" s="9" t="s">
        <v>111</v>
      </c>
      <c r="E13" s="9">
        <v>330000</v>
      </c>
      <c r="F13" s="10">
        <v>42062</v>
      </c>
      <c r="G13">
        <f>_xlfn.DAYS(DATE(2017,1,1),F13)</f>
        <v>674</v>
      </c>
    </row>
    <row r="14" spans="1:7" x14ac:dyDescent="0.35">
      <c r="A14" s="8" t="s">
        <v>79</v>
      </c>
      <c r="B14" s="9">
        <v>2010</v>
      </c>
      <c r="C14" s="9">
        <v>135000</v>
      </c>
      <c r="D14" s="9" t="s">
        <v>80</v>
      </c>
      <c r="E14" s="9">
        <v>251000</v>
      </c>
      <c r="F14" s="10">
        <v>42067</v>
      </c>
      <c r="G14">
        <f>_xlfn.DAYS(DATE(2017,1,1),F14)</f>
        <v>669</v>
      </c>
    </row>
    <row r="15" spans="1:7" x14ac:dyDescent="0.35">
      <c r="A15" s="5" t="s">
        <v>79</v>
      </c>
      <c r="B15" s="6">
        <v>2013</v>
      </c>
      <c r="C15" s="6">
        <v>136000</v>
      </c>
      <c r="D15" s="6" t="s">
        <v>147</v>
      </c>
      <c r="E15" s="6">
        <v>247000</v>
      </c>
      <c r="F15" s="7">
        <v>42067</v>
      </c>
      <c r="G15">
        <f>_xlfn.DAYS(DATE(2017,1,1),F15)</f>
        <v>669</v>
      </c>
    </row>
    <row r="16" spans="1:7" x14ac:dyDescent="0.35">
      <c r="A16" s="5" t="s">
        <v>45</v>
      </c>
      <c r="B16" s="6">
        <v>2009</v>
      </c>
      <c r="C16" s="6">
        <v>114400</v>
      </c>
      <c r="D16" s="6" t="s">
        <v>46</v>
      </c>
      <c r="E16" s="6">
        <v>226000</v>
      </c>
      <c r="F16" s="7">
        <v>42073</v>
      </c>
      <c r="G16">
        <f>_xlfn.DAYS(DATE(2017,1,1),F16)</f>
        <v>663</v>
      </c>
    </row>
    <row r="17" spans="1:7" x14ac:dyDescent="0.35">
      <c r="A17" s="5" t="s">
        <v>45</v>
      </c>
      <c r="B17" s="6">
        <v>2010</v>
      </c>
      <c r="C17" s="6">
        <v>113400</v>
      </c>
      <c r="D17" s="6" t="s">
        <v>78</v>
      </c>
      <c r="E17" s="6">
        <v>230000</v>
      </c>
      <c r="F17" s="7">
        <v>42073</v>
      </c>
      <c r="G17">
        <f>_xlfn.DAYS(DATE(2017,1,1),F17)</f>
        <v>663</v>
      </c>
    </row>
    <row r="18" spans="1:7" x14ac:dyDescent="0.35">
      <c r="A18" s="5" t="s">
        <v>22</v>
      </c>
      <c r="B18" s="6">
        <v>2008</v>
      </c>
      <c r="C18" s="6">
        <v>89000</v>
      </c>
      <c r="D18" s="6" t="s">
        <v>23</v>
      </c>
      <c r="E18" s="6">
        <v>305000</v>
      </c>
      <c r="F18" s="7">
        <v>42075</v>
      </c>
      <c r="G18">
        <f>_xlfn.DAYS(DATE(2017,1,1),F18)</f>
        <v>661</v>
      </c>
    </row>
    <row r="19" spans="1:7" x14ac:dyDescent="0.35">
      <c r="A19" s="5" t="s">
        <v>22</v>
      </c>
      <c r="B19" s="6">
        <v>2009</v>
      </c>
      <c r="C19" s="6">
        <v>90000</v>
      </c>
      <c r="D19" s="6" t="s">
        <v>43</v>
      </c>
      <c r="E19" s="6">
        <v>301000</v>
      </c>
      <c r="F19" s="7">
        <v>42075</v>
      </c>
      <c r="G19">
        <f>_xlfn.DAYS(DATE(2017,1,1),F19)</f>
        <v>661</v>
      </c>
    </row>
    <row r="20" spans="1:7" x14ac:dyDescent="0.35">
      <c r="A20" s="5" t="s">
        <v>22</v>
      </c>
      <c r="B20" s="6">
        <v>2012</v>
      </c>
      <c r="C20" s="6">
        <v>110000</v>
      </c>
      <c r="D20" s="6" t="s">
        <v>116</v>
      </c>
      <c r="E20" s="6">
        <v>201000</v>
      </c>
      <c r="F20" s="7">
        <v>42075</v>
      </c>
      <c r="G20">
        <f>_xlfn.DAYS(DATE(2017,1,1),F20)</f>
        <v>661</v>
      </c>
    </row>
    <row r="21" spans="1:7" x14ac:dyDescent="0.35">
      <c r="A21" s="5" t="s">
        <v>35</v>
      </c>
      <c r="B21" s="6">
        <v>2014</v>
      </c>
      <c r="C21" s="6">
        <v>219000</v>
      </c>
      <c r="D21" s="6" t="s">
        <v>165</v>
      </c>
      <c r="E21" s="6">
        <v>126290</v>
      </c>
      <c r="F21" s="7">
        <v>42083</v>
      </c>
      <c r="G21">
        <f>_xlfn.DAYS(DATE(2017,1,1),F21)</f>
        <v>653</v>
      </c>
    </row>
    <row r="22" spans="1:7" x14ac:dyDescent="0.35">
      <c r="A22" s="8" t="s">
        <v>35</v>
      </c>
      <c r="B22" s="9">
        <v>2015</v>
      </c>
      <c r="C22" s="9">
        <v>218000</v>
      </c>
      <c r="D22" s="9" t="s">
        <v>170</v>
      </c>
      <c r="E22" s="9">
        <v>130290</v>
      </c>
      <c r="F22" s="10">
        <v>42083</v>
      </c>
      <c r="G22">
        <f>_xlfn.DAYS(DATE(2017,1,1),F22)</f>
        <v>653</v>
      </c>
    </row>
    <row r="23" spans="1:7" x14ac:dyDescent="0.35">
      <c r="A23" s="5" t="s">
        <v>50</v>
      </c>
      <c r="B23" s="6">
        <v>2012</v>
      </c>
      <c r="C23" s="6">
        <v>48800</v>
      </c>
      <c r="D23" s="6" t="s">
        <v>112</v>
      </c>
      <c r="E23" s="6">
        <v>268650</v>
      </c>
      <c r="F23" s="7">
        <v>42117</v>
      </c>
      <c r="G23">
        <f>_xlfn.DAYS(DATE(2017,1,1),F23)</f>
        <v>619</v>
      </c>
    </row>
    <row r="24" spans="1:7" x14ac:dyDescent="0.35">
      <c r="A24" s="5" t="s">
        <v>50</v>
      </c>
      <c r="B24" s="6">
        <v>2013</v>
      </c>
      <c r="C24" s="6">
        <v>47800</v>
      </c>
      <c r="D24" s="6" t="s">
        <v>143</v>
      </c>
      <c r="E24" s="6">
        <v>272650</v>
      </c>
      <c r="F24" s="7">
        <v>42117</v>
      </c>
      <c r="G24">
        <f>_xlfn.DAYS(DATE(2017,1,1),F24)</f>
        <v>619</v>
      </c>
    </row>
    <row r="25" spans="1:7" x14ac:dyDescent="0.35">
      <c r="A25" s="5" t="s">
        <v>25</v>
      </c>
      <c r="B25" s="6">
        <v>2009</v>
      </c>
      <c r="C25" s="6">
        <v>68000</v>
      </c>
      <c r="D25" s="6" t="s">
        <v>26</v>
      </c>
      <c r="E25" s="6">
        <v>992600</v>
      </c>
      <c r="F25" s="7">
        <v>42157</v>
      </c>
      <c r="G25">
        <f>_xlfn.DAYS(DATE(2017,1,1),F25)</f>
        <v>579</v>
      </c>
    </row>
    <row r="26" spans="1:7" x14ac:dyDescent="0.35">
      <c r="A26" s="5" t="s">
        <v>25</v>
      </c>
      <c r="B26" s="6">
        <v>2010</v>
      </c>
      <c r="C26" s="6">
        <v>67000</v>
      </c>
      <c r="D26" s="6" t="s">
        <v>70</v>
      </c>
      <c r="E26" s="6">
        <v>103260</v>
      </c>
      <c r="F26" s="7">
        <v>42157</v>
      </c>
      <c r="G26">
        <f>_xlfn.DAYS(DATE(2017,1,1),F26)</f>
        <v>579</v>
      </c>
    </row>
    <row r="27" spans="1:7" x14ac:dyDescent="0.35">
      <c r="A27" s="8" t="s">
        <v>35</v>
      </c>
      <c r="B27" s="9">
        <v>2009</v>
      </c>
      <c r="C27" s="9">
        <v>91000</v>
      </c>
      <c r="D27" s="9" t="s">
        <v>44</v>
      </c>
      <c r="E27" s="9">
        <v>360000</v>
      </c>
      <c r="F27" s="10">
        <v>42174</v>
      </c>
      <c r="G27">
        <f>_xlfn.DAYS(DATE(2017,1,1),F27)</f>
        <v>562</v>
      </c>
    </row>
    <row r="28" spans="1:7" x14ac:dyDescent="0.35">
      <c r="A28" s="8" t="s">
        <v>71</v>
      </c>
      <c r="B28" s="9">
        <v>2010</v>
      </c>
      <c r="C28" s="9">
        <v>75300</v>
      </c>
      <c r="D28" s="9" t="s">
        <v>72</v>
      </c>
      <c r="E28" s="9">
        <v>302000</v>
      </c>
      <c r="F28" s="10">
        <v>42174</v>
      </c>
      <c r="G28">
        <f>_xlfn.DAYS(DATE(2017,1,1),F28)</f>
        <v>562</v>
      </c>
    </row>
    <row r="29" spans="1:7" x14ac:dyDescent="0.35">
      <c r="A29" s="8" t="s">
        <v>35</v>
      </c>
      <c r="B29" s="9">
        <v>2010</v>
      </c>
      <c r="C29" s="9">
        <v>92000</v>
      </c>
      <c r="D29" s="9" t="s">
        <v>74</v>
      </c>
      <c r="E29" s="9">
        <v>356000</v>
      </c>
      <c r="F29" s="10">
        <v>42174</v>
      </c>
      <c r="G29">
        <f>_xlfn.DAYS(DATE(2017,1,1),F29)</f>
        <v>562</v>
      </c>
    </row>
    <row r="30" spans="1:7" x14ac:dyDescent="0.35">
      <c r="A30" s="8" t="s">
        <v>71</v>
      </c>
      <c r="B30" s="9">
        <v>2011</v>
      </c>
      <c r="C30" s="9">
        <v>74300</v>
      </c>
      <c r="D30" s="9" t="s">
        <v>95</v>
      </c>
      <c r="E30" s="9">
        <v>306000</v>
      </c>
      <c r="F30" s="10">
        <v>42174</v>
      </c>
      <c r="G30">
        <f>_xlfn.DAYS(DATE(2017,1,1),F30)</f>
        <v>562</v>
      </c>
    </row>
    <row r="31" spans="1:7" x14ac:dyDescent="0.35">
      <c r="A31" s="5" t="s">
        <v>136</v>
      </c>
      <c r="B31" s="6">
        <v>2012</v>
      </c>
      <c r="C31" s="6">
        <v>240000</v>
      </c>
      <c r="D31" s="6" t="s">
        <v>137</v>
      </c>
      <c r="E31" s="6">
        <v>301344</v>
      </c>
      <c r="F31" s="7">
        <v>42185</v>
      </c>
      <c r="G31">
        <f>_xlfn.DAYS(DATE(2017,1,1),F31)</f>
        <v>551</v>
      </c>
    </row>
    <row r="32" spans="1:7" x14ac:dyDescent="0.35">
      <c r="A32" s="8" t="s">
        <v>136</v>
      </c>
      <c r="B32" s="9">
        <v>2012</v>
      </c>
      <c r="C32" s="9">
        <v>240000</v>
      </c>
      <c r="D32" s="9" t="s">
        <v>138</v>
      </c>
      <c r="E32" s="9">
        <v>315988</v>
      </c>
      <c r="F32" s="10">
        <v>42185</v>
      </c>
      <c r="G32">
        <f>_xlfn.DAYS(DATE(2017,1,1),F32)</f>
        <v>551</v>
      </c>
    </row>
    <row r="33" spans="1:7" x14ac:dyDescent="0.35">
      <c r="A33" s="5" t="s">
        <v>136</v>
      </c>
      <c r="B33" s="6">
        <v>2012</v>
      </c>
      <c r="C33" s="6">
        <v>240000</v>
      </c>
      <c r="D33" s="6" t="s">
        <v>139</v>
      </c>
      <c r="E33" s="6">
        <v>234760</v>
      </c>
      <c r="F33" s="7">
        <v>42185</v>
      </c>
      <c r="G33">
        <f>_xlfn.DAYS(DATE(2017,1,1),F33)</f>
        <v>551</v>
      </c>
    </row>
    <row r="34" spans="1:7" x14ac:dyDescent="0.35">
      <c r="A34" s="8" t="s">
        <v>136</v>
      </c>
      <c r="B34" s="9">
        <v>2012</v>
      </c>
      <c r="C34" s="9">
        <v>240000</v>
      </c>
      <c r="D34" s="9" t="s">
        <v>140</v>
      </c>
      <c r="E34" s="9">
        <v>210780</v>
      </c>
      <c r="F34" s="10">
        <v>42185</v>
      </c>
      <c r="G34">
        <f>_xlfn.DAYS(DATE(2017,1,1),F34)</f>
        <v>551</v>
      </c>
    </row>
    <row r="35" spans="1:7" x14ac:dyDescent="0.35">
      <c r="A35" s="5" t="s">
        <v>136</v>
      </c>
      <c r="B35" s="6">
        <v>2012</v>
      </c>
      <c r="C35" s="6">
        <v>240000</v>
      </c>
      <c r="D35" s="6" t="s">
        <v>141</v>
      </c>
      <c r="E35" s="6">
        <v>198240</v>
      </c>
      <c r="F35" s="7">
        <v>42185</v>
      </c>
      <c r="G35">
        <f>_xlfn.DAYS(DATE(2017,1,1),F35)</f>
        <v>551</v>
      </c>
    </row>
    <row r="36" spans="1:7" x14ac:dyDescent="0.35">
      <c r="A36" s="5" t="s">
        <v>28</v>
      </c>
      <c r="B36" s="6">
        <v>2009</v>
      </c>
      <c r="C36" s="6">
        <v>67900</v>
      </c>
      <c r="D36" s="6" t="s">
        <v>29</v>
      </c>
      <c r="E36" s="6">
        <v>850000</v>
      </c>
      <c r="F36" s="7">
        <v>42194</v>
      </c>
      <c r="G36">
        <f>_xlfn.DAYS(DATE(2017,1,1),F36)</f>
        <v>542</v>
      </c>
    </row>
    <row r="37" spans="1:7" x14ac:dyDescent="0.35">
      <c r="A37" s="5" t="s">
        <v>28</v>
      </c>
      <c r="B37" s="6">
        <v>2009</v>
      </c>
      <c r="C37" s="6">
        <v>68900</v>
      </c>
      <c r="D37" s="6" t="s">
        <v>31</v>
      </c>
      <c r="E37" s="6">
        <v>846000</v>
      </c>
      <c r="F37" s="7">
        <v>42194</v>
      </c>
      <c r="G37">
        <f>_xlfn.DAYS(DATE(2017,1,1),F37)</f>
        <v>542</v>
      </c>
    </row>
    <row r="38" spans="1:7" x14ac:dyDescent="0.35">
      <c r="A38" s="8" t="s">
        <v>41</v>
      </c>
      <c r="B38" s="9">
        <v>2009</v>
      </c>
      <c r="C38" s="9">
        <v>86133</v>
      </c>
      <c r="D38" s="9" t="s">
        <v>42</v>
      </c>
      <c r="E38" s="9">
        <v>380000</v>
      </c>
      <c r="F38" s="10">
        <v>42208</v>
      </c>
      <c r="G38">
        <f>_xlfn.DAYS(DATE(2017,1,1),F38)</f>
        <v>528</v>
      </c>
    </row>
    <row r="39" spans="1:7" x14ac:dyDescent="0.35">
      <c r="A39" s="8" t="s">
        <v>41</v>
      </c>
      <c r="B39" s="9">
        <v>2012</v>
      </c>
      <c r="C39" s="9">
        <v>87133</v>
      </c>
      <c r="D39" s="9" t="s">
        <v>115</v>
      </c>
      <c r="E39" s="9">
        <v>376000</v>
      </c>
      <c r="F39" s="10">
        <v>42208</v>
      </c>
      <c r="G39">
        <f>_xlfn.DAYS(DATE(2017,1,1),F39)</f>
        <v>528</v>
      </c>
    </row>
    <row r="40" spans="1:7" x14ac:dyDescent="0.35">
      <c r="A40" s="8" t="s">
        <v>16</v>
      </c>
      <c r="B40" s="9">
        <v>2008</v>
      </c>
      <c r="C40" s="9">
        <v>49411</v>
      </c>
      <c r="D40" s="9" t="s">
        <v>17</v>
      </c>
      <c r="E40" s="9">
        <v>186000</v>
      </c>
      <c r="F40" s="10">
        <v>42210</v>
      </c>
      <c r="G40">
        <f>_xlfn.DAYS(DATE(2017,1,1),F40)</f>
        <v>526</v>
      </c>
    </row>
    <row r="41" spans="1:7" x14ac:dyDescent="0.35">
      <c r="A41" s="8" t="s">
        <v>16</v>
      </c>
      <c r="B41" s="9">
        <v>2009</v>
      </c>
      <c r="C41" s="9">
        <v>48411</v>
      </c>
      <c r="D41" s="9" t="s">
        <v>24</v>
      </c>
      <c r="E41" s="9">
        <v>190000</v>
      </c>
      <c r="F41" s="10">
        <v>42210</v>
      </c>
      <c r="G41">
        <f>_xlfn.DAYS(DATE(2017,1,1),F41)</f>
        <v>526</v>
      </c>
    </row>
    <row r="42" spans="1:7" x14ac:dyDescent="0.35">
      <c r="A42" s="8" t="s">
        <v>16</v>
      </c>
      <c r="B42" s="9">
        <v>2009</v>
      </c>
      <c r="C42" s="9">
        <v>49411</v>
      </c>
      <c r="D42" s="9" t="s">
        <v>27</v>
      </c>
      <c r="E42" s="9">
        <v>186000</v>
      </c>
      <c r="F42" s="10">
        <v>42210</v>
      </c>
      <c r="G42">
        <f>_xlfn.DAYS(DATE(2017,1,1),F42)</f>
        <v>526</v>
      </c>
    </row>
    <row r="43" spans="1:7" x14ac:dyDescent="0.35">
      <c r="A43" s="5" t="s">
        <v>67</v>
      </c>
      <c r="B43" s="6">
        <v>2010</v>
      </c>
      <c r="C43" s="6">
        <v>60000</v>
      </c>
      <c r="D43" s="6" t="s">
        <v>68</v>
      </c>
      <c r="E43" s="6">
        <v>99250</v>
      </c>
      <c r="F43" s="7">
        <v>42226</v>
      </c>
      <c r="G43">
        <f>_xlfn.DAYS(DATE(2017,1,1),F43)</f>
        <v>510</v>
      </c>
    </row>
    <row r="44" spans="1:7" x14ac:dyDescent="0.35">
      <c r="A44" s="5" t="s">
        <v>67</v>
      </c>
      <c r="B44" s="6">
        <v>2011</v>
      </c>
      <c r="C44" s="6">
        <v>59000</v>
      </c>
      <c r="D44" s="6" t="s">
        <v>94</v>
      </c>
      <c r="E44" s="6">
        <v>103250</v>
      </c>
      <c r="F44" s="7">
        <v>42226</v>
      </c>
      <c r="G44">
        <f>_xlfn.DAYS(DATE(2017,1,1),F44)</f>
        <v>510</v>
      </c>
    </row>
    <row r="45" spans="1:7" x14ac:dyDescent="0.35">
      <c r="A45" s="8" t="s">
        <v>83</v>
      </c>
      <c r="B45" s="9">
        <v>2010</v>
      </c>
      <c r="C45" s="9">
        <v>265000</v>
      </c>
      <c r="D45" s="9" t="s">
        <v>84</v>
      </c>
      <c r="E45" s="9">
        <v>930000</v>
      </c>
      <c r="F45" s="10">
        <v>42236</v>
      </c>
      <c r="G45">
        <f>_xlfn.DAYS(DATE(2017,1,1),F45)</f>
        <v>500</v>
      </c>
    </row>
    <row r="46" spans="1:7" x14ac:dyDescent="0.35">
      <c r="A46" s="5" t="s">
        <v>83</v>
      </c>
      <c r="B46" s="6">
        <v>2010</v>
      </c>
      <c r="C46" s="6">
        <v>265000</v>
      </c>
      <c r="D46" s="6" t="s">
        <v>85</v>
      </c>
      <c r="E46" s="6">
        <v>912000</v>
      </c>
      <c r="F46" s="7">
        <v>42236</v>
      </c>
      <c r="G46">
        <f>_xlfn.DAYS(DATE(2017,1,1),F46)</f>
        <v>500</v>
      </c>
    </row>
    <row r="47" spans="1:7" x14ac:dyDescent="0.35">
      <c r="A47" s="8" t="s">
        <v>83</v>
      </c>
      <c r="B47" s="9">
        <v>2010</v>
      </c>
      <c r="C47" s="9">
        <v>265000</v>
      </c>
      <c r="D47" s="9" t="s">
        <v>86</v>
      </c>
      <c r="E47" s="9">
        <v>856000</v>
      </c>
      <c r="F47" s="10">
        <v>42236</v>
      </c>
      <c r="G47">
        <f>_xlfn.DAYS(DATE(2017,1,1),F47)</f>
        <v>500</v>
      </c>
    </row>
    <row r="48" spans="1:7" x14ac:dyDescent="0.35">
      <c r="A48" s="5" t="s">
        <v>91</v>
      </c>
      <c r="B48" s="6">
        <v>2011</v>
      </c>
      <c r="C48" s="6">
        <v>56700</v>
      </c>
      <c r="D48" s="6" t="s">
        <v>92</v>
      </c>
      <c r="E48" s="6">
        <v>290000</v>
      </c>
      <c r="F48" s="7">
        <v>42236</v>
      </c>
      <c r="G48">
        <f>_xlfn.DAYS(DATE(2017,1,1),F48)</f>
        <v>500</v>
      </c>
    </row>
    <row r="49" spans="1:7" x14ac:dyDescent="0.35">
      <c r="A49" s="8" t="s">
        <v>91</v>
      </c>
      <c r="B49" s="9">
        <v>2011</v>
      </c>
      <c r="C49" s="9">
        <v>57700</v>
      </c>
      <c r="D49" s="9" t="s">
        <v>93</v>
      </c>
      <c r="E49" s="9">
        <v>286000</v>
      </c>
      <c r="F49" s="10">
        <v>42236</v>
      </c>
      <c r="G49">
        <f>_xlfn.DAYS(DATE(2017,1,1),F49)</f>
        <v>500</v>
      </c>
    </row>
    <row r="50" spans="1:7" x14ac:dyDescent="0.35">
      <c r="A50" s="5" t="s">
        <v>100</v>
      </c>
      <c r="B50" s="6">
        <v>2011</v>
      </c>
      <c r="C50" s="6">
        <v>220000</v>
      </c>
      <c r="D50" s="6" t="s">
        <v>101</v>
      </c>
      <c r="E50" s="6">
        <v>731000</v>
      </c>
      <c r="F50" s="7">
        <v>42236</v>
      </c>
      <c r="G50">
        <f>_xlfn.DAYS(DATE(2017,1,1),F50)</f>
        <v>500</v>
      </c>
    </row>
    <row r="51" spans="1:7" x14ac:dyDescent="0.35">
      <c r="A51" s="8" t="s">
        <v>100</v>
      </c>
      <c r="B51" s="9">
        <v>2011</v>
      </c>
      <c r="C51" s="9">
        <v>220000</v>
      </c>
      <c r="D51" s="9" t="s">
        <v>102</v>
      </c>
      <c r="E51" s="9">
        <v>685413</v>
      </c>
      <c r="F51" s="10">
        <v>42236</v>
      </c>
      <c r="G51">
        <f>_xlfn.DAYS(DATE(2017,1,1),F51)</f>
        <v>500</v>
      </c>
    </row>
    <row r="52" spans="1:7" x14ac:dyDescent="0.35">
      <c r="A52" s="8" t="s">
        <v>76</v>
      </c>
      <c r="B52" s="9">
        <v>2010</v>
      </c>
      <c r="C52" s="9">
        <v>94000</v>
      </c>
      <c r="D52" s="9" t="s">
        <v>77</v>
      </c>
      <c r="E52" s="9">
        <v>91000</v>
      </c>
      <c r="F52" s="10">
        <v>42268</v>
      </c>
      <c r="G52">
        <f>_xlfn.DAYS(DATE(2017,1,1),F52)</f>
        <v>468</v>
      </c>
    </row>
    <row r="53" spans="1:7" x14ac:dyDescent="0.35">
      <c r="A53" s="8" t="s">
        <v>76</v>
      </c>
      <c r="B53" s="9">
        <v>2013</v>
      </c>
      <c r="C53" s="9">
        <v>93000</v>
      </c>
      <c r="D53" s="9" t="s">
        <v>146</v>
      </c>
      <c r="E53" s="9">
        <v>195000</v>
      </c>
      <c r="F53" s="10">
        <v>42268</v>
      </c>
      <c r="G53">
        <f>_xlfn.DAYS(DATE(2017,1,1),F53)</f>
        <v>468</v>
      </c>
    </row>
    <row r="54" spans="1:7" x14ac:dyDescent="0.35">
      <c r="A54" s="5" t="s">
        <v>18</v>
      </c>
      <c r="B54" s="6">
        <v>2008</v>
      </c>
      <c r="C54" s="6">
        <v>58000</v>
      </c>
      <c r="D54" s="6" t="s">
        <v>19</v>
      </c>
      <c r="E54" s="6">
        <v>306000</v>
      </c>
      <c r="F54" s="7">
        <v>42271</v>
      </c>
      <c r="G54">
        <f>_xlfn.DAYS(DATE(2017,1,1),F54)</f>
        <v>465</v>
      </c>
    </row>
    <row r="55" spans="1:7" x14ac:dyDescent="0.35">
      <c r="A55" s="8" t="s">
        <v>18</v>
      </c>
      <c r="B55" s="9">
        <v>2009</v>
      </c>
      <c r="C55" s="9">
        <v>59000</v>
      </c>
      <c r="D55" s="9" t="s">
        <v>32</v>
      </c>
      <c r="E55" s="9">
        <v>302000</v>
      </c>
      <c r="F55" s="10">
        <v>42271</v>
      </c>
      <c r="G55">
        <f>_xlfn.DAYS(DATE(2017,1,1),F55)</f>
        <v>465</v>
      </c>
    </row>
    <row r="56" spans="1:7" x14ac:dyDescent="0.35">
      <c r="A56" s="8" t="s">
        <v>18</v>
      </c>
      <c r="B56" s="9">
        <v>2012</v>
      </c>
      <c r="C56" s="9">
        <v>59000</v>
      </c>
      <c r="D56" s="9" t="s">
        <v>113</v>
      </c>
      <c r="E56" s="9">
        <v>302000</v>
      </c>
      <c r="F56" s="10">
        <v>42271</v>
      </c>
      <c r="G56">
        <f>_xlfn.DAYS(DATE(2017,1,1),F56)</f>
        <v>465</v>
      </c>
    </row>
    <row r="57" spans="1:7" x14ac:dyDescent="0.35">
      <c r="A57" s="5" t="s">
        <v>54</v>
      </c>
      <c r="B57" s="6">
        <v>2009</v>
      </c>
      <c r="C57" s="6">
        <v>168800</v>
      </c>
      <c r="D57" s="6" t="s">
        <v>55</v>
      </c>
      <c r="E57" s="6">
        <v>186300</v>
      </c>
      <c r="F57" s="7">
        <v>42272</v>
      </c>
      <c r="G57">
        <f>_xlfn.DAYS(DATE(2017,1,1),F57)</f>
        <v>464</v>
      </c>
    </row>
    <row r="58" spans="1:7" x14ac:dyDescent="0.35">
      <c r="A58" s="8" t="s">
        <v>54</v>
      </c>
      <c r="B58" s="9">
        <v>2014</v>
      </c>
      <c r="C58" s="9">
        <v>167800</v>
      </c>
      <c r="D58" s="9" t="s">
        <v>164</v>
      </c>
      <c r="E58" s="9">
        <v>190300</v>
      </c>
      <c r="F58" s="10">
        <v>42272</v>
      </c>
      <c r="G58">
        <f>_xlfn.DAYS(DATE(2017,1,1),F58)</f>
        <v>464</v>
      </c>
    </row>
    <row r="59" spans="1:7" x14ac:dyDescent="0.35">
      <c r="A59" s="5" t="s">
        <v>58</v>
      </c>
      <c r="B59" s="6">
        <v>2009</v>
      </c>
      <c r="C59" s="6">
        <v>195340</v>
      </c>
      <c r="D59" s="6" t="s">
        <v>59</v>
      </c>
      <c r="E59" s="6">
        <v>190000</v>
      </c>
      <c r="F59" s="7">
        <v>42278</v>
      </c>
      <c r="G59">
        <f>_xlfn.DAYS(DATE(2017,1,1),F59)</f>
        <v>458</v>
      </c>
    </row>
    <row r="60" spans="1:7" x14ac:dyDescent="0.35">
      <c r="A60" s="5" t="s">
        <v>58</v>
      </c>
      <c r="B60" s="6">
        <v>2011</v>
      </c>
      <c r="C60" s="6">
        <v>196340</v>
      </c>
      <c r="D60" s="6" t="s">
        <v>103</v>
      </c>
      <c r="E60" s="6">
        <v>186000</v>
      </c>
      <c r="F60" s="7">
        <v>42278</v>
      </c>
      <c r="G60">
        <f>_xlfn.DAYS(DATE(2017,1,1),F60)</f>
        <v>458</v>
      </c>
    </row>
    <row r="61" spans="1:7" x14ac:dyDescent="0.35">
      <c r="A61" s="5" t="s">
        <v>62</v>
      </c>
      <c r="B61" s="6">
        <v>2010</v>
      </c>
      <c r="C61" s="6">
        <v>257000</v>
      </c>
      <c r="D61" s="6" t="s">
        <v>89</v>
      </c>
      <c r="E61" s="6">
        <v>164700</v>
      </c>
      <c r="F61" s="7">
        <v>42286</v>
      </c>
      <c r="G61">
        <f>_xlfn.DAYS(DATE(2017,1,1),F61)</f>
        <v>450</v>
      </c>
    </row>
    <row r="62" spans="1:7" x14ac:dyDescent="0.35">
      <c r="A62" s="5" t="s">
        <v>62</v>
      </c>
      <c r="B62" s="6">
        <v>2015</v>
      </c>
      <c r="C62" s="6">
        <v>258000</v>
      </c>
      <c r="D62" s="6" t="s">
        <v>171</v>
      </c>
      <c r="E62" s="6">
        <v>160700</v>
      </c>
      <c r="F62" s="7">
        <v>42286</v>
      </c>
      <c r="G62">
        <f>_xlfn.DAYS(DATE(2017,1,1),F62)</f>
        <v>450</v>
      </c>
    </row>
    <row r="63" spans="1:7" x14ac:dyDescent="0.35">
      <c r="A63" s="5" t="s">
        <v>62</v>
      </c>
      <c r="B63" s="6">
        <v>2009</v>
      </c>
      <c r="C63" s="6">
        <v>291000</v>
      </c>
      <c r="D63" s="6" t="s">
        <v>63</v>
      </c>
      <c r="E63" s="6">
        <v>166000</v>
      </c>
      <c r="F63" s="7">
        <v>42297</v>
      </c>
      <c r="G63">
        <f>_xlfn.DAYS(DATE(2017,1,1),F63)</f>
        <v>439</v>
      </c>
    </row>
    <row r="64" spans="1:7" x14ac:dyDescent="0.35">
      <c r="A64" s="8" t="s">
        <v>62</v>
      </c>
      <c r="B64" s="9">
        <v>2012</v>
      </c>
      <c r="C64" s="9">
        <v>290000</v>
      </c>
      <c r="D64" s="9" t="s">
        <v>142</v>
      </c>
      <c r="E64" s="9">
        <v>170000</v>
      </c>
      <c r="F64" s="10">
        <v>42297</v>
      </c>
      <c r="G64">
        <f>_xlfn.DAYS(DATE(2017,1,1),F64)</f>
        <v>439</v>
      </c>
    </row>
    <row r="65" spans="1:7" x14ac:dyDescent="0.35">
      <c r="A65" s="8" t="s">
        <v>60</v>
      </c>
      <c r="B65" s="9">
        <v>2009</v>
      </c>
      <c r="C65" s="9">
        <v>230000</v>
      </c>
      <c r="D65" s="9" t="s">
        <v>61</v>
      </c>
      <c r="E65" s="9">
        <v>305000</v>
      </c>
      <c r="F65" s="10">
        <v>42307</v>
      </c>
      <c r="G65">
        <f>_xlfn.DAYS(DATE(2017,1,1),F65)</f>
        <v>429</v>
      </c>
    </row>
    <row r="66" spans="1:7" x14ac:dyDescent="0.35">
      <c r="A66" s="8" t="s">
        <v>60</v>
      </c>
      <c r="B66" s="9">
        <v>2010</v>
      </c>
      <c r="C66" s="9">
        <v>231000</v>
      </c>
      <c r="D66" s="9" t="s">
        <v>88</v>
      </c>
      <c r="E66" s="9">
        <v>301000</v>
      </c>
      <c r="F66" s="10">
        <v>42307</v>
      </c>
      <c r="G66">
        <f>_xlfn.DAYS(DATE(2017,1,1),F66)</f>
        <v>429</v>
      </c>
    </row>
    <row r="67" spans="1:7" x14ac:dyDescent="0.35">
      <c r="A67" s="8" t="s">
        <v>50</v>
      </c>
      <c r="B67" s="9">
        <v>2010</v>
      </c>
      <c r="C67" s="9">
        <v>37000</v>
      </c>
      <c r="D67" s="9" t="s">
        <v>64</v>
      </c>
      <c r="E67" s="9">
        <v>978000</v>
      </c>
      <c r="F67" s="10">
        <v>42309</v>
      </c>
      <c r="G67">
        <f>_xlfn.DAYS(DATE(2017,1,1),F67)</f>
        <v>427</v>
      </c>
    </row>
    <row r="68" spans="1:7" x14ac:dyDescent="0.35">
      <c r="A68" s="8" t="s">
        <v>50</v>
      </c>
      <c r="B68" s="9">
        <v>2011</v>
      </c>
      <c r="C68" s="9">
        <v>38000</v>
      </c>
      <c r="D68" s="9" t="s">
        <v>90</v>
      </c>
      <c r="E68" s="9">
        <v>574000</v>
      </c>
      <c r="F68" s="10">
        <v>42309</v>
      </c>
      <c r="G68">
        <f>_xlfn.DAYS(DATE(2017,1,1),F68)</f>
        <v>427</v>
      </c>
    </row>
    <row r="69" spans="1:7" x14ac:dyDescent="0.35">
      <c r="A69" s="8" t="s">
        <v>33</v>
      </c>
      <c r="B69" s="9">
        <v>2009</v>
      </c>
      <c r="C69" s="9">
        <v>162800</v>
      </c>
      <c r="D69" s="9" t="s">
        <v>53</v>
      </c>
      <c r="E69" s="9">
        <v>370000</v>
      </c>
      <c r="F69" s="10">
        <v>42329</v>
      </c>
      <c r="G69">
        <f>_xlfn.DAYS(DATE(2017,1,1),F69)</f>
        <v>407</v>
      </c>
    </row>
    <row r="70" spans="1:7" x14ac:dyDescent="0.35">
      <c r="A70" s="8" t="s">
        <v>33</v>
      </c>
      <c r="B70" s="9">
        <v>2012</v>
      </c>
      <c r="C70" s="9">
        <v>163800</v>
      </c>
      <c r="D70" s="9" t="s">
        <v>122</v>
      </c>
      <c r="E70" s="9">
        <v>366000</v>
      </c>
      <c r="F70" s="10">
        <v>42329</v>
      </c>
      <c r="G70">
        <f>_xlfn.DAYS(DATE(2017,1,1),F70)</f>
        <v>407</v>
      </c>
    </row>
    <row r="71" spans="1:7" x14ac:dyDescent="0.35">
      <c r="A71" s="5" t="s">
        <v>157</v>
      </c>
      <c r="B71" s="6">
        <v>2013</v>
      </c>
      <c r="C71" s="6">
        <v>271000</v>
      </c>
      <c r="D71" s="6" t="s">
        <v>158</v>
      </c>
      <c r="E71" s="6">
        <v>153000</v>
      </c>
      <c r="F71" s="7">
        <v>42334</v>
      </c>
      <c r="G71">
        <f>_xlfn.DAYS(DATE(2017,1,1),F71)</f>
        <v>402</v>
      </c>
    </row>
    <row r="72" spans="1:7" x14ac:dyDescent="0.35">
      <c r="A72" s="5" t="s">
        <v>157</v>
      </c>
      <c r="B72" s="6">
        <v>2014</v>
      </c>
      <c r="C72" s="6">
        <v>270000</v>
      </c>
      <c r="D72" s="6" t="s">
        <v>169</v>
      </c>
      <c r="E72" s="6">
        <v>157000</v>
      </c>
      <c r="F72" s="7">
        <v>42334</v>
      </c>
      <c r="G72">
        <f>_xlfn.DAYS(DATE(2017,1,1),F72)</f>
        <v>402</v>
      </c>
    </row>
    <row r="73" spans="1:7" x14ac:dyDescent="0.35">
      <c r="A73" s="5" t="s">
        <v>160</v>
      </c>
      <c r="B73" s="6">
        <v>2014</v>
      </c>
      <c r="C73" s="6">
        <v>98000</v>
      </c>
      <c r="D73" s="6" t="s">
        <v>161</v>
      </c>
      <c r="E73" s="6">
        <v>251000</v>
      </c>
      <c r="F73" s="7">
        <v>42344</v>
      </c>
      <c r="G73">
        <f>_xlfn.DAYS(DATE(2017,1,1),F73)</f>
        <v>392</v>
      </c>
    </row>
    <row r="74" spans="1:7" x14ac:dyDescent="0.35">
      <c r="A74" s="8" t="s">
        <v>160</v>
      </c>
      <c r="B74" s="9">
        <v>2014</v>
      </c>
      <c r="C74" s="9">
        <v>99000</v>
      </c>
      <c r="D74" s="9" t="s">
        <v>162</v>
      </c>
      <c r="E74" s="9">
        <v>247000</v>
      </c>
      <c r="F74" s="10">
        <v>42344</v>
      </c>
      <c r="G74">
        <f>_xlfn.DAYS(DATE(2017,1,1),F74)</f>
        <v>392</v>
      </c>
    </row>
    <row r="75" spans="1:7" x14ac:dyDescent="0.35">
      <c r="A75" s="8" t="s">
        <v>50</v>
      </c>
      <c r="B75" s="9">
        <v>2009</v>
      </c>
      <c r="C75" s="9">
        <v>131780</v>
      </c>
      <c r="D75" s="9" t="s">
        <v>51</v>
      </c>
      <c r="E75" s="9">
        <v>306000</v>
      </c>
      <c r="F75" s="10">
        <v>42365</v>
      </c>
      <c r="G75">
        <f>_xlfn.DAYS(DATE(2017,1,1),F75)</f>
        <v>371</v>
      </c>
    </row>
    <row r="76" spans="1:7" x14ac:dyDescent="0.35">
      <c r="A76" s="8" t="s">
        <v>50</v>
      </c>
      <c r="B76" s="9">
        <v>2012</v>
      </c>
      <c r="C76" s="9">
        <v>130780</v>
      </c>
      <c r="D76" s="9" t="s">
        <v>117</v>
      </c>
      <c r="E76" s="9">
        <v>310000</v>
      </c>
      <c r="F76" s="10">
        <v>42365</v>
      </c>
      <c r="G76">
        <f>_xlfn.DAYS(DATE(2017,1,1),F76)</f>
        <v>371</v>
      </c>
    </row>
    <row r="77" spans="1:7" x14ac:dyDescent="0.35">
      <c r="A77" s="5" t="s">
        <v>33</v>
      </c>
      <c r="B77" s="6">
        <v>2009</v>
      </c>
      <c r="C77" s="6">
        <v>77000</v>
      </c>
      <c r="D77" s="6" t="s">
        <v>34</v>
      </c>
      <c r="E77" s="6">
        <v>846000</v>
      </c>
      <c r="F77" s="7">
        <v>42376</v>
      </c>
      <c r="G77">
        <f>_xlfn.DAYS(DATE(2017,1,1),F77)</f>
        <v>360</v>
      </c>
    </row>
    <row r="78" spans="1:7" x14ac:dyDescent="0.35">
      <c r="A78" s="5" t="s">
        <v>33</v>
      </c>
      <c r="B78" s="6">
        <v>2012</v>
      </c>
      <c r="C78" s="6">
        <v>76000</v>
      </c>
      <c r="D78" s="6" t="s">
        <v>114</v>
      </c>
      <c r="E78" s="6">
        <v>850000</v>
      </c>
      <c r="F78" s="7">
        <v>42376</v>
      </c>
      <c r="G78">
        <f>_xlfn.DAYS(DATE(2017,1,1),F78)</f>
        <v>360</v>
      </c>
    </row>
    <row r="79" spans="1:7" x14ac:dyDescent="0.35">
      <c r="A79" s="5" t="s">
        <v>37</v>
      </c>
      <c r="B79" s="6">
        <v>2009</v>
      </c>
      <c r="C79" s="6">
        <v>79000</v>
      </c>
      <c r="D79" s="6" t="s">
        <v>38</v>
      </c>
      <c r="E79" s="6">
        <v>390000</v>
      </c>
      <c r="F79" s="7">
        <v>42379</v>
      </c>
      <c r="G79">
        <f>_xlfn.DAYS(DATE(2017,1,1),F79)</f>
        <v>357</v>
      </c>
    </row>
    <row r="80" spans="1:7" x14ac:dyDescent="0.35">
      <c r="A80" s="8" t="s">
        <v>37</v>
      </c>
      <c r="B80" s="9">
        <v>2009</v>
      </c>
      <c r="C80" s="9">
        <v>79000</v>
      </c>
      <c r="D80" s="9" t="s">
        <v>39</v>
      </c>
      <c r="E80" s="9">
        <v>390000</v>
      </c>
      <c r="F80" s="10">
        <v>42379</v>
      </c>
      <c r="G80">
        <f>_xlfn.DAYS(DATE(2017,1,1),F80)</f>
        <v>357</v>
      </c>
    </row>
    <row r="81" spans="1:7" x14ac:dyDescent="0.35">
      <c r="A81" s="8" t="s">
        <v>37</v>
      </c>
      <c r="B81" s="9">
        <v>2013</v>
      </c>
      <c r="C81" s="9">
        <v>80000</v>
      </c>
      <c r="D81" s="9" t="s">
        <v>144</v>
      </c>
      <c r="E81" s="9">
        <v>350000</v>
      </c>
      <c r="F81" s="10">
        <v>42379</v>
      </c>
      <c r="G81">
        <f>_xlfn.DAYS(DATE(2017,1,1),F81)</f>
        <v>357</v>
      </c>
    </row>
    <row r="82" spans="1:7" x14ac:dyDescent="0.35">
      <c r="A82" s="5" t="s">
        <v>37</v>
      </c>
      <c r="B82" s="6">
        <v>2013</v>
      </c>
      <c r="C82" s="6">
        <v>80000</v>
      </c>
      <c r="D82" s="6" t="s">
        <v>145</v>
      </c>
      <c r="E82" s="6">
        <v>235000</v>
      </c>
      <c r="F82" s="7">
        <v>42379</v>
      </c>
      <c r="G82">
        <f>_xlfn.DAYS(DATE(2017,1,1),F82)</f>
        <v>357</v>
      </c>
    </row>
    <row r="83" spans="1:7" x14ac:dyDescent="0.35">
      <c r="A83" s="8" t="s">
        <v>20</v>
      </c>
      <c r="B83" s="9">
        <v>2008</v>
      </c>
      <c r="C83" s="9">
        <v>84000</v>
      </c>
      <c r="D83" s="9" t="s">
        <v>21</v>
      </c>
      <c r="E83" s="9">
        <v>266000</v>
      </c>
      <c r="F83" s="10">
        <v>42382</v>
      </c>
      <c r="G83">
        <f>_xlfn.DAYS(DATE(2017,1,1),F83)</f>
        <v>354</v>
      </c>
    </row>
    <row r="84" spans="1:7" x14ac:dyDescent="0.35">
      <c r="A84" s="5" t="s">
        <v>20</v>
      </c>
      <c r="B84" s="6">
        <v>2009</v>
      </c>
      <c r="C84" s="6">
        <v>83000</v>
      </c>
      <c r="D84" s="6" t="s">
        <v>40</v>
      </c>
      <c r="E84" s="6">
        <v>270000</v>
      </c>
      <c r="F84" s="7">
        <v>42382</v>
      </c>
      <c r="G84">
        <f>_xlfn.DAYS(DATE(2017,1,1),F84)</f>
        <v>354</v>
      </c>
    </row>
    <row r="85" spans="1:7" x14ac:dyDescent="0.35">
      <c r="A85" s="5" t="s">
        <v>20</v>
      </c>
      <c r="B85" s="6">
        <v>2010</v>
      </c>
      <c r="C85" s="6">
        <v>84000</v>
      </c>
      <c r="D85" s="6" t="s">
        <v>73</v>
      </c>
      <c r="E85" s="6">
        <v>266000</v>
      </c>
      <c r="F85" s="7">
        <v>42382</v>
      </c>
      <c r="G85">
        <f>_xlfn.DAYS(DATE(2017,1,1),F85)</f>
        <v>354</v>
      </c>
    </row>
    <row r="86" spans="1:7" x14ac:dyDescent="0.35">
      <c r="A86" s="5" t="s">
        <v>45</v>
      </c>
      <c r="B86" s="6">
        <v>2010</v>
      </c>
      <c r="C86" s="6">
        <v>89000</v>
      </c>
      <c r="D86" s="6" t="s">
        <v>75</v>
      </c>
      <c r="E86" s="6">
        <v>266000</v>
      </c>
      <c r="F86" s="7">
        <v>42382</v>
      </c>
      <c r="G86">
        <f>_xlfn.DAYS(DATE(2017,1,1),F86)</f>
        <v>354</v>
      </c>
    </row>
    <row r="87" spans="1:7" x14ac:dyDescent="0.35">
      <c r="A87" s="8" t="s">
        <v>16</v>
      </c>
      <c r="B87" s="9">
        <v>2009</v>
      </c>
      <c r="C87" s="9">
        <v>65000</v>
      </c>
      <c r="D87" s="9" t="s">
        <v>30</v>
      </c>
      <c r="E87" s="9">
        <v>740000</v>
      </c>
      <c r="F87" s="10">
        <v>42385</v>
      </c>
      <c r="G87">
        <f>_xlfn.DAYS(DATE(2017,1,1),F87)</f>
        <v>351</v>
      </c>
    </row>
    <row r="88" spans="1:7" x14ac:dyDescent="0.35">
      <c r="A88" s="8" t="s">
        <v>47</v>
      </c>
      <c r="B88" s="9">
        <v>2009</v>
      </c>
      <c r="C88" s="9">
        <v>134000</v>
      </c>
      <c r="D88" s="9" t="s">
        <v>48</v>
      </c>
      <c r="E88" s="9">
        <v>482000</v>
      </c>
      <c r="F88" s="10">
        <v>42385</v>
      </c>
      <c r="G88">
        <f>_xlfn.DAYS(DATE(2017,1,1),F88)</f>
        <v>351</v>
      </c>
    </row>
    <row r="89" spans="1:7" x14ac:dyDescent="0.35">
      <c r="A89" s="5" t="s">
        <v>47</v>
      </c>
      <c r="B89" s="6">
        <v>2009</v>
      </c>
      <c r="C89" s="6">
        <v>135000</v>
      </c>
      <c r="D89" s="6" t="s">
        <v>49</v>
      </c>
      <c r="E89" s="6">
        <v>478000</v>
      </c>
      <c r="F89" s="7">
        <v>42385</v>
      </c>
      <c r="G89">
        <f>_xlfn.DAYS(DATE(2017,1,1),F89)</f>
        <v>351</v>
      </c>
    </row>
    <row r="90" spans="1:7" x14ac:dyDescent="0.35">
      <c r="A90" s="8" t="s">
        <v>16</v>
      </c>
      <c r="B90" s="9">
        <v>2010</v>
      </c>
      <c r="C90" s="9">
        <v>66000</v>
      </c>
      <c r="D90" s="9" t="s">
        <v>66</v>
      </c>
      <c r="E90" s="9">
        <v>736000</v>
      </c>
      <c r="F90" s="10">
        <v>42385</v>
      </c>
      <c r="G90">
        <f>_xlfn.DAYS(DATE(2017,1,1),F90)</f>
        <v>351</v>
      </c>
    </row>
    <row r="91" spans="1:7" x14ac:dyDescent="0.35">
      <c r="A91" s="8" t="s">
        <v>129</v>
      </c>
      <c r="B91" s="9">
        <v>2012</v>
      </c>
      <c r="C91" s="9">
        <v>210000</v>
      </c>
      <c r="D91" s="9" t="s">
        <v>130</v>
      </c>
      <c r="E91" s="9">
        <v>517000</v>
      </c>
      <c r="F91" s="10">
        <v>42415</v>
      </c>
      <c r="G91">
        <f>_xlfn.DAYS(DATE(2017,1,1),F91)</f>
        <v>321</v>
      </c>
    </row>
    <row r="92" spans="1:7" x14ac:dyDescent="0.35">
      <c r="A92" s="8" t="s">
        <v>129</v>
      </c>
      <c r="B92" s="9">
        <v>2012</v>
      </c>
      <c r="C92" s="9">
        <v>210000</v>
      </c>
      <c r="D92" s="9" t="s">
        <v>132</v>
      </c>
      <c r="E92" s="9">
        <v>435000</v>
      </c>
      <c r="F92" s="10">
        <v>42415</v>
      </c>
      <c r="G92">
        <f>_xlfn.DAYS(DATE(2017,1,1),F92)</f>
        <v>321</v>
      </c>
    </row>
    <row r="93" spans="1:7" x14ac:dyDescent="0.35">
      <c r="A93" s="5" t="s">
        <v>33</v>
      </c>
      <c r="B93" s="6">
        <v>2010</v>
      </c>
      <c r="C93" s="6">
        <v>230000</v>
      </c>
      <c r="D93" s="6" t="s">
        <v>87</v>
      </c>
      <c r="E93" s="6">
        <v>455000</v>
      </c>
      <c r="F93" s="7">
        <v>42439</v>
      </c>
      <c r="G93">
        <f>_xlfn.DAYS(DATE(2017,1,1),F93)</f>
        <v>297</v>
      </c>
    </row>
    <row r="94" spans="1:7" x14ac:dyDescent="0.35">
      <c r="A94" s="8" t="s">
        <v>33</v>
      </c>
      <c r="B94" s="9">
        <v>2012</v>
      </c>
      <c r="C94" s="9">
        <v>231000</v>
      </c>
      <c r="D94" s="9" t="s">
        <v>135</v>
      </c>
      <c r="E94" s="9">
        <v>451000</v>
      </c>
      <c r="F94" s="10">
        <v>42439</v>
      </c>
      <c r="G94">
        <f>_xlfn.DAYS(DATE(2017,1,1),F94)</f>
        <v>297</v>
      </c>
    </row>
    <row r="95" spans="1:7" x14ac:dyDescent="0.35">
      <c r="A95" s="5" t="s">
        <v>123</v>
      </c>
      <c r="B95" s="6">
        <v>2012</v>
      </c>
      <c r="C95" s="6">
        <v>183000</v>
      </c>
      <c r="D95" s="6" t="s">
        <v>124</v>
      </c>
      <c r="E95" s="6">
        <v>520000</v>
      </c>
      <c r="F95" s="7">
        <v>42444</v>
      </c>
      <c r="G95">
        <f>_xlfn.DAYS(DATE(2017,1,1),F95)</f>
        <v>292</v>
      </c>
    </row>
    <row r="96" spans="1:7" x14ac:dyDescent="0.35">
      <c r="A96" s="8" t="s">
        <v>123</v>
      </c>
      <c r="B96" s="9">
        <v>2012</v>
      </c>
      <c r="C96" s="9">
        <v>183000</v>
      </c>
      <c r="D96" s="9" t="s">
        <v>125</v>
      </c>
      <c r="E96" s="9">
        <v>530000</v>
      </c>
      <c r="F96" s="10">
        <v>42444</v>
      </c>
      <c r="G96">
        <f>_xlfn.DAYS(DATE(2017,1,1),F96)</f>
        <v>292</v>
      </c>
    </row>
    <row r="97" spans="1:7" x14ac:dyDescent="0.35">
      <c r="A97" s="5" t="s">
        <v>123</v>
      </c>
      <c r="B97" s="6">
        <v>2012</v>
      </c>
      <c r="C97" s="6">
        <v>183000</v>
      </c>
      <c r="D97" s="6" t="s">
        <v>126</v>
      </c>
      <c r="E97" s="6">
        <v>490000</v>
      </c>
      <c r="F97" s="7">
        <v>42444</v>
      </c>
      <c r="G97">
        <f>_xlfn.DAYS(DATE(2017,1,1),F97)</f>
        <v>292</v>
      </c>
    </row>
    <row r="98" spans="1:7" x14ac:dyDescent="0.35">
      <c r="A98" s="8" t="s">
        <v>123</v>
      </c>
      <c r="B98" s="9">
        <v>2012</v>
      </c>
      <c r="C98" s="9">
        <v>183000</v>
      </c>
      <c r="D98" s="9" t="s">
        <v>127</v>
      </c>
      <c r="E98" s="9">
        <v>481000</v>
      </c>
      <c r="F98" s="10">
        <v>42444</v>
      </c>
      <c r="G98">
        <f>_xlfn.DAYS(DATE(2017,1,1),F98)</f>
        <v>292</v>
      </c>
    </row>
    <row r="99" spans="1:7" x14ac:dyDescent="0.35">
      <c r="A99" s="5" t="s">
        <v>123</v>
      </c>
      <c r="B99" s="6">
        <v>2012</v>
      </c>
      <c r="C99" s="6">
        <v>183000</v>
      </c>
      <c r="D99" s="6" t="s">
        <v>128</v>
      </c>
      <c r="E99" s="6">
        <v>454000</v>
      </c>
      <c r="F99" s="7">
        <v>42444</v>
      </c>
      <c r="G99">
        <f>_xlfn.DAYS(DATE(2017,1,1),F99)</f>
        <v>292</v>
      </c>
    </row>
    <row r="100" spans="1:7" x14ac:dyDescent="0.35">
      <c r="A100" s="8" t="s">
        <v>104</v>
      </c>
      <c r="B100" s="9">
        <v>2011</v>
      </c>
      <c r="C100" s="9">
        <v>245000</v>
      </c>
      <c r="D100" s="9" t="s">
        <v>105</v>
      </c>
      <c r="E100" s="9">
        <v>720000</v>
      </c>
      <c r="F100" s="10">
        <v>42462</v>
      </c>
      <c r="G100">
        <f>_xlfn.DAYS(DATE(2017,1,1),F100)</f>
        <v>274</v>
      </c>
    </row>
    <row r="101" spans="1:7" x14ac:dyDescent="0.35">
      <c r="A101" s="5" t="s">
        <v>104</v>
      </c>
      <c r="B101" s="6">
        <v>2011</v>
      </c>
      <c r="C101" s="6">
        <v>245000</v>
      </c>
      <c r="D101" s="6" t="s">
        <v>106</v>
      </c>
      <c r="E101" s="6">
        <v>680000</v>
      </c>
      <c r="F101" s="7">
        <v>42462</v>
      </c>
      <c r="G101">
        <f>_xlfn.DAYS(DATE(2017,1,1),F101)</f>
        <v>274</v>
      </c>
    </row>
    <row r="102" spans="1:7" x14ac:dyDescent="0.35">
      <c r="A102" s="8" t="s">
        <v>104</v>
      </c>
      <c r="B102" s="9">
        <v>2011</v>
      </c>
      <c r="C102" s="9">
        <v>245000</v>
      </c>
      <c r="D102" s="9" t="s">
        <v>107</v>
      </c>
      <c r="E102" s="9">
        <v>660000</v>
      </c>
      <c r="F102" s="10">
        <v>42462</v>
      </c>
      <c r="G102">
        <f>_xlfn.DAYS(DATE(2017,1,1),F102)</f>
        <v>274</v>
      </c>
    </row>
    <row r="103" spans="1:7" x14ac:dyDescent="0.35">
      <c r="A103" s="5" t="s">
        <v>104</v>
      </c>
      <c r="B103" s="6">
        <v>2011</v>
      </c>
      <c r="C103" s="6">
        <v>245000</v>
      </c>
      <c r="D103" s="6" t="s">
        <v>108</v>
      </c>
      <c r="E103" s="6">
        <v>630000</v>
      </c>
      <c r="F103" s="7">
        <v>42462</v>
      </c>
      <c r="G103">
        <f>_xlfn.DAYS(DATE(2017,1,1),F103)</f>
        <v>274</v>
      </c>
    </row>
    <row r="104" spans="1:7" x14ac:dyDescent="0.35">
      <c r="A104" s="8" t="s">
        <v>104</v>
      </c>
      <c r="B104" s="9">
        <v>2011</v>
      </c>
      <c r="C104" s="9">
        <v>245000</v>
      </c>
      <c r="D104" s="9" t="s">
        <v>109</v>
      </c>
      <c r="E104" s="9">
        <v>655000</v>
      </c>
      <c r="F104" s="10">
        <v>42462</v>
      </c>
      <c r="G104">
        <f>_xlfn.DAYS(DATE(2017,1,1),F104)</f>
        <v>274</v>
      </c>
    </row>
    <row r="105" spans="1:7" x14ac:dyDescent="0.35">
      <c r="A105" s="5" t="s">
        <v>104</v>
      </c>
      <c r="B105" s="6">
        <v>2011</v>
      </c>
      <c r="C105" s="6">
        <v>245000</v>
      </c>
      <c r="D105" s="6" t="s">
        <v>110</v>
      </c>
      <c r="E105" s="6">
        <v>590000</v>
      </c>
      <c r="F105" s="7">
        <v>42462</v>
      </c>
      <c r="G105">
        <f>_xlfn.DAYS(DATE(2017,1,1),F105)</f>
        <v>274</v>
      </c>
    </row>
    <row r="106" spans="1:7" x14ac:dyDescent="0.35">
      <c r="A106" s="8" t="s">
        <v>56</v>
      </c>
      <c r="B106" s="9">
        <v>2009</v>
      </c>
      <c r="C106" s="9">
        <v>195370</v>
      </c>
      <c r="D106" s="9" t="s">
        <v>57</v>
      </c>
      <c r="E106" s="9">
        <v>290000</v>
      </c>
      <c r="F106" s="10">
        <v>42467</v>
      </c>
      <c r="G106">
        <f>_xlfn.DAYS(DATE(2017,1,1),F106)</f>
        <v>269</v>
      </c>
    </row>
    <row r="107" spans="1:7" x14ac:dyDescent="0.35">
      <c r="A107" s="5" t="s">
        <v>56</v>
      </c>
      <c r="B107" s="6">
        <v>2012</v>
      </c>
      <c r="C107" s="6">
        <v>196370</v>
      </c>
      <c r="D107" s="6" t="s">
        <v>131</v>
      </c>
      <c r="E107" s="6">
        <v>286000</v>
      </c>
      <c r="F107" s="7">
        <v>42467</v>
      </c>
      <c r="G107">
        <f>_xlfn.DAYS(DATE(2017,1,1),F107)</f>
        <v>269</v>
      </c>
    </row>
    <row r="108" spans="1:7" x14ac:dyDescent="0.35">
      <c r="A108" s="5" t="s">
        <v>45</v>
      </c>
      <c r="B108" s="6">
        <v>2012</v>
      </c>
      <c r="C108" s="6">
        <v>135502</v>
      </c>
      <c r="D108" s="6" t="s">
        <v>118</v>
      </c>
      <c r="E108" s="6">
        <v>247000</v>
      </c>
      <c r="F108" s="7">
        <v>42476</v>
      </c>
      <c r="G108">
        <f>_xlfn.DAYS(DATE(2017,1,1),F108)</f>
        <v>260</v>
      </c>
    </row>
    <row r="109" spans="1:7" x14ac:dyDescent="0.35">
      <c r="A109" s="5" t="s">
        <v>45</v>
      </c>
      <c r="B109" s="6">
        <v>2014</v>
      </c>
      <c r="C109" s="6">
        <v>136502</v>
      </c>
      <c r="D109" s="6" t="s">
        <v>163</v>
      </c>
      <c r="E109" s="6">
        <v>243000</v>
      </c>
      <c r="F109" s="7">
        <v>42476</v>
      </c>
      <c r="G109">
        <f>_xlfn.DAYS(DATE(2017,1,1),F109)</f>
        <v>260</v>
      </c>
    </row>
    <row r="110" spans="1:7" x14ac:dyDescent="0.35">
      <c r="A110" s="5" t="s">
        <v>62</v>
      </c>
      <c r="B110" s="6">
        <v>2011</v>
      </c>
      <c r="C110" s="6">
        <v>210000</v>
      </c>
      <c r="D110" s="6" t="s">
        <v>96</v>
      </c>
      <c r="E110" s="6">
        <v>780000</v>
      </c>
      <c r="F110" s="7">
        <v>42481</v>
      </c>
      <c r="G110">
        <f>_xlfn.DAYS(DATE(2017,1,1),F110)</f>
        <v>255</v>
      </c>
    </row>
    <row r="111" spans="1:7" x14ac:dyDescent="0.35">
      <c r="A111" s="8" t="s">
        <v>62</v>
      </c>
      <c r="B111" s="9">
        <v>2011</v>
      </c>
      <c r="C111" s="9">
        <v>210000</v>
      </c>
      <c r="D111" s="9" t="s">
        <v>97</v>
      </c>
      <c r="E111" s="9">
        <v>760300</v>
      </c>
      <c r="F111" s="10">
        <v>42481</v>
      </c>
      <c r="G111">
        <f>_xlfn.DAYS(DATE(2017,1,1),F111)</f>
        <v>255</v>
      </c>
    </row>
    <row r="112" spans="1:7" x14ac:dyDescent="0.35">
      <c r="A112" s="5" t="s">
        <v>62</v>
      </c>
      <c r="B112" s="6">
        <v>2011</v>
      </c>
      <c r="C112" s="6">
        <v>210000</v>
      </c>
      <c r="D112" s="6" t="s">
        <v>98</v>
      </c>
      <c r="E112" s="6">
        <v>680000</v>
      </c>
      <c r="F112" s="7">
        <v>42481</v>
      </c>
      <c r="G112">
        <f>_xlfn.DAYS(DATE(2017,1,1),F112)</f>
        <v>255</v>
      </c>
    </row>
    <row r="113" spans="1:7" x14ac:dyDescent="0.35">
      <c r="A113" s="8" t="s">
        <v>62</v>
      </c>
      <c r="B113" s="9">
        <v>2011</v>
      </c>
      <c r="C113" s="9">
        <v>210000</v>
      </c>
      <c r="D113" s="9" t="s">
        <v>99</v>
      </c>
      <c r="E113" s="9">
        <v>655000</v>
      </c>
      <c r="F113" s="10">
        <v>42481</v>
      </c>
      <c r="G113">
        <f>_xlfn.DAYS(DATE(2017,1,1),F113)</f>
        <v>255</v>
      </c>
    </row>
    <row r="114" spans="1:7" x14ac:dyDescent="0.35">
      <c r="A114" s="8" t="s">
        <v>12</v>
      </c>
      <c r="B114" s="9">
        <v>2007</v>
      </c>
      <c r="C114" s="9">
        <v>205000</v>
      </c>
      <c r="D114" s="9" t="s">
        <v>13</v>
      </c>
      <c r="E114" s="9">
        <v>1260000</v>
      </c>
      <c r="F114" s="10">
        <v>42483</v>
      </c>
      <c r="G114">
        <f>_xlfn.DAYS(DATE(2017,1,1),F114)</f>
        <v>253</v>
      </c>
    </row>
    <row r="115" spans="1:7" x14ac:dyDescent="0.35">
      <c r="A115" s="5" t="s">
        <v>14</v>
      </c>
      <c r="B115" s="6">
        <v>2007</v>
      </c>
      <c r="C115" s="6">
        <v>198000</v>
      </c>
      <c r="D115" s="6" t="s">
        <v>15</v>
      </c>
      <c r="E115" s="6">
        <v>890200</v>
      </c>
      <c r="F115" s="7">
        <v>42520</v>
      </c>
      <c r="G115">
        <f>_xlfn.DAYS(DATE(2017,1,1),F115)</f>
        <v>216</v>
      </c>
    </row>
    <row r="116" spans="1:7" x14ac:dyDescent="0.35">
      <c r="A116" s="5" t="s">
        <v>133</v>
      </c>
      <c r="B116" s="6">
        <v>2012</v>
      </c>
      <c r="C116" s="6">
        <v>210300</v>
      </c>
      <c r="D116" s="6" t="s">
        <v>134</v>
      </c>
      <c r="E116" s="6">
        <v>417671</v>
      </c>
      <c r="F116" s="7">
        <v>42520</v>
      </c>
      <c r="G116">
        <f>_xlfn.DAYS(DATE(2017,1,1),F116)</f>
        <v>216</v>
      </c>
    </row>
    <row r="117" spans="1:7" x14ac:dyDescent="0.35">
      <c r="A117" s="8" t="s">
        <v>157</v>
      </c>
      <c r="B117" s="9">
        <v>2013</v>
      </c>
      <c r="C117" s="9">
        <v>271000</v>
      </c>
      <c r="D117" s="9" t="s">
        <v>159</v>
      </c>
      <c r="E117" s="9">
        <v>123000</v>
      </c>
      <c r="F117" s="10">
        <v>42520</v>
      </c>
      <c r="G117">
        <f>_xlfn.DAYS(DATE(2017,1,1),F117)</f>
        <v>216</v>
      </c>
    </row>
    <row r="118" spans="1:7" x14ac:dyDescent="0.35">
      <c r="A118" s="5" t="s">
        <v>45</v>
      </c>
      <c r="B118" s="6">
        <v>2009</v>
      </c>
      <c r="C118" s="6">
        <v>159000</v>
      </c>
      <c r="D118" s="6" t="s">
        <v>52</v>
      </c>
      <c r="E118" s="6">
        <v>403000</v>
      </c>
      <c r="F118" s="7">
        <v>42681</v>
      </c>
      <c r="G118">
        <f>_xlfn.DAYS(DATE(2017,1,1),F118)</f>
        <v>55</v>
      </c>
    </row>
    <row r="119" spans="1:7" x14ac:dyDescent="0.35">
      <c r="A119" s="8" t="s">
        <v>45</v>
      </c>
      <c r="B119" s="9">
        <v>2013</v>
      </c>
      <c r="C119" s="9">
        <v>158000</v>
      </c>
      <c r="D119" s="9" t="s">
        <v>148</v>
      </c>
      <c r="E119" s="9">
        <v>407000</v>
      </c>
      <c r="F119" s="10">
        <v>42681</v>
      </c>
      <c r="G119">
        <f>_xlfn.DAYS(DATE(2017,1,1),F119)</f>
        <v>55</v>
      </c>
    </row>
    <row r="120" spans="1:7" x14ac:dyDescent="0.35">
      <c r="A120" s="8" t="s">
        <v>136</v>
      </c>
      <c r="B120" s="9">
        <v>2014</v>
      </c>
      <c r="C120" s="9">
        <v>240000</v>
      </c>
      <c r="D120" s="9" t="s">
        <v>166</v>
      </c>
      <c r="E120" s="9">
        <v>183788</v>
      </c>
      <c r="F120" s="10">
        <v>42681</v>
      </c>
      <c r="G120">
        <f>_xlfn.DAYS(DATE(2017,1,1),F120)</f>
        <v>55</v>
      </c>
    </row>
    <row r="121" spans="1:7" x14ac:dyDescent="0.35">
      <c r="A121" s="5" t="s">
        <v>136</v>
      </c>
      <c r="B121" s="6">
        <v>2014</v>
      </c>
      <c r="C121" s="6">
        <v>240000</v>
      </c>
      <c r="D121" s="6" t="s">
        <v>167</v>
      </c>
      <c r="E121" s="6">
        <v>160198</v>
      </c>
      <c r="F121" s="7">
        <v>42681</v>
      </c>
      <c r="G121">
        <f>_xlfn.DAYS(DATE(2017,1,1),F121)</f>
        <v>55</v>
      </c>
    </row>
    <row r="122" spans="1:7" x14ac:dyDescent="0.35">
      <c r="A122" s="8" t="s">
        <v>136</v>
      </c>
      <c r="B122" s="9">
        <v>2014</v>
      </c>
      <c r="C122" s="9">
        <v>240000</v>
      </c>
      <c r="D122" s="9" t="s">
        <v>168</v>
      </c>
      <c r="E122" s="9">
        <v>156724</v>
      </c>
      <c r="F122" s="10">
        <v>42681</v>
      </c>
      <c r="G122">
        <f>_xlfn.DAYS(DATE(2017,1,1),F122)</f>
        <v>55</v>
      </c>
    </row>
    <row r="123" spans="1:7" x14ac:dyDescent="0.35">
      <c r="A123" s="5" t="s">
        <v>136</v>
      </c>
      <c r="B123" s="6">
        <v>2013</v>
      </c>
      <c r="C123" s="6">
        <v>240000</v>
      </c>
      <c r="D123" s="6" t="s">
        <v>149</v>
      </c>
      <c r="E123" s="6">
        <v>301232</v>
      </c>
      <c r="F123" s="7">
        <v>42719</v>
      </c>
      <c r="G123">
        <f>_xlfn.DAYS(DATE(2017,1,1),F123)</f>
        <v>17</v>
      </c>
    </row>
    <row r="124" spans="1:7" x14ac:dyDescent="0.35">
      <c r="A124" s="8" t="s">
        <v>136</v>
      </c>
      <c r="B124" s="9">
        <v>2013</v>
      </c>
      <c r="C124" s="9">
        <v>240000</v>
      </c>
      <c r="D124" s="9" t="s">
        <v>150</v>
      </c>
      <c r="E124" s="9">
        <v>289567</v>
      </c>
      <c r="F124" s="10">
        <v>42719</v>
      </c>
      <c r="G124">
        <f>_xlfn.DAYS(DATE(2017,1,1),F124)</f>
        <v>17</v>
      </c>
    </row>
    <row r="125" spans="1:7" x14ac:dyDescent="0.35">
      <c r="A125" s="5" t="s">
        <v>136</v>
      </c>
      <c r="B125" s="6">
        <v>2013</v>
      </c>
      <c r="C125" s="6">
        <v>240000</v>
      </c>
      <c r="D125" s="6" t="s">
        <v>151</v>
      </c>
      <c r="E125" s="6">
        <v>245211</v>
      </c>
      <c r="F125" s="7">
        <v>42719</v>
      </c>
      <c r="G125">
        <f>_xlfn.DAYS(DATE(2017,1,1),F125)</f>
        <v>17</v>
      </c>
    </row>
    <row r="126" spans="1:7" x14ac:dyDescent="0.35">
      <c r="A126" s="8" t="s">
        <v>136</v>
      </c>
      <c r="B126" s="9">
        <v>2013</v>
      </c>
      <c r="C126" s="9">
        <v>240000</v>
      </c>
      <c r="D126" s="9" t="s">
        <v>152</v>
      </c>
      <c r="E126" s="9">
        <v>200123</v>
      </c>
      <c r="F126" s="10">
        <v>42719</v>
      </c>
      <c r="G126">
        <f>_xlfn.DAYS(DATE(2017,1,1),F126)</f>
        <v>17</v>
      </c>
    </row>
    <row r="127" spans="1:7" x14ac:dyDescent="0.35">
      <c r="A127" s="5" t="s">
        <v>136</v>
      </c>
      <c r="B127" s="6">
        <v>2013</v>
      </c>
      <c r="C127" s="6">
        <v>240000</v>
      </c>
      <c r="D127" s="6" t="s">
        <v>153</v>
      </c>
      <c r="E127" s="6">
        <v>235811</v>
      </c>
      <c r="F127" s="7">
        <v>42719</v>
      </c>
      <c r="G127">
        <f>_xlfn.DAYS(DATE(2017,1,1),F127)</f>
        <v>17</v>
      </c>
    </row>
    <row r="128" spans="1:7" x14ac:dyDescent="0.35">
      <c r="A128" s="8" t="s">
        <v>136</v>
      </c>
      <c r="B128" s="9">
        <v>2013</v>
      </c>
      <c r="C128" s="9">
        <v>240000</v>
      </c>
      <c r="D128" s="9" t="s">
        <v>154</v>
      </c>
      <c r="E128" s="9">
        <v>250021</v>
      </c>
      <c r="F128" s="10">
        <v>42719</v>
      </c>
      <c r="G128">
        <f>_xlfn.DAYS(DATE(2017,1,1),F128)</f>
        <v>17</v>
      </c>
    </row>
    <row r="129" spans="1:7" x14ac:dyDescent="0.35">
      <c r="A129" s="5" t="s">
        <v>136</v>
      </c>
      <c r="B129" s="6">
        <v>2013</v>
      </c>
      <c r="C129" s="6">
        <v>240000</v>
      </c>
      <c r="D129" s="6" t="s">
        <v>155</v>
      </c>
      <c r="E129" s="6">
        <v>198340</v>
      </c>
      <c r="F129" s="7">
        <v>42719</v>
      </c>
      <c r="G129">
        <f>_xlfn.DAYS(DATE(2017,1,1),F129)</f>
        <v>17</v>
      </c>
    </row>
    <row r="130" spans="1:7" x14ac:dyDescent="0.35">
      <c r="A130" s="8" t="s">
        <v>136</v>
      </c>
      <c r="B130" s="9">
        <v>2013</v>
      </c>
      <c r="C130" s="9">
        <v>240000</v>
      </c>
      <c r="D130" s="9" t="s">
        <v>156</v>
      </c>
      <c r="E130" s="9">
        <v>189761</v>
      </c>
      <c r="F130" s="10">
        <v>42719</v>
      </c>
      <c r="G130">
        <f>_xlfn.DAYS(DATE(2017,1,1),F130)</f>
        <v>17</v>
      </c>
    </row>
    <row r="131" spans="1:7" x14ac:dyDescent="0.35">
      <c r="A131" s="8" t="s">
        <v>172</v>
      </c>
      <c r="B131" s="9">
        <v>2015</v>
      </c>
      <c r="C131" s="9">
        <v>360000</v>
      </c>
      <c r="D131" s="9" t="s">
        <v>173</v>
      </c>
      <c r="E131" s="9">
        <v>100000</v>
      </c>
      <c r="F131" s="10">
        <v>42734</v>
      </c>
      <c r="G131">
        <f>_xlfn.DAYS(DATE(2017,1,1),F131)</f>
        <v>2</v>
      </c>
    </row>
    <row r="132" spans="1:7" x14ac:dyDescent="0.35">
      <c r="A132" s="5" t="s">
        <v>172</v>
      </c>
      <c r="B132" s="6">
        <v>2015</v>
      </c>
      <c r="C132" s="6">
        <v>360000</v>
      </c>
      <c r="D132" s="6" t="s">
        <v>174</v>
      </c>
      <c r="E132" s="6">
        <v>115000</v>
      </c>
      <c r="F132" s="7">
        <v>42734</v>
      </c>
      <c r="G132">
        <f>_xlfn.DAYS(DATE(2017,1,1),F132)</f>
        <v>2</v>
      </c>
    </row>
    <row r="133" spans="1:7" x14ac:dyDescent="0.35">
      <c r="A133" s="8" t="s">
        <v>172</v>
      </c>
      <c r="B133" s="9">
        <v>2015</v>
      </c>
      <c r="C133" s="9">
        <v>360000</v>
      </c>
      <c r="D133" s="9" t="s">
        <v>175</v>
      </c>
      <c r="E133" s="9">
        <v>132000</v>
      </c>
      <c r="F133" s="10">
        <v>42734</v>
      </c>
      <c r="G133">
        <f>_xlfn.DAYS(DATE(2017,1,1),F133)</f>
        <v>2</v>
      </c>
    </row>
    <row r="134" spans="1:7" x14ac:dyDescent="0.35">
      <c r="A134" s="5" t="s">
        <v>172</v>
      </c>
      <c r="B134" s="6">
        <v>2015</v>
      </c>
      <c r="C134" s="6">
        <v>360000</v>
      </c>
      <c r="D134" s="6" t="s">
        <v>176</v>
      </c>
      <c r="E134" s="6">
        <v>108000</v>
      </c>
      <c r="F134" s="7">
        <v>42734</v>
      </c>
      <c r="G134">
        <f>_xlfn.DAYS(DATE(2017,1,1),F134)</f>
        <v>2</v>
      </c>
    </row>
    <row r="135" spans="1:7" x14ac:dyDescent="0.35">
      <c r="A135" s="11" t="s">
        <v>172</v>
      </c>
      <c r="B135" s="1">
        <v>2015</v>
      </c>
      <c r="C135" s="1">
        <v>360000</v>
      </c>
      <c r="D135" s="1" t="s">
        <v>177</v>
      </c>
      <c r="E135" s="1">
        <v>140000</v>
      </c>
      <c r="F135" s="12">
        <v>42734</v>
      </c>
      <c r="G135">
        <f>_xlfn.DAYS(DATE(2017,1,1),F135)</f>
        <v>2</v>
      </c>
    </row>
  </sheetData>
  <autoFilter ref="A1:G135" xr:uid="{878251C7-4903-4EE4-AA84-5311E49A9084}">
    <sortState xmlns:xlrd2="http://schemas.microsoft.com/office/spreadsheetml/2017/richdata2" ref="A2:G135">
      <sortCondition descending="1" ref="G1:G13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822293-545C-42A6-9702-85AECC023F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dane</vt:lpstr>
      <vt:lpstr>5.1</vt:lpstr>
      <vt:lpstr>5.2</vt:lpstr>
      <vt:lpstr>5.4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Psiarz</dc:creator>
  <cp:lastModifiedBy>Oleg Psiarz</cp:lastModifiedBy>
  <dcterms:created xsi:type="dcterms:W3CDTF">2024-04-12T16:20:32Z</dcterms:created>
  <dcterms:modified xsi:type="dcterms:W3CDTF">2024-04-18T19:56:33Z</dcterms:modified>
</cp:coreProperties>
</file>