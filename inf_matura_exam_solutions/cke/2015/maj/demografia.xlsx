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5/maj/"/>
    </mc:Choice>
  </mc:AlternateContent>
  <xr:revisionPtr revIDLastSave="19" documentId="8_{1C76B230-69D1-4FFA-B74D-4AA8976BED1F}" xr6:coauthVersionLast="47" xr6:coauthVersionMax="47" xr10:uidLastSave="{E886E649-9958-42F9-85B1-579DBC0BD9AD}"/>
  <bookViews>
    <workbookView xWindow="-110" yWindow="-110" windowWidth="19420" windowHeight="10300" activeTab="3" xr2:uid="{C3A4BCB8-8D1D-4326-8E3E-76451A3439DE}"/>
  </bookViews>
  <sheets>
    <sheet name="dane" sheetId="2" r:id="rId1"/>
    <sheet name="5.1" sheetId="3" r:id="rId2"/>
    <sheet name="5.2" sheetId="4" r:id="rId3"/>
    <sheet name="5.3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" i="5" l="1"/>
  <c r="Y6" i="5"/>
  <c r="X10" i="5"/>
  <c r="X6" i="5"/>
  <c r="X9" i="5"/>
  <c r="W6" i="5"/>
  <c r="I3" i="5"/>
  <c r="J3" i="5"/>
  <c r="K3" i="5" s="1"/>
  <c r="L3" i="5" s="1"/>
  <c r="M3" i="5" s="1"/>
  <c r="N3" i="5" s="1"/>
  <c r="O3" i="5" s="1"/>
  <c r="P3" i="5" s="1"/>
  <c r="Q3" i="5" s="1"/>
  <c r="R3" i="5" s="1"/>
  <c r="S3" i="5" s="1"/>
  <c r="I4" i="5"/>
  <c r="J4" i="5" s="1"/>
  <c r="K4" i="5" s="1"/>
  <c r="L4" i="5" s="1"/>
  <c r="M4" i="5" s="1"/>
  <c r="N4" i="5" s="1"/>
  <c r="O4" i="5" s="1"/>
  <c r="P4" i="5" s="1"/>
  <c r="Q4" i="5" s="1"/>
  <c r="R4" i="5" s="1"/>
  <c r="S4" i="5" s="1"/>
  <c r="I5" i="5"/>
  <c r="J5" i="5"/>
  <c r="K5" i="5" s="1"/>
  <c r="L5" i="5" s="1"/>
  <c r="M5" i="5" s="1"/>
  <c r="N5" i="5" s="1"/>
  <c r="O5" i="5" s="1"/>
  <c r="P5" i="5" s="1"/>
  <c r="Q5" i="5" s="1"/>
  <c r="R5" i="5" s="1"/>
  <c r="S5" i="5" s="1"/>
  <c r="I6" i="5"/>
  <c r="J6" i="5" s="1"/>
  <c r="K6" i="5" s="1"/>
  <c r="L6" i="5" s="1"/>
  <c r="M6" i="5" s="1"/>
  <c r="N6" i="5" s="1"/>
  <c r="O6" i="5" s="1"/>
  <c r="P6" i="5" s="1"/>
  <c r="Q6" i="5" s="1"/>
  <c r="R6" i="5" s="1"/>
  <c r="S6" i="5" s="1"/>
  <c r="I7" i="5"/>
  <c r="J7" i="5"/>
  <c r="K7" i="5" s="1"/>
  <c r="L7" i="5" s="1"/>
  <c r="M7" i="5" s="1"/>
  <c r="N7" i="5" s="1"/>
  <c r="O7" i="5" s="1"/>
  <c r="P7" i="5" s="1"/>
  <c r="Q7" i="5" s="1"/>
  <c r="R7" i="5" s="1"/>
  <c r="S7" i="5" s="1"/>
  <c r="I8" i="5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I9" i="5"/>
  <c r="J9" i="5" s="1"/>
  <c r="K9" i="5" s="1"/>
  <c r="L9" i="5" s="1"/>
  <c r="M9" i="5" s="1"/>
  <c r="N9" i="5" s="1"/>
  <c r="O9" i="5" s="1"/>
  <c r="P9" i="5" s="1"/>
  <c r="Q9" i="5" s="1"/>
  <c r="R9" i="5" s="1"/>
  <c r="S9" i="5" s="1"/>
  <c r="I10" i="5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I11" i="5"/>
  <c r="J11" i="5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I12" i="5"/>
  <c r="J12" i="5"/>
  <c r="K12" i="5"/>
  <c r="L12" i="5" s="1"/>
  <c r="M12" i="5" s="1"/>
  <c r="N12" i="5" s="1"/>
  <c r="O12" i="5" s="1"/>
  <c r="P12" i="5" s="1"/>
  <c r="Q12" i="5" s="1"/>
  <c r="R12" i="5" s="1"/>
  <c r="S12" i="5" s="1"/>
  <c r="I13" i="5"/>
  <c r="J13" i="5"/>
  <c r="K13" i="5" s="1"/>
  <c r="L13" i="5" s="1"/>
  <c r="M13" i="5" s="1"/>
  <c r="N13" i="5" s="1"/>
  <c r="O13" i="5" s="1"/>
  <c r="P13" i="5" s="1"/>
  <c r="Q13" i="5" s="1"/>
  <c r="R13" i="5" s="1"/>
  <c r="S13" i="5" s="1"/>
  <c r="I14" i="5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I15" i="5"/>
  <c r="J15" i="5"/>
  <c r="K15" i="5" s="1"/>
  <c r="L15" i="5" s="1"/>
  <c r="M15" i="5" s="1"/>
  <c r="N15" i="5" s="1"/>
  <c r="O15" i="5" s="1"/>
  <c r="P15" i="5" s="1"/>
  <c r="Q15" i="5" s="1"/>
  <c r="R15" i="5" s="1"/>
  <c r="S15" i="5" s="1"/>
  <c r="I16" i="5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I17" i="5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I18" i="5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I19" i="5"/>
  <c r="J19" i="5"/>
  <c r="K19" i="5" s="1"/>
  <c r="L19" i="5" s="1"/>
  <c r="M19" i="5" s="1"/>
  <c r="N19" i="5" s="1"/>
  <c r="O19" i="5" s="1"/>
  <c r="P19" i="5" s="1"/>
  <c r="Q19" i="5" s="1"/>
  <c r="R19" i="5" s="1"/>
  <c r="S19" i="5" s="1"/>
  <c r="I20" i="5"/>
  <c r="J20" i="5"/>
  <c r="K20" i="5"/>
  <c r="L20" i="5" s="1"/>
  <c r="M20" i="5" s="1"/>
  <c r="N20" i="5" s="1"/>
  <c r="O20" i="5" s="1"/>
  <c r="P20" i="5" s="1"/>
  <c r="Q20" i="5" s="1"/>
  <c r="R20" i="5" s="1"/>
  <c r="S20" i="5" s="1"/>
  <c r="I21" i="5"/>
  <c r="J21" i="5"/>
  <c r="K21" i="5" s="1"/>
  <c r="L21" i="5" s="1"/>
  <c r="M21" i="5" s="1"/>
  <c r="N21" i="5" s="1"/>
  <c r="O21" i="5" s="1"/>
  <c r="P21" i="5" s="1"/>
  <c r="Q21" i="5" s="1"/>
  <c r="R21" i="5" s="1"/>
  <c r="S21" i="5" s="1"/>
  <c r="I22" i="5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I23" i="5"/>
  <c r="J23" i="5"/>
  <c r="K23" i="5" s="1"/>
  <c r="L23" i="5" s="1"/>
  <c r="M23" i="5" s="1"/>
  <c r="N23" i="5" s="1"/>
  <c r="O23" i="5" s="1"/>
  <c r="P23" i="5" s="1"/>
  <c r="Q23" i="5" s="1"/>
  <c r="R23" i="5" s="1"/>
  <c r="S23" i="5" s="1"/>
  <c r="I24" i="5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I25" i="5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I26" i="5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I27" i="5"/>
  <c r="J27" i="5"/>
  <c r="K27" i="5" s="1"/>
  <c r="L27" i="5" s="1"/>
  <c r="M27" i="5" s="1"/>
  <c r="N27" i="5" s="1"/>
  <c r="O27" i="5" s="1"/>
  <c r="P27" i="5" s="1"/>
  <c r="Q27" i="5" s="1"/>
  <c r="R27" i="5" s="1"/>
  <c r="S27" i="5" s="1"/>
  <c r="I28" i="5"/>
  <c r="J28" i="5"/>
  <c r="K28" i="5"/>
  <c r="L28" i="5" s="1"/>
  <c r="M28" i="5" s="1"/>
  <c r="N28" i="5" s="1"/>
  <c r="O28" i="5" s="1"/>
  <c r="P28" i="5" s="1"/>
  <c r="Q28" i="5" s="1"/>
  <c r="R28" i="5" s="1"/>
  <c r="S28" i="5" s="1"/>
  <c r="I29" i="5"/>
  <c r="J29" i="5"/>
  <c r="K29" i="5" s="1"/>
  <c r="L29" i="5" s="1"/>
  <c r="M29" i="5" s="1"/>
  <c r="N29" i="5" s="1"/>
  <c r="O29" i="5" s="1"/>
  <c r="P29" i="5" s="1"/>
  <c r="Q29" i="5" s="1"/>
  <c r="R29" i="5" s="1"/>
  <c r="S29" i="5" s="1"/>
  <c r="I30" i="5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I31" i="5"/>
  <c r="J31" i="5"/>
  <c r="K31" i="5" s="1"/>
  <c r="L31" i="5" s="1"/>
  <c r="M31" i="5" s="1"/>
  <c r="N31" i="5" s="1"/>
  <c r="O31" i="5" s="1"/>
  <c r="P31" i="5" s="1"/>
  <c r="Q31" i="5" s="1"/>
  <c r="R31" i="5" s="1"/>
  <c r="S31" i="5" s="1"/>
  <c r="I32" i="5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I33" i="5"/>
  <c r="J33" i="5" s="1"/>
  <c r="K33" i="5" s="1"/>
  <c r="L33" i="5" s="1"/>
  <c r="M33" i="5" s="1"/>
  <c r="N33" i="5"/>
  <c r="O33" i="5" s="1"/>
  <c r="P33" i="5" s="1"/>
  <c r="Q33" i="5" s="1"/>
  <c r="R33" i="5" s="1"/>
  <c r="S33" i="5" s="1"/>
  <c r="I34" i="5"/>
  <c r="J34" i="5" s="1"/>
  <c r="K34" i="5"/>
  <c r="L34" i="5" s="1"/>
  <c r="M34" i="5" s="1"/>
  <c r="N34" i="5" s="1"/>
  <c r="O34" i="5" s="1"/>
  <c r="P34" i="5" s="1"/>
  <c r="Q34" i="5" s="1"/>
  <c r="R34" i="5" s="1"/>
  <c r="S34" i="5"/>
  <c r="I35" i="5"/>
  <c r="J35" i="5"/>
  <c r="K35" i="5" s="1"/>
  <c r="L35" i="5" s="1"/>
  <c r="M35" i="5" s="1"/>
  <c r="N35" i="5" s="1"/>
  <c r="O35" i="5" s="1"/>
  <c r="P35" i="5" s="1"/>
  <c r="Q35" i="5" s="1"/>
  <c r="R35" i="5" s="1"/>
  <c r="S35" i="5" s="1"/>
  <c r="I36" i="5"/>
  <c r="J36" i="5"/>
  <c r="K36" i="5"/>
  <c r="L36" i="5" s="1"/>
  <c r="M36" i="5"/>
  <c r="N36" i="5" s="1"/>
  <c r="O36" i="5" s="1"/>
  <c r="P36" i="5" s="1"/>
  <c r="Q36" i="5" s="1"/>
  <c r="R36" i="5" s="1"/>
  <c r="S36" i="5" s="1"/>
  <c r="I37" i="5"/>
  <c r="J37" i="5"/>
  <c r="K37" i="5" s="1"/>
  <c r="L37" i="5" s="1"/>
  <c r="M37" i="5" s="1"/>
  <c r="N37" i="5" s="1"/>
  <c r="O37" i="5" s="1"/>
  <c r="P37" i="5" s="1"/>
  <c r="Q37" i="5" s="1"/>
  <c r="R37" i="5"/>
  <c r="S37" i="5" s="1"/>
  <c r="I38" i="5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I39" i="5"/>
  <c r="J39" i="5"/>
  <c r="K39" i="5" s="1"/>
  <c r="L39" i="5"/>
  <c r="M39" i="5" s="1"/>
  <c r="N39" i="5" s="1"/>
  <c r="O39" i="5" s="1"/>
  <c r="P39" i="5" s="1"/>
  <c r="Q39" i="5" s="1"/>
  <c r="R39" i="5" s="1"/>
  <c r="S39" i="5" s="1"/>
  <c r="I40" i="5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I41" i="5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I42" i="5"/>
  <c r="J42" i="5" s="1"/>
  <c r="K42" i="5"/>
  <c r="L42" i="5" s="1"/>
  <c r="M42" i="5" s="1"/>
  <c r="N42" i="5" s="1"/>
  <c r="O42" i="5" s="1"/>
  <c r="P42" i="5" s="1"/>
  <c r="Q42" i="5" s="1"/>
  <c r="R42" i="5" s="1"/>
  <c r="S42" i="5" s="1"/>
  <c r="I43" i="5"/>
  <c r="J43" i="5"/>
  <c r="K43" i="5" s="1"/>
  <c r="L43" i="5" s="1"/>
  <c r="M43" i="5" s="1"/>
  <c r="N43" i="5" s="1"/>
  <c r="O43" i="5" s="1"/>
  <c r="P43" i="5" s="1"/>
  <c r="Q43" i="5" s="1"/>
  <c r="R43" i="5" s="1"/>
  <c r="S43" i="5" s="1"/>
  <c r="I44" i="5"/>
  <c r="J44" i="5"/>
  <c r="K44" i="5"/>
  <c r="L44" i="5" s="1"/>
  <c r="M44" i="5"/>
  <c r="N44" i="5" s="1"/>
  <c r="O44" i="5" s="1"/>
  <c r="P44" i="5" s="1"/>
  <c r="Q44" i="5" s="1"/>
  <c r="R44" i="5" s="1"/>
  <c r="S44" i="5" s="1"/>
  <c r="I45" i="5"/>
  <c r="J45" i="5"/>
  <c r="K45" i="5" s="1"/>
  <c r="L45" i="5" s="1"/>
  <c r="M45" i="5" s="1"/>
  <c r="N45" i="5" s="1"/>
  <c r="O45" i="5" s="1"/>
  <c r="P45" i="5" s="1"/>
  <c r="Q45" i="5" s="1"/>
  <c r="R45" i="5"/>
  <c r="S45" i="5" s="1"/>
  <c r="I46" i="5"/>
  <c r="J46" i="5" s="1"/>
  <c r="K46" i="5" s="1"/>
  <c r="L46" i="5" s="1"/>
  <c r="M46" i="5" s="1"/>
  <c r="N46" i="5" s="1"/>
  <c r="O46" i="5"/>
  <c r="P46" i="5" s="1"/>
  <c r="Q46" i="5" s="1"/>
  <c r="R46" i="5" s="1"/>
  <c r="S46" i="5" s="1"/>
  <c r="I47" i="5"/>
  <c r="J47" i="5"/>
  <c r="K47" i="5" s="1"/>
  <c r="L47" i="5"/>
  <c r="M47" i="5" s="1"/>
  <c r="N47" i="5" s="1"/>
  <c r="O47" i="5" s="1"/>
  <c r="P47" i="5" s="1"/>
  <c r="Q47" i="5" s="1"/>
  <c r="R47" i="5" s="1"/>
  <c r="S47" i="5" s="1"/>
  <c r="I48" i="5"/>
  <c r="J48" i="5" s="1"/>
  <c r="K48" i="5"/>
  <c r="L48" i="5" s="1"/>
  <c r="M48" i="5" s="1"/>
  <c r="N48" i="5" s="1"/>
  <c r="O48" i="5" s="1"/>
  <c r="P48" i="5" s="1"/>
  <c r="Q48" i="5"/>
  <c r="R48" i="5" s="1"/>
  <c r="S48" i="5" s="1"/>
  <c r="I49" i="5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I50" i="5"/>
  <c r="J50" i="5" s="1"/>
  <c r="K50" i="5"/>
  <c r="L50" i="5" s="1"/>
  <c r="M50" i="5"/>
  <c r="N50" i="5" s="1"/>
  <c r="O50" i="5" s="1"/>
  <c r="P50" i="5" s="1"/>
  <c r="Q50" i="5" s="1"/>
  <c r="R50" i="5" s="1"/>
  <c r="S50" i="5" s="1"/>
  <c r="I51" i="5"/>
  <c r="J51" i="5"/>
  <c r="K51" i="5"/>
  <c r="L51" i="5" s="1"/>
  <c r="M51" i="5" s="1"/>
  <c r="N51" i="5" s="1"/>
  <c r="O51" i="5" s="1"/>
  <c r="P51" i="5" s="1"/>
  <c r="Q51" i="5" s="1"/>
  <c r="R51" i="5" s="1"/>
  <c r="S51" i="5" s="1"/>
  <c r="J2" i="5"/>
  <c r="K2" i="5" s="1"/>
  <c r="L2" i="5" s="1"/>
  <c r="M2" i="5" s="1"/>
  <c r="N2" i="5" s="1"/>
  <c r="O2" i="5" s="1"/>
  <c r="P2" i="5" s="1"/>
  <c r="Q2" i="5" s="1"/>
  <c r="R2" i="5" s="1"/>
  <c r="S2" i="5" s="1"/>
  <c r="H23" i="5"/>
  <c r="F23" i="5" s="1"/>
  <c r="H20" i="5"/>
  <c r="H36" i="5"/>
  <c r="H28" i="5"/>
  <c r="H4" i="5"/>
  <c r="H25" i="5"/>
  <c r="H19" i="5"/>
  <c r="F19" i="5" s="1"/>
  <c r="H37" i="5"/>
  <c r="H35" i="5"/>
  <c r="F35" i="5" s="1"/>
  <c r="H22" i="5"/>
  <c r="H2" i="5"/>
  <c r="H15" i="5"/>
  <c r="H32" i="5"/>
  <c r="H30" i="5"/>
  <c r="H6" i="5"/>
  <c r="H38" i="5"/>
  <c r="F38" i="5" s="1"/>
  <c r="H41" i="5"/>
  <c r="F41" i="5" s="1"/>
  <c r="H39" i="5"/>
  <c r="H26" i="5"/>
  <c r="H43" i="5"/>
  <c r="H10" i="5"/>
  <c r="H33" i="5"/>
  <c r="H18" i="5"/>
  <c r="F18" i="5" s="1"/>
  <c r="H17" i="5"/>
  <c r="H27" i="5"/>
  <c r="F27" i="5" s="1"/>
  <c r="H40" i="5"/>
  <c r="H44" i="5"/>
  <c r="F44" i="5" s="1"/>
  <c r="H29" i="5"/>
  <c r="H45" i="5"/>
  <c r="H24" i="5"/>
  <c r="H5" i="5"/>
  <c r="H46" i="5"/>
  <c r="F46" i="5" s="1"/>
  <c r="H21" i="5"/>
  <c r="F21" i="5" s="1"/>
  <c r="H42" i="5"/>
  <c r="H47" i="5"/>
  <c r="F47" i="5" s="1"/>
  <c r="H31" i="5"/>
  <c r="H48" i="5"/>
  <c r="H8" i="5"/>
  <c r="H13" i="5"/>
  <c r="H49" i="5"/>
  <c r="H50" i="5"/>
  <c r="F50" i="5" s="1"/>
  <c r="H51" i="5"/>
  <c r="H16" i="5"/>
  <c r="H14" i="5"/>
  <c r="H11" i="5"/>
  <c r="H12" i="5"/>
  <c r="H3" i="5"/>
  <c r="H7" i="5"/>
  <c r="F7" i="5" s="1"/>
  <c r="H34" i="5"/>
  <c r="F34" i="5" s="1"/>
  <c r="G23" i="5"/>
  <c r="G20" i="5"/>
  <c r="G36" i="5"/>
  <c r="G28" i="5"/>
  <c r="G4" i="5"/>
  <c r="G25" i="5"/>
  <c r="G19" i="5"/>
  <c r="G37" i="5"/>
  <c r="G35" i="5"/>
  <c r="G22" i="5"/>
  <c r="G2" i="5"/>
  <c r="G15" i="5"/>
  <c r="G32" i="5"/>
  <c r="G30" i="5"/>
  <c r="G6" i="5"/>
  <c r="G38" i="5"/>
  <c r="G41" i="5"/>
  <c r="G39" i="5"/>
  <c r="G26" i="5"/>
  <c r="G43" i="5"/>
  <c r="G10" i="5"/>
  <c r="G33" i="5"/>
  <c r="G18" i="5"/>
  <c r="G17" i="5"/>
  <c r="G27" i="5"/>
  <c r="G40" i="5"/>
  <c r="G44" i="5"/>
  <c r="G29" i="5"/>
  <c r="G45" i="5"/>
  <c r="G24" i="5"/>
  <c r="G5" i="5"/>
  <c r="F5" i="5" s="1"/>
  <c r="G46" i="5"/>
  <c r="G21" i="5"/>
  <c r="G42" i="5"/>
  <c r="G47" i="5"/>
  <c r="G31" i="5"/>
  <c r="G48" i="5"/>
  <c r="G8" i="5"/>
  <c r="G13" i="5"/>
  <c r="G49" i="5"/>
  <c r="G50" i="5"/>
  <c r="G51" i="5"/>
  <c r="G16" i="5"/>
  <c r="G14" i="5"/>
  <c r="G11" i="5"/>
  <c r="G12" i="5"/>
  <c r="G3" i="5"/>
  <c r="G7" i="5"/>
  <c r="G34" i="5"/>
  <c r="H9" i="5"/>
  <c r="F9" i="5" s="1"/>
  <c r="G9" i="5"/>
  <c r="P8" i="4"/>
  <c r="P7" i="4"/>
  <c r="P6" i="4"/>
  <c r="P5" i="4"/>
  <c r="P4" i="4"/>
  <c r="H5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F2" i="3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K2" i="3"/>
  <c r="K52" i="3" s="1"/>
  <c r="J2" i="3"/>
  <c r="O7" i="3" s="1"/>
  <c r="I2" i="3"/>
  <c r="O6" i="3" s="1"/>
  <c r="H2" i="3"/>
  <c r="O5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T23" i="5" l="1"/>
  <c r="T19" i="5"/>
  <c r="T17" i="5"/>
  <c r="T13" i="5"/>
  <c r="T10" i="5"/>
  <c r="T29" i="5"/>
  <c r="T43" i="5"/>
  <c r="T5" i="5"/>
  <c r="T7" i="5"/>
  <c r="F3" i="5"/>
  <c r="T3" i="5" s="1"/>
  <c r="F6" i="5"/>
  <c r="T6" i="5" s="1"/>
  <c r="T47" i="5"/>
  <c r="F12" i="5"/>
  <c r="F30" i="5"/>
  <c r="F49" i="5"/>
  <c r="T49" i="5" s="1"/>
  <c r="F37" i="5"/>
  <c r="T37" i="5" s="1"/>
  <c r="T46" i="5"/>
  <c r="T38" i="5"/>
  <c r="T30" i="5"/>
  <c r="F4" i="5"/>
  <c r="F13" i="5"/>
  <c r="T21" i="5"/>
  <c r="T44" i="5"/>
  <c r="T12" i="5"/>
  <c r="T4" i="5"/>
  <c r="F36" i="5"/>
  <c r="T36" i="5" s="1"/>
  <c r="T35" i="5"/>
  <c r="T27" i="5"/>
  <c r="F42" i="5"/>
  <c r="F40" i="5"/>
  <c r="T40" i="5" s="1"/>
  <c r="F39" i="5"/>
  <c r="T39" i="5" s="1"/>
  <c r="F22" i="5"/>
  <c r="T22" i="5" s="1"/>
  <c r="F20" i="5"/>
  <c r="T20" i="5" s="1"/>
  <c r="F17" i="5"/>
  <c r="T50" i="5"/>
  <c r="T42" i="5"/>
  <c r="T34" i="5"/>
  <c r="T18" i="5"/>
  <c r="T41" i="5"/>
  <c r="T9" i="5"/>
  <c r="I2" i="5"/>
  <c r="T2" i="5" s="1"/>
  <c r="F24" i="5"/>
  <c r="T24" i="5" s="1"/>
  <c r="F11" i="5"/>
  <c r="F10" i="5"/>
  <c r="F32" i="5"/>
  <c r="T32" i="5" s="1"/>
  <c r="F14" i="5"/>
  <c r="T14" i="5" s="1"/>
  <c r="F31" i="5"/>
  <c r="T31" i="5" s="1"/>
  <c r="F29" i="5"/>
  <c r="F43" i="5"/>
  <c r="F15" i="5"/>
  <c r="T15" i="5" s="1"/>
  <c r="F28" i="5"/>
  <c r="T28" i="5" s="1"/>
  <c r="F45" i="5"/>
  <c r="T45" i="5" s="1"/>
  <c r="F8" i="5"/>
  <c r="F16" i="5"/>
  <c r="T16" i="5" s="1"/>
  <c r="F2" i="5"/>
  <c r="F51" i="5"/>
  <c r="T51" i="5" s="1"/>
  <c r="F33" i="5"/>
  <c r="T33" i="5" s="1"/>
  <c r="F25" i="5"/>
  <c r="T25" i="5" s="1"/>
  <c r="F48" i="5"/>
  <c r="T48" i="5" s="1"/>
  <c r="F26" i="5"/>
  <c r="T26" i="5" s="1"/>
  <c r="O8" i="3"/>
  <c r="J52" i="3"/>
  <c r="I52" i="3"/>
  <c r="H5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28D726-BE4C-45FE-8613-A9CB410109B4}" keepAlive="1" name="Zapytanie — kraina" description="Połączenie z zapytaniem „kraina” w skoroszycie." type="5" refreshedVersion="0" background="1" saveData="1">
    <dbPr connection="Provider=Microsoft.Mashup.OleDb.1;Data Source=$Workbook$;Location=kraina;Extended Properties=&quot;&quot;" command="SELECT * FROM [kraina]"/>
  </connection>
</connections>
</file>

<file path=xl/sharedStrings.xml><?xml version="1.0" encoding="utf-8"?>
<sst xmlns="http://schemas.openxmlformats.org/spreadsheetml/2006/main" count="264" uniqueCount="89">
  <si>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</si>
  <si>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</si>
  <si>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</si>
  <si>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</si>
  <si>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</si>
  <si>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</si>
  <si>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</si>
  <si>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</si>
  <si>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</si>
  <si>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</si>
  <si>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</si>
  <si>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</si>
  <si>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</si>
  <si>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</si>
  <si>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</si>
  <si>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</si>
  <si>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</si>
  <si>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</si>
  <si>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</si>
  <si>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</si>
  <si>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</si>
  <si>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</si>
  <si>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</si>
  <si>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</si>
  <si>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</si>
  <si>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</si>
  <si>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</si>
  <si>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</si>
  <si>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</si>
  <si>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</si>
  <si>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</si>
  <si>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</si>
  <si>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</si>
  <si>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</si>
  <si>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</si>
  <si>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</si>
  <si>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</si>
  <si>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</si>
  <si>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</si>
  <si>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</si>
  <si>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</si>
  <si>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</si>
  <si>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</si>
  <si>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</si>
  <si>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</si>
  <si>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</si>
  <si>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</si>
  <si>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</si>
  <si>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</si>
  <si>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</si>
  <si>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Województwo</t>
  </si>
  <si>
    <t>kobiety 2013</t>
  </si>
  <si>
    <t>mezczyzni 2013</t>
  </si>
  <si>
    <t>kobiety 2014</t>
  </si>
  <si>
    <t>mezczyzni 2014</t>
  </si>
  <si>
    <t>region</t>
  </si>
  <si>
    <t>ludnosc 2013</t>
  </si>
  <si>
    <t>ludnosc A</t>
  </si>
  <si>
    <t>ludnosc B</t>
  </si>
  <si>
    <t>ludnosc C</t>
  </si>
  <si>
    <t>ludnosc D</t>
  </si>
  <si>
    <t>A</t>
  </si>
  <si>
    <t>B</t>
  </si>
  <si>
    <t>C</t>
  </si>
  <si>
    <t>D</t>
  </si>
  <si>
    <t>czy liczba kobiet w 2014 &gt; w 2013</t>
  </si>
  <si>
    <t>czy liczba mezczyzn w 2014 &gt; w 2013</t>
  </si>
  <si>
    <t>czy oba tak</t>
  </si>
  <si>
    <t>liczba wojewodztw</t>
  </si>
  <si>
    <t>caly kraj</t>
  </si>
  <si>
    <t xml:space="preserve">C </t>
  </si>
  <si>
    <t>ludność 2013</t>
  </si>
  <si>
    <t>ludnosc 2014</t>
  </si>
  <si>
    <t>tempo wzrostu</t>
  </si>
  <si>
    <t>ludnosc 2015</t>
  </si>
  <si>
    <t>ludnosc 2016</t>
  </si>
  <si>
    <t>ludnosc 2017</t>
  </si>
  <si>
    <t>ludnosc 2018</t>
  </si>
  <si>
    <t>ludnosc 2019</t>
  </si>
  <si>
    <t>ludnosc 2020</t>
  </si>
  <si>
    <t>ludnosc 2021</t>
  </si>
  <si>
    <t>ludnosc 2022</t>
  </si>
  <si>
    <t>ludnosc 2023</t>
  </si>
  <si>
    <t>ludnosc 2024</t>
  </si>
  <si>
    <t>ludnosc 2025</t>
  </si>
  <si>
    <t>liczba mieszkańcow w 2025</t>
  </si>
  <si>
    <t>wojewodztwo z najwieksza liczba mieszkańcow</t>
  </si>
  <si>
    <t>czy wystapilo przeludnienie</t>
  </si>
  <si>
    <t>liczba wojewodztw, w których wystapi efekt przeludnienia w latach 2014-2025 włącznie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</si>
</sst>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2" fillId="3" borderId="0" xfId="0" applyFont="1" applyFill="1"/>
    <xf numFmtId="0" fontId="1" fillId="2" borderId="0" xfId="1"/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</a:t>
            </a:r>
            <a:r>
              <a:rPr lang="en-US"/>
              <a:t>udnosc </a:t>
            </a:r>
            <a:r>
              <a:rPr lang="pl-PL"/>
              <a:t>w roku </a:t>
            </a:r>
            <a:r>
              <a:rPr lang="en-US"/>
              <a:t>2013</a:t>
            </a:r>
            <a:r>
              <a:rPr lang="pl-PL"/>
              <a:t> w poszczególncyh regionach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'5.1'!$O$4</c:f>
              <c:strCache>
                <c:ptCount val="1"/>
                <c:pt idx="0">
                  <c:v>ludnosc 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'5.1'!$N$5:$N$8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'5.1'!$O$5:$O$8</c:f>
              <c:numCache>
                <c:formatCode>General</c:formatCode>
                <c:ptCount val="4"/>
                <c:pt idx="0">
                  <c:v>33929579</c:v>
                </c:pt>
                <c:pt idx="1">
                  <c:v>41736619</c:v>
                </c:pt>
                <c:pt idx="2">
                  <c:v>57649017</c:v>
                </c:pt>
                <c:pt idx="3">
                  <c:v>36530387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3-49D2-AA7A-EE89050474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5999912"/>
        <c:axId val="995997032"/>
      </c:barChart>
      <c:catAx>
        <c:axId val="995999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Regiony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5997032"/>
        <c:crosses val="autoZero"/>
        <c:auto val="1"/>
        <c:lblAlgn val="ctr"/>
        <c:lblOffset val="100"/>
        <c:noMultiLvlLbl val="0"/>
      </c:catAx>
      <c:valAx>
        <c:axId val="99599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Ludność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5999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395110</xdr:colOff>
      <xdr:row>11</xdr:row>
      <xdr:rowOff>8643</xdr:rowOff>
    </xdr:from>
    <xdr:to>
      <xdr:col>19</xdr:col>
      <xdr:colOff>495652</xdr:colOff>
      <xdr:row>25</xdr:row>
      <xdr:rowOff>158927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A17535A-5399-F319-331A-973ECA4B2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0699-BE5F-4B04-B3BF-E6ADECC9E3B2}">
  <dimension ref="A1:E51"/>
  <sheetViews>
    <sheetView workbookViewId="0">
      <selection activeCell="E2" sqref="E2"/>
    </sheetView>
  </sheetViews>
  <sheetFormatPr defaultRowHeight="14.5" x14ac:dyDescent="0.35"/>
  <cols>
    <col min="1" max="1" width="13.08984375" bestFit="1" customWidth="1"/>
    <col min="2" max="2" width="11.54296875" bestFit="1" customWidth="1"/>
    <col min="3" max="3" width="13.7265625" bestFit="1" customWidth="1"/>
    <col min="4" max="4" width="11.54296875" bestFit="1" customWidth="1"/>
    <col min="5" max="5" width="13.7265625" bestFit="1" customWidth="1"/>
  </cols>
  <sheetData>
    <row r="1" spans="1:5" x14ac:dyDescent="0.35">
      <c r="A1" s="3" t="s">
        <v>50</v>
      </c>
      <c r="B1" s="4" t="s">
        <v>51</v>
      </c>
      <c r="C1" s="4" t="s">
        <v>52</v>
      </c>
      <c r="D1" s="4" t="s">
        <v>53</v>
      </c>
      <c r="E1" s="5" t="s">
        <v>54</v>
      </c>
    </row>
    <row r="2" spans="1:5" x14ac:dyDescent="0.35">
      <c r="A2" s="6" t="s">
        <v>0</v>
      </c>
      <c r="B2" s="7">
        <v>1415007</v>
      </c>
      <c r="C2" s="7">
        <v>1397195</v>
      </c>
      <c r="D2" s="7">
        <v>1499070</v>
      </c>
      <c r="E2" s="8">
        <v>1481105</v>
      </c>
    </row>
    <row r="3" spans="1:5" x14ac:dyDescent="0.35">
      <c r="A3" s="9" t="s">
        <v>1</v>
      </c>
      <c r="B3" s="10">
        <v>1711390</v>
      </c>
      <c r="C3" s="10">
        <v>1641773</v>
      </c>
      <c r="D3" s="10">
        <v>1522030</v>
      </c>
      <c r="E3" s="11">
        <v>1618733</v>
      </c>
    </row>
    <row r="4" spans="1:5" x14ac:dyDescent="0.35">
      <c r="A4" s="6" t="s">
        <v>2</v>
      </c>
      <c r="B4" s="7">
        <v>1165105</v>
      </c>
      <c r="C4" s="7">
        <v>1278732</v>
      </c>
      <c r="D4" s="7">
        <v>1299953</v>
      </c>
      <c r="E4" s="8">
        <v>1191621</v>
      </c>
    </row>
    <row r="5" spans="1:5" x14ac:dyDescent="0.35">
      <c r="A5" s="9" t="s">
        <v>3</v>
      </c>
      <c r="B5" s="10">
        <v>949065</v>
      </c>
      <c r="C5" s="10">
        <v>1026050</v>
      </c>
      <c r="D5" s="10">
        <v>688027</v>
      </c>
      <c r="E5" s="11">
        <v>723233</v>
      </c>
    </row>
    <row r="6" spans="1:5" x14ac:dyDescent="0.35">
      <c r="A6" s="6" t="s">
        <v>4</v>
      </c>
      <c r="B6" s="7">
        <v>2436107</v>
      </c>
      <c r="C6" s="7">
        <v>2228622</v>
      </c>
      <c r="D6" s="7">
        <v>1831600</v>
      </c>
      <c r="E6" s="8">
        <v>1960624</v>
      </c>
    </row>
    <row r="7" spans="1:5" x14ac:dyDescent="0.35">
      <c r="A7" s="9" t="s">
        <v>5</v>
      </c>
      <c r="B7" s="10">
        <v>1846928</v>
      </c>
      <c r="C7" s="10">
        <v>1851433</v>
      </c>
      <c r="D7" s="10">
        <v>2125113</v>
      </c>
      <c r="E7" s="11">
        <v>2028635</v>
      </c>
    </row>
    <row r="8" spans="1:5" x14ac:dyDescent="0.35">
      <c r="A8" s="6" t="s">
        <v>6</v>
      </c>
      <c r="B8" s="7">
        <v>3841577</v>
      </c>
      <c r="C8" s="7">
        <v>3848394</v>
      </c>
      <c r="D8" s="7">
        <v>3595975</v>
      </c>
      <c r="E8" s="8">
        <v>3123039</v>
      </c>
    </row>
    <row r="9" spans="1:5" x14ac:dyDescent="0.35">
      <c r="A9" s="9" t="s">
        <v>7</v>
      </c>
      <c r="B9" s="10">
        <v>679557</v>
      </c>
      <c r="C9" s="10">
        <v>655500</v>
      </c>
      <c r="D9" s="10">
        <v>1012012</v>
      </c>
      <c r="E9" s="11">
        <v>1067022</v>
      </c>
    </row>
    <row r="10" spans="1:5" x14ac:dyDescent="0.35">
      <c r="A10" s="6" t="s">
        <v>8</v>
      </c>
      <c r="B10" s="7">
        <v>1660998</v>
      </c>
      <c r="C10" s="7">
        <v>1630345</v>
      </c>
      <c r="D10" s="7">
        <v>1130119</v>
      </c>
      <c r="E10" s="8">
        <v>1080238</v>
      </c>
    </row>
    <row r="11" spans="1:5" x14ac:dyDescent="0.35">
      <c r="A11" s="9" t="s">
        <v>9</v>
      </c>
      <c r="B11" s="10">
        <v>1157622</v>
      </c>
      <c r="C11" s="10">
        <v>1182345</v>
      </c>
      <c r="D11" s="10">
        <v>830785</v>
      </c>
      <c r="E11" s="11">
        <v>833779</v>
      </c>
    </row>
    <row r="12" spans="1:5" x14ac:dyDescent="0.35">
      <c r="A12" s="6" t="s">
        <v>10</v>
      </c>
      <c r="B12" s="7">
        <v>1987047</v>
      </c>
      <c r="C12" s="7">
        <v>1996208</v>
      </c>
      <c r="D12" s="7">
        <v>2053892</v>
      </c>
      <c r="E12" s="8">
        <v>1697247</v>
      </c>
    </row>
    <row r="13" spans="1:5" x14ac:dyDescent="0.35">
      <c r="A13" s="9" t="s">
        <v>11</v>
      </c>
      <c r="B13" s="10">
        <v>3997724</v>
      </c>
      <c r="C13" s="10">
        <v>3690756</v>
      </c>
      <c r="D13" s="10">
        <v>4339393</v>
      </c>
      <c r="E13" s="11">
        <v>4639643</v>
      </c>
    </row>
    <row r="14" spans="1:5" x14ac:dyDescent="0.35">
      <c r="A14" s="6" t="s">
        <v>12</v>
      </c>
      <c r="B14" s="7">
        <v>996113</v>
      </c>
      <c r="C14" s="7">
        <v>964279</v>
      </c>
      <c r="D14" s="7">
        <v>1012487</v>
      </c>
      <c r="E14" s="8">
        <v>1128940</v>
      </c>
    </row>
    <row r="15" spans="1:5" x14ac:dyDescent="0.35">
      <c r="A15" s="9" t="s">
        <v>13</v>
      </c>
      <c r="B15" s="10">
        <v>1143634</v>
      </c>
      <c r="C15" s="10">
        <v>1033836</v>
      </c>
      <c r="D15" s="10">
        <v>909534</v>
      </c>
      <c r="E15" s="11">
        <v>856349</v>
      </c>
    </row>
    <row r="16" spans="1:5" x14ac:dyDescent="0.35">
      <c r="A16" s="6" t="s">
        <v>14</v>
      </c>
      <c r="B16" s="7">
        <v>2549276</v>
      </c>
      <c r="C16" s="7">
        <v>2584751</v>
      </c>
      <c r="D16" s="7">
        <v>2033079</v>
      </c>
      <c r="E16" s="8">
        <v>2066918</v>
      </c>
    </row>
    <row r="17" spans="1:5" x14ac:dyDescent="0.35">
      <c r="A17" s="9" t="s">
        <v>15</v>
      </c>
      <c r="B17" s="10">
        <v>1367212</v>
      </c>
      <c r="C17" s="10">
        <v>1361389</v>
      </c>
      <c r="D17" s="10">
        <v>1572320</v>
      </c>
      <c r="E17" s="11">
        <v>1836258</v>
      </c>
    </row>
    <row r="18" spans="1:5" x14ac:dyDescent="0.35">
      <c r="A18" s="6" t="s">
        <v>16</v>
      </c>
      <c r="B18" s="7">
        <v>2567464</v>
      </c>
      <c r="C18" s="7">
        <v>2441857</v>
      </c>
      <c r="D18" s="7">
        <v>1524132</v>
      </c>
      <c r="E18" s="8">
        <v>1496810</v>
      </c>
    </row>
    <row r="19" spans="1:5" x14ac:dyDescent="0.35">
      <c r="A19" s="9" t="s">
        <v>17</v>
      </c>
      <c r="B19" s="10">
        <v>1334060</v>
      </c>
      <c r="C19" s="10">
        <v>1395231</v>
      </c>
      <c r="D19" s="10">
        <v>578655</v>
      </c>
      <c r="E19" s="11">
        <v>677663</v>
      </c>
    </row>
    <row r="20" spans="1:5" x14ac:dyDescent="0.35">
      <c r="A20" s="6" t="s">
        <v>18</v>
      </c>
      <c r="B20" s="7">
        <v>2976209</v>
      </c>
      <c r="C20" s="7">
        <v>3199665</v>
      </c>
      <c r="D20" s="7">
        <v>1666477</v>
      </c>
      <c r="E20" s="8">
        <v>1759240</v>
      </c>
    </row>
    <row r="21" spans="1:5" x14ac:dyDescent="0.35">
      <c r="A21" s="9" t="s">
        <v>19</v>
      </c>
      <c r="B21" s="10">
        <v>1443351</v>
      </c>
      <c r="C21" s="10">
        <v>1565539</v>
      </c>
      <c r="D21" s="10">
        <v>1355276</v>
      </c>
      <c r="E21" s="11">
        <v>1423414</v>
      </c>
    </row>
    <row r="22" spans="1:5" x14ac:dyDescent="0.35">
      <c r="A22" s="6" t="s">
        <v>20</v>
      </c>
      <c r="B22" s="7">
        <v>2486640</v>
      </c>
      <c r="C22" s="7">
        <v>2265936</v>
      </c>
      <c r="D22" s="7">
        <v>297424</v>
      </c>
      <c r="E22" s="8">
        <v>274759</v>
      </c>
    </row>
    <row r="23" spans="1:5" x14ac:dyDescent="0.35">
      <c r="A23" s="9" t="s">
        <v>21</v>
      </c>
      <c r="B23" s="10">
        <v>685438</v>
      </c>
      <c r="C23" s="10">
        <v>749124</v>
      </c>
      <c r="D23" s="10">
        <v>2697677</v>
      </c>
      <c r="E23" s="11">
        <v>2821550</v>
      </c>
    </row>
    <row r="24" spans="1:5" x14ac:dyDescent="0.35">
      <c r="A24" s="6" t="s">
        <v>22</v>
      </c>
      <c r="B24" s="7">
        <v>2166753</v>
      </c>
      <c r="C24" s="7">
        <v>2338698</v>
      </c>
      <c r="D24" s="7">
        <v>1681433</v>
      </c>
      <c r="E24" s="8">
        <v>1592443</v>
      </c>
    </row>
    <row r="25" spans="1:5" x14ac:dyDescent="0.35">
      <c r="A25" s="9" t="s">
        <v>23</v>
      </c>
      <c r="B25" s="10">
        <v>643177</v>
      </c>
      <c r="C25" s="10">
        <v>684187</v>
      </c>
      <c r="D25" s="10">
        <v>796213</v>
      </c>
      <c r="E25" s="11">
        <v>867904</v>
      </c>
    </row>
    <row r="26" spans="1:5" x14ac:dyDescent="0.35">
      <c r="A26" s="6" t="s">
        <v>24</v>
      </c>
      <c r="B26" s="7">
        <v>450192</v>
      </c>
      <c r="C26" s="7">
        <v>434755</v>
      </c>
      <c r="D26" s="7">
        <v>1656446</v>
      </c>
      <c r="E26" s="8">
        <v>1691000</v>
      </c>
    </row>
    <row r="27" spans="1:5" x14ac:dyDescent="0.35">
      <c r="A27" s="9" t="s">
        <v>25</v>
      </c>
      <c r="B27" s="10">
        <v>1037774</v>
      </c>
      <c r="C27" s="10">
        <v>1113789</v>
      </c>
      <c r="D27" s="10">
        <v>877464</v>
      </c>
      <c r="E27" s="11">
        <v>990837</v>
      </c>
    </row>
    <row r="28" spans="1:5" x14ac:dyDescent="0.35">
      <c r="A28" s="6" t="s">
        <v>26</v>
      </c>
      <c r="B28" s="7">
        <v>2351213</v>
      </c>
      <c r="C28" s="7">
        <v>2358482</v>
      </c>
      <c r="D28" s="7">
        <v>1098384</v>
      </c>
      <c r="E28" s="8">
        <v>1121488</v>
      </c>
    </row>
    <row r="29" spans="1:5" x14ac:dyDescent="0.35">
      <c r="A29" s="9" t="s">
        <v>27</v>
      </c>
      <c r="B29" s="10">
        <v>2613354</v>
      </c>
      <c r="C29" s="10">
        <v>2837241</v>
      </c>
      <c r="D29" s="10">
        <v>431144</v>
      </c>
      <c r="E29" s="11">
        <v>434113</v>
      </c>
    </row>
    <row r="30" spans="1:5" x14ac:dyDescent="0.35">
      <c r="A30" s="6" t="s">
        <v>28</v>
      </c>
      <c r="B30" s="7">
        <v>1859691</v>
      </c>
      <c r="C30" s="7">
        <v>1844250</v>
      </c>
      <c r="D30" s="7">
        <v>1460134</v>
      </c>
      <c r="E30" s="8">
        <v>1585258</v>
      </c>
    </row>
    <row r="31" spans="1:5" x14ac:dyDescent="0.35">
      <c r="A31" s="9" t="s">
        <v>29</v>
      </c>
      <c r="B31" s="10">
        <v>2478386</v>
      </c>
      <c r="C31" s="10">
        <v>2562144</v>
      </c>
      <c r="D31" s="10">
        <v>30035</v>
      </c>
      <c r="E31" s="11">
        <v>29396</v>
      </c>
    </row>
    <row r="32" spans="1:5" x14ac:dyDescent="0.35">
      <c r="A32" s="6" t="s">
        <v>30</v>
      </c>
      <c r="B32" s="7">
        <v>1938122</v>
      </c>
      <c r="C32" s="7">
        <v>1816647</v>
      </c>
      <c r="D32" s="7">
        <v>1602356</v>
      </c>
      <c r="E32" s="8">
        <v>1875221</v>
      </c>
    </row>
    <row r="33" spans="1:5" x14ac:dyDescent="0.35">
      <c r="A33" s="9" t="s">
        <v>31</v>
      </c>
      <c r="B33" s="10">
        <v>992523</v>
      </c>
      <c r="C33" s="10">
        <v>1028501</v>
      </c>
      <c r="D33" s="10">
        <v>1995446</v>
      </c>
      <c r="E33" s="11">
        <v>1860524</v>
      </c>
    </row>
    <row r="34" spans="1:5" x14ac:dyDescent="0.35">
      <c r="A34" s="6" t="s">
        <v>32</v>
      </c>
      <c r="B34" s="7">
        <v>2966291</v>
      </c>
      <c r="C34" s="7">
        <v>2889963</v>
      </c>
      <c r="D34" s="7">
        <v>462453</v>
      </c>
      <c r="E34" s="8">
        <v>486354</v>
      </c>
    </row>
    <row r="35" spans="1:5" x14ac:dyDescent="0.35">
      <c r="A35" s="9" t="s">
        <v>33</v>
      </c>
      <c r="B35" s="10">
        <v>76648</v>
      </c>
      <c r="C35" s="10">
        <v>81385</v>
      </c>
      <c r="D35" s="10">
        <v>1374708</v>
      </c>
      <c r="E35" s="11">
        <v>1379567</v>
      </c>
    </row>
    <row r="36" spans="1:5" x14ac:dyDescent="0.35">
      <c r="A36" s="6" t="s">
        <v>34</v>
      </c>
      <c r="B36" s="7">
        <v>2574432</v>
      </c>
      <c r="C36" s="7">
        <v>2409710</v>
      </c>
      <c r="D36" s="7">
        <v>987486</v>
      </c>
      <c r="E36" s="8">
        <v>999043</v>
      </c>
    </row>
    <row r="37" spans="1:5" x14ac:dyDescent="0.35">
      <c r="A37" s="9" t="s">
        <v>35</v>
      </c>
      <c r="B37" s="10">
        <v>1778590</v>
      </c>
      <c r="C37" s="10">
        <v>1874844</v>
      </c>
      <c r="D37" s="10">
        <v>111191</v>
      </c>
      <c r="E37" s="11">
        <v>117846</v>
      </c>
    </row>
    <row r="38" spans="1:5" x14ac:dyDescent="0.35">
      <c r="A38" s="6" t="s">
        <v>36</v>
      </c>
      <c r="B38" s="7">
        <v>1506541</v>
      </c>
      <c r="C38" s="7">
        <v>1414887</v>
      </c>
      <c r="D38" s="7">
        <v>1216612</v>
      </c>
      <c r="E38" s="8">
        <v>1166775</v>
      </c>
    </row>
    <row r="39" spans="1:5" x14ac:dyDescent="0.35">
      <c r="A39" s="9" t="s">
        <v>37</v>
      </c>
      <c r="B39" s="10">
        <v>1598886</v>
      </c>
      <c r="C39" s="10">
        <v>1687917</v>
      </c>
      <c r="D39" s="10">
        <v>449788</v>
      </c>
      <c r="E39" s="11">
        <v>427615</v>
      </c>
    </row>
    <row r="40" spans="1:5" x14ac:dyDescent="0.35">
      <c r="A40" s="6" t="s">
        <v>38</v>
      </c>
      <c r="B40" s="7">
        <v>548989</v>
      </c>
      <c r="C40" s="7">
        <v>514636</v>
      </c>
      <c r="D40" s="7">
        <v>2770344</v>
      </c>
      <c r="E40" s="8">
        <v>3187897</v>
      </c>
    </row>
    <row r="41" spans="1:5" x14ac:dyDescent="0.35">
      <c r="A41" s="9" t="s">
        <v>39</v>
      </c>
      <c r="B41" s="10">
        <v>1175198</v>
      </c>
      <c r="C41" s="10">
        <v>1095440</v>
      </c>
      <c r="D41" s="10">
        <v>2657174</v>
      </c>
      <c r="E41" s="11">
        <v>2491947</v>
      </c>
    </row>
    <row r="42" spans="1:5" x14ac:dyDescent="0.35">
      <c r="A42" s="6" t="s">
        <v>40</v>
      </c>
      <c r="B42" s="7">
        <v>2115336</v>
      </c>
      <c r="C42" s="7">
        <v>2202769</v>
      </c>
      <c r="D42" s="7">
        <v>15339</v>
      </c>
      <c r="E42" s="8">
        <v>14652</v>
      </c>
    </row>
    <row r="43" spans="1:5" x14ac:dyDescent="0.35">
      <c r="A43" s="9" t="s">
        <v>41</v>
      </c>
      <c r="B43" s="10">
        <v>2346640</v>
      </c>
      <c r="C43" s="10">
        <v>2197559</v>
      </c>
      <c r="D43" s="10">
        <v>373470</v>
      </c>
      <c r="E43" s="11">
        <v>353365</v>
      </c>
    </row>
    <row r="44" spans="1:5" x14ac:dyDescent="0.35">
      <c r="A44" s="6" t="s">
        <v>42</v>
      </c>
      <c r="B44" s="7">
        <v>2548438</v>
      </c>
      <c r="C44" s="7">
        <v>2577213</v>
      </c>
      <c r="D44" s="7">
        <v>37986</v>
      </c>
      <c r="E44" s="8">
        <v>37766</v>
      </c>
    </row>
    <row r="45" spans="1:5" x14ac:dyDescent="0.35">
      <c r="A45" s="9" t="s">
        <v>43</v>
      </c>
      <c r="B45" s="10">
        <v>835495</v>
      </c>
      <c r="C45" s="10">
        <v>837746</v>
      </c>
      <c r="D45" s="10">
        <v>1106177</v>
      </c>
      <c r="E45" s="11">
        <v>917781</v>
      </c>
    </row>
    <row r="46" spans="1:5" x14ac:dyDescent="0.35">
      <c r="A46" s="6" t="s">
        <v>44</v>
      </c>
      <c r="B46" s="7">
        <v>1187448</v>
      </c>
      <c r="C46" s="7">
        <v>1070426</v>
      </c>
      <c r="D46" s="7">
        <v>1504608</v>
      </c>
      <c r="E46" s="8">
        <v>1756990</v>
      </c>
    </row>
    <row r="47" spans="1:5" x14ac:dyDescent="0.35">
      <c r="A47" s="9" t="s">
        <v>45</v>
      </c>
      <c r="B47" s="10">
        <v>140026</v>
      </c>
      <c r="C47" s="10">
        <v>146354</v>
      </c>
      <c r="D47" s="10">
        <v>2759991</v>
      </c>
      <c r="E47" s="11">
        <v>2742120</v>
      </c>
    </row>
    <row r="48" spans="1:5" x14ac:dyDescent="0.35">
      <c r="A48" s="6" t="s">
        <v>46</v>
      </c>
      <c r="B48" s="7">
        <v>1198765</v>
      </c>
      <c r="C48" s="7">
        <v>1304945</v>
      </c>
      <c r="D48" s="7">
        <v>2786493</v>
      </c>
      <c r="E48" s="8">
        <v>2602643</v>
      </c>
    </row>
    <row r="49" spans="1:5" x14ac:dyDescent="0.35">
      <c r="A49" s="9" t="s">
        <v>47</v>
      </c>
      <c r="B49" s="10">
        <v>2619776</v>
      </c>
      <c r="C49" s="10">
        <v>2749623</v>
      </c>
      <c r="D49" s="10">
        <v>2888215</v>
      </c>
      <c r="E49" s="11">
        <v>2800174</v>
      </c>
    </row>
    <row r="50" spans="1:5" x14ac:dyDescent="0.35">
      <c r="A50" s="6" t="s">
        <v>48</v>
      </c>
      <c r="B50" s="7">
        <v>248398</v>
      </c>
      <c r="C50" s="7">
        <v>268511</v>
      </c>
      <c r="D50" s="7">
        <v>3110853</v>
      </c>
      <c r="E50" s="8">
        <v>2986411</v>
      </c>
    </row>
    <row r="51" spans="1:5" x14ac:dyDescent="0.35">
      <c r="A51" s="12" t="s">
        <v>49</v>
      </c>
      <c r="B51" s="1">
        <v>2494207</v>
      </c>
      <c r="C51" s="1">
        <v>2625207</v>
      </c>
      <c r="D51" s="1">
        <v>1796293</v>
      </c>
      <c r="E51" s="2">
        <v>1853602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B991-FD45-4839-836B-2CF63FA42AF0}">
  <dimension ref="A1:O52"/>
  <sheetViews>
    <sheetView zoomScale="74" zoomScaleNormal="72" workbookViewId="0">
      <selection activeCell="O6" sqref="O6"/>
    </sheetView>
  </sheetViews>
  <sheetFormatPr defaultRowHeight="14.5" x14ac:dyDescent="0.35"/>
  <cols>
    <col min="1" max="1" width="13.08984375" bestFit="1" customWidth="1"/>
    <col min="2" max="2" width="11.54296875" bestFit="1" customWidth="1"/>
    <col min="3" max="3" width="13.7265625" bestFit="1" customWidth="1"/>
    <col min="4" max="4" width="11.54296875" bestFit="1" customWidth="1"/>
    <col min="5" max="5" width="13.7265625" bestFit="1" customWidth="1"/>
    <col min="7" max="7" width="11.7265625" bestFit="1" customWidth="1"/>
    <col min="8" max="8" width="9" customWidth="1"/>
    <col min="9" max="11" width="9.1796875" bestFit="1" customWidth="1"/>
    <col min="15" max="15" width="11.7265625" bestFit="1" customWidth="1"/>
  </cols>
  <sheetData>
    <row r="1" spans="1:15" x14ac:dyDescent="0.35">
      <c r="A1" s="3" t="s">
        <v>50</v>
      </c>
      <c r="B1" s="4" t="s">
        <v>51</v>
      </c>
      <c r="C1" s="4" t="s">
        <v>52</v>
      </c>
      <c r="D1" s="4" t="s">
        <v>53</v>
      </c>
      <c r="E1" s="5" t="s">
        <v>54</v>
      </c>
      <c r="F1" s="13" t="s">
        <v>55</v>
      </c>
      <c r="G1" s="13" t="s">
        <v>56</v>
      </c>
      <c r="H1" s="13" t="s">
        <v>57</v>
      </c>
      <c r="I1" s="13" t="s">
        <v>58</v>
      </c>
      <c r="J1" s="13" t="s">
        <v>59</v>
      </c>
      <c r="K1" s="13" t="s">
        <v>60</v>
      </c>
    </row>
    <row r="2" spans="1:15" x14ac:dyDescent="0.35">
      <c r="A2" s="6" t="s">
        <v>0</v>
      </c>
      <c r="B2" s="7">
        <v>1415007</v>
      </c>
      <c r="C2" s="7">
        <v>1397195</v>
      </c>
      <c r="D2" s="7">
        <v>1499070</v>
      </c>
      <c r="E2" s="8">
        <v>1481105</v>
      </c>
      <c r="F2" t="str">
        <f>RIGHT(A2)</f>
        <v>D</v>
      </c>
      <c r="G2">
        <f>B2+C2</f>
        <v>2812202</v>
      </c>
      <c r="H2">
        <f>IF(F2 = "A", G2, 0)</f>
        <v>0</v>
      </c>
      <c r="I2">
        <f>IF(F2 = "B", G2, 0)</f>
        <v>0</v>
      </c>
      <c r="J2">
        <f>IF(F2 = "C", G2, 0)</f>
        <v>0</v>
      </c>
      <c r="K2">
        <f>IF(F2 = "D", G2, 0)</f>
        <v>2812202</v>
      </c>
    </row>
    <row r="3" spans="1:15" x14ac:dyDescent="0.35">
      <c r="A3" s="9" t="s">
        <v>1</v>
      </c>
      <c r="B3" s="10">
        <v>1711390</v>
      </c>
      <c r="C3" s="10">
        <v>1641773</v>
      </c>
      <c r="D3" s="10">
        <v>1522030</v>
      </c>
      <c r="E3" s="11">
        <v>1618733</v>
      </c>
      <c r="F3" t="str">
        <f t="shared" ref="F3:F51" si="0">RIGHT(A3)</f>
        <v>D</v>
      </c>
      <c r="G3">
        <f t="shared" ref="G3:G51" si="1">B3+C3</f>
        <v>3353163</v>
      </c>
      <c r="H3">
        <f t="shared" ref="H3:H51" si="2">IF(F3 = "A", G3, 0)</f>
        <v>0</v>
      </c>
      <c r="I3">
        <f t="shared" ref="I3:I51" si="3">IF(F3 = "B", G3, 0)</f>
        <v>0</v>
      </c>
      <c r="J3">
        <f t="shared" ref="J3:J51" si="4">IF(F3 = "C", G3, 0)</f>
        <v>0</v>
      </c>
      <c r="K3">
        <f t="shared" ref="K3:K51" si="5">IF(F3 = "D", G3, 0)</f>
        <v>3353163</v>
      </c>
    </row>
    <row r="4" spans="1:15" x14ac:dyDescent="0.35">
      <c r="A4" s="6" t="s">
        <v>2</v>
      </c>
      <c r="B4" s="7">
        <v>1165105</v>
      </c>
      <c r="C4" s="7">
        <v>1278732</v>
      </c>
      <c r="D4" s="7">
        <v>1299953</v>
      </c>
      <c r="E4" s="8">
        <v>1191621</v>
      </c>
      <c r="F4" t="str">
        <f t="shared" si="0"/>
        <v>C</v>
      </c>
      <c r="G4">
        <f t="shared" si="1"/>
        <v>2443837</v>
      </c>
      <c r="H4">
        <f t="shared" si="2"/>
        <v>0</v>
      </c>
      <c r="I4">
        <f t="shared" si="3"/>
        <v>0</v>
      </c>
      <c r="J4">
        <f t="shared" si="4"/>
        <v>2443837</v>
      </c>
      <c r="K4">
        <f t="shared" si="5"/>
        <v>0</v>
      </c>
      <c r="N4" s="14" t="s">
        <v>55</v>
      </c>
      <c r="O4" s="14" t="s">
        <v>56</v>
      </c>
    </row>
    <row r="5" spans="1:15" x14ac:dyDescent="0.35">
      <c r="A5" s="9" t="s">
        <v>3</v>
      </c>
      <c r="B5" s="10">
        <v>949065</v>
      </c>
      <c r="C5" s="10">
        <v>1026050</v>
      </c>
      <c r="D5" s="10">
        <v>688027</v>
      </c>
      <c r="E5" s="11">
        <v>723233</v>
      </c>
      <c r="F5" t="str">
        <f t="shared" si="0"/>
        <v>D</v>
      </c>
      <c r="G5">
        <f t="shared" si="1"/>
        <v>1975115</v>
      </c>
      <c r="H5">
        <f t="shared" si="2"/>
        <v>0</v>
      </c>
      <c r="I5">
        <f t="shared" si="3"/>
        <v>0</v>
      </c>
      <c r="J5">
        <f t="shared" si="4"/>
        <v>0</v>
      </c>
      <c r="K5">
        <f t="shared" si="5"/>
        <v>1975115</v>
      </c>
      <c r="N5" s="14" t="s">
        <v>61</v>
      </c>
      <c r="O5" s="14">
        <f>SUM(H2:H51)</f>
        <v>33929579</v>
      </c>
    </row>
    <row r="6" spans="1:15" x14ac:dyDescent="0.35">
      <c r="A6" s="6" t="s">
        <v>4</v>
      </c>
      <c r="B6" s="7">
        <v>2436107</v>
      </c>
      <c r="C6" s="7">
        <v>2228622</v>
      </c>
      <c r="D6" s="7">
        <v>1831600</v>
      </c>
      <c r="E6" s="8">
        <v>1960624</v>
      </c>
      <c r="F6" t="str">
        <f t="shared" si="0"/>
        <v>A</v>
      </c>
      <c r="G6">
        <f t="shared" si="1"/>
        <v>4664729</v>
      </c>
      <c r="H6">
        <f t="shared" si="2"/>
        <v>4664729</v>
      </c>
      <c r="I6">
        <f t="shared" si="3"/>
        <v>0</v>
      </c>
      <c r="J6">
        <f t="shared" si="4"/>
        <v>0</v>
      </c>
      <c r="K6">
        <f t="shared" si="5"/>
        <v>0</v>
      </c>
      <c r="N6" s="14" t="s">
        <v>62</v>
      </c>
      <c r="O6" s="14">
        <f>SUM(I2:I51)</f>
        <v>41736619</v>
      </c>
    </row>
    <row r="7" spans="1:15" x14ac:dyDescent="0.35">
      <c r="A7" s="9" t="s">
        <v>5</v>
      </c>
      <c r="B7" s="10">
        <v>1846928</v>
      </c>
      <c r="C7" s="10">
        <v>1851433</v>
      </c>
      <c r="D7" s="10">
        <v>2125113</v>
      </c>
      <c r="E7" s="11">
        <v>2028635</v>
      </c>
      <c r="F7" t="str">
        <f t="shared" si="0"/>
        <v>D</v>
      </c>
      <c r="G7">
        <f t="shared" si="1"/>
        <v>3698361</v>
      </c>
      <c r="H7">
        <f t="shared" si="2"/>
        <v>0</v>
      </c>
      <c r="I7">
        <f t="shared" si="3"/>
        <v>0</v>
      </c>
      <c r="J7">
        <f t="shared" si="4"/>
        <v>0</v>
      </c>
      <c r="K7">
        <f t="shared" si="5"/>
        <v>3698361</v>
      </c>
      <c r="N7" s="14" t="s">
        <v>63</v>
      </c>
      <c r="O7" s="14">
        <f>SUM(J2:J51)</f>
        <v>57649017</v>
      </c>
    </row>
    <row r="8" spans="1:15" x14ac:dyDescent="0.35">
      <c r="A8" s="6" t="s">
        <v>6</v>
      </c>
      <c r="B8" s="7">
        <v>3841577</v>
      </c>
      <c r="C8" s="7">
        <v>3848394</v>
      </c>
      <c r="D8" s="7">
        <v>3595975</v>
      </c>
      <c r="E8" s="8">
        <v>3123039</v>
      </c>
      <c r="F8" t="str">
        <f t="shared" si="0"/>
        <v>B</v>
      </c>
      <c r="G8">
        <f t="shared" si="1"/>
        <v>7689971</v>
      </c>
      <c r="H8">
        <f t="shared" si="2"/>
        <v>0</v>
      </c>
      <c r="I8">
        <f t="shared" si="3"/>
        <v>7689971</v>
      </c>
      <c r="J8">
        <f t="shared" si="4"/>
        <v>0</v>
      </c>
      <c r="K8">
        <f t="shared" si="5"/>
        <v>0</v>
      </c>
      <c r="N8" s="14" t="s">
        <v>64</v>
      </c>
      <c r="O8" s="14">
        <f>SUM(K2:K51)</f>
        <v>36530387</v>
      </c>
    </row>
    <row r="9" spans="1:15" x14ac:dyDescent="0.35">
      <c r="A9" s="9" t="s">
        <v>7</v>
      </c>
      <c r="B9" s="10">
        <v>679557</v>
      </c>
      <c r="C9" s="10">
        <v>655500</v>
      </c>
      <c r="D9" s="10">
        <v>1012012</v>
      </c>
      <c r="E9" s="11">
        <v>1067022</v>
      </c>
      <c r="F9" t="str">
        <f t="shared" si="0"/>
        <v>A</v>
      </c>
      <c r="G9">
        <f t="shared" si="1"/>
        <v>1335057</v>
      </c>
      <c r="H9">
        <f t="shared" si="2"/>
        <v>1335057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5" x14ac:dyDescent="0.35">
      <c r="A10" s="6" t="s">
        <v>8</v>
      </c>
      <c r="B10" s="7">
        <v>1660998</v>
      </c>
      <c r="C10" s="7">
        <v>1630345</v>
      </c>
      <c r="D10" s="7">
        <v>1130119</v>
      </c>
      <c r="E10" s="8">
        <v>1080238</v>
      </c>
      <c r="F10" t="str">
        <f t="shared" si="0"/>
        <v>C</v>
      </c>
      <c r="G10">
        <f t="shared" si="1"/>
        <v>3291343</v>
      </c>
      <c r="H10">
        <f t="shared" si="2"/>
        <v>0</v>
      </c>
      <c r="I10">
        <f t="shared" si="3"/>
        <v>0</v>
      </c>
      <c r="J10">
        <f t="shared" si="4"/>
        <v>3291343</v>
      </c>
      <c r="K10">
        <f t="shared" si="5"/>
        <v>0</v>
      </c>
    </row>
    <row r="11" spans="1:15" x14ac:dyDescent="0.35">
      <c r="A11" s="9" t="s">
        <v>9</v>
      </c>
      <c r="B11" s="10">
        <v>1157622</v>
      </c>
      <c r="C11" s="10">
        <v>1182345</v>
      </c>
      <c r="D11" s="10">
        <v>830785</v>
      </c>
      <c r="E11" s="11">
        <v>833779</v>
      </c>
      <c r="F11" t="str">
        <f t="shared" si="0"/>
        <v>C</v>
      </c>
      <c r="G11">
        <f t="shared" si="1"/>
        <v>2339967</v>
      </c>
      <c r="H11">
        <f t="shared" si="2"/>
        <v>0</v>
      </c>
      <c r="I11">
        <f t="shared" si="3"/>
        <v>0</v>
      </c>
      <c r="J11">
        <f t="shared" si="4"/>
        <v>2339967</v>
      </c>
      <c r="K11">
        <f t="shared" si="5"/>
        <v>0</v>
      </c>
    </row>
    <row r="12" spans="1:15" x14ac:dyDescent="0.35">
      <c r="A12" s="6" t="s">
        <v>10</v>
      </c>
      <c r="B12" s="7">
        <v>1987047</v>
      </c>
      <c r="C12" s="7">
        <v>1996208</v>
      </c>
      <c r="D12" s="7">
        <v>2053892</v>
      </c>
      <c r="E12" s="8">
        <v>1697247</v>
      </c>
      <c r="F12" t="str">
        <f t="shared" si="0"/>
        <v>D</v>
      </c>
      <c r="G12">
        <f t="shared" si="1"/>
        <v>3983255</v>
      </c>
      <c r="H12">
        <f t="shared" si="2"/>
        <v>0</v>
      </c>
      <c r="I12">
        <f t="shared" si="3"/>
        <v>0</v>
      </c>
      <c r="J12">
        <f t="shared" si="4"/>
        <v>0</v>
      </c>
      <c r="K12">
        <f t="shared" si="5"/>
        <v>3983255</v>
      </c>
    </row>
    <row r="13" spans="1:15" x14ac:dyDescent="0.35">
      <c r="A13" s="9" t="s">
        <v>11</v>
      </c>
      <c r="B13" s="10">
        <v>3997724</v>
      </c>
      <c r="C13" s="10">
        <v>3690756</v>
      </c>
      <c r="D13" s="10">
        <v>4339393</v>
      </c>
      <c r="E13" s="11">
        <v>4639643</v>
      </c>
      <c r="F13" t="str">
        <f t="shared" si="0"/>
        <v>C</v>
      </c>
      <c r="G13">
        <f t="shared" si="1"/>
        <v>7688480</v>
      </c>
      <c r="H13">
        <f t="shared" si="2"/>
        <v>0</v>
      </c>
      <c r="I13">
        <f t="shared" si="3"/>
        <v>0</v>
      </c>
      <c r="J13">
        <f t="shared" si="4"/>
        <v>7688480</v>
      </c>
      <c r="K13">
        <f t="shared" si="5"/>
        <v>0</v>
      </c>
    </row>
    <row r="14" spans="1:15" x14ac:dyDescent="0.35">
      <c r="A14" s="6" t="s">
        <v>12</v>
      </c>
      <c r="B14" s="7">
        <v>996113</v>
      </c>
      <c r="C14" s="7">
        <v>964279</v>
      </c>
      <c r="D14" s="7">
        <v>1012487</v>
      </c>
      <c r="E14" s="8">
        <v>1128940</v>
      </c>
      <c r="F14" t="str">
        <f t="shared" si="0"/>
        <v>A</v>
      </c>
      <c r="G14">
        <f t="shared" si="1"/>
        <v>1960392</v>
      </c>
      <c r="H14">
        <f t="shared" si="2"/>
        <v>1960392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5" x14ac:dyDescent="0.35">
      <c r="A15" s="9" t="s">
        <v>13</v>
      </c>
      <c r="B15" s="10">
        <v>1143634</v>
      </c>
      <c r="C15" s="10">
        <v>1033836</v>
      </c>
      <c r="D15" s="10">
        <v>909534</v>
      </c>
      <c r="E15" s="11">
        <v>856349</v>
      </c>
      <c r="F15" t="str">
        <f t="shared" si="0"/>
        <v>A</v>
      </c>
      <c r="G15">
        <f t="shared" si="1"/>
        <v>2177470</v>
      </c>
      <c r="H15">
        <f t="shared" si="2"/>
        <v>2177470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5" x14ac:dyDescent="0.35">
      <c r="A16" s="6" t="s">
        <v>14</v>
      </c>
      <c r="B16" s="7">
        <v>2549276</v>
      </c>
      <c r="C16" s="7">
        <v>2584751</v>
      </c>
      <c r="D16" s="7">
        <v>2033079</v>
      </c>
      <c r="E16" s="8">
        <v>2066918</v>
      </c>
      <c r="F16" t="str">
        <f t="shared" si="0"/>
        <v>A</v>
      </c>
      <c r="G16">
        <f t="shared" si="1"/>
        <v>5134027</v>
      </c>
      <c r="H16">
        <f t="shared" si="2"/>
        <v>5134027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35">
      <c r="A17" s="9" t="s">
        <v>15</v>
      </c>
      <c r="B17" s="10">
        <v>1367212</v>
      </c>
      <c r="C17" s="10">
        <v>1361389</v>
      </c>
      <c r="D17" s="10">
        <v>1572320</v>
      </c>
      <c r="E17" s="11">
        <v>1836258</v>
      </c>
      <c r="F17" t="str">
        <f t="shared" si="0"/>
        <v>C</v>
      </c>
      <c r="G17">
        <f t="shared" si="1"/>
        <v>2728601</v>
      </c>
      <c r="H17">
        <f t="shared" si="2"/>
        <v>0</v>
      </c>
      <c r="I17">
        <f t="shared" si="3"/>
        <v>0</v>
      </c>
      <c r="J17">
        <f t="shared" si="4"/>
        <v>2728601</v>
      </c>
      <c r="K17">
        <f t="shared" si="5"/>
        <v>0</v>
      </c>
    </row>
    <row r="18" spans="1:11" x14ac:dyDescent="0.35">
      <c r="A18" s="6" t="s">
        <v>16</v>
      </c>
      <c r="B18" s="7">
        <v>2567464</v>
      </c>
      <c r="C18" s="7">
        <v>2441857</v>
      </c>
      <c r="D18" s="7">
        <v>1524132</v>
      </c>
      <c r="E18" s="8">
        <v>1496810</v>
      </c>
      <c r="F18" t="str">
        <f t="shared" si="0"/>
        <v>A</v>
      </c>
      <c r="G18">
        <f t="shared" si="1"/>
        <v>5009321</v>
      </c>
      <c r="H18">
        <f t="shared" si="2"/>
        <v>5009321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35">
      <c r="A19" s="9" t="s">
        <v>17</v>
      </c>
      <c r="B19" s="10">
        <v>1334060</v>
      </c>
      <c r="C19" s="10">
        <v>1395231</v>
      </c>
      <c r="D19" s="10">
        <v>578655</v>
      </c>
      <c r="E19" s="11">
        <v>677663</v>
      </c>
      <c r="F19" t="str">
        <f t="shared" si="0"/>
        <v>D</v>
      </c>
      <c r="G19">
        <f t="shared" si="1"/>
        <v>2729291</v>
      </c>
      <c r="H19">
        <f t="shared" si="2"/>
        <v>0</v>
      </c>
      <c r="I19">
        <f t="shared" si="3"/>
        <v>0</v>
      </c>
      <c r="J19">
        <f t="shared" si="4"/>
        <v>0</v>
      </c>
      <c r="K19">
        <f t="shared" si="5"/>
        <v>2729291</v>
      </c>
    </row>
    <row r="20" spans="1:11" x14ac:dyDescent="0.35">
      <c r="A20" s="6" t="s">
        <v>18</v>
      </c>
      <c r="B20" s="7">
        <v>2976209</v>
      </c>
      <c r="C20" s="7">
        <v>3199665</v>
      </c>
      <c r="D20" s="7">
        <v>1666477</v>
      </c>
      <c r="E20" s="8">
        <v>1759240</v>
      </c>
      <c r="F20" t="str">
        <f t="shared" si="0"/>
        <v>C</v>
      </c>
      <c r="G20">
        <f t="shared" si="1"/>
        <v>6175874</v>
      </c>
      <c r="H20">
        <f t="shared" si="2"/>
        <v>0</v>
      </c>
      <c r="I20">
        <f t="shared" si="3"/>
        <v>0</v>
      </c>
      <c r="J20">
        <f t="shared" si="4"/>
        <v>6175874</v>
      </c>
      <c r="K20">
        <f t="shared" si="5"/>
        <v>0</v>
      </c>
    </row>
    <row r="21" spans="1:11" x14ac:dyDescent="0.35">
      <c r="A21" s="9" t="s">
        <v>19</v>
      </c>
      <c r="B21" s="10">
        <v>1443351</v>
      </c>
      <c r="C21" s="10">
        <v>1565539</v>
      </c>
      <c r="D21" s="10">
        <v>1355276</v>
      </c>
      <c r="E21" s="11">
        <v>1423414</v>
      </c>
      <c r="F21" t="str">
        <f t="shared" si="0"/>
        <v>C</v>
      </c>
      <c r="G21">
        <f t="shared" si="1"/>
        <v>3008890</v>
      </c>
      <c r="H21">
        <f t="shared" si="2"/>
        <v>0</v>
      </c>
      <c r="I21">
        <f t="shared" si="3"/>
        <v>0</v>
      </c>
      <c r="J21">
        <f t="shared" si="4"/>
        <v>3008890</v>
      </c>
      <c r="K21">
        <f t="shared" si="5"/>
        <v>0</v>
      </c>
    </row>
    <row r="22" spans="1:11" x14ac:dyDescent="0.35">
      <c r="A22" s="6" t="s">
        <v>20</v>
      </c>
      <c r="B22" s="7">
        <v>2486640</v>
      </c>
      <c r="C22" s="7">
        <v>2265936</v>
      </c>
      <c r="D22" s="7">
        <v>297424</v>
      </c>
      <c r="E22" s="8">
        <v>274759</v>
      </c>
      <c r="F22" t="str">
        <f t="shared" si="0"/>
        <v>A</v>
      </c>
      <c r="G22">
        <f t="shared" si="1"/>
        <v>4752576</v>
      </c>
      <c r="H22">
        <f t="shared" si="2"/>
        <v>4752576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35">
      <c r="A23" s="9" t="s">
        <v>21</v>
      </c>
      <c r="B23" s="10">
        <v>685438</v>
      </c>
      <c r="C23" s="10">
        <v>749124</v>
      </c>
      <c r="D23" s="10">
        <v>2697677</v>
      </c>
      <c r="E23" s="11">
        <v>2821550</v>
      </c>
      <c r="F23" t="str">
        <f t="shared" si="0"/>
        <v>B</v>
      </c>
      <c r="G23">
        <f t="shared" si="1"/>
        <v>1434562</v>
      </c>
      <c r="H23">
        <f t="shared" si="2"/>
        <v>0</v>
      </c>
      <c r="I23">
        <f t="shared" si="3"/>
        <v>1434562</v>
      </c>
      <c r="J23">
        <f t="shared" si="4"/>
        <v>0</v>
      </c>
      <c r="K23">
        <f t="shared" si="5"/>
        <v>0</v>
      </c>
    </row>
    <row r="24" spans="1:11" x14ac:dyDescent="0.35">
      <c r="A24" s="6" t="s">
        <v>22</v>
      </c>
      <c r="B24" s="7">
        <v>2166753</v>
      </c>
      <c r="C24" s="7">
        <v>2338698</v>
      </c>
      <c r="D24" s="7">
        <v>1681433</v>
      </c>
      <c r="E24" s="8">
        <v>1592443</v>
      </c>
      <c r="F24" t="str">
        <f t="shared" si="0"/>
        <v>B</v>
      </c>
      <c r="G24">
        <f t="shared" si="1"/>
        <v>4505451</v>
      </c>
      <c r="H24">
        <f t="shared" si="2"/>
        <v>0</v>
      </c>
      <c r="I24">
        <f t="shared" si="3"/>
        <v>4505451</v>
      </c>
      <c r="J24">
        <f t="shared" si="4"/>
        <v>0</v>
      </c>
      <c r="K24">
        <f t="shared" si="5"/>
        <v>0</v>
      </c>
    </row>
    <row r="25" spans="1:11" x14ac:dyDescent="0.35">
      <c r="A25" s="9" t="s">
        <v>23</v>
      </c>
      <c r="B25" s="10">
        <v>643177</v>
      </c>
      <c r="C25" s="10">
        <v>684187</v>
      </c>
      <c r="D25" s="10">
        <v>796213</v>
      </c>
      <c r="E25" s="11">
        <v>867904</v>
      </c>
      <c r="F25" t="str">
        <f t="shared" si="0"/>
        <v>C</v>
      </c>
      <c r="G25">
        <f t="shared" si="1"/>
        <v>1327364</v>
      </c>
      <c r="H25">
        <f t="shared" si="2"/>
        <v>0</v>
      </c>
      <c r="I25">
        <f t="shared" si="3"/>
        <v>0</v>
      </c>
      <c r="J25">
        <f t="shared" si="4"/>
        <v>1327364</v>
      </c>
      <c r="K25">
        <f t="shared" si="5"/>
        <v>0</v>
      </c>
    </row>
    <row r="26" spans="1:11" x14ac:dyDescent="0.35">
      <c r="A26" s="6" t="s">
        <v>24</v>
      </c>
      <c r="B26" s="7">
        <v>450192</v>
      </c>
      <c r="C26" s="7">
        <v>434755</v>
      </c>
      <c r="D26" s="7">
        <v>1656446</v>
      </c>
      <c r="E26" s="8">
        <v>1691000</v>
      </c>
      <c r="F26" t="str">
        <f t="shared" si="0"/>
        <v>B</v>
      </c>
      <c r="G26">
        <f t="shared" si="1"/>
        <v>884947</v>
      </c>
      <c r="H26">
        <f t="shared" si="2"/>
        <v>0</v>
      </c>
      <c r="I26">
        <f t="shared" si="3"/>
        <v>884947</v>
      </c>
      <c r="J26">
        <f t="shared" si="4"/>
        <v>0</v>
      </c>
      <c r="K26">
        <f t="shared" si="5"/>
        <v>0</v>
      </c>
    </row>
    <row r="27" spans="1:11" x14ac:dyDescent="0.35">
      <c r="A27" s="9" t="s">
        <v>25</v>
      </c>
      <c r="B27" s="10">
        <v>1037774</v>
      </c>
      <c r="C27" s="10">
        <v>1113789</v>
      </c>
      <c r="D27" s="10">
        <v>877464</v>
      </c>
      <c r="E27" s="11">
        <v>990837</v>
      </c>
      <c r="F27" t="str">
        <f t="shared" si="0"/>
        <v>C</v>
      </c>
      <c r="G27">
        <f t="shared" si="1"/>
        <v>2151563</v>
      </c>
      <c r="H27">
        <f t="shared" si="2"/>
        <v>0</v>
      </c>
      <c r="I27">
        <f t="shared" si="3"/>
        <v>0</v>
      </c>
      <c r="J27">
        <f t="shared" si="4"/>
        <v>2151563</v>
      </c>
      <c r="K27">
        <f t="shared" si="5"/>
        <v>0</v>
      </c>
    </row>
    <row r="28" spans="1:11" x14ac:dyDescent="0.35">
      <c r="A28" s="6" t="s">
        <v>26</v>
      </c>
      <c r="B28" s="7">
        <v>2351213</v>
      </c>
      <c r="C28" s="7">
        <v>2358482</v>
      </c>
      <c r="D28" s="7">
        <v>1098384</v>
      </c>
      <c r="E28" s="8">
        <v>1121488</v>
      </c>
      <c r="F28" t="str">
        <f t="shared" si="0"/>
        <v>C</v>
      </c>
      <c r="G28">
        <f t="shared" si="1"/>
        <v>4709695</v>
      </c>
      <c r="H28">
        <f t="shared" si="2"/>
        <v>0</v>
      </c>
      <c r="I28">
        <f t="shared" si="3"/>
        <v>0</v>
      </c>
      <c r="J28">
        <f t="shared" si="4"/>
        <v>4709695</v>
      </c>
      <c r="K28">
        <f t="shared" si="5"/>
        <v>0</v>
      </c>
    </row>
    <row r="29" spans="1:11" x14ac:dyDescent="0.35">
      <c r="A29" s="9" t="s">
        <v>27</v>
      </c>
      <c r="B29" s="10">
        <v>2613354</v>
      </c>
      <c r="C29" s="10">
        <v>2837241</v>
      </c>
      <c r="D29" s="10">
        <v>431144</v>
      </c>
      <c r="E29" s="11">
        <v>434113</v>
      </c>
      <c r="F29" t="str">
        <f t="shared" si="0"/>
        <v>D</v>
      </c>
      <c r="G29">
        <f t="shared" si="1"/>
        <v>5450595</v>
      </c>
      <c r="H29">
        <f t="shared" si="2"/>
        <v>0</v>
      </c>
      <c r="I29">
        <f t="shared" si="3"/>
        <v>0</v>
      </c>
      <c r="J29">
        <f t="shared" si="4"/>
        <v>0</v>
      </c>
      <c r="K29">
        <f t="shared" si="5"/>
        <v>5450595</v>
      </c>
    </row>
    <row r="30" spans="1:11" x14ac:dyDescent="0.35">
      <c r="A30" s="6" t="s">
        <v>28</v>
      </c>
      <c r="B30" s="7">
        <v>1859691</v>
      </c>
      <c r="C30" s="7">
        <v>1844250</v>
      </c>
      <c r="D30" s="7">
        <v>1460134</v>
      </c>
      <c r="E30" s="8">
        <v>1585258</v>
      </c>
      <c r="F30" t="str">
        <f t="shared" si="0"/>
        <v>A</v>
      </c>
      <c r="G30">
        <f t="shared" si="1"/>
        <v>3703941</v>
      </c>
      <c r="H30">
        <f t="shared" si="2"/>
        <v>3703941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35">
      <c r="A31" s="9" t="s">
        <v>29</v>
      </c>
      <c r="B31" s="10">
        <v>2478386</v>
      </c>
      <c r="C31" s="10">
        <v>2562144</v>
      </c>
      <c r="D31" s="10">
        <v>30035</v>
      </c>
      <c r="E31" s="11">
        <v>29396</v>
      </c>
      <c r="F31" t="str">
        <f t="shared" si="0"/>
        <v>C</v>
      </c>
      <c r="G31">
        <f t="shared" si="1"/>
        <v>5040530</v>
      </c>
      <c r="H31">
        <f t="shared" si="2"/>
        <v>0</v>
      </c>
      <c r="I31">
        <f t="shared" si="3"/>
        <v>0</v>
      </c>
      <c r="J31">
        <f t="shared" si="4"/>
        <v>5040530</v>
      </c>
      <c r="K31">
        <f t="shared" si="5"/>
        <v>0</v>
      </c>
    </row>
    <row r="32" spans="1:11" x14ac:dyDescent="0.35">
      <c r="A32" s="6" t="s">
        <v>30</v>
      </c>
      <c r="B32" s="7">
        <v>1938122</v>
      </c>
      <c r="C32" s="7">
        <v>1816647</v>
      </c>
      <c r="D32" s="7">
        <v>1602356</v>
      </c>
      <c r="E32" s="8">
        <v>1875221</v>
      </c>
      <c r="F32" t="str">
        <f t="shared" si="0"/>
        <v>C</v>
      </c>
      <c r="G32">
        <f t="shared" si="1"/>
        <v>3754769</v>
      </c>
      <c r="H32">
        <f t="shared" si="2"/>
        <v>0</v>
      </c>
      <c r="I32">
        <f t="shared" si="3"/>
        <v>0</v>
      </c>
      <c r="J32">
        <f t="shared" si="4"/>
        <v>3754769</v>
      </c>
      <c r="K32">
        <f t="shared" si="5"/>
        <v>0</v>
      </c>
    </row>
    <row r="33" spans="1:11" x14ac:dyDescent="0.35">
      <c r="A33" s="9" t="s">
        <v>31</v>
      </c>
      <c r="B33" s="10">
        <v>992523</v>
      </c>
      <c r="C33" s="10">
        <v>1028501</v>
      </c>
      <c r="D33" s="10">
        <v>1995446</v>
      </c>
      <c r="E33" s="11">
        <v>1860524</v>
      </c>
      <c r="F33" t="str">
        <f t="shared" si="0"/>
        <v>D</v>
      </c>
      <c r="G33">
        <f t="shared" si="1"/>
        <v>2021024</v>
      </c>
      <c r="H33">
        <f t="shared" si="2"/>
        <v>0</v>
      </c>
      <c r="I33">
        <f t="shared" si="3"/>
        <v>0</v>
      </c>
      <c r="J33">
        <f t="shared" si="4"/>
        <v>0</v>
      </c>
      <c r="K33">
        <f t="shared" si="5"/>
        <v>2021024</v>
      </c>
    </row>
    <row r="34" spans="1:11" x14ac:dyDescent="0.35">
      <c r="A34" s="6" t="s">
        <v>32</v>
      </c>
      <c r="B34" s="7">
        <v>2966291</v>
      </c>
      <c r="C34" s="7">
        <v>2889963</v>
      </c>
      <c r="D34" s="7">
        <v>462453</v>
      </c>
      <c r="E34" s="8">
        <v>486354</v>
      </c>
      <c r="F34" t="str">
        <f t="shared" si="0"/>
        <v>B</v>
      </c>
      <c r="G34">
        <f t="shared" si="1"/>
        <v>5856254</v>
      </c>
      <c r="H34">
        <f t="shared" si="2"/>
        <v>0</v>
      </c>
      <c r="I34">
        <f t="shared" si="3"/>
        <v>5856254</v>
      </c>
      <c r="J34">
        <f t="shared" si="4"/>
        <v>0</v>
      </c>
      <c r="K34">
        <f t="shared" si="5"/>
        <v>0</v>
      </c>
    </row>
    <row r="35" spans="1:11" x14ac:dyDescent="0.35">
      <c r="A35" s="9" t="s">
        <v>33</v>
      </c>
      <c r="B35" s="10">
        <v>76648</v>
      </c>
      <c r="C35" s="10">
        <v>81385</v>
      </c>
      <c r="D35" s="10">
        <v>1374708</v>
      </c>
      <c r="E35" s="11">
        <v>1379567</v>
      </c>
      <c r="F35" t="str">
        <f t="shared" si="0"/>
        <v>C</v>
      </c>
      <c r="G35">
        <f t="shared" si="1"/>
        <v>158033</v>
      </c>
      <c r="H35">
        <f t="shared" si="2"/>
        <v>0</v>
      </c>
      <c r="I35">
        <f t="shared" si="3"/>
        <v>0</v>
      </c>
      <c r="J35">
        <f t="shared" si="4"/>
        <v>158033</v>
      </c>
      <c r="K35">
        <f t="shared" si="5"/>
        <v>0</v>
      </c>
    </row>
    <row r="36" spans="1:11" x14ac:dyDescent="0.35">
      <c r="A36" s="6" t="s">
        <v>34</v>
      </c>
      <c r="B36" s="7">
        <v>2574432</v>
      </c>
      <c r="C36" s="7">
        <v>2409710</v>
      </c>
      <c r="D36" s="7">
        <v>987486</v>
      </c>
      <c r="E36" s="8">
        <v>999043</v>
      </c>
      <c r="F36" t="str">
        <f t="shared" si="0"/>
        <v>C</v>
      </c>
      <c r="G36">
        <f t="shared" si="1"/>
        <v>4984142</v>
      </c>
      <c r="H36">
        <f t="shared" si="2"/>
        <v>0</v>
      </c>
      <c r="I36">
        <f t="shared" si="3"/>
        <v>0</v>
      </c>
      <c r="J36">
        <f t="shared" si="4"/>
        <v>4984142</v>
      </c>
      <c r="K36">
        <f t="shared" si="5"/>
        <v>0</v>
      </c>
    </row>
    <row r="37" spans="1:11" x14ac:dyDescent="0.35">
      <c r="A37" s="9" t="s">
        <v>35</v>
      </c>
      <c r="B37" s="10">
        <v>1778590</v>
      </c>
      <c r="C37" s="10">
        <v>1874844</v>
      </c>
      <c r="D37" s="10">
        <v>111191</v>
      </c>
      <c r="E37" s="11">
        <v>117846</v>
      </c>
      <c r="F37" t="str">
        <f t="shared" si="0"/>
        <v>B</v>
      </c>
      <c r="G37">
        <f t="shared" si="1"/>
        <v>3653434</v>
      </c>
      <c r="H37">
        <f t="shared" si="2"/>
        <v>0</v>
      </c>
      <c r="I37">
        <f t="shared" si="3"/>
        <v>3653434</v>
      </c>
      <c r="J37">
        <f t="shared" si="4"/>
        <v>0</v>
      </c>
      <c r="K37">
        <f t="shared" si="5"/>
        <v>0</v>
      </c>
    </row>
    <row r="38" spans="1:11" x14ac:dyDescent="0.35">
      <c r="A38" s="6" t="s">
        <v>36</v>
      </c>
      <c r="B38" s="7">
        <v>1506541</v>
      </c>
      <c r="C38" s="7">
        <v>1414887</v>
      </c>
      <c r="D38" s="7">
        <v>1216612</v>
      </c>
      <c r="E38" s="8">
        <v>1166775</v>
      </c>
      <c r="F38" t="str">
        <f t="shared" si="0"/>
        <v>A</v>
      </c>
      <c r="G38">
        <f t="shared" si="1"/>
        <v>2921428</v>
      </c>
      <c r="H38">
        <f t="shared" si="2"/>
        <v>2921428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35">
      <c r="A39" s="9" t="s">
        <v>37</v>
      </c>
      <c r="B39" s="10">
        <v>1598886</v>
      </c>
      <c r="C39" s="10">
        <v>1687917</v>
      </c>
      <c r="D39" s="10">
        <v>449788</v>
      </c>
      <c r="E39" s="11">
        <v>427615</v>
      </c>
      <c r="F39" t="str">
        <f t="shared" si="0"/>
        <v>B</v>
      </c>
      <c r="G39">
        <f t="shared" si="1"/>
        <v>3286803</v>
      </c>
      <c r="H39">
        <f t="shared" si="2"/>
        <v>0</v>
      </c>
      <c r="I39">
        <f t="shared" si="3"/>
        <v>3286803</v>
      </c>
      <c r="J39">
        <f t="shared" si="4"/>
        <v>0</v>
      </c>
      <c r="K39">
        <f t="shared" si="5"/>
        <v>0</v>
      </c>
    </row>
    <row r="40" spans="1:11" x14ac:dyDescent="0.35">
      <c r="A40" s="6" t="s">
        <v>38</v>
      </c>
      <c r="B40" s="7">
        <v>548989</v>
      </c>
      <c r="C40" s="7">
        <v>514636</v>
      </c>
      <c r="D40" s="7">
        <v>2770344</v>
      </c>
      <c r="E40" s="8">
        <v>3187897</v>
      </c>
      <c r="F40" t="str">
        <f t="shared" si="0"/>
        <v>D</v>
      </c>
      <c r="G40">
        <f t="shared" si="1"/>
        <v>1063625</v>
      </c>
      <c r="H40">
        <f t="shared" si="2"/>
        <v>0</v>
      </c>
      <c r="I40">
        <f t="shared" si="3"/>
        <v>0</v>
      </c>
      <c r="J40">
        <f t="shared" si="4"/>
        <v>0</v>
      </c>
      <c r="K40">
        <f t="shared" si="5"/>
        <v>1063625</v>
      </c>
    </row>
    <row r="41" spans="1:11" x14ac:dyDescent="0.35">
      <c r="A41" s="9" t="s">
        <v>39</v>
      </c>
      <c r="B41" s="10">
        <v>1175198</v>
      </c>
      <c r="C41" s="10">
        <v>1095440</v>
      </c>
      <c r="D41" s="10">
        <v>2657174</v>
      </c>
      <c r="E41" s="11">
        <v>2491947</v>
      </c>
      <c r="F41" t="str">
        <f t="shared" si="0"/>
        <v>A</v>
      </c>
      <c r="G41">
        <f t="shared" si="1"/>
        <v>2270638</v>
      </c>
      <c r="H41">
        <f t="shared" si="2"/>
        <v>2270638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35">
      <c r="A42" s="6" t="s">
        <v>40</v>
      </c>
      <c r="B42" s="7">
        <v>2115336</v>
      </c>
      <c r="C42" s="7">
        <v>2202769</v>
      </c>
      <c r="D42" s="7">
        <v>15339</v>
      </c>
      <c r="E42" s="8">
        <v>14652</v>
      </c>
      <c r="F42" t="str">
        <f t="shared" si="0"/>
        <v>D</v>
      </c>
      <c r="G42">
        <f t="shared" si="1"/>
        <v>4318105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4318105</v>
      </c>
    </row>
    <row r="43" spans="1:11" x14ac:dyDescent="0.35">
      <c r="A43" s="9" t="s">
        <v>41</v>
      </c>
      <c r="B43" s="10">
        <v>2346640</v>
      </c>
      <c r="C43" s="10">
        <v>2197559</v>
      </c>
      <c r="D43" s="10">
        <v>373470</v>
      </c>
      <c r="E43" s="11">
        <v>353365</v>
      </c>
      <c r="F43" t="str">
        <f t="shared" si="0"/>
        <v>B</v>
      </c>
      <c r="G43">
        <f t="shared" si="1"/>
        <v>4544199</v>
      </c>
      <c r="H43">
        <f t="shared" si="2"/>
        <v>0</v>
      </c>
      <c r="I43">
        <f t="shared" si="3"/>
        <v>4544199</v>
      </c>
      <c r="J43">
        <f t="shared" si="4"/>
        <v>0</v>
      </c>
      <c r="K43">
        <f t="shared" si="5"/>
        <v>0</v>
      </c>
    </row>
    <row r="44" spans="1:11" x14ac:dyDescent="0.35">
      <c r="A44" s="6" t="s">
        <v>42</v>
      </c>
      <c r="B44" s="7">
        <v>2548438</v>
      </c>
      <c r="C44" s="7">
        <v>2577213</v>
      </c>
      <c r="D44" s="7">
        <v>37986</v>
      </c>
      <c r="E44" s="8">
        <v>37766</v>
      </c>
      <c r="F44" t="str">
        <f t="shared" si="0"/>
        <v>D</v>
      </c>
      <c r="G44">
        <f t="shared" si="1"/>
        <v>5125651</v>
      </c>
      <c r="H44">
        <f t="shared" si="2"/>
        <v>0</v>
      </c>
      <c r="I44">
        <f t="shared" si="3"/>
        <v>0</v>
      </c>
      <c r="J44">
        <f t="shared" si="4"/>
        <v>0</v>
      </c>
      <c r="K44">
        <f t="shared" si="5"/>
        <v>5125651</v>
      </c>
    </row>
    <row r="45" spans="1:11" x14ac:dyDescent="0.35">
      <c r="A45" s="9" t="s">
        <v>43</v>
      </c>
      <c r="B45" s="10">
        <v>835495</v>
      </c>
      <c r="C45" s="10">
        <v>837746</v>
      </c>
      <c r="D45" s="10">
        <v>1106177</v>
      </c>
      <c r="E45" s="11">
        <v>917781</v>
      </c>
      <c r="F45" t="str">
        <f t="shared" si="0"/>
        <v>C</v>
      </c>
      <c r="G45">
        <f t="shared" si="1"/>
        <v>1673241</v>
      </c>
      <c r="H45">
        <f t="shared" si="2"/>
        <v>0</v>
      </c>
      <c r="I45">
        <f t="shared" si="3"/>
        <v>0</v>
      </c>
      <c r="J45">
        <f t="shared" si="4"/>
        <v>1673241</v>
      </c>
      <c r="K45">
        <f t="shared" si="5"/>
        <v>0</v>
      </c>
    </row>
    <row r="46" spans="1:11" x14ac:dyDescent="0.35">
      <c r="A46" s="6" t="s">
        <v>44</v>
      </c>
      <c r="B46" s="7">
        <v>1187448</v>
      </c>
      <c r="C46" s="7">
        <v>1070426</v>
      </c>
      <c r="D46" s="7">
        <v>1504608</v>
      </c>
      <c r="E46" s="8">
        <v>1756990</v>
      </c>
      <c r="F46" t="str">
        <f t="shared" si="0"/>
        <v>B</v>
      </c>
      <c r="G46">
        <f t="shared" si="1"/>
        <v>2257874</v>
      </c>
      <c r="H46">
        <f t="shared" si="2"/>
        <v>0</v>
      </c>
      <c r="I46">
        <f t="shared" si="3"/>
        <v>2257874</v>
      </c>
      <c r="J46">
        <f t="shared" si="4"/>
        <v>0</v>
      </c>
      <c r="K46">
        <f t="shared" si="5"/>
        <v>0</v>
      </c>
    </row>
    <row r="47" spans="1:11" x14ac:dyDescent="0.35">
      <c r="A47" s="9" t="s">
        <v>45</v>
      </c>
      <c r="B47" s="10">
        <v>140026</v>
      </c>
      <c r="C47" s="10">
        <v>146354</v>
      </c>
      <c r="D47" s="10">
        <v>2759991</v>
      </c>
      <c r="E47" s="11">
        <v>2742120</v>
      </c>
      <c r="F47" t="str">
        <f t="shared" si="0"/>
        <v>C</v>
      </c>
      <c r="G47">
        <f t="shared" si="1"/>
        <v>286380</v>
      </c>
      <c r="H47">
        <f t="shared" si="2"/>
        <v>0</v>
      </c>
      <c r="I47">
        <f t="shared" si="3"/>
        <v>0</v>
      </c>
      <c r="J47">
        <f t="shared" si="4"/>
        <v>286380</v>
      </c>
      <c r="K47">
        <f t="shared" si="5"/>
        <v>0</v>
      </c>
    </row>
    <row r="48" spans="1:11" x14ac:dyDescent="0.35">
      <c r="A48" s="6" t="s">
        <v>46</v>
      </c>
      <c r="B48" s="7">
        <v>1198765</v>
      </c>
      <c r="C48" s="7">
        <v>1304945</v>
      </c>
      <c r="D48" s="7">
        <v>2786493</v>
      </c>
      <c r="E48" s="8">
        <v>2602643</v>
      </c>
      <c r="F48" t="str">
        <f t="shared" si="0"/>
        <v>B</v>
      </c>
      <c r="G48">
        <f t="shared" si="1"/>
        <v>2503710</v>
      </c>
      <c r="H48">
        <f t="shared" si="2"/>
        <v>0</v>
      </c>
      <c r="I48">
        <f t="shared" si="3"/>
        <v>2503710</v>
      </c>
      <c r="J48">
        <f t="shared" si="4"/>
        <v>0</v>
      </c>
      <c r="K48">
        <f t="shared" si="5"/>
        <v>0</v>
      </c>
    </row>
    <row r="49" spans="1:11" x14ac:dyDescent="0.35">
      <c r="A49" s="9" t="s">
        <v>47</v>
      </c>
      <c r="B49" s="10">
        <v>2619776</v>
      </c>
      <c r="C49" s="10">
        <v>2749623</v>
      </c>
      <c r="D49" s="10">
        <v>2888215</v>
      </c>
      <c r="E49" s="11">
        <v>2800174</v>
      </c>
      <c r="F49" t="str">
        <f t="shared" si="0"/>
        <v>C</v>
      </c>
      <c r="G49">
        <f t="shared" si="1"/>
        <v>5369399</v>
      </c>
      <c r="H49">
        <f t="shared" si="2"/>
        <v>0</v>
      </c>
      <c r="I49">
        <f t="shared" si="3"/>
        <v>0</v>
      </c>
      <c r="J49">
        <f t="shared" si="4"/>
        <v>5369399</v>
      </c>
      <c r="K49">
        <f t="shared" si="5"/>
        <v>0</v>
      </c>
    </row>
    <row r="50" spans="1:11" x14ac:dyDescent="0.35">
      <c r="A50" s="6" t="s">
        <v>48</v>
      </c>
      <c r="B50" s="7">
        <v>248398</v>
      </c>
      <c r="C50" s="7">
        <v>268511</v>
      </c>
      <c r="D50" s="7">
        <v>3110853</v>
      </c>
      <c r="E50" s="8">
        <v>2986411</v>
      </c>
      <c r="F50" t="str">
        <f t="shared" si="0"/>
        <v>C</v>
      </c>
      <c r="G50">
        <f t="shared" si="1"/>
        <v>516909</v>
      </c>
      <c r="H50">
        <f t="shared" si="2"/>
        <v>0</v>
      </c>
      <c r="I50">
        <f t="shared" si="3"/>
        <v>0</v>
      </c>
      <c r="J50">
        <f t="shared" si="4"/>
        <v>516909</v>
      </c>
      <c r="K50">
        <f t="shared" si="5"/>
        <v>0</v>
      </c>
    </row>
    <row r="51" spans="1:11" x14ac:dyDescent="0.35">
      <c r="A51" s="12" t="s">
        <v>49</v>
      </c>
      <c r="B51" s="1">
        <v>2494207</v>
      </c>
      <c r="C51" s="1">
        <v>2625207</v>
      </c>
      <c r="D51" s="1">
        <v>1796293</v>
      </c>
      <c r="E51" s="2">
        <v>1853602</v>
      </c>
      <c r="F51" t="str">
        <f t="shared" si="0"/>
        <v>B</v>
      </c>
      <c r="G51">
        <f t="shared" si="1"/>
        <v>5119414</v>
      </c>
      <c r="H51">
        <f t="shared" si="2"/>
        <v>0</v>
      </c>
      <c r="I51">
        <f t="shared" si="3"/>
        <v>5119414</v>
      </c>
      <c r="J51">
        <f t="shared" si="4"/>
        <v>0</v>
      </c>
      <c r="K51">
        <f t="shared" si="5"/>
        <v>0</v>
      </c>
    </row>
    <row r="52" spans="1:11" x14ac:dyDescent="0.35">
      <c r="H52">
        <f>SUM(H2:H51)</f>
        <v>33929579</v>
      </c>
      <c r="I52">
        <f t="shared" ref="I52:K52" si="6">SUM(I2:I51)</f>
        <v>41736619</v>
      </c>
      <c r="J52">
        <f t="shared" si="6"/>
        <v>57649017</v>
      </c>
      <c r="K52">
        <f t="shared" si="6"/>
        <v>36530387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82D-8E03-41D7-93E9-52FC16BEC414}">
  <dimension ref="A1:P52"/>
  <sheetViews>
    <sheetView zoomScale="72" zoomScaleNormal="40" workbookViewId="0">
      <selection activeCell="O3" sqref="O3:P8"/>
    </sheetView>
  </sheetViews>
  <sheetFormatPr defaultRowHeight="14.5" x14ac:dyDescent="0.35"/>
  <cols>
    <col min="1" max="1" width="13.08984375" bestFit="1" customWidth="1"/>
    <col min="2" max="2" width="11.54296875" bestFit="1" customWidth="1"/>
    <col min="3" max="3" width="13.7265625" bestFit="1" customWidth="1"/>
    <col min="4" max="4" width="11.54296875" bestFit="1" customWidth="1"/>
    <col min="5" max="5" width="13.7265625" bestFit="1" customWidth="1"/>
    <col min="6" max="6" width="28.81640625" bestFit="1" customWidth="1"/>
    <col min="7" max="7" width="31.453125" bestFit="1" customWidth="1"/>
    <col min="8" max="8" width="10.1796875" bestFit="1" customWidth="1"/>
    <col min="16" max="16" width="17.7265625" bestFit="1" customWidth="1"/>
  </cols>
  <sheetData>
    <row r="1" spans="1:16" x14ac:dyDescent="0.35">
      <c r="A1" s="3" t="s">
        <v>50</v>
      </c>
      <c r="B1" s="4" t="s">
        <v>51</v>
      </c>
      <c r="C1" s="4" t="s">
        <v>52</v>
      </c>
      <c r="D1" s="4" t="s">
        <v>53</v>
      </c>
      <c r="E1" s="5" t="s">
        <v>54</v>
      </c>
      <c r="F1" s="13" t="s">
        <v>65</v>
      </c>
      <c r="G1" s="13" t="s">
        <v>66</v>
      </c>
      <c r="H1" s="13" t="s">
        <v>67</v>
      </c>
      <c r="I1" s="13" t="s">
        <v>55</v>
      </c>
    </row>
    <row r="2" spans="1:16" x14ac:dyDescent="0.35">
      <c r="A2" s="6" t="s">
        <v>0</v>
      </c>
      <c r="B2" s="7">
        <v>1415007</v>
      </c>
      <c r="C2" s="7">
        <v>1397195</v>
      </c>
      <c r="D2" s="7">
        <v>1499070</v>
      </c>
      <c r="E2" s="8">
        <v>1481105</v>
      </c>
      <c r="F2" t="str">
        <f>IF(D2&gt;B2, "Tak", "Nie")</f>
        <v>Tak</v>
      </c>
      <c r="G2" t="str">
        <f>IF(E2&gt;C2, "Tak", "Nie")</f>
        <v>Tak</v>
      </c>
      <c r="H2">
        <f>IF(AND(F2 = "Tak", G2 = "Tak"), 1, 0)</f>
        <v>1</v>
      </c>
      <c r="I2" t="str">
        <f>RIGHT(A2)</f>
        <v>D</v>
      </c>
    </row>
    <row r="3" spans="1:16" x14ac:dyDescent="0.35">
      <c r="A3" s="9" t="s">
        <v>1</v>
      </c>
      <c r="B3" s="10">
        <v>1711390</v>
      </c>
      <c r="C3" s="10">
        <v>1641773</v>
      </c>
      <c r="D3" s="10">
        <v>1522030</v>
      </c>
      <c r="E3" s="11">
        <v>1618733</v>
      </c>
      <c r="F3" t="str">
        <f t="shared" ref="F3:F51" si="0">IF(D3&gt;B3, "Tak", "Nie")</f>
        <v>Nie</v>
      </c>
      <c r="G3" t="str">
        <f t="shared" ref="G3:G51" si="1">IF(E3&gt;C3, "Tak", "Nie")</f>
        <v>Nie</v>
      </c>
      <c r="H3">
        <f t="shared" ref="H3:H51" si="2">IF(AND(F3 = "Tak", G3 = "Tak"), 1, 0)</f>
        <v>0</v>
      </c>
      <c r="I3" t="str">
        <f t="shared" ref="I3:I51" si="3">RIGHT(A3)</f>
        <v>D</v>
      </c>
      <c r="O3" t="s">
        <v>55</v>
      </c>
      <c r="P3" t="s">
        <v>68</v>
      </c>
    </row>
    <row r="4" spans="1:16" x14ac:dyDescent="0.35">
      <c r="A4" s="6" t="s">
        <v>2</v>
      </c>
      <c r="B4" s="7">
        <v>1165105</v>
      </c>
      <c r="C4" s="7">
        <v>1278732</v>
      </c>
      <c r="D4" s="7">
        <v>1299953</v>
      </c>
      <c r="E4" s="8">
        <v>1191621</v>
      </c>
      <c r="F4" t="str">
        <f t="shared" si="0"/>
        <v>Tak</v>
      </c>
      <c r="G4" t="str">
        <f t="shared" si="1"/>
        <v>Nie</v>
      </c>
      <c r="H4">
        <f t="shared" si="2"/>
        <v>0</v>
      </c>
      <c r="I4" t="str">
        <f t="shared" si="3"/>
        <v>C</v>
      </c>
      <c r="O4" t="s">
        <v>69</v>
      </c>
      <c r="P4">
        <f>SUM(H2:H51)</f>
        <v>19</v>
      </c>
    </row>
    <row r="5" spans="1:16" x14ac:dyDescent="0.35">
      <c r="A5" s="9" t="s">
        <v>3</v>
      </c>
      <c r="B5" s="10">
        <v>949065</v>
      </c>
      <c r="C5" s="10">
        <v>1026050</v>
      </c>
      <c r="D5" s="10">
        <v>688027</v>
      </c>
      <c r="E5" s="11">
        <v>723233</v>
      </c>
      <c r="F5" t="str">
        <f t="shared" si="0"/>
        <v>Nie</v>
      </c>
      <c r="G5" t="str">
        <f t="shared" si="1"/>
        <v>Nie</v>
      </c>
      <c r="H5">
        <f t="shared" si="2"/>
        <v>0</v>
      </c>
      <c r="I5" t="str">
        <f t="shared" si="3"/>
        <v>D</v>
      </c>
      <c r="O5" t="s">
        <v>61</v>
      </c>
      <c r="P5">
        <f>SUMIF(I2:I51, "A", H2:H51)</f>
        <v>3</v>
      </c>
    </row>
    <row r="6" spans="1:16" x14ac:dyDescent="0.35">
      <c r="A6" s="6" t="s">
        <v>4</v>
      </c>
      <c r="B6" s="7">
        <v>2436107</v>
      </c>
      <c r="C6" s="7">
        <v>2228622</v>
      </c>
      <c r="D6" s="7">
        <v>1831600</v>
      </c>
      <c r="E6" s="8">
        <v>1960624</v>
      </c>
      <c r="F6" t="str">
        <f t="shared" si="0"/>
        <v>Nie</v>
      </c>
      <c r="G6" t="str">
        <f t="shared" si="1"/>
        <v>Nie</v>
      </c>
      <c r="H6">
        <f t="shared" si="2"/>
        <v>0</v>
      </c>
      <c r="I6" t="str">
        <f t="shared" si="3"/>
        <v>A</v>
      </c>
      <c r="O6" t="s">
        <v>62</v>
      </c>
      <c r="P6">
        <f>SUMIF(I2:I51, "B", H2:H51)</f>
        <v>4</v>
      </c>
    </row>
    <row r="7" spans="1:16" x14ac:dyDescent="0.35">
      <c r="A7" s="9" t="s">
        <v>5</v>
      </c>
      <c r="B7" s="10">
        <v>1846928</v>
      </c>
      <c r="C7" s="10">
        <v>1851433</v>
      </c>
      <c r="D7" s="10">
        <v>2125113</v>
      </c>
      <c r="E7" s="11">
        <v>2028635</v>
      </c>
      <c r="F7" t="str">
        <f t="shared" si="0"/>
        <v>Tak</v>
      </c>
      <c r="G7" t="str">
        <f t="shared" si="1"/>
        <v>Tak</v>
      </c>
      <c r="H7">
        <f t="shared" si="2"/>
        <v>1</v>
      </c>
      <c r="I7" t="str">
        <f t="shared" si="3"/>
        <v>D</v>
      </c>
      <c r="O7" t="s">
        <v>70</v>
      </c>
      <c r="P7">
        <f>SUMIF(I2:I51, "C", H2:H51)</f>
        <v>8</v>
      </c>
    </row>
    <row r="8" spans="1:16" x14ac:dyDescent="0.35">
      <c r="A8" s="6" t="s">
        <v>6</v>
      </c>
      <c r="B8" s="7">
        <v>3841577</v>
      </c>
      <c r="C8" s="7">
        <v>3848394</v>
      </c>
      <c r="D8" s="7">
        <v>3595975</v>
      </c>
      <c r="E8" s="8">
        <v>3123039</v>
      </c>
      <c r="F8" t="str">
        <f t="shared" si="0"/>
        <v>Nie</v>
      </c>
      <c r="G8" t="str">
        <f t="shared" si="1"/>
        <v>Nie</v>
      </c>
      <c r="H8">
        <f t="shared" si="2"/>
        <v>0</v>
      </c>
      <c r="I8" t="str">
        <f t="shared" si="3"/>
        <v>B</v>
      </c>
      <c r="O8" t="s">
        <v>64</v>
      </c>
      <c r="P8">
        <f>SUMIF(I2:I51, "D", H2:H51)</f>
        <v>4</v>
      </c>
    </row>
    <row r="9" spans="1:16" x14ac:dyDescent="0.35">
      <c r="A9" s="9" t="s">
        <v>7</v>
      </c>
      <c r="B9" s="10">
        <v>679557</v>
      </c>
      <c r="C9" s="10">
        <v>655500</v>
      </c>
      <c r="D9" s="10">
        <v>1012012</v>
      </c>
      <c r="E9" s="11">
        <v>1067022</v>
      </c>
      <c r="F9" t="str">
        <f t="shared" si="0"/>
        <v>Tak</v>
      </c>
      <c r="G9" t="str">
        <f t="shared" si="1"/>
        <v>Tak</v>
      </c>
      <c r="H9">
        <f t="shared" si="2"/>
        <v>1</v>
      </c>
      <c r="I9" t="str">
        <f t="shared" si="3"/>
        <v>A</v>
      </c>
    </row>
    <row r="10" spans="1:16" x14ac:dyDescent="0.35">
      <c r="A10" s="6" t="s">
        <v>8</v>
      </c>
      <c r="B10" s="7">
        <v>1660998</v>
      </c>
      <c r="C10" s="7">
        <v>1630345</v>
      </c>
      <c r="D10" s="7">
        <v>1130119</v>
      </c>
      <c r="E10" s="8">
        <v>1080238</v>
      </c>
      <c r="F10" t="str">
        <f t="shared" si="0"/>
        <v>Nie</v>
      </c>
      <c r="G10" t="str">
        <f t="shared" si="1"/>
        <v>Nie</v>
      </c>
      <c r="H10">
        <f t="shared" si="2"/>
        <v>0</v>
      </c>
      <c r="I10" t="str">
        <f t="shared" si="3"/>
        <v>C</v>
      </c>
    </row>
    <row r="11" spans="1:16" x14ac:dyDescent="0.35">
      <c r="A11" s="9" t="s">
        <v>9</v>
      </c>
      <c r="B11" s="10">
        <v>1157622</v>
      </c>
      <c r="C11" s="10">
        <v>1182345</v>
      </c>
      <c r="D11" s="10">
        <v>830785</v>
      </c>
      <c r="E11" s="11">
        <v>833779</v>
      </c>
      <c r="F11" t="str">
        <f t="shared" si="0"/>
        <v>Nie</v>
      </c>
      <c r="G11" t="str">
        <f t="shared" si="1"/>
        <v>Nie</v>
      </c>
      <c r="H11">
        <f t="shared" si="2"/>
        <v>0</v>
      </c>
      <c r="I11" t="str">
        <f t="shared" si="3"/>
        <v>C</v>
      </c>
    </row>
    <row r="12" spans="1:16" x14ac:dyDescent="0.35">
      <c r="A12" s="6" t="s">
        <v>10</v>
      </c>
      <c r="B12" s="7">
        <v>1987047</v>
      </c>
      <c r="C12" s="7">
        <v>1996208</v>
      </c>
      <c r="D12" s="7">
        <v>2053892</v>
      </c>
      <c r="E12" s="8">
        <v>1697247</v>
      </c>
      <c r="F12" t="str">
        <f t="shared" si="0"/>
        <v>Tak</v>
      </c>
      <c r="G12" t="str">
        <f t="shared" si="1"/>
        <v>Nie</v>
      </c>
      <c r="H12">
        <f t="shared" si="2"/>
        <v>0</v>
      </c>
      <c r="I12" t="str">
        <f t="shared" si="3"/>
        <v>D</v>
      </c>
    </row>
    <row r="13" spans="1:16" x14ac:dyDescent="0.35">
      <c r="A13" s="9" t="s">
        <v>11</v>
      </c>
      <c r="B13" s="10">
        <v>3997724</v>
      </c>
      <c r="C13" s="10">
        <v>3690756</v>
      </c>
      <c r="D13" s="10">
        <v>4339393</v>
      </c>
      <c r="E13" s="11">
        <v>4639643</v>
      </c>
      <c r="F13" t="str">
        <f t="shared" si="0"/>
        <v>Tak</v>
      </c>
      <c r="G13" t="str">
        <f t="shared" si="1"/>
        <v>Tak</v>
      </c>
      <c r="H13">
        <f t="shared" si="2"/>
        <v>1</v>
      </c>
      <c r="I13" t="str">
        <f t="shared" si="3"/>
        <v>C</v>
      </c>
    </row>
    <row r="14" spans="1:16" x14ac:dyDescent="0.35">
      <c r="A14" s="6" t="s">
        <v>12</v>
      </c>
      <c r="B14" s="7">
        <v>996113</v>
      </c>
      <c r="C14" s="7">
        <v>964279</v>
      </c>
      <c r="D14" s="7">
        <v>1012487</v>
      </c>
      <c r="E14" s="8">
        <v>1128940</v>
      </c>
      <c r="F14" t="str">
        <f t="shared" si="0"/>
        <v>Tak</v>
      </c>
      <c r="G14" t="str">
        <f t="shared" si="1"/>
        <v>Tak</v>
      </c>
      <c r="H14">
        <f t="shared" si="2"/>
        <v>1</v>
      </c>
      <c r="I14" t="str">
        <f t="shared" si="3"/>
        <v>A</v>
      </c>
    </row>
    <row r="15" spans="1:16" x14ac:dyDescent="0.35">
      <c r="A15" s="9" t="s">
        <v>13</v>
      </c>
      <c r="B15" s="10">
        <v>1143634</v>
      </c>
      <c r="C15" s="10">
        <v>1033836</v>
      </c>
      <c r="D15" s="10">
        <v>909534</v>
      </c>
      <c r="E15" s="11">
        <v>856349</v>
      </c>
      <c r="F15" t="str">
        <f t="shared" si="0"/>
        <v>Nie</v>
      </c>
      <c r="G15" t="str">
        <f t="shared" si="1"/>
        <v>Nie</v>
      </c>
      <c r="H15">
        <f t="shared" si="2"/>
        <v>0</v>
      </c>
      <c r="I15" t="str">
        <f t="shared" si="3"/>
        <v>A</v>
      </c>
    </row>
    <row r="16" spans="1:16" x14ac:dyDescent="0.35">
      <c r="A16" s="6" t="s">
        <v>14</v>
      </c>
      <c r="B16" s="7">
        <v>2549276</v>
      </c>
      <c r="C16" s="7">
        <v>2584751</v>
      </c>
      <c r="D16" s="7">
        <v>2033079</v>
      </c>
      <c r="E16" s="8">
        <v>2066918</v>
      </c>
      <c r="F16" t="str">
        <f t="shared" si="0"/>
        <v>Nie</v>
      </c>
      <c r="G16" t="str">
        <f t="shared" si="1"/>
        <v>Nie</v>
      </c>
      <c r="H16">
        <f t="shared" si="2"/>
        <v>0</v>
      </c>
      <c r="I16" t="str">
        <f t="shared" si="3"/>
        <v>A</v>
      </c>
    </row>
    <row r="17" spans="1:9" x14ac:dyDescent="0.35">
      <c r="A17" s="9" t="s">
        <v>15</v>
      </c>
      <c r="B17" s="10">
        <v>1367212</v>
      </c>
      <c r="C17" s="10">
        <v>1361389</v>
      </c>
      <c r="D17" s="10">
        <v>1572320</v>
      </c>
      <c r="E17" s="11">
        <v>1836258</v>
      </c>
      <c r="F17" t="str">
        <f t="shared" si="0"/>
        <v>Tak</v>
      </c>
      <c r="G17" t="str">
        <f t="shared" si="1"/>
        <v>Tak</v>
      </c>
      <c r="H17">
        <f t="shared" si="2"/>
        <v>1</v>
      </c>
      <c r="I17" t="str">
        <f t="shared" si="3"/>
        <v>C</v>
      </c>
    </row>
    <row r="18" spans="1:9" x14ac:dyDescent="0.35">
      <c r="A18" s="6" t="s">
        <v>16</v>
      </c>
      <c r="B18" s="7">
        <v>2567464</v>
      </c>
      <c r="C18" s="7">
        <v>2441857</v>
      </c>
      <c r="D18" s="7">
        <v>1524132</v>
      </c>
      <c r="E18" s="8">
        <v>1496810</v>
      </c>
      <c r="F18" t="str">
        <f t="shared" si="0"/>
        <v>Nie</v>
      </c>
      <c r="G18" t="str">
        <f t="shared" si="1"/>
        <v>Nie</v>
      </c>
      <c r="H18">
        <f t="shared" si="2"/>
        <v>0</v>
      </c>
      <c r="I18" t="str">
        <f t="shared" si="3"/>
        <v>A</v>
      </c>
    </row>
    <row r="19" spans="1:9" x14ac:dyDescent="0.35">
      <c r="A19" s="9" t="s">
        <v>17</v>
      </c>
      <c r="B19" s="10">
        <v>1334060</v>
      </c>
      <c r="C19" s="10">
        <v>1395231</v>
      </c>
      <c r="D19" s="10">
        <v>578655</v>
      </c>
      <c r="E19" s="11">
        <v>677663</v>
      </c>
      <c r="F19" t="str">
        <f t="shared" si="0"/>
        <v>Nie</v>
      </c>
      <c r="G19" t="str">
        <f t="shared" si="1"/>
        <v>Nie</v>
      </c>
      <c r="H19">
        <f t="shared" si="2"/>
        <v>0</v>
      </c>
      <c r="I19" t="str">
        <f t="shared" si="3"/>
        <v>D</v>
      </c>
    </row>
    <row r="20" spans="1:9" x14ac:dyDescent="0.35">
      <c r="A20" s="6" t="s">
        <v>18</v>
      </c>
      <c r="B20" s="7">
        <v>2976209</v>
      </c>
      <c r="C20" s="7">
        <v>3199665</v>
      </c>
      <c r="D20" s="7">
        <v>1666477</v>
      </c>
      <c r="E20" s="8">
        <v>1759240</v>
      </c>
      <c r="F20" t="str">
        <f t="shared" si="0"/>
        <v>Nie</v>
      </c>
      <c r="G20" t="str">
        <f t="shared" si="1"/>
        <v>Nie</v>
      </c>
      <c r="H20">
        <f t="shared" si="2"/>
        <v>0</v>
      </c>
      <c r="I20" t="str">
        <f t="shared" si="3"/>
        <v>C</v>
      </c>
    </row>
    <row r="21" spans="1:9" x14ac:dyDescent="0.35">
      <c r="A21" s="9" t="s">
        <v>19</v>
      </c>
      <c r="B21" s="10">
        <v>1443351</v>
      </c>
      <c r="C21" s="10">
        <v>1565539</v>
      </c>
      <c r="D21" s="10">
        <v>1355276</v>
      </c>
      <c r="E21" s="11">
        <v>1423414</v>
      </c>
      <c r="F21" t="str">
        <f t="shared" si="0"/>
        <v>Nie</v>
      </c>
      <c r="G21" t="str">
        <f t="shared" si="1"/>
        <v>Nie</v>
      </c>
      <c r="H21">
        <f t="shared" si="2"/>
        <v>0</v>
      </c>
      <c r="I21" t="str">
        <f t="shared" si="3"/>
        <v>C</v>
      </c>
    </row>
    <row r="22" spans="1:9" x14ac:dyDescent="0.35">
      <c r="A22" s="6" t="s">
        <v>20</v>
      </c>
      <c r="B22" s="7">
        <v>2486640</v>
      </c>
      <c r="C22" s="7">
        <v>2265936</v>
      </c>
      <c r="D22" s="7">
        <v>297424</v>
      </c>
      <c r="E22" s="8">
        <v>274759</v>
      </c>
      <c r="F22" t="str">
        <f t="shared" si="0"/>
        <v>Nie</v>
      </c>
      <c r="G22" t="str">
        <f t="shared" si="1"/>
        <v>Nie</v>
      </c>
      <c r="H22">
        <f t="shared" si="2"/>
        <v>0</v>
      </c>
      <c r="I22" t="str">
        <f t="shared" si="3"/>
        <v>A</v>
      </c>
    </row>
    <row r="23" spans="1:9" x14ac:dyDescent="0.35">
      <c r="A23" s="9" t="s">
        <v>21</v>
      </c>
      <c r="B23" s="10">
        <v>685438</v>
      </c>
      <c r="C23" s="10">
        <v>749124</v>
      </c>
      <c r="D23" s="10">
        <v>2697677</v>
      </c>
      <c r="E23" s="11">
        <v>2821550</v>
      </c>
      <c r="F23" t="str">
        <f t="shared" si="0"/>
        <v>Tak</v>
      </c>
      <c r="G23" t="str">
        <f t="shared" si="1"/>
        <v>Tak</v>
      </c>
      <c r="H23">
        <f t="shared" si="2"/>
        <v>1</v>
      </c>
      <c r="I23" t="str">
        <f t="shared" si="3"/>
        <v>B</v>
      </c>
    </row>
    <row r="24" spans="1:9" x14ac:dyDescent="0.35">
      <c r="A24" s="6" t="s">
        <v>22</v>
      </c>
      <c r="B24" s="7">
        <v>2166753</v>
      </c>
      <c r="C24" s="7">
        <v>2338698</v>
      </c>
      <c r="D24" s="7">
        <v>1681433</v>
      </c>
      <c r="E24" s="8">
        <v>1592443</v>
      </c>
      <c r="F24" t="str">
        <f t="shared" si="0"/>
        <v>Nie</v>
      </c>
      <c r="G24" t="str">
        <f t="shared" si="1"/>
        <v>Nie</v>
      </c>
      <c r="H24">
        <f t="shared" si="2"/>
        <v>0</v>
      </c>
      <c r="I24" t="str">
        <f t="shared" si="3"/>
        <v>B</v>
      </c>
    </row>
    <row r="25" spans="1:9" x14ac:dyDescent="0.35">
      <c r="A25" s="9" t="s">
        <v>23</v>
      </c>
      <c r="B25" s="10">
        <v>643177</v>
      </c>
      <c r="C25" s="10">
        <v>684187</v>
      </c>
      <c r="D25" s="10">
        <v>796213</v>
      </c>
      <c r="E25" s="11">
        <v>867904</v>
      </c>
      <c r="F25" t="str">
        <f t="shared" si="0"/>
        <v>Tak</v>
      </c>
      <c r="G25" t="str">
        <f t="shared" si="1"/>
        <v>Tak</v>
      </c>
      <c r="H25">
        <f t="shared" si="2"/>
        <v>1</v>
      </c>
      <c r="I25" t="str">
        <f t="shared" si="3"/>
        <v>C</v>
      </c>
    </row>
    <row r="26" spans="1:9" x14ac:dyDescent="0.35">
      <c r="A26" s="6" t="s">
        <v>24</v>
      </c>
      <c r="B26" s="7">
        <v>450192</v>
      </c>
      <c r="C26" s="7">
        <v>434755</v>
      </c>
      <c r="D26" s="7">
        <v>1656446</v>
      </c>
      <c r="E26" s="8">
        <v>1691000</v>
      </c>
      <c r="F26" t="str">
        <f t="shared" si="0"/>
        <v>Tak</v>
      </c>
      <c r="G26" t="str">
        <f t="shared" si="1"/>
        <v>Tak</v>
      </c>
      <c r="H26">
        <f t="shared" si="2"/>
        <v>1</v>
      </c>
      <c r="I26" t="str">
        <f t="shared" si="3"/>
        <v>B</v>
      </c>
    </row>
    <row r="27" spans="1:9" x14ac:dyDescent="0.35">
      <c r="A27" s="9" t="s">
        <v>25</v>
      </c>
      <c r="B27" s="10">
        <v>1037774</v>
      </c>
      <c r="C27" s="10">
        <v>1113789</v>
      </c>
      <c r="D27" s="10">
        <v>877464</v>
      </c>
      <c r="E27" s="11">
        <v>990837</v>
      </c>
      <c r="F27" t="str">
        <f t="shared" si="0"/>
        <v>Nie</v>
      </c>
      <c r="G27" t="str">
        <f t="shared" si="1"/>
        <v>Nie</v>
      </c>
      <c r="H27">
        <f t="shared" si="2"/>
        <v>0</v>
      </c>
      <c r="I27" t="str">
        <f t="shared" si="3"/>
        <v>C</v>
      </c>
    </row>
    <row r="28" spans="1:9" x14ac:dyDescent="0.35">
      <c r="A28" s="6" t="s">
        <v>26</v>
      </c>
      <c r="B28" s="7">
        <v>2351213</v>
      </c>
      <c r="C28" s="7">
        <v>2358482</v>
      </c>
      <c r="D28" s="7">
        <v>1098384</v>
      </c>
      <c r="E28" s="8">
        <v>1121488</v>
      </c>
      <c r="F28" t="str">
        <f t="shared" si="0"/>
        <v>Nie</v>
      </c>
      <c r="G28" t="str">
        <f t="shared" si="1"/>
        <v>Nie</v>
      </c>
      <c r="H28">
        <f t="shared" si="2"/>
        <v>0</v>
      </c>
      <c r="I28" t="str">
        <f t="shared" si="3"/>
        <v>C</v>
      </c>
    </row>
    <row r="29" spans="1:9" x14ac:dyDescent="0.35">
      <c r="A29" s="9" t="s">
        <v>27</v>
      </c>
      <c r="B29" s="10">
        <v>2613354</v>
      </c>
      <c r="C29" s="10">
        <v>2837241</v>
      </c>
      <c r="D29" s="10">
        <v>431144</v>
      </c>
      <c r="E29" s="11">
        <v>434113</v>
      </c>
      <c r="F29" t="str">
        <f t="shared" si="0"/>
        <v>Nie</v>
      </c>
      <c r="G29" t="str">
        <f t="shared" si="1"/>
        <v>Nie</v>
      </c>
      <c r="H29">
        <f t="shared" si="2"/>
        <v>0</v>
      </c>
      <c r="I29" t="str">
        <f t="shared" si="3"/>
        <v>D</v>
      </c>
    </row>
    <row r="30" spans="1:9" x14ac:dyDescent="0.35">
      <c r="A30" s="6" t="s">
        <v>28</v>
      </c>
      <c r="B30" s="7">
        <v>1859691</v>
      </c>
      <c r="C30" s="7">
        <v>1844250</v>
      </c>
      <c r="D30" s="7">
        <v>1460134</v>
      </c>
      <c r="E30" s="8">
        <v>1585258</v>
      </c>
      <c r="F30" t="str">
        <f t="shared" si="0"/>
        <v>Nie</v>
      </c>
      <c r="G30" t="str">
        <f t="shared" si="1"/>
        <v>Nie</v>
      </c>
      <c r="H30">
        <f t="shared" si="2"/>
        <v>0</v>
      </c>
      <c r="I30" t="str">
        <f t="shared" si="3"/>
        <v>A</v>
      </c>
    </row>
    <row r="31" spans="1:9" x14ac:dyDescent="0.35">
      <c r="A31" s="9" t="s">
        <v>29</v>
      </c>
      <c r="B31" s="10">
        <v>2478386</v>
      </c>
      <c r="C31" s="10">
        <v>2562144</v>
      </c>
      <c r="D31" s="10">
        <v>30035</v>
      </c>
      <c r="E31" s="11">
        <v>29396</v>
      </c>
      <c r="F31" t="str">
        <f t="shared" si="0"/>
        <v>Nie</v>
      </c>
      <c r="G31" t="str">
        <f t="shared" si="1"/>
        <v>Nie</v>
      </c>
      <c r="H31">
        <f t="shared" si="2"/>
        <v>0</v>
      </c>
      <c r="I31" t="str">
        <f t="shared" si="3"/>
        <v>C</v>
      </c>
    </row>
    <row r="32" spans="1:9" x14ac:dyDescent="0.35">
      <c r="A32" s="6" t="s">
        <v>30</v>
      </c>
      <c r="B32" s="7">
        <v>1938122</v>
      </c>
      <c r="C32" s="7">
        <v>1816647</v>
      </c>
      <c r="D32" s="7">
        <v>1602356</v>
      </c>
      <c r="E32" s="8">
        <v>1875221</v>
      </c>
      <c r="F32" t="str">
        <f t="shared" si="0"/>
        <v>Nie</v>
      </c>
      <c r="G32" t="str">
        <f t="shared" si="1"/>
        <v>Tak</v>
      </c>
      <c r="H32">
        <f t="shared" si="2"/>
        <v>0</v>
      </c>
      <c r="I32" t="str">
        <f t="shared" si="3"/>
        <v>C</v>
      </c>
    </row>
    <row r="33" spans="1:9" x14ac:dyDescent="0.35">
      <c r="A33" s="9" t="s">
        <v>31</v>
      </c>
      <c r="B33" s="10">
        <v>992523</v>
      </c>
      <c r="C33" s="10">
        <v>1028501</v>
      </c>
      <c r="D33" s="10">
        <v>1995446</v>
      </c>
      <c r="E33" s="11">
        <v>1860524</v>
      </c>
      <c r="F33" t="str">
        <f t="shared" si="0"/>
        <v>Tak</v>
      </c>
      <c r="G33" t="str">
        <f t="shared" si="1"/>
        <v>Tak</v>
      </c>
      <c r="H33">
        <f t="shared" si="2"/>
        <v>1</v>
      </c>
      <c r="I33" t="str">
        <f t="shared" si="3"/>
        <v>D</v>
      </c>
    </row>
    <row r="34" spans="1:9" x14ac:dyDescent="0.35">
      <c r="A34" s="6" t="s">
        <v>32</v>
      </c>
      <c r="B34" s="7">
        <v>2966291</v>
      </c>
      <c r="C34" s="7">
        <v>2889963</v>
      </c>
      <c r="D34" s="7">
        <v>462453</v>
      </c>
      <c r="E34" s="8">
        <v>486354</v>
      </c>
      <c r="F34" t="str">
        <f t="shared" si="0"/>
        <v>Nie</v>
      </c>
      <c r="G34" t="str">
        <f t="shared" si="1"/>
        <v>Nie</v>
      </c>
      <c r="H34">
        <f t="shared" si="2"/>
        <v>0</v>
      </c>
      <c r="I34" t="str">
        <f t="shared" si="3"/>
        <v>B</v>
      </c>
    </row>
    <row r="35" spans="1:9" x14ac:dyDescent="0.35">
      <c r="A35" s="9" t="s">
        <v>33</v>
      </c>
      <c r="B35" s="10">
        <v>76648</v>
      </c>
      <c r="C35" s="10">
        <v>81385</v>
      </c>
      <c r="D35" s="10">
        <v>1374708</v>
      </c>
      <c r="E35" s="11">
        <v>1379567</v>
      </c>
      <c r="F35" t="str">
        <f t="shared" si="0"/>
        <v>Tak</v>
      </c>
      <c r="G35" t="str">
        <f t="shared" si="1"/>
        <v>Tak</v>
      </c>
      <c r="H35">
        <f t="shared" si="2"/>
        <v>1</v>
      </c>
      <c r="I35" t="str">
        <f t="shared" si="3"/>
        <v>C</v>
      </c>
    </row>
    <row r="36" spans="1:9" x14ac:dyDescent="0.35">
      <c r="A36" s="6" t="s">
        <v>34</v>
      </c>
      <c r="B36" s="7">
        <v>2574432</v>
      </c>
      <c r="C36" s="7">
        <v>2409710</v>
      </c>
      <c r="D36" s="7">
        <v>987486</v>
      </c>
      <c r="E36" s="8">
        <v>999043</v>
      </c>
      <c r="F36" t="str">
        <f t="shared" si="0"/>
        <v>Nie</v>
      </c>
      <c r="G36" t="str">
        <f t="shared" si="1"/>
        <v>Nie</v>
      </c>
      <c r="H36">
        <f t="shared" si="2"/>
        <v>0</v>
      </c>
      <c r="I36" t="str">
        <f t="shared" si="3"/>
        <v>C</v>
      </c>
    </row>
    <row r="37" spans="1:9" x14ac:dyDescent="0.35">
      <c r="A37" s="9" t="s">
        <v>35</v>
      </c>
      <c r="B37" s="10">
        <v>1778590</v>
      </c>
      <c r="C37" s="10">
        <v>1874844</v>
      </c>
      <c r="D37" s="10">
        <v>111191</v>
      </c>
      <c r="E37" s="11">
        <v>117846</v>
      </c>
      <c r="F37" t="str">
        <f t="shared" si="0"/>
        <v>Nie</v>
      </c>
      <c r="G37" t="str">
        <f t="shared" si="1"/>
        <v>Nie</v>
      </c>
      <c r="H37">
        <f t="shared" si="2"/>
        <v>0</v>
      </c>
      <c r="I37" t="str">
        <f t="shared" si="3"/>
        <v>B</v>
      </c>
    </row>
    <row r="38" spans="1:9" x14ac:dyDescent="0.35">
      <c r="A38" s="6" t="s">
        <v>36</v>
      </c>
      <c r="B38" s="7">
        <v>1506541</v>
      </c>
      <c r="C38" s="7">
        <v>1414887</v>
      </c>
      <c r="D38" s="7">
        <v>1216612</v>
      </c>
      <c r="E38" s="8">
        <v>1166775</v>
      </c>
      <c r="F38" t="str">
        <f t="shared" si="0"/>
        <v>Nie</v>
      </c>
      <c r="G38" t="str">
        <f t="shared" si="1"/>
        <v>Nie</v>
      </c>
      <c r="H38">
        <f t="shared" si="2"/>
        <v>0</v>
      </c>
      <c r="I38" t="str">
        <f t="shared" si="3"/>
        <v>A</v>
      </c>
    </row>
    <row r="39" spans="1:9" x14ac:dyDescent="0.35">
      <c r="A39" s="9" t="s">
        <v>37</v>
      </c>
      <c r="B39" s="10">
        <v>1598886</v>
      </c>
      <c r="C39" s="10">
        <v>1687917</v>
      </c>
      <c r="D39" s="10">
        <v>449788</v>
      </c>
      <c r="E39" s="11">
        <v>427615</v>
      </c>
      <c r="F39" t="str">
        <f t="shared" si="0"/>
        <v>Nie</v>
      </c>
      <c r="G39" t="str">
        <f t="shared" si="1"/>
        <v>Nie</v>
      </c>
      <c r="H39">
        <f t="shared" si="2"/>
        <v>0</v>
      </c>
      <c r="I39" t="str">
        <f t="shared" si="3"/>
        <v>B</v>
      </c>
    </row>
    <row r="40" spans="1:9" x14ac:dyDescent="0.35">
      <c r="A40" s="6" t="s">
        <v>38</v>
      </c>
      <c r="B40" s="7">
        <v>548989</v>
      </c>
      <c r="C40" s="7">
        <v>514636</v>
      </c>
      <c r="D40" s="7">
        <v>2770344</v>
      </c>
      <c r="E40" s="8">
        <v>3187897</v>
      </c>
      <c r="F40" t="str">
        <f t="shared" si="0"/>
        <v>Tak</v>
      </c>
      <c r="G40" t="str">
        <f t="shared" si="1"/>
        <v>Tak</v>
      </c>
      <c r="H40">
        <f t="shared" si="2"/>
        <v>1</v>
      </c>
      <c r="I40" t="str">
        <f t="shared" si="3"/>
        <v>D</v>
      </c>
    </row>
    <row r="41" spans="1:9" x14ac:dyDescent="0.35">
      <c r="A41" s="9" t="s">
        <v>39</v>
      </c>
      <c r="B41" s="10">
        <v>1175198</v>
      </c>
      <c r="C41" s="10">
        <v>1095440</v>
      </c>
      <c r="D41" s="10">
        <v>2657174</v>
      </c>
      <c r="E41" s="11">
        <v>2491947</v>
      </c>
      <c r="F41" t="str">
        <f t="shared" si="0"/>
        <v>Tak</v>
      </c>
      <c r="G41" t="str">
        <f t="shared" si="1"/>
        <v>Tak</v>
      </c>
      <c r="H41">
        <f t="shared" si="2"/>
        <v>1</v>
      </c>
      <c r="I41" t="str">
        <f t="shared" si="3"/>
        <v>A</v>
      </c>
    </row>
    <row r="42" spans="1:9" x14ac:dyDescent="0.35">
      <c r="A42" s="6" t="s">
        <v>40</v>
      </c>
      <c r="B42" s="7">
        <v>2115336</v>
      </c>
      <c r="C42" s="7">
        <v>2202769</v>
      </c>
      <c r="D42" s="7">
        <v>15339</v>
      </c>
      <c r="E42" s="8">
        <v>14652</v>
      </c>
      <c r="F42" t="str">
        <f t="shared" si="0"/>
        <v>Nie</v>
      </c>
      <c r="G42" t="str">
        <f t="shared" si="1"/>
        <v>Nie</v>
      </c>
      <c r="H42">
        <f t="shared" si="2"/>
        <v>0</v>
      </c>
      <c r="I42" t="str">
        <f t="shared" si="3"/>
        <v>D</v>
      </c>
    </row>
    <row r="43" spans="1:9" x14ac:dyDescent="0.35">
      <c r="A43" s="9" t="s">
        <v>41</v>
      </c>
      <c r="B43" s="10">
        <v>2346640</v>
      </c>
      <c r="C43" s="10">
        <v>2197559</v>
      </c>
      <c r="D43" s="10">
        <v>373470</v>
      </c>
      <c r="E43" s="11">
        <v>353365</v>
      </c>
      <c r="F43" t="str">
        <f t="shared" si="0"/>
        <v>Nie</v>
      </c>
      <c r="G43" t="str">
        <f t="shared" si="1"/>
        <v>Nie</v>
      </c>
      <c r="H43">
        <f t="shared" si="2"/>
        <v>0</v>
      </c>
      <c r="I43" t="str">
        <f t="shared" si="3"/>
        <v>B</v>
      </c>
    </row>
    <row r="44" spans="1:9" x14ac:dyDescent="0.35">
      <c r="A44" s="6" t="s">
        <v>42</v>
      </c>
      <c r="B44" s="7">
        <v>2548438</v>
      </c>
      <c r="C44" s="7">
        <v>2577213</v>
      </c>
      <c r="D44" s="7">
        <v>37986</v>
      </c>
      <c r="E44" s="8">
        <v>37766</v>
      </c>
      <c r="F44" t="str">
        <f t="shared" si="0"/>
        <v>Nie</v>
      </c>
      <c r="G44" t="str">
        <f t="shared" si="1"/>
        <v>Nie</v>
      </c>
      <c r="H44">
        <f t="shared" si="2"/>
        <v>0</v>
      </c>
      <c r="I44" t="str">
        <f t="shared" si="3"/>
        <v>D</v>
      </c>
    </row>
    <row r="45" spans="1:9" x14ac:dyDescent="0.35">
      <c r="A45" s="9" t="s">
        <v>43</v>
      </c>
      <c r="B45" s="10">
        <v>835495</v>
      </c>
      <c r="C45" s="10">
        <v>837746</v>
      </c>
      <c r="D45" s="10">
        <v>1106177</v>
      </c>
      <c r="E45" s="11">
        <v>917781</v>
      </c>
      <c r="F45" t="str">
        <f t="shared" si="0"/>
        <v>Tak</v>
      </c>
      <c r="G45" t="str">
        <f t="shared" si="1"/>
        <v>Tak</v>
      </c>
      <c r="H45">
        <f t="shared" si="2"/>
        <v>1</v>
      </c>
      <c r="I45" t="str">
        <f t="shared" si="3"/>
        <v>C</v>
      </c>
    </row>
    <row r="46" spans="1:9" x14ac:dyDescent="0.35">
      <c r="A46" s="6" t="s">
        <v>44</v>
      </c>
      <c r="B46" s="7">
        <v>1187448</v>
      </c>
      <c r="C46" s="7">
        <v>1070426</v>
      </c>
      <c r="D46" s="7">
        <v>1504608</v>
      </c>
      <c r="E46" s="8">
        <v>1756990</v>
      </c>
      <c r="F46" t="str">
        <f t="shared" si="0"/>
        <v>Tak</v>
      </c>
      <c r="G46" t="str">
        <f t="shared" si="1"/>
        <v>Tak</v>
      </c>
      <c r="H46">
        <f t="shared" si="2"/>
        <v>1</v>
      </c>
      <c r="I46" t="str">
        <f t="shared" si="3"/>
        <v>B</v>
      </c>
    </row>
    <row r="47" spans="1:9" x14ac:dyDescent="0.35">
      <c r="A47" s="9" t="s">
        <v>45</v>
      </c>
      <c r="B47" s="10">
        <v>140026</v>
      </c>
      <c r="C47" s="10">
        <v>146354</v>
      </c>
      <c r="D47" s="10">
        <v>2759991</v>
      </c>
      <c r="E47" s="11">
        <v>2742120</v>
      </c>
      <c r="F47" t="str">
        <f t="shared" si="0"/>
        <v>Tak</v>
      </c>
      <c r="G47" t="str">
        <f t="shared" si="1"/>
        <v>Tak</v>
      </c>
      <c r="H47">
        <f t="shared" si="2"/>
        <v>1</v>
      </c>
      <c r="I47" t="str">
        <f t="shared" si="3"/>
        <v>C</v>
      </c>
    </row>
    <row r="48" spans="1:9" x14ac:dyDescent="0.35">
      <c r="A48" s="6" t="s">
        <v>46</v>
      </c>
      <c r="B48" s="7">
        <v>1198765</v>
      </c>
      <c r="C48" s="7">
        <v>1304945</v>
      </c>
      <c r="D48" s="7">
        <v>2786493</v>
      </c>
      <c r="E48" s="8">
        <v>2602643</v>
      </c>
      <c r="F48" t="str">
        <f t="shared" si="0"/>
        <v>Tak</v>
      </c>
      <c r="G48" t="str">
        <f t="shared" si="1"/>
        <v>Tak</v>
      </c>
      <c r="H48">
        <f t="shared" si="2"/>
        <v>1</v>
      </c>
      <c r="I48" t="str">
        <f t="shared" si="3"/>
        <v>B</v>
      </c>
    </row>
    <row r="49" spans="1:9" x14ac:dyDescent="0.35">
      <c r="A49" s="9" t="s">
        <v>47</v>
      </c>
      <c r="B49" s="10">
        <v>2619776</v>
      </c>
      <c r="C49" s="10">
        <v>2749623</v>
      </c>
      <c r="D49" s="10">
        <v>2888215</v>
      </c>
      <c r="E49" s="11">
        <v>2800174</v>
      </c>
      <c r="F49" t="str">
        <f t="shared" si="0"/>
        <v>Tak</v>
      </c>
      <c r="G49" t="str">
        <f t="shared" si="1"/>
        <v>Tak</v>
      </c>
      <c r="H49">
        <f t="shared" si="2"/>
        <v>1</v>
      </c>
      <c r="I49" t="str">
        <f t="shared" si="3"/>
        <v>C</v>
      </c>
    </row>
    <row r="50" spans="1:9" x14ac:dyDescent="0.35">
      <c r="A50" s="6" t="s">
        <v>48</v>
      </c>
      <c r="B50" s="7">
        <v>248398</v>
      </c>
      <c r="C50" s="7">
        <v>268511</v>
      </c>
      <c r="D50" s="7">
        <v>3110853</v>
      </c>
      <c r="E50" s="8">
        <v>2986411</v>
      </c>
      <c r="F50" t="str">
        <f t="shared" si="0"/>
        <v>Tak</v>
      </c>
      <c r="G50" t="str">
        <f t="shared" si="1"/>
        <v>Tak</v>
      </c>
      <c r="H50">
        <f t="shared" si="2"/>
        <v>1</v>
      </c>
      <c r="I50" t="str">
        <f t="shared" si="3"/>
        <v>C</v>
      </c>
    </row>
    <row r="51" spans="1:9" x14ac:dyDescent="0.35">
      <c r="A51" s="12" t="s">
        <v>49</v>
      </c>
      <c r="B51" s="1">
        <v>2494207</v>
      </c>
      <c r="C51" s="1">
        <v>2625207</v>
      </c>
      <c r="D51" s="1">
        <v>1796293</v>
      </c>
      <c r="E51" s="2">
        <v>1853602</v>
      </c>
      <c r="F51" t="str">
        <f t="shared" si="0"/>
        <v>Nie</v>
      </c>
      <c r="G51" t="str">
        <f t="shared" si="1"/>
        <v>Nie</v>
      </c>
      <c r="H51">
        <f t="shared" si="2"/>
        <v>0</v>
      </c>
      <c r="I51" t="str">
        <f t="shared" si="3"/>
        <v>B</v>
      </c>
    </row>
    <row r="52" spans="1:9" x14ac:dyDescent="0.35">
      <c r="H52">
        <f>SUM(H2:H51)</f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67AA-5DCE-4DEC-8100-F20ACD76592D}">
  <dimension ref="A1:Y51"/>
  <sheetViews>
    <sheetView tabSelected="1" topLeftCell="N1" zoomScale="59" zoomScaleNormal="59" workbookViewId="0">
      <selection activeCell="W9" sqref="W9:X11"/>
    </sheetView>
  </sheetViews>
  <sheetFormatPr defaultRowHeight="14.5" x14ac:dyDescent="0.35"/>
  <cols>
    <col min="1" max="1" width="13.08984375" bestFit="1" customWidth="1"/>
    <col min="2" max="2" width="11.54296875" bestFit="1" customWidth="1"/>
    <col min="3" max="3" width="13.7265625" bestFit="1" customWidth="1"/>
    <col min="4" max="4" width="11.54296875" bestFit="1" customWidth="1"/>
    <col min="5" max="5" width="13.7265625" bestFit="1" customWidth="1"/>
    <col min="6" max="6" width="13.7265625" customWidth="1"/>
    <col min="7" max="8" width="11.7265625" bestFit="1" customWidth="1"/>
    <col min="9" max="9" width="13.6328125" bestFit="1" customWidth="1"/>
    <col min="10" max="19" width="11.7265625" bestFit="1" customWidth="1"/>
    <col min="20" max="20" width="25" bestFit="1" customWidth="1"/>
    <col min="23" max="23" width="84.1796875" bestFit="1" customWidth="1"/>
    <col min="24" max="24" width="27" bestFit="1" customWidth="1"/>
    <col min="25" max="25" width="46.54296875" bestFit="1" customWidth="1"/>
  </cols>
  <sheetData>
    <row r="1" spans="1:25" x14ac:dyDescent="0.35">
      <c r="A1" s="3" t="s">
        <v>50</v>
      </c>
      <c r="B1" s="4" t="s">
        <v>51</v>
      </c>
      <c r="C1" s="4" t="s">
        <v>52</v>
      </c>
      <c r="D1" s="4" t="s">
        <v>53</v>
      </c>
      <c r="E1" s="5" t="s">
        <v>54</v>
      </c>
      <c r="F1" s="13" t="s">
        <v>73</v>
      </c>
      <c r="G1" s="13" t="s">
        <v>71</v>
      </c>
      <c r="H1" s="13" t="s">
        <v>72</v>
      </c>
      <c r="I1" s="13" t="s">
        <v>74</v>
      </c>
      <c r="J1" s="13" t="s">
        <v>75</v>
      </c>
      <c r="K1" s="13" t="s">
        <v>76</v>
      </c>
      <c r="L1" s="13" t="s">
        <v>77</v>
      </c>
      <c r="M1" s="13" t="s">
        <v>78</v>
      </c>
      <c r="N1" s="13" t="s">
        <v>79</v>
      </c>
      <c r="O1" s="13" t="s">
        <v>80</v>
      </c>
      <c r="P1" s="13" t="s">
        <v>81</v>
      </c>
      <c r="Q1" s="13" t="s">
        <v>82</v>
      </c>
      <c r="R1" s="13" t="s">
        <v>83</v>
      </c>
      <c r="S1" s="13" t="s">
        <v>84</v>
      </c>
      <c r="T1" s="13" t="s">
        <v>87</v>
      </c>
    </row>
    <row r="2" spans="1:25" x14ac:dyDescent="0.35">
      <c r="A2" s="9" t="s">
        <v>11</v>
      </c>
      <c r="B2" s="10">
        <v>3997724</v>
      </c>
      <c r="C2" s="10">
        <v>3690756</v>
      </c>
      <c r="D2" s="10">
        <v>4339393</v>
      </c>
      <c r="E2" s="11">
        <v>4639643</v>
      </c>
      <c r="F2" s="15">
        <f t="shared" ref="F2:F33" si="0">ROUNDDOWN(H2/G2, 4)</f>
        <v>1.1677999999999999</v>
      </c>
      <c r="G2">
        <f t="shared" ref="G2:G33" si="1">B2+C2</f>
        <v>7688480</v>
      </c>
      <c r="H2">
        <f t="shared" ref="H2:H33" si="2">D2+E2</f>
        <v>8979036</v>
      </c>
      <c r="I2">
        <f>IF(H2 &gt; $G2 * 2, H2,ROUNDDOWN(H2 *$F2, 0))</f>
        <v>10485718</v>
      </c>
      <c r="J2">
        <f t="shared" ref="J2:S2" si="3">IF(I2 &gt; $G2 * 2, I2,ROUNDDOWN(I2 *$F2, 0))</f>
        <v>12245221</v>
      </c>
      <c r="K2">
        <f t="shared" si="3"/>
        <v>14299969</v>
      </c>
      <c r="L2">
        <f t="shared" si="3"/>
        <v>16699503</v>
      </c>
      <c r="M2">
        <f t="shared" si="3"/>
        <v>16699503</v>
      </c>
      <c r="N2">
        <f t="shared" si="3"/>
        <v>16699503</v>
      </c>
      <c r="O2">
        <f t="shared" si="3"/>
        <v>16699503</v>
      </c>
      <c r="P2">
        <f t="shared" si="3"/>
        <v>16699503</v>
      </c>
      <c r="Q2">
        <f t="shared" si="3"/>
        <v>16699503</v>
      </c>
      <c r="R2">
        <f t="shared" si="3"/>
        <v>16699503</v>
      </c>
      <c r="S2">
        <f t="shared" si="3"/>
        <v>16699503</v>
      </c>
      <c r="T2">
        <f>IF(S2 &gt; G2 * 2, 1, 0)</f>
        <v>1</v>
      </c>
    </row>
    <row r="3" spans="1:25" x14ac:dyDescent="0.35">
      <c r="A3" s="9" t="s">
        <v>47</v>
      </c>
      <c r="B3" s="10">
        <v>2619776</v>
      </c>
      <c r="C3" s="10">
        <v>2749623</v>
      </c>
      <c r="D3" s="10">
        <v>2888215</v>
      </c>
      <c r="E3" s="11">
        <v>2800174</v>
      </c>
      <c r="F3" s="15">
        <f t="shared" si="0"/>
        <v>1.0593999999999999</v>
      </c>
      <c r="G3">
        <f t="shared" si="1"/>
        <v>5369399</v>
      </c>
      <c r="H3">
        <f t="shared" si="2"/>
        <v>5688389</v>
      </c>
      <c r="I3">
        <f t="shared" ref="I3:S3" si="4">IF(H3 &gt; $G3 * 2, H3,ROUNDDOWN(H3 *$F3, 0))</f>
        <v>6026279</v>
      </c>
      <c r="J3">
        <f t="shared" si="4"/>
        <v>6384239</v>
      </c>
      <c r="K3">
        <f t="shared" si="4"/>
        <v>6763462</v>
      </c>
      <c r="L3">
        <f t="shared" si="4"/>
        <v>7165211</v>
      </c>
      <c r="M3">
        <f t="shared" si="4"/>
        <v>7590824</v>
      </c>
      <c r="N3">
        <f t="shared" si="4"/>
        <v>8041718</v>
      </c>
      <c r="O3">
        <f t="shared" si="4"/>
        <v>8519396</v>
      </c>
      <c r="P3">
        <f t="shared" si="4"/>
        <v>9025448</v>
      </c>
      <c r="Q3">
        <f t="shared" si="4"/>
        <v>9561559</v>
      </c>
      <c r="R3">
        <f t="shared" si="4"/>
        <v>10129515</v>
      </c>
      <c r="S3">
        <f t="shared" si="4"/>
        <v>10731208</v>
      </c>
      <c r="T3">
        <f>IF(S3 &gt; G3 * 2, 1, 0)</f>
        <v>0</v>
      </c>
    </row>
    <row r="4" spans="1:25" x14ac:dyDescent="0.35">
      <c r="A4" s="9" t="s">
        <v>5</v>
      </c>
      <c r="B4" s="10">
        <v>1846928</v>
      </c>
      <c r="C4" s="10">
        <v>1851433</v>
      </c>
      <c r="D4" s="10">
        <v>2125113</v>
      </c>
      <c r="E4" s="11">
        <v>2028635</v>
      </c>
      <c r="F4" s="15">
        <f t="shared" si="0"/>
        <v>1.1231</v>
      </c>
      <c r="G4">
        <f t="shared" si="1"/>
        <v>3698361</v>
      </c>
      <c r="H4">
        <f t="shared" si="2"/>
        <v>4153748</v>
      </c>
      <c r="I4">
        <f t="shared" ref="I4:S4" si="5">IF(H4 &gt; $G4 * 2, H4,ROUNDDOWN(H4 *$F4, 0))</f>
        <v>4665074</v>
      </c>
      <c r="J4">
        <f t="shared" si="5"/>
        <v>5239344</v>
      </c>
      <c r="K4">
        <f t="shared" si="5"/>
        <v>5884307</v>
      </c>
      <c r="L4">
        <f t="shared" si="5"/>
        <v>6608665</v>
      </c>
      <c r="M4">
        <f t="shared" si="5"/>
        <v>7422191</v>
      </c>
      <c r="N4">
        <f t="shared" si="5"/>
        <v>7422191</v>
      </c>
      <c r="O4">
        <f t="shared" si="5"/>
        <v>7422191</v>
      </c>
      <c r="P4">
        <f t="shared" si="5"/>
        <v>7422191</v>
      </c>
      <c r="Q4">
        <f t="shared" si="5"/>
        <v>7422191</v>
      </c>
      <c r="R4">
        <f t="shared" si="5"/>
        <v>7422191</v>
      </c>
      <c r="S4">
        <f t="shared" si="5"/>
        <v>7422191</v>
      </c>
      <c r="T4">
        <f>IF(S4 &gt; G4 * 2, 1, 0)</f>
        <v>1</v>
      </c>
    </row>
    <row r="5" spans="1:25" x14ac:dyDescent="0.35">
      <c r="A5" s="9" t="s">
        <v>31</v>
      </c>
      <c r="B5" s="10">
        <v>992523</v>
      </c>
      <c r="C5" s="10">
        <v>1028501</v>
      </c>
      <c r="D5" s="10">
        <v>1995446</v>
      </c>
      <c r="E5" s="11">
        <v>1860524</v>
      </c>
      <c r="F5" s="15">
        <f t="shared" si="0"/>
        <v>1.9078999999999999</v>
      </c>
      <c r="G5">
        <f t="shared" si="1"/>
        <v>2021024</v>
      </c>
      <c r="H5">
        <f t="shared" si="2"/>
        <v>3855970</v>
      </c>
      <c r="I5">
        <f t="shared" ref="I5:S5" si="6">IF(H5 &gt; $G5 * 2, H5,ROUNDDOWN(H5 *$F5, 0))</f>
        <v>7356805</v>
      </c>
      <c r="J5">
        <f t="shared" si="6"/>
        <v>7356805</v>
      </c>
      <c r="K5">
        <f t="shared" si="6"/>
        <v>7356805</v>
      </c>
      <c r="L5">
        <f t="shared" si="6"/>
        <v>7356805</v>
      </c>
      <c r="M5">
        <f t="shared" si="6"/>
        <v>7356805</v>
      </c>
      <c r="N5">
        <f t="shared" si="6"/>
        <v>7356805</v>
      </c>
      <c r="O5">
        <f t="shared" si="6"/>
        <v>7356805</v>
      </c>
      <c r="P5">
        <f t="shared" si="6"/>
        <v>7356805</v>
      </c>
      <c r="Q5">
        <f t="shared" si="6"/>
        <v>7356805</v>
      </c>
      <c r="R5">
        <f t="shared" si="6"/>
        <v>7356805</v>
      </c>
      <c r="S5">
        <f t="shared" si="6"/>
        <v>7356805</v>
      </c>
      <c r="T5">
        <f>IF(S5 &gt; G5 * 2, 1, 0)</f>
        <v>1</v>
      </c>
      <c r="W5" t="s">
        <v>88</v>
      </c>
      <c r="X5" t="s">
        <v>85</v>
      </c>
      <c r="Y5" t="s">
        <v>86</v>
      </c>
    </row>
    <row r="6" spans="1:25" x14ac:dyDescent="0.35">
      <c r="A6" s="9" t="s">
        <v>15</v>
      </c>
      <c r="B6" s="10">
        <v>1367212</v>
      </c>
      <c r="C6" s="10">
        <v>1361389</v>
      </c>
      <c r="D6" s="10">
        <v>1572320</v>
      </c>
      <c r="E6" s="11">
        <v>1836258</v>
      </c>
      <c r="F6" s="15">
        <f t="shared" si="0"/>
        <v>1.2492000000000001</v>
      </c>
      <c r="G6">
        <f t="shared" si="1"/>
        <v>2728601</v>
      </c>
      <c r="H6">
        <f t="shared" si="2"/>
        <v>3408578</v>
      </c>
      <c r="I6">
        <f t="shared" ref="I6:S6" si="7">IF(H6 &gt; $G6 * 2, H6,ROUNDDOWN(H6 *$F6, 0))</f>
        <v>4257995</v>
      </c>
      <c r="J6">
        <f t="shared" si="7"/>
        <v>5319087</v>
      </c>
      <c r="K6">
        <f t="shared" si="7"/>
        <v>6644603</v>
      </c>
      <c r="L6">
        <f t="shared" si="7"/>
        <v>6644603</v>
      </c>
      <c r="M6">
        <f t="shared" si="7"/>
        <v>6644603</v>
      </c>
      <c r="N6">
        <f t="shared" si="7"/>
        <v>6644603</v>
      </c>
      <c r="O6">
        <f t="shared" si="7"/>
        <v>6644603</v>
      </c>
      <c r="P6">
        <f t="shared" si="7"/>
        <v>6644603</v>
      </c>
      <c r="Q6">
        <f t="shared" si="7"/>
        <v>6644603</v>
      </c>
      <c r="R6">
        <f t="shared" si="7"/>
        <v>6644603</v>
      </c>
      <c r="S6">
        <f t="shared" si="7"/>
        <v>6644603</v>
      </c>
      <c r="T6">
        <f>IF(S6 &gt; G6 * 2, 1, 0)</f>
        <v>1</v>
      </c>
      <c r="W6">
        <f>SUM(T2:T51)</f>
        <v>18</v>
      </c>
      <c r="X6">
        <f>SUM(S2:S51)</f>
        <v>125930205</v>
      </c>
      <c r="Y6" t="str">
        <f>A2</f>
        <v>w12C</v>
      </c>
    </row>
    <row r="7" spans="1:25" x14ac:dyDescent="0.35">
      <c r="A7" s="6" t="s">
        <v>48</v>
      </c>
      <c r="B7" s="7">
        <v>248398</v>
      </c>
      <c r="C7" s="7">
        <v>268511</v>
      </c>
      <c r="D7" s="7">
        <v>3110853</v>
      </c>
      <c r="E7" s="8">
        <v>2986411</v>
      </c>
      <c r="F7" s="15">
        <f t="shared" si="0"/>
        <v>11.7956</v>
      </c>
      <c r="G7">
        <f t="shared" si="1"/>
        <v>516909</v>
      </c>
      <c r="H7">
        <f t="shared" si="2"/>
        <v>6097264</v>
      </c>
      <c r="I7">
        <f t="shared" ref="I7:S7" si="8">IF(H7 &gt; $G7 * 2, H7,ROUNDDOWN(H7 *$F7, 0))</f>
        <v>6097264</v>
      </c>
      <c r="J7">
        <f t="shared" si="8"/>
        <v>6097264</v>
      </c>
      <c r="K7">
        <f t="shared" si="8"/>
        <v>6097264</v>
      </c>
      <c r="L7">
        <f t="shared" si="8"/>
        <v>6097264</v>
      </c>
      <c r="M7">
        <f t="shared" si="8"/>
        <v>6097264</v>
      </c>
      <c r="N7">
        <f t="shared" si="8"/>
        <v>6097264</v>
      </c>
      <c r="O7">
        <f t="shared" si="8"/>
        <v>6097264</v>
      </c>
      <c r="P7">
        <f t="shared" si="8"/>
        <v>6097264</v>
      </c>
      <c r="Q7">
        <f t="shared" si="8"/>
        <v>6097264</v>
      </c>
      <c r="R7">
        <f t="shared" si="8"/>
        <v>6097264</v>
      </c>
      <c r="S7">
        <f t="shared" si="8"/>
        <v>6097264</v>
      </c>
      <c r="T7">
        <f>IF(S7 &gt; G7 * 2, 1, 0)</f>
        <v>1</v>
      </c>
    </row>
    <row r="8" spans="1:25" x14ac:dyDescent="0.35">
      <c r="A8" s="6" t="s">
        <v>38</v>
      </c>
      <c r="B8" s="7">
        <v>548989</v>
      </c>
      <c r="C8" s="7">
        <v>514636</v>
      </c>
      <c r="D8" s="7">
        <v>2770344</v>
      </c>
      <c r="E8" s="8">
        <v>3187897</v>
      </c>
      <c r="F8" s="15">
        <f t="shared" si="0"/>
        <v>5.6017999999999999</v>
      </c>
      <c r="G8">
        <f t="shared" si="1"/>
        <v>1063625</v>
      </c>
      <c r="H8">
        <f t="shared" si="2"/>
        <v>5958241</v>
      </c>
      <c r="I8">
        <f t="shared" ref="I8:S8" si="9">IF(H8 &gt; $G8 * 2, H8,ROUNDDOWN(H8 *$F8, 0))</f>
        <v>5958241</v>
      </c>
      <c r="J8">
        <f t="shared" si="9"/>
        <v>5958241</v>
      </c>
      <c r="K8">
        <f t="shared" si="9"/>
        <v>5958241</v>
      </c>
      <c r="L8">
        <f t="shared" si="9"/>
        <v>5958241</v>
      </c>
      <c r="M8">
        <f t="shared" si="9"/>
        <v>5958241</v>
      </c>
      <c r="N8">
        <f t="shared" si="9"/>
        <v>5958241</v>
      </c>
      <c r="O8">
        <f t="shared" si="9"/>
        <v>5958241</v>
      </c>
      <c r="P8">
        <f t="shared" si="9"/>
        <v>5958241</v>
      </c>
      <c r="Q8">
        <f t="shared" si="9"/>
        <v>5958241</v>
      </c>
      <c r="R8">
        <f t="shared" si="9"/>
        <v>5958241</v>
      </c>
      <c r="S8">
        <f t="shared" si="9"/>
        <v>5958241</v>
      </c>
      <c r="T8">
        <f>IF(S8 &gt; G8 * 2, 1, 0)</f>
        <v>1</v>
      </c>
    </row>
    <row r="9" spans="1:25" x14ac:dyDescent="0.35">
      <c r="A9" s="6" t="s">
        <v>0</v>
      </c>
      <c r="B9" s="7">
        <v>1415007</v>
      </c>
      <c r="C9" s="7">
        <v>1397195</v>
      </c>
      <c r="D9" s="7">
        <v>1499070</v>
      </c>
      <c r="E9" s="8">
        <v>1481105</v>
      </c>
      <c r="F9" s="15">
        <f t="shared" si="0"/>
        <v>1.0597000000000001</v>
      </c>
      <c r="G9">
        <f t="shared" si="1"/>
        <v>2812202</v>
      </c>
      <c r="H9">
        <f t="shared" si="2"/>
        <v>2980175</v>
      </c>
      <c r="I9">
        <f t="shared" ref="I9:S9" si="10">IF(H9 &gt; $G9 * 2, H9,ROUNDDOWN(H9 *$F9, 0))</f>
        <v>3158091</v>
      </c>
      <c r="J9">
        <f t="shared" si="10"/>
        <v>3346629</v>
      </c>
      <c r="K9">
        <f t="shared" si="10"/>
        <v>3546422</v>
      </c>
      <c r="L9">
        <f t="shared" si="10"/>
        <v>3758143</v>
      </c>
      <c r="M9">
        <f t="shared" si="10"/>
        <v>3982504</v>
      </c>
      <c r="N9">
        <f t="shared" si="10"/>
        <v>4220259</v>
      </c>
      <c r="O9">
        <f t="shared" si="10"/>
        <v>4472208</v>
      </c>
      <c r="P9">
        <f t="shared" si="10"/>
        <v>4739198</v>
      </c>
      <c r="Q9">
        <f t="shared" si="10"/>
        <v>5022128</v>
      </c>
      <c r="R9">
        <f t="shared" si="10"/>
        <v>5321949</v>
      </c>
      <c r="S9">
        <f t="shared" si="10"/>
        <v>5639669</v>
      </c>
      <c r="T9">
        <f>IF(S9 &gt; G9 * 2, 1, 0)</f>
        <v>1</v>
      </c>
      <c r="W9" t="s">
        <v>88</v>
      </c>
      <c r="X9">
        <f>SUM(T2:T51)</f>
        <v>18</v>
      </c>
    </row>
    <row r="10" spans="1:25" x14ac:dyDescent="0.35">
      <c r="A10" s="9" t="s">
        <v>21</v>
      </c>
      <c r="B10" s="10">
        <v>685438</v>
      </c>
      <c r="C10" s="10">
        <v>749124</v>
      </c>
      <c r="D10" s="10">
        <v>2697677</v>
      </c>
      <c r="E10" s="11">
        <v>2821550</v>
      </c>
      <c r="F10" s="15">
        <f t="shared" si="0"/>
        <v>3.8473000000000002</v>
      </c>
      <c r="G10">
        <f t="shared" si="1"/>
        <v>1434562</v>
      </c>
      <c r="H10">
        <f t="shared" si="2"/>
        <v>5519227</v>
      </c>
      <c r="I10">
        <f t="shared" ref="I10:S10" si="11">IF(H10 &gt; $G10 * 2, H10,ROUNDDOWN(H10 *$F10, 0))</f>
        <v>5519227</v>
      </c>
      <c r="J10">
        <f t="shared" si="11"/>
        <v>5519227</v>
      </c>
      <c r="K10">
        <f t="shared" si="11"/>
        <v>5519227</v>
      </c>
      <c r="L10">
        <f t="shared" si="11"/>
        <v>5519227</v>
      </c>
      <c r="M10">
        <f t="shared" si="11"/>
        <v>5519227</v>
      </c>
      <c r="N10">
        <f t="shared" si="11"/>
        <v>5519227</v>
      </c>
      <c r="O10">
        <f t="shared" si="11"/>
        <v>5519227</v>
      </c>
      <c r="P10">
        <f t="shared" si="11"/>
        <v>5519227</v>
      </c>
      <c r="Q10">
        <f t="shared" si="11"/>
        <v>5519227</v>
      </c>
      <c r="R10">
        <f t="shared" si="11"/>
        <v>5519227</v>
      </c>
      <c r="S10">
        <f t="shared" si="11"/>
        <v>5519227</v>
      </c>
      <c r="T10">
        <f>IF(S10 &gt; G10 * 2, 1, 0)</f>
        <v>1</v>
      </c>
      <c r="W10" t="s">
        <v>85</v>
      </c>
      <c r="X10">
        <f>SUM(S2:S51)</f>
        <v>125930205</v>
      </c>
    </row>
    <row r="11" spans="1:25" x14ac:dyDescent="0.35">
      <c r="A11" s="9" t="s">
        <v>45</v>
      </c>
      <c r="B11" s="10">
        <v>140026</v>
      </c>
      <c r="C11" s="10">
        <v>146354</v>
      </c>
      <c r="D11" s="10">
        <v>2759991</v>
      </c>
      <c r="E11" s="11">
        <v>2742120</v>
      </c>
      <c r="F11" s="15">
        <f t="shared" si="0"/>
        <v>19.212599999999998</v>
      </c>
      <c r="G11">
        <f t="shared" si="1"/>
        <v>286380</v>
      </c>
      <c r="H11">
        <f t="shared" si="2"/>
        <v>5502111</v>
      </c>
      <c r="I11">
        <f t="shared" ref="I11:S11" si="12">IF(H11 &gt; $G11 * 2, H11,ROUNDDOWN(H11 *$F11, 0))</f>
        <v>5502111</v>
      </c>
      <c r="J11">
        <f t="shared" si="12"/>
        <v>5502111</v>
      </c>
      <c r="K11">
        <f t="shared" si="12"/>
        <v>5502111</v>
      </c>
      <c r="L11">
        <f t="shared" si="12"/>
        <v>5502111</v>
      </c>
      <c r="M11">
        <f t="shared" si="12"/>
        <v>5502111</v>
      </c>
      <c r="N11">
        <f t="shared" si="12"/>
        <v>5502111</v>
      </c>
      <c r="O11">
        <f t="shared" si="12"/>
        <v>5502111</v>
      </c>
      <c r="P11">
        <f t="shared" si="12"/>
        <v>5502111</v>
      </c>
      <c r="Q11">
        <f t="shared" si="12"/>
        <v>5502111</v>
      </c>
      <c r="R11">
        <f t="shared" si="12"/>
        <v>5502111</v>
      </c>
      <c r="S11">
        <f t="shared" si="12"/>
        <v>5502111</v>
      </c>
      <c r="T11">
        <f>IF(S11 &gt; G11 * 2, 1, 0)</f>
        <v>1</v>
      </c>
      <c r="W11" t="s">
        <v>86</v>
      </c>
      <c r="X11" t="str">
        <f>A2</f>
        <v>w12C</v>
      </c>
    </row>
    <row r="12" spans="1:25" x14ac:dyDescent="0.35">
      <c r="A12" s="6" t="s">
        <v>46</v>
      </c>
      <c r="B12" s="7">
        <v>1198765</v>
      </c>
      <c r="C12" s="7">
        <v>1304945</v>
      </c>
      <c r="D12" s="7">
        <v>2786493</v>
      </c>
      <c r="E12" s="8">
        <v>2602643</v>
      </c>
      <c r="F12" s="15">
        <f t="shared" si="0"/>
        <v>2.1524000000000001</v>
      </c>
      <c r="G12">
        <f t="shared" si="1"/>
        <v>2503710</v>
      </c>
      <c r="H12">
        <f t="shared" si="2"/>
        <v>5389136</v>
      </c>
      <c r="I12">
        <f t="shared" ref="I12:S12" si="13">IF(H12 &gt; $G12 * 2, H12,ROUNDDOWN(H12 *$F12, 0))</f>
        <v>5389136</v>
      </c>
      <c r="J12">
        <f t="shared" si="13"/>
        <v>5389136</v>
      </c>
      <c r="K12">
        <f t="shared" si="13"/>
        <v>5389136</v>
      </c>
      <c r="L12">
        <f t="shared" si="13"/>
        <v>5389136</v>
      </c>
      <c r="M12">
        <f t="shared" si="13"/>
        <v>5389136</v>
      </c>
      <c r="N12">
        <f t="shared" si="13"/>
        <v>5389136</v>
      </c>
      <c r="O12">
        <f t="shared" si="13"/>
        <v>5389136</v>
      </c>
      <c r="P12">
        <f t="shared" si="13"/>
        <v>5389136</v>
      </c>
      <c r="Q12">
        <f t="shared" si="13"/>
        <v>5389136</v>
      </c>
      <c r="R12">
        <f t="shared" si="13"/>
        <v>5389136</v>
      </c>
      <c r="S12">
        <f t="shared" si="13"/>
        <v>5389136</v>
      </c>
      <c r="T12">
        <f>IF(S12 &gt; G12 * 2, 1, 0)</f>
        <v>1</v>
      </c>
    </row>
    <row r="13" spans="1:25" x14ac:dyDescent="0.35">
      <c r="A13" s="9" t="s">
        <v>39</v>
      </c>
      <c r="B13" s="10">
        <v>1175198</v>
      </c>
      <c r="C13" s="10">
        <v>1095440</v>
      </c>
      <c r="D13" s="10">
        <v>2657174</v>
      </c>
      <c r="E13" s="11">
        <v>2491947</v>
      </c>
      <c r="F13" s="15">
        <f t="shared" si="0"/>
        <v>2.2675999999999998</v>
      </c>
      <c r="G13">
        <f t="shared" si="1"/>
        <v>2270638</v>
      </c>
      <c r="H13">
        <f t="shared" si="2"/>
        <v>5149121</v>
      </c>
      <c r="I13">
        <f t="shared" ref="I13:S13" si="14">IF(H13 &gt; $G13 * 2, H13,ROUNDDOWN(H13 *$F13, 0))</f>
        <v>5149121</v>
      </c>
      <c r="J13">
        <f t="shared" si="14"/>
        <v>5149121</v>
      </c>
      <c r="K13">
        <f t="shared" si="14"/>
        <v>5149121</v>
      </c>
      <c r="L13">
        <f t="shared" si="14"/>
        <v>5149121</v>
      </c>
      <c r="M13">
        <f t="shared" si="14"/>
        <v>5149121</v>
      </c>
      <c r="N13">
        <f t="shared" si="14"/>
        <v>5149121</v>
      </c>
      <c r="O13">
        <f t="shared" si="14"/>
        <v>5149121</v>
      </c>
      <c r="P13">
        <f t="shared" si="14"/>
        <v>5149121</v>
      </c>
      <c r="Q13">
        <f t="shared" si="14"/>
        <v>5149121</v>
      </c>
      <c r="R13">
        <f t="shared" si="14"/>
        <v>5149121</v>
      </c>
      <c r="S13">
        <f t="shared" si="14"/>
        <v>5149121</v>
      </c>
      <c r="T13">
        <f>IF(S13 &gt; G13 * 2, 1, 0)</f>
        <v>1</v>
      </c>
    </row>
    <row r="14" spans="1:25" x14ac:dyDescent="0.35">
      <c r="A14" s="6" t="s">
        <v>44</v>
      </c>
      <c r="B14" s="7">
        <v>1187448</v>
      </c>
      <c r="C14" s="7">
        <v>1070426</v>
      </c>
      <c r="D14" s="7">
        <v>1504608</v>
      </c>
      <c r="E14" s="8">
        <v>1756990</v>
      </c>
      <c r="F14" s="15">
        <f t="shared" si="0"/>
        <v>1.4444999999999999</v>
      </c>
      <c r="G14">
        <f t="shared" si="1"/>
        <v>2257874</v>
      </c>
      <c r="H14">
        <f t="shared" si="2"/>
        <v>3261598</v>
      </c>
      <c r="I14">
        <f t="shared" ref="I14:S14" si="15">IF(H14 &gt; $G14 * 2, H14,ROUNDDOWN(H14 *$F14, 0))</f>
        <v>4711378</v>
      </c>
      <c r="J14">
        <f t="shared" si="15"/>
        <v>4711378</v>
      </c>
      <c r="K14">
        <f t="shared" si="15"/>
        <v>4711378</v>
      </c>
      <c r="L14">
        <f t="shared" si="15"/>
        <v>4711378</v>
      </c>
      <c r="M14">
        <f t="shared" si="15"/>
        <v>4711378</v>
      </c>
      <c r="N14">
        <f t="shared" si="15"/>
        <v>4711378</v>
      </c>
      <c r="O14">
        <f t="shared" si="15"/>
        <v>4711378</v>
      </c>
      <c r="P14">
        <f t="shared" si="15"/>
        <v>4711378</v>
      </c>
      <c r="Q14">
        <f t="shared" si="15"/>
        <v>4711378</v>
      </c>
      <c r="R14">
        <f t="shared" si="15"/>
        <v>4711378</v>
      </c>
      <c r="S14">
        <f t="shared" si="15"/>
        <v>4711378</v>
      </c>
      <c r="T14">
        <f>IF(S14 &gt; G14 * 2, 1, 0)</f>
        <v>1</v>
      </c>
    </row>
    <row r="15" spans="1:25" x14ac:dyDescent="0.35">
      <c r="A15" s="6" t="s">
        <v>12</v>
      </c>
      <c r="B15" s="7">
        <v>996113</v>
      </c>
      <c r="C15" s="7">
        <v>964279</v>
      </c>
      <c r="D15" s="7">
        <v>1012487</v>
      </c>
      <c r="E15" s="8">
        <v>1128940</v>
      </c>
      <c r="F15" s="15">
        <f t="shared" si="0"/>
        <v>1.0923</v>
      </c>
      <c r="G15">
        <f t="shared" si="1"/>
        <v>1960392</v>
      </c>
      <c r="H15">
        <f t="shared" si="2"/>
        <v>2141427</v>
      </c>
      <c r="I15">
        <f t="shared" ref="I15:S15" si="16">IF(H15 &gt; $G15 * 2, H15,ROUNDDOWN(H15 *$F15, 0))</f>
        <v>2339080</v>
      </c>
      <c r="J15">
        <f t="shared" si="16"/>
        <v>2554977</v>
      </c>
      <c r="K15">
        <f t="shared" si="16"/>
        <v>2790801</v>
      </c>
      <c r="L15">
        <f t="shared" si="16"/>
        <v>3048391</v>
      </c>
      <c r="M15">
        <f t="shared" si="16"/>
        <v>3329757</v>
      </c>
      <c r="N15">
        <f t="shared" si="16"/>
        <v>3637093</v>
      </c>
      <c r="O15">
        <f t="shared" si="16"/>
        <v>3972796</v>
      </c>
      <c r="P15">
        <f t="shared" si="16"/>
        <v>3972796</v>
      </c>
      <c r="Q15">
        <f t="shared" si="16"/>
        <v>3972796</v>
      </c>
      <c r="R15">
        <f t="shared" si="16"/>
        <v>3972796</v>
      </c>
      <c r="S15">
        <f t="shared" si="16"/>
        <v>3972796</v>
      </c>
      <c r="T15">
        <f>IF(S15 &gt; G15 * 2, 1, 0)</f>
        <v>1</v>
      </c>
    </row>
    <row r="16" spans="1:25" x14ac:dyDescent="0.35">
      <c r="A16" s="9" t="s">
        <v>43</v>
      </c>
      <c r="B16" s="10">
        <v>835495</v>
      </c>
      <c r="C16" s="10">
        <v>837746</v>
      </c>
      <c r="D16" s="10">
        <v>1106177</v>
      </c>
      <c r="E16" s="11">
        <v>917781</v>
      </c>
      <c r="F16" s="15">
        <f t="shared" si="0"/>
        <v>1.2096</v>
      </c>
      <c r="G16">
        <f t="shared" si="1"/>
        <v>1673241</v>
      </c>
      <c r="H16">
        <f t="shared" si="2"/>
        <v>2023958</v>
      </c>
      <c r="I16">
        <f t="shared" ref="I16:S16" si="17">IF(H16 &gt; $G16 * 2, H16,ROUNDDOWN(H16 *$F16, 0))</f>
        <v>2448179</v>
      </c>
      <c r="J16">
        <f t="shared" si="17"/>
        <v>2961317</v>
      </c>
      <c r="K16">
        <f t="shared" si="17"/>
        <v>3582009</v>
      </c>
      <c r="L16">
        <f t="shared" si="17"/>
        <v>3582009</v>
      </c>
      <c r="M16">
        <f t="shared" si="17"/>
        <v>3582009</v>
      </c>
      <c r="N16">
        <f t="shared" si="17"/>
        <v>3582009</v>
      </c>
      <c r="O16">
        <f t="shared" si="17"/>
        <v>3582009</v>
      </c>
      <c r="P16">
        <f t="shared" si="17"/>
        <v>3582009</v>
      </c>
      <c r="Q16">
        <f t="shared" si="17"/>
        <v>3582009</v>
      </c>
      <c r="R16">
        <f t="shared" si="17"/>
        <v>3582009</v>
      </c>
      <c r="S16">
        <f t="shared" si="17"/>
        <v>3582009</v>
      </c>
      <c r="T16">
        <f>IF(S16 &gt; G16 * 2, 1, 0)</f>
        <v>1</v>
      </c>
    </row>
    <row r="17" spans="1:20" x14ac:dyDescent="0.35">
      <c r="A17" s="6" t="s">
        <v>24</v>
      </c>
      <c r="B17" s="7">
        <v>450192</v>
      </c>
      <c r="C17" s="7">
        <v>434755</v>
      </c>
      <c r="D17" s="7">
        <v>1656446</v>
      </c>
      <c r="E17" s="8">
        <v>1691000</v>
      </c>
      <c r="F17" s="15">
        <f t="shared" si="0"/>
        <v>3.7826</v>
      </c>
      <c r="G17">
        <f t="shared" si="1"/>
        <v>884947</v>
      </c>
      <c r="H17">
        <f t="shared" si="2"/>
        <v>3347446</v>
      </c>
      <c r="I17">
        <f t="shared" ref="I17:S17" si="18">IF(H17 &gt; $G17 * 2, H17,ROUNDDOWN(H17 *$F17, 0))</f>
        <v>3347446</v>
      </c>
      <c r="J17">
        <f t="shared" si="18"/>
        <v>3347446</v>
      </c>
      <c r="K17">
        <f t="shared" si="18"/>
        <v>3347446</v>
      </c>
      <c r="L17">
        <f t="shared" si="18"/>
        <v>3347446</v>
      </c>
      <c r="M17">
        <f t="shared" si="18"/>
        <v>3347446</v>
      </c>
      <c r="N17">
        <f t="shared" si="18"/>
        <v>3347446</v>
      </c>
      <c r="O17">
        <f t="shared" si="18"/>
        <v>3347446</v>
      </c>
      <c r="P17">
        <f t="shared" si="18"/>
        <v>3347446</v>
      </c>
      <c r="Q17">
        <f t="shared" si="18"/>
        <v>3347446</v>
      </c>
      <c r="R17">
        <f t="shared" si="18"/>
        <v>3347446</v>
      </c>
      <c r="S17">
        <f t="shared" si="18"/>
        <v>3347446</v>
      </c>
      <c r="T17">
        <f>IF(S17 &gt; G17 * 2, 1, 0)</f>
        <v>1</v>
      </c>
    </row>
    <row r="18" spans="1:20" x14ac:dyDescent="0.35">
      <c r="A18" s="9" t="s">
        <v>23</v>
      </c>
      <c r="B18" s="10">
        <v>643177</v>
      </c>
      <c r="C18" s="10">
        <v>684187</v>
      </c>
      <c r="D18" s="10">
        <v>796213</v>
      </c>
      <c r="E18" s="11">
        <v>867904</v>
      </c>
      <c r="F18" s="15">
        <f t="shared" si="0"/>
        <v>1.2537</v>
      </c>
      <c r="G18">
        <f t="shared" si="1"/>
        <v>1327364</v>
      </c>
      <c r="H18">
        <f t="shared" si="2"/>
        <v>1664117</v>
      </c>
      <c r="I18">
        <f t="shared" ref="I18:S18" si="19">IF(H18 &gt; $G18 * 2, H18,ROUNDDOWN(H18 *$F18, 0))</f>
        <v>2086303</v>
      </c>
      <c r="J18">
        <f t="shared" si="19"/>
        <v>2615598</v>
      </c>
      <c r="K18">
        <f t="shared" si="19"/>
        <v>3279175</v>
      </c>
      <c r="L18">
        <f t="shared" si="19"/>
        <v>3279175</v>
      </c>
      <c r="M18">
        <f t="shared" si="19"/>
        <v>3279175</v>
      </c>
      <c r="N18">
        <f t="shared" si="19"/>
        <v>3279175</v>
      </c>
      <c r="O18">
        <f t="shared" si="19"/>
        <v>3279175</v>
      </c>
      <c r="P18">
        <f t="shared" si="19"/>
        <v>3279175</v>
      </c>
      <c r="Q18">
        <f t="shared" si="19"/>
        <v>3279175</v>
      </c>
      <c r="R18">
        <f t="shared" si="19"/>
        <v>3279175</v>
      </c>
      <c r="S18">
        <f t="shared" si="19"/>
        <v>3279175</v>
      </c>
      <c r="T18">
        <f>IF(S18 &gt; G18 * 2, 1, 0)</f>
        <v>1</v>
      </c>
    </row>
    <row r="19" spans="1:20" x14ac:dyDescent="0.35">
      <c r="A19" s="9" t="s">
        <v>7</v>
      </c>
      <c r="B19" s="10">
        <v>679557</v>
      </c>
      <c r="C19" s="10">
        <v>655500</v>
      </c>
      <c r="D19" s="10">
        <v>1012012</v>
      </c>
      <c r="E19" s="11">
        <v>1067022</v>
      </c>
      <c r="F19" s="15">
        <f t="shared" si="0"/>
        <v>1.5571999999999999</v>
      </c>
      <c r="G19">
        <f t="shared" si="1"/>
        <v>1335057</v>
      </c>
      <c r="H19">
        <f t="shared" si="2"/>
        <v>2079034</v>
      </c>
      <c r="I19">
        <f t="shared" ref="I19:S19" si="20">IF(H19 &gt; $G19 * 2, H19,ROUNDDOWN(H19 *$F19, 0))</f>
        <v>3237471</v>
      </c>
      <c r="J19">
        <f t="shared" si="20"/>
        <v>3237471</v>
      </c>
      <c r="K19">
        <f t="shared" si="20"/>
        <v>3237471</v>
      </c>
      <c r="L19">
        <f t="shared" si="20"/>
        <v>3237471</v>
      </c>
      <c r="M19">
        <f t="shared" si="20"/>
        <v>3237471</v>
      </c>
      <c r="N19">
        <f t="shared" si="20"/>
        <v>3237471</v>
      </c>
      <c r="O19">
        <f t="shared" si="20"/>
        <v>3237471</v>
      </c>
      <c r="P19">
        <f t="shared" si="20"/>
        <v>3237471</v>
      </c>
      <c r="Q19">
        <f t="shared" si="20"/>
        <v>3237471</v>
      </c>
      <c r="R19">
        <f t="shared" si="20"/>
        <v>3237471</v>
      </c>
      <c r="S19">
        <f t="shared" si="20"/>
        <v>3237471</v>
      </c>
      <c r="T19">
        <f>IF(S19 &gt; G19 * 2, 1, 0)</f>
        <v>1</v>
      </c>
    </row>
    <row r="20" spans="1:20" x14ac:dyDescent="0.35">
      <c r="A20" s="6" t="s">
        <v>2</v>
      </c>
      <c r="B20" s="7">
        <v>1165105</v>
      </c>
      <c r="C20" s="7">
        <v>1278732</v>
      </c>
      <c r="D20" s="7">
        <v>1299953</v>
      </c>
      <c r="E20" s="8">
        <v>1191621</v>
      </c>
      <c r="F20" s="15">
        <f t="shared" si="0"/>
        <v>1.0195000000000001</v>
      </c>
      <c r="G20">
        <f t="shared" si="1"/>
        <v>2443837</v>
      </c>
      <c r="H20">
        <f t="shared" si="2"/>
        <v>2491574</v>
      </c>
      <c r="I20">
        <f t="shared" ref="I20:S20" si="21">IF(H20 &gt; $G20 * 2, H20,ROUNDDOWN(H20 *$F20, 0))</f>
        <v>2540159</v>
      </c>
      <c r="J20">
        <f t="shared" si="21"/>
        <v>2589692</v>
      </c>
      <c r="K20">
        <f t="shared" si="21"/>
        <v>2640190</v>
      </c>
      <c r="L20">
        <f t="shared" si="21"/>
        <v>2691673</v>
      </c>
      <c r="M20">
        <f t="shared" si="21"/>
        <v>2744160</v>
      </c>
      <c r="N20">
        <f t="shared" si="21"/>
        <v>2797671</v>
      </c>
      <c r="O20">
        <f t="shared" si="21"/>
        <v>2852225</v>
      </c>
      <c r="P20">
        <f t="shared" si="21"/>
        <v>2907843</v>
      </c>
      <c r="Q20">
        <f t="shared" si="21"/>
        <v>2964545</v>
      </c>
      <c r="R20">
        <f t="shared" si="21"/>
        <v>3022353</v>
      </c>
      <c r="S20">
        <f t="shared" si="21"/>
        <v>3081288</v>
      </c>
      <c r="T20">
        <f>IF(S20 &gt; G20 * 2, 1, 0)</f>
        <v>0</v>
      </c>
    </row>
    <row r="21" spans="1:20" x14ac:dyDescent="0.35">
      <c r="A21" s="9" t="s">
        <v>33</v>
      </c>
      <c r="B21" s="10">
        <v>76648</v>
      </c>
      <c r="C21" s="10">
        <v>81385</v>
      </c>
      <c r="D21" s="10">
        <v>1374708</v>
      </c>
      <c r="E21" s="11">
        <v>1379567</v>
      </c>
      <c r="F21" s="15">
        <f t="shared" si="0"/>
        <v>17.4284</v>
      </c>
      <c r="G21">
        <f t="shared" si="1"/>
        <v>158033</v>
      </c>
      <c r="H21">
        <f t="shared" si="2"/>
        <v>2754275</v>
      </c>
      <c r="I21">
        <f t="shared" ref="I21:S21" si="22">IF(H21 &gt; $G21 * 2, H21,ROUNDDOWN(H21 *$F21, 0))</f>
        <v>2754275</v>
      </c>
      <c r="J21">
        <f t="shared" si="22"/>
        <v>2754275</v>
      </c>
      <c r="K21">
        <f t="shared" si="22"/>
        <v>2754275</v>
      </c>
      <c r="L21">
        <f t="shared" si="22"/>
        <v>2754275</v>
      </c>
      <c r="M21">
        <f t="shared" si="22"/>
        <v>2754275</v>
      </c>
      <c r="N21">
        <f t="shared" si="22"/>
        <v>2754275</v>
      </c>
      <c r="O21">
        <f t="shared" si="22"/>
        <v>2754275</v>
      </c>
      <c r="P21">
        <f t="shared" si="22"/>
        <v>2754275</v>
      </c>
      <c r="Q21">
        <f t="shared" si="22"/>
        <v>2754275</v>
      </c>
      <c r="R21">
        <f t="shared" si="22"/>
        <v>2754275</v>
      </c>
      <c r="S21">
        <f t="shared" si="22"/>
        <v>2754275</v>
      </c>
      <c r="T21">
        <f>IF(S21 &gt; G21 * 2, 1, 0)</f>
        <v>1</v>
      </c>
    </row>
    <row r="22" spans="1:20" x14ac:dyDescent="0.35">
      <c r="A22" s="6" t="s">
        <v>10</v>
      </c>
      <c r="B22" s="7">
        <v>1987047</v>
      </c>
      <c r="C22" s="7">
        <v>1996208</v>
      </c>
      <c r="D22" s="7">
        <v>2053892</v>
      </c>
      <c r="E22" s="8">
        <v>1697247</v>
      </c>
      <c r="F22" s="15">
        <f t="shared" si="0"/>
        <v>0.94169999999999998</v>
      </c>
      <c r="G22">
        <f t="shared" si="1"/>
        <v>3983255</v>
      </c>
      <c r="H22">
        <f t="shared" si="2"/>
        <v>3751139</v>
      </c>
      <c r="I22">
        <f t="shared" ref="I22:S22" si="23">IF(H22 &gt; $G22 * 2, H22,ROUNDDOWN(H22 *$F22, 0))</f>
        <v>3532447</v>
      </c>
      <c r="J22">
        <f t="shared" si="23"/>
        <v>3326505</v>
      </c>
      <c r="K22">
        <f t="shared" si="23"/>
        <v>3132569</v>
      </c>
      <c r="L22">
        <f t="shared" si="23"/>
        <v>2949940</v>
      </c>
      <c r="M22">
        <f t="shared" si="23"/>
        <v>2777958</v>
      </c>
      <c r="N22">
        <f t="shared" si="23"/>
        <v>2616003</v>
      </c>
      <c r="O22">
        <f t="shared" si="23"/>
        <v>2463490</v>
      </c>
      <c r="P22">
        <f t="shared" si="23"/>
        <v>2319868</v>
      </c>
      <c r="Q22">
        <f t="shared" si="23"/>
        <v>2184619</v>
      </c>
      <c r="R22">
        <f t="shared" si="23"/>
        <v>2057255</v>
      </c>
      <c r="S22">
        <f t="shared" si="23"/>
        <v>1937317</v>
      </c>
      <c r="T22">
        <f>IF(S22 &gt; G22 * 2, 1, 0)</f>
        <v>0</v>
      </c>
    </row>
    <row r="23" spans="1:20" x14ac:dyDescent="0.35">
      <c r="A23" s="9" t="s">
        <v>1</v>
      </c>
      <c r="B23" s="10">
        <v>1711390</v>
      </c>
      <c r="C23" s="10">
        <v>1641773</v>
      </c>
      <c r="D23" s="10">
        <v>1522030</v>
      </c>
      <c r="E23" s="11">
        <v>1618733</v>
      </c>
      <c r="F23" s="15">
        <f t="shared" si="0"/>
        <v>0.93659999999999999</v>
      </c>
      <c r="G23">
        <f t="shared" si="1"/>
        <v>3353163</v>
      </c>
      <c r="H23">
        <f t="shared" si="2"/>
        <v>3140763</v>
      </c>
      <c r="I23">
        <f t="shared" ref="I23:S23" si="24">IF(H23 &gt; $G23 * 2, H23,ROUNDDOWN(H23 *$F23, 0))</f>
        <v>2941638</v>
      </c>
      <c r="J23">
        <f t="shared" si="24"/>
        <v>2755138</v>
      </c>
      <c r="K23">
        <f t="shared" si="24"/>
        <v>2580462</v>
      </c>
      <c r="L23">
        <f t="shared" si="24"/>
        <v>2416860</v>
      </c>
      <c r="M23">
        <f t="shared" si="24"/>
        <v>2263631</v>
      </c>
      <c r="N23">
        <f t="shared" si="24"/>
        <v>2120116</v>
      </c>
      <c r="O23">
        <f t="shared" si="24"/>
        <v>1985700</v>
      </c>
      <c r="P23">
        <f t="shared" si="24"/>
        <v>1859806</v>
      </c>
      <c r="Q23">
        <f t="shared" si="24"/>
        <v>1741894</v>
      </c>
      <c r="R23">
        <f t="shared" si="24"/>
        <v>1631457</v>
      </c>
      <c r="S23">
        <f t="shared" si="24"/>
        <v>1528022</v>
      </c>
      <c r="T23">
        <f>IF(S23 &gt; G23 * 2, 1, 0)</f>
        <v>0</v>
      </c>
    </row>
    <row r="24" spans="1:20" x14ac:dyDescent="0.35">
      <c r="A24" s="6" t="s">
        <v>30</v>
      </c>
      <c r="B24" s="7">
        <v>1938122</v>
      </c>
      <c r="C24" s="7">
        <v>1816647</v>
      </c>
      <c r="D24" s="7">
        <v>1602356</v>
      </c>
      <c r="E24" s="8">
        <v>1875221</v>
      </c>
      <c r="F24" s="15">
        <f t="shared" si="0"/>
        <v>0.92610000000000003</v>
      </c>
      <c r="G24">
        <f t="shared" si="1"/>
        <v>3754769</v>
      </c>
      <c r="H24">
        <f t="shared" si="2"/>
        <v>3477577</v>
      </c>
      <c r="I24">
        <f t="shared" ref="I24:S24" si="25">IF(H24 &gt; $G24 * 2, H24,ROUNDDOWN(H24 *$F24, 0))</f>
        <v>3220584</v>
      </c>
      <c r="J24">
        <f t="shared" si="25"/>
        <v>2982582</v>
      </c>
      <c r="K24">
        <f t="shared" si="25"/>
        <v>2762169</v>
      </c>
      <c r="L24">
        <f t="shared" si="25"/>
        <v>2558044</v>
      </c>
      <c r="M24">
        <f t="shared" si="25"/>
        <v>2369004</v>
      </c>
      <c r="N24">
        <f t="shared" si="25"/>
        <v>2193934</v>
      </c>
      <c r="O24">
        <f t="shared" si="25"/>
        <v>2031802</v>
      </c>
      <c r="P24">
        <f t="shared" si="25"/>
        <v>1881651</v>
      </c>
      <c r="Q24">
        <f t="shared" si="25"/>
        <v>1742596</v>
      </c>
      <c r="R24">
        <f t="shared" si="25"/>
        <v>1613818</v>
      </c>
      <c r="S24">
        <f t="shared" si="25"/>
        <v>1494556</v>
      </c>
      <c r="T24">
        <f>IF(S24 &gt; G24 * 2, 1, 0)</f>
        <v>0</v>
      </c>
    </row>
    <row r="25" spans="1:20" x14ac:dyDescent="0.35">
      <c r="A25" s="6" t="s">
        <v>6</v>
      </c>
      <c r="B25" s="7">
        <v>3841577</v>
      </c>
      <c r="C25" s="7">
        <v>3848394</v>
      </c>
      <c r="D25" s="7">
        <v>3595975</v>
      </c>
      <c r="E25" s="8">
        <v>3123039</v>
      </c>
      <c r="F25" s="15">
        <f t="shared" si="0"/>
        <v>0.87370000000000003</v>
      </c>
      <c r="G25">
        <f t="shared" si="1"/>
        <v>7689971</v>
      </c>
      <c r="H25">
        <f t="shared" si="2"/>
        <v>6719014</v>
      </c>
      <c r="I25">
        <f t="shared" ref="I25:S25" si="26">IF(H25 &gt; $G25 * 2, H25,ROUNDDOWN(H25 *$F25, 0))</f>
        <v>5870402</v>
      </c>
      <c r="J25">
        <f t="shared" si="26"/>
        <v>5128970</v>
      </c>
      <c r="K25">
        <f t="shared" si="26"/>
        <v>4481181</v>
      </c>
      <c r="L25">
        <f t="shared" si="26"/>
        <v>3915207</v>
      </c>
      <c r="M25">
        <f t="shared" si="26"/>
        <v>3420716</v>
      </c>
      <c r="N25">
        <f t="shared" si="26"/>
        <v>2988679</v>
      </c>
      <c r="O25">
        <f t="shared" si="26"/>
        <v>2611208</v>
      </c>
      <c r="P25">
        <f t="shared" si="26"/>
        <v>2281412</v>
      </c>
      <c r="Q25">
        <f t="shared" si="26"/>
        <v>1993269</v>
      </c>
      <c r="R25">
        <f t="shared" si="26"/>
        <v>1741519</v>
      </c>
      <c r="S25">
        <f t="shared" si="26"/>
        <v>1521565</v>
      </c>
      <c r="T25">
        <f>IF(S25 &gt; G25 * 2, 1, 0)</f>
        <v>0</v>
      </c>
    </row>
    <row r="26" spans="1:20" x14ac:dyDescent="0.35">
      <c r="A26" s="9" t="s">
        <v>19</v>
      </c>
      <c r="B26" s="10">
        <v>1443351</v>
      </c>
      <c r="C26" s="10">
        <v>1565539</v>
      </c>
      <c r="D26" s="10">
        <v>1355276</v>
      </c>
      <c r="E26" s="11">
        <v>1423414</v>
      </c>
      <c r="F26" s="15">
        <f t="shared" si="0"/>
        <v>0.9234</v>
      </c>
      <c r="G26">
        <f t="shared" si="1"/>
        <v>3008890</v>
      </c>
      <c r="H26">
        <f t="shared" si="2"/>
        <v>2778690</v>
      </c>
      <c r="I26">
        <f t="shared" ref="I26:S26" si="27">IF(H26 &gt; $G26 * 2, H26,ROUNDDOWN(H26 *$F26, 0))</f>
        <v>2565842</v>
      </c>
      <c r="J26">
        <f t="shared" si="27"/>
        <v>2369298</v>
      </c>
      <c r="K26">
        <f t="shared" si="27"/>
        <v>2187809</v>
      </c>
      <c r="L26">
        <f t="shared" si="27"/>
        <v>2020222</v>
      </c>
      <c r="M26">
        <f t="shared" si="27"/>
        <v>1865472</v>
      </c>
      <c r="N26">
        <f t="shared" si="27"/>
        <v>1722576</v>
      </c>
      <c r="O26">
        <f t="shared" si="27"/>
        <v>1590626</v>
      </c>
      <c r="P26">
        <f t="shared" si="27"/>
        <v>1468784</v>
      </c>
      <c r="Q26">
        <f t="shared" si="27"/>
        <v>1356275</v>
      </c>
      <c r="R26">
        <f t="shared" si="27"/>
        <v>1252384</v>
      </c>
      <c r="S26">
        <f t="shared" si="27"/>
        <v>1156451</v>
      </c>
      <c r="T26">
        <f>IF(S26 &gt; G26 * 2, 1, 0)</f>
        <v>0</v>
      </c>
    </row>
    <row r="27" spans="1:20" x14ac:dyDescent="0.35">
      <c r="A27" s="9" t="s">
        <v>25</v>
      </c>
      <c r="B27" s="10">
        <v>1037774</v>
      </c>
      <c r="C27" s="10">
        <v>1113789</v>
      </c>
      <c r="D27" s="10">
        <v>877464</v>
      </c>
      <c r="E27" s="11">
        <v>990837</v>
      </c>
      <c r="F27" s="15">
        <f t="shared" si="0"/>
        <v>0.86829999999999996</v>
      </c>
      <c r="G27">
        <f t="shared" si="1"/>
        <v>2151563</v>
      </c>
      <c r="H27">
        <f t="shared" si="2"/>
        <v>1868301</v>
      </c>
      <c r="I27">
        <f t="shared" ref="I27:S27" si="28">IF(H27 &gt; $G27 * 2, H27,ROUNDDOWN(H27 *$F27, 0))</f>
        <v>1622245</v>
      </c>
      <c r="J27">
        <f t="shared" si="28"/>
        <v>1408595</v>
      </c>
      <c r="K27">
        <f t="shared" si="28"/>
        <v>1223083</v>
      </c>
      <c r="L27">
        <f t="shared" si="28"/>
        <v>1062002</v>
      </c>
      <c r="M27">
        <f t="shared" si="28"/>
        <v>922136</v>
      </c>
      <c r="N27">
        <f t="shared" si="28"/>
        <v>800690</v>
      </c>
      <c r="O27">
        <f t="shared" si="28"/>
        <v>695239</v>
      </c>
      <c r="P27">
        <f t="shared" si="28"/>
        <v>603676</v>
      </c>
      <c r="Q27">
        <f t="shared" si="28"/>
        <v>524171</v>
      </c>
      <c r="R27">
        <f t="shared" si="28"/>
        <v>455137</v>
      </c>
      <c r="S27">
        <f t="shared" si="28"/>
        <v>395195</v>
      </c>
      <c r="T27">
        <f>IF(S27 &gt; G27 * 2, 1, 0)</f>
        <v>0</v>
      </c>
    </row>
    <row r="28" spans="1:20" x14ac:dyDescent="0.35">
      <c r="A28" s="6" t="s">
        <v>4</v>
      </c>
      <c r="B28" s="7">
        <v>2436107</v>
      </c>
      <c r="C28" s="7">
        <v>2228622</v>
      </c>
      <c r="D28" s="7">
        <v>1831600</v>
      </c>
      <c r="E28" s="8">
        <v>1960624</v>
      </c>
      <c r="F28" s="15">
        <f t="shared" si="0"/>
        <v>0.81289999999999996</v>
      </c>
      <c r="G28">
        <f t="shared" si="1"/>
        <v>4664729</v>
      </c>
      <c r="H28">
        <f t="shared" si="2"/>
        <v>3792224</v>
      </c>
      <c r="I28">
        <f t="shared" ref="I28:S28" si="29">IF(H28 &gt; $G28 * 2, H28,ROUNDDOWN(H28 *$F28, 0))</f>
        <v>3082698</v>
      </c>
      <c r="J28">
        <f t="shared" si="29"/>
        <v>2505925</v>
      </c>
      <c r="K28">
        <f t="shared" si="29"/>
        <v>2037066</v>
      </c>
      <c r="L28">
        <f t="shared" si="29"/>
        <v>1655930</v>
      </c>
      <c r="M28">
        <f t="shared" si="29"/>
        <v>1346105</v>
      </c>
      <c r="N28">
        <f t="shared" si="29"/>
        <v>1094248</v>
      </c>
      <c r="O28">
        <f t="shared" si="29"/>
        <v>889514</v>
      </c>
      <c r="P28">
        <f t="shared" si="29"/>
        <v>723085</v>
      </c>
      <c r="Q28">
        <f t="shared" si="29"/>
        <v>587795</v>
      </c>
      <c r="R28">
        <f t="shared" si="29"/>
        <v>477818</v>
      </c>
      <c r="S28">
        <f t="shared" si="29"/>
        <v>388418</v>
      </c>
      <c r="T28">
        <f>IF(S28 &gt; G28 * 2, 1, 0)</f>
        <v>0</v>
      </c>
    </row>
    <row r="29" spans="1:20" x14ac:dyDescent="0.35">
      <c r="A29" s="6" t="s">
        <v>28</v>
      </c>
      <c r="B29" s="7">
        <v>1859691</v>
      </c>
      <c r="C29" s="7">
        <v>1844250</v>
      </c>
      <c r="D29" s="7">
        <v>1460134</v>
      </c>
      <c r="E29" s="8">
        <v>1585258</v>
      </c>
      <c r="F29" s="15">
        <f t="shared" si="0"/>
        <v>0.82220000000000004</v>
      </c>
      <c r="G29">
        <f t="shared" si="1"/>
        <v>3703941</v>
      </c>
      <c r="H29">
        <f t="shared" si="2"/>
        <v>3045392</v>
      </c>
      <c r="I29">
        <f t="shared" ref="I29:S29" si="30">IF(H29 &gt; $G29 * 2, H29,ROUNDDOWN(H29 *$F29, 0))</f>
        <v>2503921</v>
      </c>
      <c r="J29">
        <f t="shared" si="30"/>
        <v>2058723</v>
      </c>
      <c r="K29">
        <f t="shared" si="30"/>
        <v>1692682</v>
      </c>
      <c r="L29">
        <f t="shared" si="30"/>
        <v>1391723</v>
      </c>
      <c r="M29">
        <f t="shared" si="30"/>
        <v>1144274</v>
      </c>
      <c r="N29">
        <f t="shared" si="30"/>
        <v>940822</v>
      </c>
      <c r="O29">
        <f t="shared" si="30"/>
        <v>773543</v>
      </c>
      <c r="P29">
        <f t="shared" si="30"/>
        <v>636007</v>
      </c>
      <c r="Q29">
        <f t="shared" si="30"/>
        <v>522924</v>
      </c>
      <c r="R29">
        <f t="shared" si="30"/>
        <v>429948</v>
      </c>
      <c r="S29">
        <f t="shared" si="30"/>
        <v>353503</v>
      </c>
      <c r="T29">
        <f>IF(S29 &gt; G29 * 2, 1, 0)</f>
        <v>0</v>
      </c>
    </row>
    <row r="30" spans="1:20" x14ac:dyDescent="0.35">
      <c r="A30" s="6" t="s">
        <v>14</v>
      </c>
      <c r="B30" s="7">
        <v>2549276</v>
      </c>
      <c r="C30" s="7">
        <v>2584751</v>
      </c>
      <c r="D30" s="7">
        <v>2033079</v>
      </c>
      <c r="E30" s="8">
        <v>2066918</v>
      </c>
      <c r="F30" s="15">
        <f t="shared" si="0"/>
        <v>0.79849999999999999</v>
      </c>
      <c r="G30">
        <f t="shared" si="1"/>
        <v>5134027</v>
      </c>
      <c r="H30">
        <f t="shared" si="2"/>
        <v>4099997</v>
      </c>
      <c r="I30">
        <f t="shared" ref="I30:S30" si="31">IF(H30 &gt; $G30 * 2, H30,ROUNDDOWN(H30 *$F30, 0))</f>
        <v>3273847</v>
      </c>
      <c r="J30">
        <f t="shared" si="31"/>
        <v>2614166</v>
      </c>
      <c r="K30">
        <f t="shared" si="31"/>
        <v>2087411</v>
      </c>
      <c r="L30">
        <f t="shared" si="31"/>
        <v>1666797</v>
      </c>
      <c r="M30">
        <f t="shared" si="31"/>
        <v>1330937</v>
      </c>
      <c r="N30">
        <f t="shared" si="31"/>
        <v>1062753</v>
      </c>
      <c r="O30">
        <f t="shared" si="31"/>
        <v>848608</v>
      </c>
      <c r="P30">
        <f t="shared" si="31"/>
        <v>677613</v>
      </c>
      <c r="Q30">
        <f t="shared" si="31"/>
        <v>541073</v>
      </c>
      <c r="R30">
        <f t="shared" si="31"/>
        <v>432046</v>
      </c>
      <c r="S30">
        <f t="shared" si="31"/>
        <v>344988</v>
      </c>
      <c r="T30">
        <f>IF(S30 &gt; G30 * 2, 1, 0)</f>
        <v>0</v>
      </c>
    </row>
    <row r="31" spans="1:20" x14ac:dyDescent="0.35">
      <c r="A31" s="6" t="s">
        <v>36</v>
      </c>
      <c r="B31" s="7">
        <v>1506541</v>
      </c>
      <c r="C31" s="7">
        <v>1414887</v>
      </c>
      <c r="D31" s="7">
        <v>1216612</v>
      </c>
      <c r="E31" s="8">
        <v>1166775</v>
      </c>
      <c r="F31" s="15">
        <f t="shared" si="0"/>
        <v>0.81579999999999997</v>
      </c>
      <c r="G31">
        <f t="shared" si="1"/>
        <v>2921428</v>
      </c>
      <c r="H31">
        <f t="shared" si="2"/>
        <v>2383387</v>
      </c>
      <c r="I31">
        <f t="shared" ref="I31:S31" si="32">IF(H31 &gt; $G31 * 2, H31,ROUNDDOWN(H31 *$F31, 0))</f>
        <v>1944367</v>
      </c>
      <c r="J31">
        <f t="shared" si="32"/>
        <v>1586214</v>
      </c>
      <c r="K31">
        <f t="shared" si="32"/>
        <v>1294033</v>
      </c>
      <c r="L31">
        <f t="shared" si="32"/>
        <v>1055672</v>
      </c>
      <c r="M31">
        <f t="shared" si="32"/>
        <v>861217</v>
      </c>
      <c r="N31">
        <f t="shared" si="32"/>
        <v>702580</v>
      </c>
      <c r="O31">
        <f t="shared" si="32"/>
        <v>573164</v>
      </c>
      <c r="P31">
        <f t="shared" si="32"/>
        <v>467587</v>
      </c>
      <c r="Q31">
        <f t="shared" si="32"/>
        <v>381457</v>
      </c>
      <c r="R31">
        <f t="shared" si="32"/>
        <v>311192</v>
      </c>
      <c r="S31">
        <f t="shared" si="32"/>
        <v>253870</v>
      </c>
      <c r="T31">
        <f>IF(S31 &gt; G31 * 2, 1, 0)</f>
        <v>0</v>
      </c>
    </row>
    <row r="32" spans="1:20" x14ac:dyDescent="0.35">
      <c r="A32" s="9" t="s">
        <v>13</v>
      </c>
      <c r="B32" s="10">
        <v>1143634</v>
      </c>
      <c r="C32" s="10">
        <v>1033836</v>
      </c>
      <c r="D32" s="10">
        <v>909534</v>
      </c>
      <c r="E32" s="11">
        <v>856349</v>
      </c>
      <c r="F32" s="15">
        <f t="shared" si="0"/>
        <v>0.81089999999999995</v>
      </c>
      <c r="G32">
        <f t="shared" si="1"/>
        <v>2177470</v>
      </c>
      <c r="H32">
        <f t="shared" si="2"/>
        <v>1765883</v>
      </c>
      <c r="I32">
        <f t="shared" ref="I32:S32" si="33">IF(H32 &gt; $G32 * 2, H32,ROUNDDOWN(H32 *$F32, 0))</f>
        <v>1431954</v>
      </c>
      <c r="J32">
        <f t="shared" si="33"/>
        <v>1161171</v>
      </c>
      <c r="K32">
        <f t="shared" si="33"/>
        <v>941593</v>
      </c>
      <c r="L32">
        <f t="shared" si="33"/>
        <v>763537</v>
      </c>
      <c r="M32">
        <f t="shared" si="33"/>
        <v>619152</v>
      </c>
      <c r="N32">
        <f t="shared" si="33"/>
        <v>502070</v>
      </c>
      <c r="O32">
        <f t="shared" si="33"/>
        <v>407128</v>
      </c>
      <c r="P32">
        <f t="shared" si="33"/>
        <v>330140</v>
      </c>
      <c r="Q32">
        <f t="shared" si="33"/>
        <v>267710</v>
      </c>
      <c r="R32">
        <f t="shared" si="33"/>
        <v>217086</v>
      </c>
      <c r="S32">
        <f t="shared" si="33"/>
        <v>176035</v>
      </c>
      <c r="T32">
        <f>IF(S32 &gt; G32 * 2, 1, 0)</f>
        <v>0</v>
      </c>
    </row>
    <row r="33" spans="1:20" x14ac:dyDescent="0.35">
      <c r="A33" s="6" t="s">
        <v>22</v>
      </c>
      <c r="B33" s="7">
        <v>2166753</v>
      </c>
      <c r="C33" s="7">
        <v>2338698</v>
      </c>
      <c r="D33" s="7">
        <v>1681433</v>
      </c>
      <c r="E33" s="8">
        <v>1592443</v>
      </c>
      <c r="F33" s="15">
        <f t="shared" si="0"/>
        <v>0.72660000000000002</v>
      </c>
      <c r="G33">
        <f t="shared" si="1"/>
        <v>4505451</v>
      </c>
      <c r="H33">
        <f t="shared" si="2"/>
        <v>3273876</v>
      </c>
      <c r="I33">
        <f t="shared" ref="I33:S33" si="34">IF(H33 &gt; $G33 * 2, H33,ROUNDDOWN(H33 *$F33, 0))</f>
        <v>2378798</v>
      </c>
      <c r="J33">
        <f t="shared" si="34"/>
        <v>1728434</v>
      </c>
      <c r="K33">
        <f t="shared" si="34"/>
        <v>1255880</v>
      </c>
      <c r="L33">
        <f t="shared" si="34"/>
        <v>912522</v>
      </c>
      <c r="M33">
        <f t="shared" si="34"/>
        <v>663038</v>
      </c>
      <c r="N33">
        <f t="shared" si="34"/>
        <v>481763</v>
      </c>
      <c r="O33">
        <f t="shared" si="34"/>
        <v>350048</v>
      </c>
      <c r="P33">
        <f t="shared" si="34"/>
        <v>254344</v>
      </c>
      <c r="Q33">
        <f t="shared" si="34"/>
        <v>184806</v>
      </c>
      <c r="R33">
        <f t="shared" si="34"/>
        <v>134280</v>
      </c>
      <c r="S33">
        <f t="shared" si="34"/>
        <v>97567</v>
      </c>
      <c r="T33">
        <f>IF(S33 &gt; G33 * 2, 1, 0)</f>
        <v>0</v>
      </c>
    </row>
    <row r="34" spans="1:20" x14ac:dyDescent="0.35">
      <c r="A34" s="9" t="s">
        <v>49</v>
      </c>
      <c r="B34" s="10">
        <v>2494207</v>
      </c>
      <c r="C34" s="10">
        <v>2625207</v>
      </c>
      <c r="D34" s="10">
        <v>1796293</v>
      </c>
      <c r="E34" s="11">
        <v>1853602</v>
      </c>
      <c r="F34" s="15">
        <f t="shared" ref="F34:F65" si="35">ROUNDDOWN(H34/G34, 4)</f>
        <v>0.71289999999999998</v>
      </c>
      <c r="G34">
        <f t="shared" ref="G34:G51" si="36">B34+C34</f>
        <v>5119414</v>
      </c>
      <c r="H34">
        <f t="shared" ref="H34:H51" si="37">D34+E34</f>
        <v>3649895</v>
      </c>
      <c r="I34">
        <f t="shared" ref="I34:S34" si="38">IF(H34 &gt; $G34 * 2, H34,ROUNDDOWN(H34 *$F34, 0))</f>
        <v>2602010</v>
      </c>
      <c r="J34">
        <f t="shared" si="38"/>
        <v>1854972</v>
      </c>
      <c r="K34">
        <f t="shared" si="38"/>
        <v>1322409</v>
      </c>
      <c r="L34">
        <f t="shared" si="38"/>
        <v>942745</v>
      </c>
      <c r="M34">
        <f t="shared" si="38"/>
        <v>672082</v>
      </c>
      <c r="N34">
        <f t="shared" si="38"/>
        <v>479127</v>
      </c>
      <c r="O34">
        <f t="shared" si="38"/>
        <v>341569</v>
      </c>
      <c r="P34">
        <f t="shared" si="38"/>
        <v>243504</v>
      </c>
      <c r="Q34">
        <f t="shared" si="38"/>
        <v>173594</v>
      </c>
      <c r="R34">
        <f t="shared" si="38"/>
        <v>123755</v>
      </c>
      <c r="S34">
        <f t="shared" si="38"/>
        <v>88224</v>
      </c>
      <c r="T34">
        <f>IF(S34 &gt; G34 * 2, 1, 0)</f>
        <v>0</v>
      </c>
    </row>
    <row r="35" spans="1:20" x14ac:dyDescent="0.35">
      <c r="A35" s="9" t="s">
        <v>9</v>
      </c>
      <c r="B35" s="10">
        <v>1157622</v>
      </c>
      <c r="C35" s="10">
        <v>1182345</v>
      </c>
      <c r="D35" s="10">
        <v>830785</v>
      </c>
      <c r="E35" s="11">
        <v>833779</v>
      </c>
      <c r="F35" s="15">
        <f t="shared" si="35"/>
        <v>0.71130000000000004</v>
      </c>
      <c r="G35">
        <f t="shared" si="36"/>
        <v>2339967</v>
      </c>
      <c r="H35">
        <f t="shared" si="37"/>
        <v>1664564</v>
      </c>
      <c r="I35">
        <f t="shared" ref="I35:S35" si="39">IF(H35 &gt; $G35 * 2, H35,ROUNDDOWN(H35 *$F35, 0))</f>
        <v>1184004</v>
      </c>
      <c r="J35">
        <f t="shared" si="39"/>
        <v>842182</v>
      </c>
      <c r="K35">
        <f t="shared" si="39"/>
        <v>599044</v>
      </c>
      <c r="L35">
        <f t="shared" si="39"/>
        <v>426099</v>
      </c>
      <c r="M35">
        <f t="shared" si="39"/>
        <v>303084</v>
      </c>
      <c r="N35">
        <f t="shared" si="39"/>
        <v>215583</v>
      </c>
      <c r="O35">
        <f t="shared" si="39"/>
        <v>153344</v>
      </c>
      <c r="P35">
        <f t="shared" si="39"/>
        <v>109073</v>
      </c>
      <c r="Q35">
        <f t="shared" si="39"/>
        <v>77583</v>
      </c>
      <c r="R35">
        <f t="shared" si="39"/>
        <v>55184</v>
      </c>
      <c r="S35">
        <f t="shared" si="39"/>
        <v>39252</v>
      </c>
      <c r="T35">
        <f>IF(S35 &gt; G35 * 2, 1, 0)</f>
        <v>0</v>
      </c>
    </row>
    <row r="36" spans="1:20" x14ac:dyDescent="0.35">
      <c r="A36" s="9" t="s">
        <v>3</v>
      </c>
      <c r="B36" s="10">
        <v>949065</v>
      </c>
      <c r="C36" s="10">
        <v>1026050</v>
      </c>
      <c r="D36" s="10">
        <v>688027</v>
      </c>
      <c r="E36" s="11">
        <v>723233</v>
      </c>
      <c r="F36" s="15">
        <f t="shared" si="35"/>
        <v>0.71450000000000002</v>
      </c>
      <c r="G36">
        <f t="shared" si="36"/>
        <v>1975115</v>
      </c>
      <c r="H36">
        <f t="shared" si="37"/>
        <v>1411260</v>
      </c>
      <c r="I36">
        <f t="shared" ref="I36:S36" si="40">IF(H36 &gt; $G36 * 2, H36,ROUNDDOWN(H36 *$F36, 0))</f>
        <v>1008345</v>
      </c>
      <c r="J36">
        <f t="shared" si="40"/>
        <v>720462</v>
      </c>
      <c r="K36">
        <f t="shared" si="40"/>
        <v>514770</v>
      </c>
      <c r="L36">
        <f t="shared" si="40"/>
        <v>367803</v>
      </c>
      <c r="M36">
        <f t="shared" si="40"/>
        <v>262795</v>
      </c>
      <c r="N36">
        <f t="shared" si="40"/>
        <v>187767</v>
      </c>
      <c r="O36">
        <f t="shared" si="40"/>
        <v>134159</v>
      </c>
      <c r="P36">
        <f t="shared" si="40"/>
        <v>95856</v>
      </c>
      <c r="Q36">
        <f t="shared" si="40"/>
        <v>68489</v>
      </c>
      <c r="R36">
        <f t="shared" si="40"/>
        <v>48935</v>
      </c>
      <c r="S36">
        <f t="shared" si="40"/>
        <v>34964</v>
      </c>
      <c r="T36">
        <f>IF(S36 &gt; G36 * 2, 1, 0)</f>
        <v>0</v>
      </c>
    </row>
    <row r="37" spans="1:20" x14ac:dyDescent="0.35">
      <c r="A37" s="6" t="s">
        <v>8</v>
      </c>
      <c r="B37" s="7">
        <v>1660998</v>
      </c>
      <c r="C37" s="7">
        <v>1630345</v>
      </c>
      <c r="D37" s="7">
        <v>1130119</v>
      </c>
      <c r="E37" s="8">
        <v>1080238</v>
      </c>
      <c r="F37" s="15">
        <f t="shared" si="35"/>
        <v>0.67149999999999999</v>
      </c>
      <c r="G37">
        <f t="shared" si="36"/>
        <v>3291343</v>
      </c>
      <c r="H37">
        <f t="shared" si="37"/>
        <v>2210357</v>
      </c>
      <c r="I37">
        <f t="shared" ref="I37:S37" si="41">IF(H37 &gt; $G37 * 2, H37,ROUNDDOWN(H37 *$F37, 0))</f>
        <v>1484254</v>
      </c>
      <c r="J37">
        <f t="shared" si="41"/>
        <v>996676</v>
      </c>
      <c r="K37">
        <f t="shared" si="41"/>
        <v>669267</v>
      </c>
      <c r="L37">
        <f t="shared" si="41"/>
        <v>449412</v>
      </c>
      <c r="M37">
        <f t="shared" si="41"/>
        <v>301780</v>
      </c>
      <c r="N37">
        <f t="shared" si="41"/>
        <v>202645</v>
      </c>
      <c r="O37">
        <f t="shared" si="41"/>
        <v>136076</v>
      </c>
      <c r="P37">
        <f t="shared" si="41"/>
        <v>91375</v>
      </c>
      <c r="Q37">
        <f t="shared" si="41"/>
        <v>61358</v>
      </c>
      <c r="R37">
        <f t="shared" si="41"/>
        <v>41201</v>
      </c>
      <c r="S37">
        <f t="shared" si="41"/>
        <v>27666</v>
      </c>
      <c r="T37">
        <f>IF(S37 &gt; G37 * 2, 1, 0)</f>
        <v>0</v>
      </c>
    </row>
    <row r="38" spans="1:20" x14ac:dyDescent="0.35">
      <c r="A38" s="6" t="s">
        <v>16</v>
      </c>
      <c r="B38" s="7">
        <v>2567464</v>
      </c>
      <c r="C38" s="7">
        <v>2441857</v>
      </c>
      <c r="D38" s="7">
        <v>1524132</v>
      </c>
      <c r="E38" s="8">
        <v>1496810</v>
      </c>
      <c r="F38" s="15">
        <f t="shared" si="35"/>
        <v>0.60299999999999998</v>
      </c>
      <c r="G38">
        <f t="shared" si="36"/>
        <v>5009321</v>
      </c>
      <c r="H38">
        <f t="shared" si="37"/>
        <v>3020942</v>
      </c>
      <c r="I38">
        <f t="shared" ref="I38:S38" si="42">IF(H38 &gt; $G38 * 2, H38,ROUNDDOWN(H38 *$F38, 0))</f>
        <v>1821628</v>
      </c>
      <c r="J38">
        <f t="shared" si="42"/>
        <v>1098441</v>
      </c>
      <c r="K38">
        <f t="shared" si="42"/>
        <v>662359</v>
      </c>
      <c r="L38">
        <f t="shared" si="42"/>
        <v>399402</v>
      </c>
      <c r="M38">
        <f t="shared" si="42"/>
        <v>240839</v>
      </c>
      <c r="N38">
        <f t="shared" si="42"/>
        <v>145225</v>
      </c>
      <c r="O38">
        <f t="shared" si="42"/>
        <v>87570</v>
      </c>
      <c r="P38">
        <f t="shared" si="42"/>
        <v>52804</v>
      </c>
      <c r="Q38">
        <f t="shared" si="42"/>
        <v>31840</v>
      </c>
      <c r="R38">
        <f t="shared" si="42"/>
        <v>19199</v>
      </c>
      <c r="S38">
        <f t="shared" si="42"/>
        <v>11576</v>
      </c>
      <c r="T38">
        <f>IF(S38 &gt; G38 * 2, 1, 0)</f>
        <v>0</v>
      </c>
    </row>
    <row r="39" spans="1:20" x14ac:dyDescent="0.35">
      <c r="A39" s="6" t="s">
        <v>18</v>
      </c>
      <c r="B39" s="7">
        <v>2976209</v>
      </c>
      <c r="C39" s="7">
        <v>3199665</v>
      </c>
      <c r="D39" s="7">
        <v>1666477</v>
      </c>
      <c r="E39" s="8">
        <v>1759240</v>
      </c>
      <c r="F39" s="15">
        <f t="shared" si="35"/>
        <v>0.55459999999999998</v>
      </c>
      <c r="G39">
        <f t="shared" si="36"/>
        <v>6175874</v>
      </c>
      <c r="H39">
        <f t="shared" si="37"/>
        <v>3425717</v>
      </c>
      <c r="I39">
        <f t="shared" ref="I39:S39" si="43">IF(H39 &gt; $G39 * 2, H39,ROUNDDOWN(H39 *$F39, 0))</f>
        <v>1899902</v>
      </c>
      <c r="J39">
        <f t="shared" si="43"/>
        <v>1053685</v>
      </c>
      <c r="K39">
        <f t="shared" si="43"/>
        <v>584373</v>
      </c>
      <c r="L39">
        <f t="shared" si="43"/>
        <v>324093</v>
      </c>
      <c r="M39">
        <f t="shared" si="43"/>
        <v>179741</v>
      </c>
      <c r="N39">
        <f t="shared" si="43"/>
        <v>99684</v>
      </c>
      <c r="O39">
        <f t="shared" si="43"/>
        <v>55284</v>
      </c>
      <c r="P39">
        <f t="shared" si="43"/>
        <v>30660</v>
      </c>
      <c r="Q39">
        <f t="shared" si="43"/>
        <v>17004</v>
      </c>
      <c r="R39">
        <f t="shared" si="43"/>
        <v>9430</v>
      </c>
      <c r="S39">
        <f t="shared" si="43"/>
        <v>5229</v>
      </c>
      <c r="T39">
        <f>IF(S39 &gt; G39 * 2, 1, 0)</f>
        <v>0</v>
      </c>
    </row>
    <row r="40" spans="1:20" x14ac:dyDescent="0.35">
      <c r="A40" s="6" t="s">
        <v>26</v>
      </c>
      <c r="B40" s="7">
        <v>2351213</v>
      </c>
      <c r="C40" s="7">
        <v>2358482</v>
      </c>
      <c r="D40" s="7">
        <v>1098384</v>
      </c>
      <c r="E40" s="8">
        <v>1121488</v>
      </c>
      <c r="F40" s="15">
        <f t="shared" si="35"/>
        <v>0.4713</v>
      </c>
      <c r="G40">
        <f t="shared" si="36"/>
        <v>4709695</v>
      </c>
      <c r="H40">
        <f t="shared" si="37"/>
        <v>2219872</v>
      </c>
      <c r="I40">
        <f t="shared" ref="I40:S40" si="44">IF(H40 &gt; $G40 * 2, H40,ROUNDDOWN(H40 *$F40, 0))</f>
        <v>1046225</v>
      </c>
      <c r="J40">
        <f t="shared" si="44"/>
        <v>493085</v>
      </c>
      <c r="K40">
        <f t="shared" si="44"/>
        <v>232390</v>
      </c>
      <c r="L40">
        <f t="shared" si="44"/>
        <v>109525</v>
      </c>
      <c r="M40">
        <f t="shared" si="44"/>
        <v>51619</v>
      </c>
      <c r="N40">
        <f t="shared" si="44"/>
        <v>24328</v>
      </c>
      <c r="O40">
        <f t="shared" si="44"/>
        <v>11465</v>
      </c>
      <c r="P40">
        <f t="shared" si="44"/>
        <v>5403</v>
      </c>
      <c r="Q40">
        <f t="shared" si="44"/>
        <v>2546</v>
      </c>
      <c r="R40">
        <f t="shared" si="44"/>
        <v>1199</v>
      </c>
      <c r="S40">
        <f t="shared" si="44"/>
        <v>565</v>
      </c>
      <c r="T40">
        <f>IF(S40 &gt; G40 * 2, 1, 0)</f>
        <v>0</v>
      </c>
    </row>
    <row r="41" spans="1:20" x14ac:dyDescent="0.35">
      <c r="A41" s="9" t="s">
        <v>17</v>
      </c>
      <c r="B41" s="10">
        <v>1334060</v>
      </c>
      <c r="C41" s="10">
        <v>1395231</v>
      </c>
      <c r="D41" s="10">
        <v>578655</v>
      </c>
      <c r="E41" s="11">
        <v>677663</v>
      </c>
      <c r="F41" s="15">
        <f t="shared" si="35"/>
        <v>0.46029999999999999</v>
      </c>
      <c r="G41">
        <f t="shared" si="36"/>
        <v>2729291</v>
      </c>
      <c r="H41">
        <f t="shared" si="37"/>
        <v>1256318</v>
      </c>
      <c r="I41">
        <f t="shared" ref="I41:S41" si="45">IF(H41 &gt; $G41 * 2, H41,ROUNDDOWN(H41 *$F41, 0))</f>
        <v>578283</v>
      </c>
      <c r="J41">
        <f t="shared" si="45"/>
        <v>266183</v>
      </c>
      <c r="K41">
        <f t="shared" si="45"/>
        <v>122524</v>
      </c>
      <c r="L41">
        <f t="shared" si="45"/>
        <v>56397</v>
      </c>
      <c r="M41">
        <f t="shared" si="45"/>
        <v>25959</v>
      </c>
      <c r="N41">
        <f t="shared" si="45"/>
        <v>11948</v>
      </c>
      <c r="O41">
        <f t="shared" si="45"/>
        <v>5499</v>
      </c>
      <c r="P41">
        <f t="shared" si="45"/>
        <v>2531</v>
      </c>
      <c r="Q41">
        <f t="shared" si="45"/>
        <v>1165</v>
      </c>
      <c r="R41">
        <f t="shared" si="45"/>
        <v>536</v>
      </c>
      <c r="S41">
        <f t="shared" si="45"/>
        <v>246</v>
      </c>
      <c r="T41">
        <f>IF(S41 &gt; G41 * 2, 1, 0)</f>
        <v>0</v>
      </c>
    </row>
    <row r="42" spans="1:20" x14ac:dyDescent="0.35">
      <c r="A42" s="6" t="s">
        <v>34</v>
      </c>
      <c r="B42" s="7">
        <v>2574432</v>
      </c>
      <c r="C42" s="7">
        <v>2409710</v>
      </c>
      <c r="D42" s="7">
        <v>987486</v>
      </c>
      <c r="E42" s="8">
        <v>999043</v>
      </c>
      <c r="F42" s="15">
        <f t="shared" si="35"/>
        <v>0.39850000000000002</v>
      </c>
      <c r="G42">
        <f t="shared" si="36"/>
        <v>4984142</v>
      </c>
      <c r="H42">
        <f t="shared" si="37"/>
        <v>1986529</v>
      </c>
      <c r="I42">
        <f t="shared" ref="I42:S42" si="46">IF(H42 &gt; $G42 * 2, H42,ROUNDDOWN(H42 *$F42, 0))</f>
        <v>791631</v>
      </c>
      <c r="J42">
        <f t="shared" si="46"/>
        <v>315464</v>
      </c>
      <c r="K42">
        <f t="shared" si="46"/>
        <v>125712</v>
      </c>
      <c r="L42">
        <f t="shared" si="46"/>
        <v>50096</v>
      </c>
      <c r="M42">
        <f t="shared" si="46"/>
        <v>19963</v>
      </c>
      <c r="N42">
        <f t="shared" si="46"/>
        <v>7955</v>
      </c>
      <c r="O42">
        <f t="shared" si="46"/>
        <v>3170</v>
      </c>
      <c r="P42">
        <f t="shared" si="46"/>
        <v>1263</v>
      </c>
      <c r="Q42">
        <f t="shared" si="46"/>
        <v>503</v>
      </c>
      <c r="R42">
        <f t="shared" si="46"/>
        <v>200</v>
      </c>
      <c r="S42">
        <f t="shared" si="46"/>
        <v>79</v>
      </c>
      <c r="T42">
        <f>IF(S42 &gt; G42 * 2, 1, 0)</f>
        <v>0</v>
      </c>
    </row>
    <row r="43" spans="1:20" x14ac:dyDescent="0.35">
      <c r="A43" s="6" t="s">
        <v>20</v>
      </c>
      <c r="B43" s="7">
        <v>2486640</v>
      </c>
      <c r="C43" s="7">
        <v>2265936</v>
      </c>
      <c r="D43" s="7">
        <v>297424</v>
      </c>
      <c r="E43" s="8">
        <v>274759</v>
      </c>
      <c r="F43" s="15">
        <f t="shared" si="35"/>
        <v>0.1203</v>
      </c>
      <c r="G43">
        <f t="shared" si="36"/>
        <v>4752576</v>
      </c>
      <c r="H43">
        <f t="shared" si="37"/>
        <v>572183</v>
      </c>
      <c r="I43">
        <f t="shared" ref="I43:S43" si="47">IF(H43 &gt; $G43 * 2, H43,ROUNDDOWN(H43 *$F43, 0))</f>
        <v>68833</v>
      </c>
      <c r="J43">
        <f t="shared" si="47"/>
        <v>8280</v>
      </c>
      <c r="K43">
        <f t="shared" si="47"/>
        <v>996</v>
      </c>
      <c r="L43">
        <f t="shared" si="47"/>
        <v>119</v>
      </c>
      <c r="M43">
        <f t="shared" si="47"/>
        <v>14</v>
      </c>
      <c r="N43">
        <f t="shared" si="47"/>
        <v>1</v>
      </c>
      <c r="O43">
        <f t="shared" si="47"/>
        <v>0</v>
      </c>
      <c r="P43">
        <f t="shared" si="47"/>
        <v>0</v>
      </c>
      <c r="Q43">
        <f t="shared" si="47"/>
        <v>0</v>
      </c>
      <c r="R43">
        <f t="shared" si="47"/>
        <v>0</v>
      </c>
      <c r="S43">
        <f t="shared" si="47"/>
        <v>0</v>
      </c>
      <c r="T43">
        <f>IF(S43 &gt; G43 * 2, 1, 0)</f>
        <v>0</v>
      </c>
    </row>
    <row r="44" spans="1:20" x14ac:dyDescent="0.35">
      <c r="A44" s="9" t="s">
        <v>27</v>
      </c>
      <c r="B44" s="10">
        <v>2613354</v>
      </c>
      <c r="C44" s="10">
        <v>2837241</v>
      </c>
      <c r="D44" s="10">
        <v>431144</v>
      </c>
      <c r="E44" s="11">
        <v>434113</v>
      </c>
      <c r="F44" s="15">
        <f t="shared" si="35"/>
        <v>0.15870000000000001</v>
      </c>
      <c r="G44">
        <f t="shared" si="36"/>
        <v>5450595</v>
      </c>
      <c r="H44">
        <f t="shared" si="37"/>
        <v>865257</v>
      </c>
      <c r="I44">
        <f t="shared" ref="I44:S44" si="48">IF(H44 &gt; $G44 * 2, H44,ROUNDDOWN(H44 *$F44, 0))</f>
        <v>137316</v>
      </c>
      <c r="J44">
        <f t="shared" si="48"/>
        <v>21792</v>
      </c>
      <c r="K44">
        <f t="shared" si="48"/>
        <v>3458</v>
      </c>
      <c r="L44">
        <f t="shared" si="48"/>
        <v>548</v>
      </c>
      <c r="M44">
        <f t="shared" si="48"/>
        <v>86</v>
      </c>
      <c r="N44">
        <f t="shared" si="48"/>
        <v>13</v>
      </c>
      <c r="O44">
        <f t="shared" si="48"/>
        <v>2</v>
      </c>
      <c r="P44">
        <f t="shared" si="48"/>
        <v>0</v>
      </c>
      <c r="Q44">
        <f t="shared" si="48"/>
        <v>0</v>
      </c>
      <c r="R44">
        <f t="shared" si="48"/>
        <v>0</v>
      </c>
      <c r="S44">
        <f t="shared" si="48"/>
        <v>0</v>
      </c>
      <c r="T44">
        <f>IF(S44 &gt; G44 * 2, 1, 0)</f>
        <v>0</v>
      </c>
    </row>
    <row r="45" spans="1:20" x14ac:dyDescent="0.35">
      <c r="A45" s="9" t="s">
        <v>29</v>
      </c>
      <c r="B45" s="10">
        <v>2478386</v>
      </c>
      <c r="C45" s="10">
        <v>2562144</v>
      </c>
      <c r="D45" s="10">
        <v>30035</v>
      </c>
      <c r="E45" s="11">
        <v>29396</v>
      </c>
      <c r="F45" s="15">
        <f t="shared" si="35"/>
        <v>1.17E-2</v>
      </c>
      <c r="G45">
        <f t="shared" si="36"/>
        <v>5040530</v>
      </c>
      <c r="H45">
        <f t="shared" si="37"/>
        <v>59431</v>
      </c>
      <c r="I45">
        <f t="shared" ref="I45:S45" si="49">IF(H45 &gt; $G45 * 2, H45,ROUNDDOWN(H45 *$F45, 0))</f>
        <v>695</v>
      </c>
      <c r="J45">
        <f t="shared" si="49"/>
        <v>8</v>
      </c>
      <c r="K45">
        <f t="shared" si="49"/>
        <v>0</v>
      </c>
      <c r="L45">
        <f t="shared" si="49"/>
        <v>0</v>
      </c>
      <c r="M45">
        <f t="shared" si="49"/>
        <v>0</v>
      </c>
      <c r="N45">
        <f t="shared" si="49"/>
        <v>0</v>
      </c>
      <c r="O45">
        <f t="shared" si="49"/>
        <v>0</v>
      </c>
      <c r="P45">
        <f t="shared" si="49"/>
        <v>0</v>
      </c>
      <c r="Q45">
        <f t="shared" si="49"/>
        <v>0</v>
      </c>
      <c r="R45">
        <f t="shared" si="49"/>
        <v>0</v>
      </c>
      <c r="S45">
        <f t="shared" si="49"/>
        <v>0</v>
      </c>
      <c r="T45">
        <f>IF(S45 &gt; G45 * 2, 1, 0)</f>
        <v>0</v>
      </c>
    </row>
    <row r="46" spans="1:20" x14ac:dyDescent="0.35">
      <c r="A46" s="6" t="s">
        <v>32</v>
      </c>
      <c r="B46" s="7">
        <v>2966291</v>
      </c>
      <c r="C46" s="7">
        <v>2889963</v>
      </c>
      <c r="D46" s="7">
        <v>462453</v>
      </c>
      <c r="E46" s="8">
        <v>486354</v>
      </c>
      <c r="F46" s="15">
        <f t="shared" si="35"/>
        <v>0.16200000000000001</v>
      </c>
      <c r="G46">
        <f t="shared" si="36"/>
        <v>5856254</v>
      </c>
      <c r="H46">
        <f t="shared" si="37"/>
        <v>948807</v>
      </c>
      <c r="I46">
        <f t="shared" ref="I46:S46" si="50">IF(H46 &gt; $G46 * 2, H46,ROUNDDOWN(H46 *$F46, 0))</f>
        <v>153706</v>
      </c>
      <c r="J46">
        <f t="shared" si="50"/>
        <v>24900</v>
      </c>
      <c r="K46">
        <f t="shared" si="50"/>
        <v>4033</v>
      </c>
      <c r="L46">
        <f t="shared" si="50"/>
        <v>653</v>
      </c>
      <c r="M46">
        <f t="shared" si="50"/>
        <v>105</v>
      </c>
      <c r="N46">
        <f t="shared" si="50"/>
        <v>17</v>
      </c>
      <c r="O46">
        <f t="shared" si="50"/>
        <v>2</v>
      </c>
      <c r="P46">
        <f t="shared" si="50"/>
        <v>0</v>
      </c>
      <c r="Q46">
        <f t="shared" si="50"/>
        <v>0</v>
      </c>
      <c r="R46">
        <f t="shared" si="50"/>
        <v>0</v>
      </c>
      <c r="S46">
        <f t="shared" si="50"/>
        <v>0</v>
      </c>
      <c r="T46">
        <f>IF(S46 &gt; G46 * 2, 1, 0)</f>
        <v>0</v>
      </c>
    </row>
    <row r="47" spans="1:20" x14ac:dyDescent="0.35">
      <c r="A47" s="9" t="s">
        <v>35</v>
      </c>
      <c r="B47" s="10">
        <v>1778590</v>
      </c>
      <c r="C47" s="10">
        <v>1874844</v>
      </c>
      <c r="D47" s="10">
        <v>111191</v>
      </c>
      <c r="E47" s="11">
        <v>117846</v>
      </c>
      <c r="F47" s="15">
        <f t="shared" si="35"/>
        <v>6.2600000000000003E-2</v>
      </c>
      <c r="G47">
        <f t="shared" si="36"/>
        <v>3653434</v>
      </c>
      <c r="H47">
        <f t="shared" si="37"/>
        <v>229037</v>
      </c>
      <c r="I47">
        <f t="shared" ref="I47:S47" si="51">IF(H47 &gt; $G47 * 2, H47,ROUNDDOWN(H47 *$F47, 0))</f>
        <v>14337</v>
      </c>
      <c r="J47">
        <f t="shared" si="51"/>
        <v>897</v>
      </c>
      <c r="K47">
        <f t="shared" si="51"/>
        <v>56</v>
      </c>
      <c r="L47">
        <f t="shared" si="51"/>
        <v>3</v>
      </c>
      <c r="M47">
        <f t="shared" si="51"/>
        <v>0</v>
      </c>
      <c r="N47">
        <f t="shared" si="51"/>
        <v>0</v>
      </c>
      <c r="O47">
        <f t="shared" si="51"/>
        <v>0</v>
      </c>
      <c r="P47">
        <f t="shared" si="51"/>
        <v>0</v>
      </c>
      <c r="Q47">
        <f t="shared" si="51"/>
        <v>0</v>
      </c>
      <c r="R47">
        <f t="shared" si="51"/>
        <v>0</v>
      </c>
      <c r="S47">
        <f t="shared" si="51"/>
        <v>0</v>
      </c>
      <c r="T47">
        <f>IF(S47 &gt; G47 * 2, 1, 0)</f>
        <v>0</v>
      </c>
    </row>
    <row r="48" spans="1:20" x14ac:dyDescent="0.35">
      <c r="A48" s="9" t="s">
        <v>37</v>
      </c>
      <c r="B48" s="10">
        <v>1598886</v>
      </c>
      <c r="C48" s="10">
        <v>1687917</v>
      </c>
      <c r="D48" s="10">
        <v>449788</v>
      </c>
      <c r="E48" s="11">
        <v>427615</v>
      </c>
      <c r="F48" s="15">
        <f t="shared" si="35"/>
        <v>0.26690000000000003</v>
      </c>
      <c r="G48">
        <f t="shared" si="36"/>
        <v>3286803</v>
      </c>
      <c r="H48">
        <f t="shared" si="37"/>
        <v>877403</v>
      </c>
      <c r="I48">
        <f t="shared" ref="I48:S48" si="52">IF(H48 &gt; $G48 * 2, H48,ROUNDDOWN(H48 *$F48, 0))</f>
        <v>234178</v>
      </c>
      <c r="J48">
        <f t="shared" si="52"/>
        <v>62502</v>
      </c>
      <c r="K48">
        <f t="shared" si="52"/>
        <v>16681</v>
      </c>
      <c r="L48">
        <f t="shared" si="52"/>
        <v>4452</v>
      </c>
      <c r="M48">
        <f t="shared" si="52"/>
        <v>1188</v>
      </c>
      <c r="N48">
        <f t="shared" si="52"/>
        <v>317</v>
      </c>
      <c r="O48">
        <f t="shared" si="52"/>
        <v>84</v>
      </c>
      <c r="P48">
        <f t="shared" si="52"/>
        <v>22</v>
      </c>
      <c r="Q48">
        <f t="shared" si="52"/>
        <v>5</v>
      </c>
      <c r="R48">
        <f t="shared" si="52"/>
        <v>1</v>
      </c>
      <c r="S48">
        <f t="shared" si="52"/>
        <v>0</v>
      </c>
      <c r="T48">
        <f>IF(S48 &gt; G48 * 2, 1, 0)</f>
        <v>0</v>
      </c>
    </row>
    <row r="49" spans="1:20" x14ac:dyDescent="0.35">
      <c r="A49" s="6" t="s">
        <v>40</v>
      </c>
      <c r="B49" s="7">
        <v>2115336</v>
      </c>
      <c r="C49" s="7">
        <v>2202769</v>
      </c>
      <c r="D49" s="7">
        <v>15339</v>
      </c>
      <c r="E49" s="8">
        <v>14652</v>
      </c>
      <c r="F49" s="15">
        <f t="shared" si="35"/>
        <v>6.8999999999999999E-3</v>
      </c>
      <c r="G49">
        <f t="shared" si="36"/>
        <v>4318105</v>
      </c>
      <c r="H49">
        <f t="shared" si="37"/>
        <v>29991</v>
      </c>
      <c r="I49">
        <f t="shared" ref="I49:S49" si="53">IF(H49 &gt; $G49 * 2, H49,ROUNDDOWN(H49 *$F49, 0))</f>
        <v>206</v>
      </c>
      <c r="J49">
        <f t="shared" si="53"/>
        <v>1</v>
      </c>
      <c r="K49">
        <f t="shared" si="53"/>
        <v>0</v>
      </c>
      <c r="L49">
        <f t="shared" si="53"/>
        <v>0</v>
      </c>
      <c r="M49">
        <f t="shared" si="53"/>
        <v>0</v>
      </c>
      <c r="N49">
        <f t="shared" si="53"/>
        <v>0</v>
      </c>
      <c r="O49">
        <f t="shared" si="53"/>
        <v>0</v>
      </c>
      <c r="P49">
        <f t="shared" si="53"/>
        <v>0</v>
      </c>
      <c r="Q49">
        <f t="shared" si="53"/>
        <v>0</v>
      </c>
      <c r="R49">
        <f t="shared" si="53"/>
        <v>0</v>
      </c>
      <c r="S49">
        <f t="shared" si="53"/>
        <v>0</v>
      </c>
      <c r="T49">
        <f>IF(S49 &gt; G49 * 2, 1, 0)</f>
        <v>0</v>
      </c>
    </row>
    <row r="50" spans="1:20" x14ac:dyDescent="0.35">
      <c r="A50" s="9" t="s">
        <v>41</v>
      </c>
      <c r="B50" s="10">
        <v>2346640</v>
      </c>
      <c r="C50" s="10">
        <v>2197559</v>
      </c>
      <c r="D50" s="10">
        <v>373470</v>
      </c>
      <c r="E50" s="11">
        <v>353365</v>
      </c>
      <c r="F50" s="15">
        <f t="shared" si="35"/>
        <v>0.15989999999999999</v>
      </c>
      <c r="G50">
        <f t="shared" si="36"/>
        <v>4544199</v>
      </c>
      <c r="H50">
        <f t="shared" si="37"/>
        <v>726835</v>
      </c>
      <c r="I50">
        <f t="shared" ref="I50:S50" si="54">IF(H50 &gt; $G50 * 2, H50,ROUNDDOWN(H50 *$F50, 0))</f>
        <v>116220</v>
      </c>
      <c r="J50">
        <f t="shared" si="54"/>
        <v>18583</v>
      </c>
      <c r="K50">
        <f t="shared" si="54"/>
        <v>2971</v>
      </c>
      <c r="L50">
        <f t="shared" si="54"/>
        <v>475</v>
      </c>
      <c r="M50">
        <f t="shared" si="54"/>
        <v>75</v>
      </c>
      <c r="N50">
        <f t="shared" si="54"/>
        <v>11</v>
      </c>
      <c r="O50">
        <f t="shared" si="54"/>
        <v>1</v>
      </c>
      <c r="P50">
        <f t="shared" si="54"/>
        <v>0</v>
      </c>
      <c r="Q50">
        <f t="shared" si="54"/>
        <v>0</v>
      </c>
      <c r="R50">
        <f t="shared" si="54"/>
        <v>0</v>
      </c>
      <c r="S50">
        <f t="shared" si="54"/>
        <v>0</v>
      </c>
      <c r="T50">
        <f>IF(S50 &gt; G50 * 2, 1, 0)</f>
        <v>0</v>
      </c>
    </row>
    <row r="51" spans="1:20" x14ac:dyDescent="0.35">
      <c r="A51" s="16" t="s">
        <v>42</v>
      </c>
      <c r="B51" s="17">
        <v>2548438</v>
      </c>
      <c r="C51" s="17">
        <v>2577213</v>
      </c>
      <c r="D51" s="17">
        <v>37986</v>
      </c>
      <c r="E51" s="18">
        <v>37766</v>
      </c>
      <c r="F51" s="15">
        <f t="shared" si="35"/>
        <v>1.47E-2</v>
      </c>
      <c r="G51">
        <f t="shared" si="36"/>
        <v>5125651</v>
      </c>
      <c r="H51">
        <f t="shared" si="37"/>
        <v>75752</v>
      </c>
      <c r="I51">
        <f t="shared" ref="I51:S51" si="55">IF(H51 &gt; $G51 * 2, H51,ROUNDDOWN(H51 *$F51, 0))</f>
        <v>1113</v>
      </c>
      <c r="J51">
        <f t="shared" si="55"/>
        <v>16</v>
      </c>
      <c r="K51">
        <f t="shared" si="55"/>
        <v>0</v>
      </c>
      <c r="L51">
        <f t="shared" si="55"/>
        <v>0</v>
      </c>
      <c r="M51">
        <f t="shared" si="55"/>
        <v>0</v>
      </c>
      <c r="N51">
        <f t="shared" si="55"/>
        <v>0</v>
      </c>
      <c r="O51">
        <f t="shared" si="55"/>
        <v>0</v>
      </c>
      <c r="P51">
        <f t="shared" si="55"/>
        <v>0</v>
      </c>
      <c r="Q51">
        <f t="shared" si="55"/>
        <v>0</v>
      </c>
      <c r="R51">
        <f t="shared" si="55"/>
        <v>0</v>
      </c>
      <c r="S51">
        <f t="shared" si="55"/>
        <v>0</v>
      </c>
      <c r="T51">
        <f>IF(S51 &gt; G51 * 2, 1, 0)</f>
        <v>0</v>
      </c>
    </row>
  </sheetData>
  <sortState xmlns:xlrd2="http://schemas.microsoft.com/office/spreadsheetml/2017/richdata2" ref="A2:S51">
    <sortCondition descending="1" ref="S2:S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9CA264-8D2B-47DC-8FDE-4FC167543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5.1</vt:lpstr>
      <vt:lpstr>5.2</vt:lpstr>
      <vt:lpstr>5.3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2024-03-01T17:08:21Z</dcterms:created>
  <dcterms:modified xsi:type="dcterms:W3CDTF">2024-03-15T17:13:55Z</dcterms:modified>
</cp:coreProperties>
</file>