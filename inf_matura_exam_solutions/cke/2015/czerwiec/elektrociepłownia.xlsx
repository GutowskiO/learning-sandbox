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6fb0b0e635340b/Desktop/cke/2015/czerwiec/"/>
    </mc:Choice>
  </mc:AlternateContent>
  <xr:revisionPtr revIDLastSave="2" documentId="8_{52444909-3ACC-4A32-AAF4-76655B52E061}" xr6:coauthVersionLast="47" xr6:coauthVersionMax="47" xr10:uidLastSave="{6EB4C22E-37FA-4E3E-9585-1EFA5D630CD7}"/>
  <bookViews>
    <workbookView xWindow="-110" yWindow="-110" windowWidth="19420" windowHeight="10300" activeTab="4" xr2:uid="{99421144-BCB4-46A7-B985-A032DFC3985E}"/>
  </bookViews>
  <sheets>
    <sheet name="dane" sheetId="2" r:id="rId1"/>
    <sheet name="4.1" sheetId="3" r:id="rId2"/>
    <sheet name="4.3" sheetId="4" r:id="rId3"/>
    <sheet name="4.4" sheetId="5" r:id="rId4"/>
    <sheet name="4.5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6" l="1"/>
  <c r="K2" i="6" s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2" i="6"/>
  <c r="H2" i="6"/>
  <c r="J2" i="6" s="1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2" i="6"/>
  <c r="G3" i="6" s="1"/>
  <c r="G2" i="6"/>
  <c r="H3" i="6" s="1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N22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J22" i="5"/>
  <c r="I22" i="5"/>
  <c r="H22" i="5"/>
  <c r="I19" i="5"/>
  <c r="H19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J16" i="5"/>
  <c r="E16" i="5"/>
  <c r="E15" i="5"/>
  <c r="J14" i="5"/>
  <c r="E14" i="5"/>
  <c r="E13" i="5"/>
  <c r="E12" i="5"/>
  <c r="E11" i="5"/>
  <c r="I10" i="5"/>
  <c r="E10" i="5"/>
  <c r="E9" i="5"/>
  <c r="E8" i="5"/>
  <c r="E7" i="5"/>
  <c r="E6" i="5"/>
  <c r="E5" i="5"/>
  <c r="E4" i="5"/>
  <c r="I13" i="5" s="1"/>
  <c r="E3" i="5"/>
  <c r="H16" i="5" s="1"/>
  <c r="E2" i="5"/>
  <c r="H20" i="4"/>
  <c r="K18" i="4"/>
  <c r="J18" i="4"/>
  <c r="I18" i="4"/>
  <c r="H18" i="4"/>
  <c r="I17" i="4"/>
  <c r="J17" i="4"/>
  <c r="H17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I14" i="4"/>
  <c r="E14" i="4"/>
  <c r="E13" i="4"/>
  <c r="I12" i="4"/>
  <c r="E12" i="4"/>
  <c r="E11" i="4"/>
  <c r="I10" i="4"/>
  <c r="E10" i="4"/>
  <c r="E9" i="4"/>
  <c r="E8" i="4"/>
  <c r="E7" i="4"/>
  <c r="E6" i="4"/>
  <c r="E5" i="4"/>
  <c r="E4" i="4"/>
  <c r="J10" i="4" s="1"/>
  <c r="E3" i="4"/>
  <c r="H16" i="4" s="1"/>
  <c r="E2" i="4"/>
  <c r="H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I10" i="3"/>
  <c r="J10" i="3"/>
  <c r="H4" i="6" l="1"/>
  <c r="J3" i="6"/>
  <c r="G4" i="6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N13" i="6"/>
  <c r="M15" i="6"/>
  <c r="L12" i="6"/>
  <c r="L10" i="6"/>
  <c r="L16" i="6"/>
  <c r="M10" i="6"/>
  <c r="M12" i="6"/>
  <c r="M14" i="6"/>
  <c r="M16" i="6"/>
  <c r="N14" i="6"/>
  <c r="N12" i="6"/>
  <c r="L11" i="6"/>
  <c r="L15" i="6"/>
  <c r="N16" i="6"/>
  <c r="L13" i="6"/>
  <c r="M11" i="6"/>
  <c r="M13" i="6"/>
  <c r="N11" i="6"/>
  <c r="N15" i="6"/>
  <c r="L14" i="6"/>
  <c r="N10" i="6"/>
  <c r="I16" i="5"/>
  <c r="J10" i="5"/>
  <c r="J12" i="5"/>
  <c r="H11" i="5"/>
  <c r="H13" i="5"/>
  <c r="H15" i="5"/>
  <c r="J13" i="5"/>
  <c r="I12" i="5"/>
  <c r="I17" i="5" s="1"/>
  <c r="I18" i="5" s="1"/>
  <c r="I11" i="5"/>
  <c r="I15" i="5"/>
  <c r="J11" i="5"/>
  <c r="J15" i="5"/>
  <c r="I14" i="5"/>
  <c r="H10" i="5"/>
  <c r="H12" i="5"/>
  <c r="H14" i="5"/>
  <c r="I16" i="4"/>
  <c r="J14" i="4"/>
  <c r="H11" i="4"/>
  <c r="H13" i="4"/>
  <c r="H15" i="4"/>
  <c r="J12" i="4"/>
  <c r="I11" i="4"/>
  <c r="I13" i="4"/>
  <c r="I15" i="4"/>
  <c r="J11" i="4"/>
  <c r="J13" i="4"/>
  <c r="J15" i="4"/>
  <c r="J16" i="4"/>
  <c r="H10" i="4"/>
  <c r="H12" i="4"/>
  <c r="H14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2" i="3"/>
  <c r="H5" i="6" l="1"/>
  <c r="J4" i="6"/>
  <c r="L17" i="6"/>
  <c r="L19" i="6" s="1"/>
  <c r="L22" i="6" s="1"/>
  <c r="M17" i="6"/>
  <c r="N17" i="6"/>
  <c r="N18" i="6" s="1"/>
  <c r="H17" i="5"/>
  <c r="H18" i="5" s="1"/>
  <c r="J17" i="5"/>
  <c r="J18" i="5" s="1"/>
  <c r="H6" i="6" l="1"/>
  <c r="J5" i="6"/>
  <c r="L18" i="6"/>
  <c r="L20" i="6" s="1"/>
  <c r="M19" i="6"/>
  <c r="M22" i="6" s="1"/>
  <c r="M18" i="6"/>
  <c r="O18" i="6" s="1"/>
  <c r="H20" i="5"/>
  <c r="K18" i="5"/>
  <c r="H7" i="6" l="1"/>
  <c r="J6" i="6"/>
  <c r="H8" i="6" l="1"/>
  <c r="J7" i="6"/>
  <c r="H9" i="6" l="1"/>
  <c r="J8" i="6"/>
  <c r="H10" i="6" l="1"/>
  <c r="J9" i="6"/>
  <c r="H11" i="6" l="1"/>
  <c r="J10" i="6"/>
  <c r="H12" i="6" l="1"/>
  <c r="J11" i="6"/>
  <c r="H13" i="6" l="1"/>
  <c r="J12" i="6"/>
  <c r="H14" i="6" l="1"/>
  <c r="J13" i="6"/>
  <c r="H15" i="6" l="1"/>
  <c r="J14" i="6"/>
  <c r="H16" i="6" l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J1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66EC2F-6EE1-46F1-AA66-6B929FBBC8F6}" keepAlive="1" name="Zapytanie — piastek" description="Połączenie z zapytaniem „piastek” w skoroszycie." type="5" refreshedVersion="0" background="1" saveData="1">
    <dbPr connection="Provider=Microsoft.Mashup.OleDb.1;Data Source=$Workbook$;Location=piastek;Extended Properties=&quot;&quot;" command="SELECT * FROM [piastek]"/>
  </connection>
</connections>
</file>

<file path=xl/sharedStrings.xml><?xml version="1.0" encoding="utf-8"?>
<sst xmlns="http://schemas.openxmlformats.org/spreadsheetml/2006/main" count="50" uniqueCount="15">
  <si>
    <t>dostawa kostka</t>
  </si>
  <si>
    <t xml:space="preserve"> dostawa orzech</t>
  </si>
  <si>
    <t>dostawa miał</t>
  </si>
  <si>
    <t>data</t>
  </si>
  <si>
    <t>miesiac</t>
  </si>
  <si>
    <t>laczna dostawa kostki</t>
  </si>
  <si>
    <t>laczna dostawa orzechow</t>
  </si>
  <si>
    <t>laczna dostawa miału</t>
  </si>
  <si>
    <t>koszt</t>
  </si>
  <si>
    <t>laczna kwota</t>
  </si>
  <si>
    <t>liczba dni palenia</t>
  </si>
  <si>
    <t>laczna liczba t</t>
  </si>
  <si>
    <t>kostka</t>
  </si>
  <si>
    <t>orzech</t>
  </si>
  <si>
    <t>liczba dni podtrzymywania ognia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</si>
</sst>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0" xfId="0" applyFont="1" applyFill="1"/>
    <xf numFmtId="14" fontId="0" fillId="0" borderId="0" xfId="0" applyNumberFormat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Dostawy węgla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'4.1'!$H$9</c:f>
              <c:strCache>
                <c:ptCount val="1"/>
                <c:pt idx="0">
                  <c:v>laczna dostawa kostki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'4.1'!$G$10:$G$16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cat>
          <c:val>
            <c:numRef>
              <c:f>'4.1'!$H$10:$H$16</c:f>
              <c:numCache>
                <c:formatCode>General</c:formatCode>
                <c:ptCount val="7"/>
                <c:pt idx="0">
                  <c:v>1742</c:v>
                </c:pt>
                <c:pt idx="1">
                  <c:v>2756</c:v>
                </c:pt>
                <c:pt idx="2">
                  <c:v>2696</c:v>
                </c:pt>
                <c:pt idx="3">
                  <c:v>2990</c:v>
                </c:pt>
                <c:pt idx="4">
                  <c:v>2579</c:v>
                </c:pt>
                <c:pt idx="5">
                  <c:v>3332</c:v>
                </c:pt>
                <c:pt idx="6">
                  <c:v>1365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D-4790-8072-5886DA1BF72E}"/>
            </c:ext>
          </c:extLst>
        </c:ser>
        <c:ser>
          <c:idx val="1"/>
          <c:order val="1"/>
          <c:tx>
            <c:strRef>
              <c:f>'4.1'!$I$9</c:f>
              <c:strCache>
                <c:ptCount val="1"/>
                <c:pt idx="0">
                  <c:v>laczna dostawa orzechow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'4.1'!$G$10:$G$16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cat>
          <c:val>
            <c:numRef>
              <c:f>'4.1'!$I$10:$I$16</c:f>
              <c:numCache>
                <c:formatCode>General</c:formatCode>
                <c:ptCount val="7"/>
                <c:pt idx="0">
                  <c:v>1658</c:v>
                </c:pt>
                <c:pt idx="1">
                  <c:v>2884</c:v>
                </c:pt>
                <c:pt idx="2">
                  <c:v>2749</c:v>
                </c:pt>
                <c:pt idx="3">
                  <c:v>2870</c:v>
                </c:pt>
                <c:pt idx="4">
                  <c:v>2651</c:v>
                </c:pt>
                <c:pt idx="5">
                  <c:v>3026</c:v>
                </c:pt>
                <c:pt idx="6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D-4790-8072-5886DA1BF72E}"/>
            </c:ext>
          </c:extLst>
        </c:ser>
        <c:ser>
          <c:idx val="2"/>
          <c:order val="2"/>
          <c:tx>
            <c:strRef>
              <c:f>'4.1'!$J$9</c:f>
              <c:strCache>
                <c:ptCount val="1"/>
                <c:pt idx="0">
                  <c:v>laczna dostawa miału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'4.1'!$G$10:$G$16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cat>
          <c:val>
            <c:numRef>
              <c:f>'4.1'!$J$10:$J$16</c:f>
              <c:numCache>
                <c:formatCode>General</c:formatCode>
                <c:ptCount val="7"/>
                <c:pt idx="0">
                  <c:v>915</c:v>
                </c:pt>
                <c:pt idx="1">
                  <c:v>1750</c:v>
                </c:pt>
                <c:pt idx="2">
                  <c:v>1586</c:v>
                </c:pt>
                <c:pt idx="3">
                  <c:v>1646</c:v>
                </c:pt>
                <c:pt idx="4">
                  <c:v>1252</c:v>
                </c:pt>
                <c:pt idx="5">
                  <c:v>1360</c:v>
                </c:pt>
                <c:pt idx="6">
                  <c:v>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D-4790-8072-5886DA1B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194344"/>
        <c:axId val="625990032"/>
      </c:barChart>
      <c:catAx>
        <c:axId val="541194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5990032"/>
        <c:crosses val="autoZero"/>
        <c:auto val="1"/>
        <c:lblAlgn val="ctr"/>
        <c:lblOffset val="100"/>
        <c:noMultiLvlLbl val="0"/>
      </c:catAx>
      <c:valAx>
        <c:axId val="6259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w tonach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119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2054225</xdr:colOff>
      <xdr:row>18</xdr:row>
      <xdr:rowOff>79375</xdr:rowOff>
    </xdr:from>
    <xdr:to>
      <xdr:col>10</xdr:col>
      <xdr:colOff>111125</xdr:colOff>
      <xdr:row>33</xdr:row>
      <xdr:rowOff>60325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F44596A-4096-E607-8ED2-F9ED6EF90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93E5-F5F9-4D04-8393-F2D701C53683}">
  <dimension ref="A1:C184"/>
  <sheetViews>
    <sheetView workbookViewId="0">
      <selection activeCell="D1" sqref="D1"/>
    </sheetView>
  </sheetViews>
  <sheetFormatPr defaultRowHeight="14.5" x14ac:dyDescent="0.35"/>
  <cols>
    <col min="1" max="1" width="14.1796875" bestFit="1" customWidth="1"/>
    <col min="2" max="2" width="14.54296875" bestFit="1" customWidth="1"/>
    <col min="3" max="3" width="12.08984375" bestFit="1" customWidth="1"/>
  </cols>
  <sheetData>
    <row r="1" spans="1:3" x14ac:dyDescent="0.35">
      <c r="A1" s="4" t="s">
        <v>0</v>
      </c>
      <c r="B1" s="5" t="s">
        <v>1</v>
      </c>
      <c r="C1" s="6" t="s">
        <v>2</v>
      </c>
    </row>
    <row r="2" spans="1:3" x14ac:dyDescent="0.35">
      <c r="A2" s="7">
        <v>200</v>
      </c>
      <c r="B2" s="8">
        <v>120</v>
      </c>
      <c r="C2" s="9">
        <v>81</v>
      </c>
    </row>
    <row r="3" spans="1:3" x14ac:dyDescent="0.35">
      <c r="A3" s="10">
        <v>100</v>
      </c>
      <c r="B3" s="11">
        <v>135</v>
      </c>
      <c r="C3" s="12">
        <v>33</v>
      </c>
    </row>
    <row r="4" spans="1:3" x14ac:dyDescent="0.35">
      <c r="A4" s="7">
        <v>50</v>
      </c>
      <c r="B4" s="8">
        <v>29</v>
      </c>
      <c r="C4" s="9">
        <v>85</v>
      </c>
    </row>
    <row r="5" spans="1:3" x14ac:dyDescent="0.35">
      <c r="A5" s="10">
        <v>68</v>
      </c>
      <c r="B5" s="11">
        <v>107</v>
      </c>
      <c r="C5" s="12">
        <v>84</v>
      </c>
    </row>
    <row r="6" spans="1:3" x14ac:dyDescent="0.35">
      <c r="A6" s="7">
        <v>75</v>
      </c>
      <c r="B6" s="8">
        <v>49</v>
      </c>
      <c r="C6" s="9">
        <v>23</v>
      </c>
    </row>
    <row r="7" spans="1:3" x14ac:dyDescent="0.35">
      <c r="A7" s="10">
        <v>109</v>
      </c>
      <c r="B7" s="11">
        <v>90</v>
      </c>
      <c r="C7" s="12">
        <v>48</v>
      </c>
    </row>
    <row r="8" spans="1:3" x14ac:dyDescent="0.35">
      <c r="A8" s="7">
        <v>161</v>
      </c>
      <c r="B8" s="8">
        <v>2</v>
      </c>
      <c r="C8" s="9">
        <v>16</v>
      </c>
    </row>
    <row r="9" spans="1:3" x14ac:dyDescent="0.35">
      <c r="A9" s="10">
        <v>97</v>
      </c>
      <c r="B9" s="11">
        <v>129</v>
      </c>
      <c r="C9" s="12">
        <v>43</v>
      </c>
    </row>
    <row r="10" spans="1:3" x14ac:dyDescent="0.35">
      <c r="A10" s="7">
        <v>25</v>
      </c>
      <c r="B10" s="8">
        <v>186</v>
      </c>
      <c r="C10" s="9">
        <v>4</v>
      </c>
    </row>
    <row r="11" spans="1:3" x14ac:dyDescent="0.35">
      <c r="A11" s="10">
        <v>113</v>
      </c>
      <c r="B11" s="11">
        <v>97</v>
      </c>
      <c r="C11" s="12">
        <v>97</v>
      </c>
    </row>
    <row r="12" spans="1:3" x14ac:dyDescent="0.35">
      <c r="A12" s="7">
        <v>70</v>
      </c>
      <c r="B12" s="8">
        <v>12</v>
      </c>
      <c r="C12" s="9">
        <v>53</v>
      </c>
    </row>
    <row r="13" spans="1:3" x14ac:dyDescent="0.35">
      <c r="A13" s="10">
        <v>117</v>
      </c>
      <c r="B13" s="11">
        <v>142</v>
      </c>
      <c r="C13" s="12">
        <v>90</v>
      </c>
    </row>
    <row r="14" spans="1:3" x14ac:dyDescent="0.35">
      <c r="A14" s="7">
        <v>189</v>
      </c>
      <c r="B14" s="8">
        <v>28</v>
      </c>
      <c r="C14" s="9">
        <v>43</v>
      </c>
    </row>
    <row r="15" spans="1:3" x14ac:dyDescent="0.35">
      <c r="A15" s="10">
        <v>140</v>
      </c>
      <c r="B15" s="11">
        <v>191</v>
      </c>
      <c r="C15" s="12">
        <v>40</v>
      </c>
    </row>
    <row r="16" spans="1:3" x14ac:dyDescent="0.35">
      <c r="A16" s="7">
        <v>167</v>
      </c>
      <c r="B16" s="8">
        <v>48</v>
      </c>
      <c r="C16" s="9">
        <v>30</v>
      </c>
    </row>
    <row r="17" spans="1:3" x14ac:dyDescent="0.35">
      <c r="A17" s="10">
        <v>0</v>
      </c>
      <c r="B17" s="11">
        <v>154</v>
      </c>
      <c r="C17" s="12">
        <v>68</v>
      </c>
    </row>
    <row r="18" spans="1:3" x14ac:dyDescent="0.35">
      <c r="A18" s="7">
        <v>61</v>
      </c>
      <c r="B18" s="8">
        <v>139</v>
      </c>
      <c r="C18" s="9">
        <v>77</v>
      </c>
    </row>
    <row r="19" spans="1:3" x14ac:dyDescent="0.35">
      <c r="A19" s="10">
        <v>18</v>
      </c>
      <c r="B19" s="11">
        <v>163</v>
      </c>
      <c r="C19" s="12">
        <v>75</v>
      </c>
    </row>
    <row r="20" spans="1:3" x14ac:dyDescent="0.35">
      <c r="A20" s="7">
        <v>43</v>
      </c>
      <c r="B20" s="8">
        <v>169</v>
      </c>
      <c r="C20" s="9">
        <v>0</v>
      </c>
    </row>
    <row r="21" spans="1:3" x14ac:dyDescent="0.35">
      <c r="A21" s="10">
        <v>160</v>
      </c>
      <c r="B21" s="11">
        <v>135</v>
      </c>
      <c r="C21" s="12">
        <v>34</v>
      </c>
    </row>
    <row r="22" spans="1:3" x14ac:dyDescent="0.35">
      <c r="A22" s="7">
        <v>150</v>
      </c>
      <c r="B22" s="8">
        <v>89</v>
      </c>
      <c r="C22" s="9">
        <v>17</v>
      </c>
    </row>
    <row r="23" spans="1:3" x14ac:dyDescent="0.35">
      <c r="A23" s="10">
        <v>57</v>
      </c>
      <c r="B23" s="11">
        <v>109</v>
      </c>
      <c r="C23" s="12">
        <v>93</v>
      </c>
    </row>
    <row r="24" spans="1:3" x14ac:dyDescent="0.35">
      <c r="A24" s="7">
        <v>62</v>
      </c>
      <c r="B24" s="8">
        <v>80</v>
      </c>
      <c r="C24" s="9">
        <v>62</v>
      </c>
    </row>
    <row r="25" spans="1:3" x14ac:dyDescent="0.35">
      <c r="A25" s="10">
        <v>162</v>
      </c>
      <c r="B25" s="11">
        <v>62</v>
      </c>
      <c r="C25" s="12">
        <v>88</v>
      </c>
    </row>
    <row r="26" spans="1:3" x14ac:dyDescent="0.35">
      <c r="A26" s="7">
        <v>142</v>
      </c>
      <c r="B26" s="8">
        <v>79</v>
      </c>
      <c r="C26" s="9">
        <v>76</v>
      </c>
    </row>
    <row r="27" spans="1:3" x14ac:dyDescent="0.35">
      <c r="A27" s="10">
        <v>7</v>
      </c>
      <c r="B27" s="11">
        <v>30</v>
      </c>
      <c r="C27" s="12">
        <v>68</v>
      </c>
    </row>
    <row r="28" spans="1:3" x14ac:dyDescent="0.35">
      <c r="A28" s="7">
        <v>116</v>
      </c>
      <c r="B28" s="8">
        <v>6</v>
      </c>
      <c r="C28" s="9">
        <v>88</v>
      </c>
    </row>
    <row r="29" spans="1:3" x14ac:dyDescent="0.35">
      <c r="A29" s="10">
        <v>0</v>
      </c>
      <c r="B29" s="11">
        <v>1</v>
      </c>
      <c r="C29" s="12">
        <v>47</v>
      </c>
    </row>
    <row r="30" spans="1:3" x14ac:dyDescent="0.35">
      <c r="A30" s="7">
        <v>78</v>
      </c>
      <c r="B30" s="8">
        <v>84</v>
      </c>
      <c r="C30" s="9">
        <v>16</v>
      </c>
    </row>
    <row r="31" spans="1:3" x14ac:dyDescent="0.35">
      <c r="A31" s="10">
        <v>112</v>
      </c>
      <c r="B31" s="11">
        <v>140</v>
      </c>
      <c r="C31" s="12">
        <v>97</v>
      </c>
    </row>
    <row r="32" spans="1:3" x14ac:dyDescent="0.35">
      <c r="A32" s="7">
        <v>109</v>
      </c>
      <c r="B32" s="8">
        <v>74</v>
      </c>
      <c r="C32" s="9">
        <v>53</v>
      </c>
    </row>
    <row r="33" spans="1:3" x14ac:dyDescent="0.35">
      <c r="A33" s="10">
        <v>121</v>
      </c>
      <c r="B33" s="11">
        <v>77</v>
      </c>
      <c r="C33" s="12">
        <v>70</v>
      </c>
    </row>
    <row r="34" spans="1:3" x14ac:dyDescent="0.35">
      <c r="A34" s="7">
        <v>106</v>
      </c>
      <c r="B34" s="8">
        <v>89</v>
      </c>
      <c r="C34" s="9">
        <v>75</v>
      </c>
    </row>
    <row r="35" spans="1:3" x14ac:dyDescent="0.35">
      <c r="A35" s="10">
        <v>57</v>
      </c>
      <c r="B35" s="11">
        <v>119</v>
      </c>
      <c r="C35" s="12">
        <v>64</v>
      </c>
    </row>
    <row r="36" spans="1:3" x14ac:dyDescent="0.35">
      <c r="A36" s="7">
        <v>26</v>
      </c>
      <c r="B36" s="8">
        <v>87</v>
      </c>
      <c r="C36" s="9">
        <v>84</v>
      </c>
    </row>
    <row r="37" spans="1:3" x14ac:dyDescent="0.35">
      <c r="A37" s="10">
        <v>79</v>
      </c>
      <c r="B37" s="11">
        <v>171</v>
      </c>
      <c r="C37" s="12">
        <v>75</v>
      </c>
    </row>
    <row r="38" spans="1:3" x14ac:dyDescent="0.35">
      <c r="A38" s="7">
        <v>192</v>
      </c>
      <c r="B38" s="8">
        <v>151</v>
      </c>
      <c r="C38" s="9">
        <v>45</v>
      </c>
    </row>
    <row r="39" spans="1:3" x14ac:dyDescent="0.35">
      <c r="A39" s="10">
        <v>9</v>
      </c>
      <c r="B39" s="11">
        <v>64</v>
      </c>
      <c r="C39" s="12">
        <v>22</v>
      </c>
    </row>
    <row r="40" spans="1:3" x14ac:dyDescent="0.35">
      <c r="A40" s="7">
        <v>123</v>
      </c>
      <c r="B40" s="8">
        <v>150</v>
      </c>
      <c r="C40" s="9">
        <v>10</v>
      </c>
    </row>
    <row r="41" spans="1:3" x14ac:dyDescent="0.35">
      <c r="A41" s="10">
        <v>87</v>
      </c>
      <c r="B41" s="11">
        <v>123</v>
      </c>
      <c r="C41" s="12">
        <v>33</v>
      </c>
    </row>
    <row r="42" spans="1:3" x14ac:dyDescent="0.35">
      <c r="A42" s="7">
        <v>165</v>
      </c>
      <c r="B42" s="8">
        <v>88</v>
      </c>
      <c r="C42" s="9">
        <v>13</v>
      </c>
    </row>
    <row r="43" spans="1:3" x14ac:dyDescent="0.35">
      <c r="A43" s="10">
        <v>144</v>
      </c>
      <c r="B43" s="11">
        <v>78</v>
      </c>
      <c r="C43" s="12">
        <v>82</v>
      </c>
    </row>
    <row r="44" spans="1:3" x14ac:dyDescent="0.35">
      <c r="A44" s="7">
        <v>54</v>
      </c>
      <c r="B44" s="8">
        <v>38</v>
      </c>
      <c r="C44" s="9">
        <v>68</v>
      </c>
    </row>
    <row r="45" spans="1:3" x14ac:dyDescent="0.35">
      <c r="A45" s="10">
        <v>188</v>
      </c>
      <c r="B45" s="11">
        <v>44</v>
      </c>
      <c r="C45" s="12">
        <v>86</v>
      </c>
    </row>
    <row r="46" spans="1:3" x14ac:dyDescent="0.35">
      <c r="A46" s="7">
        <v>165</v>
      </c>
      <c r="B46" s="8">
        <v>170</v>
      </c>
      <c r="C46" s="9">
        <v>62</v>
      </c>
    </row>
    <row r="47" spans="1:3" x14ac:dyDescent="0.35">
      <c r="A47" s="10">
        <v>24</v>
      </c>
      <c r="B47" s="11">
        <v>94</v>
      </c>
      <c r="C47" s="12">
        <v>87</v>
      </c>
    </row>
    <row r="48" spans="1:3" x14ac:dyDescent="0.35">
      <c r="A48" s="7">
        <v>0</v>
      </c>
      <c r="B48" s="8">
        <v>120</v>
      </c>
      <c r="C48" s="9">
        <v>60</v>
      </c>
    </row>
    <row r="49" spans="1:3" x14ac:dyDescent="0.35">
      <c r="A49" s="10">
        <v>101</v>
      </c>
      <c r="B49" s="11">
        <v>53</v>
      </c>
      <c r="C49" s="12">
        <v>62</v>
      </c>
    </row>
    <row r="50" spans="1:3" x14ac:dyDescent="0.35">
      <c r="A50" s="7">
        <v>67</v>
      </c>
      <c r="B50" s="8">
        <v>147</v>
      </c>
      <c r="C50" s="9">
        <v>20</v>
      </c>
    </row>
    <row r="51" spans="1:3" x14ac:dyDescent="0.35">
      <c r="A51" s="10">
        <v>109</v>
      </c>
      <c r="B51" s="11">
        <v>99</v>
      </c>
      <c r="C51" s="12">
        <v>70</v>
      </c>
    </row>
    <row r="52" spans="1:3" x14ac:dyDescent="0.35">
      <c r="A52" s="7">
        <v>22</v>
      </c>
      <c r="B52" s="8">
        <v>16</v>
      </c>
      <c r="C52" s="9">
        <v>59</v>
      </c>
    </row>
    <row r="53" spans="1:3" x14ac:dyDescent="0.35">
      <c r="A53" s="10">
        <v>5</v>
      </c>
      <c r="B53" s="11">
        <v>91</v>
      </c>
      <c r="C53" s="12">
        <v>73</v>
      </c>
    </row>
    <row r="54" spans="1:3" x14ac:dyDescent="0.35">
      <c r="A54" s="7">
        <v>105</v>
      </c>
      <c r="B54" s="8">
        <v>154</v>
      </c>
      <c r="C54" s="9">
        <v>48</v>
      </c>
    </row>
    <row r="55" spans="1:3" x14ac:dyDescent="0.35">
      <c r="A55" s="10">
        <v>108</v>
      </c>
      <c r="B55" s="11">
        <v>5</v>
      </c>
      <c r="C55" s="12">
        <v>71</v>
      </c>
    </row>
    <row r="56" spans="1:3" x14ac:dyDescent="0.35">
      <c r="A56" s="7">
        <v>64</v>
      </c>
      <c r="B56" s="8">
        <v>37</v>
      </c>
      <c r="C56" s="9">
        <v>89</v>
      </c>
    </row>
    <row r="57" spans="1:3" x14ac:dyDescent="0.35">
      <c r="A57" s="10">
        <v>114</v>
      </c>
      <c r="B57" s="11">
        <v>140</v>
      </c>
      <c r="C57" s="12">
        <v>36</v>
      </c>
    </row>
    <row r="58" spans="1:3" x14ac:dyDescent="0.35">
      <c r="A58" s="7">
        <v>147</v>
      </c>
      <c r="B58" s="8">
        <v>140</v>
      </c>
      <c r="C58" s="9">
        <v>61</v>
      </c>
    </row>
    <row r="59" spans="1:3" x14ac:dyDescent="0.35">
      <c r="A59" s="10">
        <v>69</v>
      </c>
      <c r="B59" s="11">
        <v>120</v>
      </c>
      <c r="C59" s="12">
        <v>52</v>
      </c>
    </row>
    <row r="60" spans="1:3" x14ac:dyDescent="0.35">
      <c r="A60" s="7">
        <v>101</v>
      </c>
      <c r="B60" s="8">
        <v>39</v>
      </c>
      <c r="C60" s="9">
        <v>10</v>
      </c>
    </row>
    <row r="61" spans="1:3" x14ac:dyDescent="0.35">
      <c r="A61" s="10">
        <v>158</v>
      </c>
      <c r="B61" s="11">
        <v>36</v>
      </c>
      <c r="C61" s="12">
        <v>79</v>
      </c>
    </row>
    <row r="62" spans="1:3" x14ac:dyDescent="0.35">
      <c r="A62" s="7">
        <v>79</v>
      </c>
      <c r="B62" s="8">
        <v>105</v>
      </c>
      <c r="C62" s="9">
        <v>73</v>
      </c>
    </row>
    <row r="63" spans="1:3" x14ac:dyDescent="0.35">
      <c r="A63" s="10">
        <v>5</v>
      </c>
      <c r="B63" s="11">
        <v>24</v>
      </c>
      <c r="C63" s="12">
        <v>43</v>
      </c>
    </row>
    <row r="64" spans="1:3" x14ac:dyDescent="0.35">
      <c r="A64" s="7">
        <v>68</v>
      </c>
      <c r="B64" s="8">
        <v>112</v>
      </c>
      <c r="C64" s="9">
        <v>25</v>
      </c>
    </row>
    <row r="65" spans="1:3" x14ac:dyDescent="0.35">
      <c r="A65" s="10">
        <v>37</v>
      </c>
      <c r="B65" s="11">
        <v>57</v>
      </c>
      <c r="C65" s="12">
        <v>81</v>
      </c>
    </row>
    <row r="66" spans="1:3" x14ac:dyDescent="0.35">
      <c r="A66" s="7">
        <v>188</v>
      </c>
      <c r="B66" s="8">
        <v>28</v>
      </c>
      <c r="C66" s="9">
        <v>7</v>
      </c>
    </row>
    <row r="67" spans="1:3" x14ac:dyDescent="0.35">
      <c r="A67" s="10">
        <v>167</v>
      </c>
      <c r="B67" s="11">
        <v>41</v>
      </c>
      <c r="C67" s="12">
        <v>45</v>
      </c>
    </row>
    <row r="68" spans="1:3" x14ac:dyDescent="0.35">
      <c r="A68" s="7">
        <v>197</v>
      </c>
      <c r="B68" s="8">
        <v>82</v>
      </c>
      <c r="C68" s="9">
        <v>43</v>
      </c>
    </row>
    <row r="69" spans="1:3" x14ac:dyDescent="0.35">
      <c r="A69" s="10">
        <v>54</v>
      </c>
      <c r="B69" s="11">
        <v>130</v>
      </c>
      <c r="C69" s="12">
        <v>50</v>
      </c>
    </row>
    <row r="70" spans="1:3" x14ac:dyDescent="0.35">
      <c r="A70" s="7">
        <v>19</v>
      </c>
      <c r="B70" s="8">
        <v>153</v>
      </c>
      <c r="C70" s="9">
        <v>65</v>
      </c>
    </row>
    <row r="71" spans="1:3" x14ac:dyDescent="0.35">
      <c r="A71" s="10">
        <v>27</v>
      </c>
      <c r="B71" s="11">
        <v>160</v>
      </c>
      <c r="C71" s="12">
        <v>81</v>
      </c>
    </row>
    <row r="72" spans="1:3" x14ac:dyDescent="0.35">
      <c r="A72" s="7">
        <v>11</v>
      </c>
      <c r="B72" s="8">
        <v>140</v>
      </c>
      <c r="C72" s="9">
        <v>77</v>
      </c>
    </row>
    <row r="73" spans="1:3" x14ac:dyDescent="0.35">
      <c r="A73" s="10">
        <v>182</v>
      </c>
      <c r="B73" s="11">
        <v>50</v>
      </c>
      <c r="C73" s="12">
        <v>22</v>
      </c>
    </row>
    <row r="74" spans="1:3" x14ac:dyDescent="0.35">
      <c r="A74" s="7">
        <v>63</v>
      </c>
      <c r="B74" s="8">
        <v>83</v>
      </c>
      <c r="C74" s="9">
        <v>69</v>
      </c>
    </row>
    <row r="75" spans="1:3" x14ac:dyDescent="0.35">
      <c r="A75" s="10">
        <v>33</v>
      </c>
      <c r="B75" s="11">
        <v>59</v>
      </c>
      <c r="C75" s="12">
        <v>46</v>
      </c>
    </row>
    <row r="76" spans="1:3" x14ac:dyDescent="0.35">
      <c r="A76" s="7">
        <v>119</v>
      </c>
      <c r="B76" s="8">
        <v>57</v>
      </c>
      <c r="C76" s="9">
        <v>67</v>
      </c>
    </row>
    <row r="77" spans="1:3" x14ac:dyDescent="0.35">
      <c r="A77" s="10">
        <v>58</v>
      </c>
      <c r="B77" s="11">
        <v>176</v>
      </c>
      <c r="C77" s="12">
        <v>16</v>
      </c>
    </row>
    <row r="78" spans="1:3" x14ac:dyDescent="0.35">
      <c r="A78" s="7">
        <v>174</v>
      </c>
      <c r="B78" s="8">
        <v>61</v>
      </c>
      <c r="C78" s="9">
        <v>46</v>
      </c>
    </row>
    <row r="79" spans="1:3" x14ac:dyDescent="0.35">
      <c r="A79" s="10">
        <v>45</v>
      </c>
      <c r="B79" s="11">
        <v>154</v>
      </c>
      <c r="C79" s="12">
        <v>0</v>
      </c>
    </row>
    <row r="80" spans="1:3" x14ac:dyDescent="0.35">
      <c r="A80" s="7">
        <v>94</v>
      </c>
      <c r="B80" s="8">
        <v>120</v>
      </c>
      <c r="C80" s="9">
        <v>95</v>
      </c>
    </row>
    <row r="81" spans="1:3" x14ac:dyDescent="0.35">
      <c r="A81" s="10">
        <v>12</v>
      </c>
      <c r="B81" s="11">
        <v>5</v>
      </c>
      <c r="C81" s="12">
        <v>42</v>
      </c>
    </row>
    <row r="82" spans="1:3" x14ac:dyDescent="0.35">
      <c r="A82" s="7">
        <v>80</v>
      </c>
      <c r="B82" s="8">
        <v>170</v>
      </c>
      <c r="C82" s="9">
        <v>96</v>
      </c>
    </row>
    <row r="83" spans="1:3" x14ac:dyDescent="0.35">
      <c r="A83" s="10">
        <v>80</v>
      </c>
      <c r="B83" s="11">
        <v>10</v>
      </c>
      <c r="C83" s="12">
        <v>30</v>
      </c>
    </row>
    <row r="84" spans="1:3" x14ac:dyDescent="0.35">
      <c r="A84" s="7">
        <v>90</v>
      </c>
      <c r="B84" s="8">
        <v>80</v>
      </c>
      <c r="C84" s="9">
        <v>31</v>
      </c>
    </row>
    <row r="85" spans="1:3" x14ac:dyDescent="0.35">
      <c r="A85" s="10">
        <v>130</v>
      </c>
      <c r="B85" s="11">
        <v>163</v>
      </c>
      <c r="C85" s="12">
        <v>92</v>
      </c>
    </row>
    <row r="86" spans="1:3" x14ac:dyDescent="0.35">
      <c r="A86" s="7">
        <v>54</v>
      </c>
      <c r="B86" s="8">
        <v>7</v>
      </c>
      <c r="C86" s="9">
        <v>79</v>
      </c>
    </row>
    <row r="87" spans="1:3" x14ac:dyDescent="0.35">
      <c r="A87" s="10">
        <v>88</v>
      </c>
      <c r="B87" s="11">
        <v>125</v>
      </c>
      <c r="C87" s="12">
        <v>97</v>
      </c>
    </row>
    <row r="88" spans="1:3" x14ac:dyDescent="0.35">
      <c r="A88" s="7">
        <v>83</v>
      </c>
      <c r="B88" s="8">
        <v>85</v>
      </c>
      <c r="C88" s="9">
        <v>99</v>
      </c>
    </row>
    <row r="89" spans="1:3" x14ac:dyDescent="0.35">
      <c r="A89" s="10">
        <v>139</v>
      </c>
      <c r="B89" s="11">
        <v>155</v>
      </c>
      <c r="C89" s="12">
        <v>11</v>
      </c>
    </row>
    <row r="90" spans="1:3" x14ac:dyDescent="0.35">
      <c r="A90" s="7">
        <v>82</v>
      </c>
      <c r="B90" s="8">
        <v>43</v>
      </c>
      <c r="C90" s="9">
        <v>93</v>
      </c>
    </row>
    <row r="91" spans="1:3" x14ac:dyDescent="0.35">
      <c r="A91" s="10">
        <v>23</v>
      </c>
      <c r="B91" s="11">
        <v>40</v>
      </c>
      <c r="C91" s="12">
        <v>83</v>
      </c>
    </row>
    <row r="92" spans="1:3" x14ac:dyDescent="0.35">
      <c r="A92" s="7">
        <v>118</v>
      </c>
      <c r="B92" s="8">
        <v>165</v>
      </c>
      <c r="C92" s="9">
        <v>56</v>
      </c>
    </row>
    <row r="93" spans="1:3" x14ac:dyDescent="0.35">
      <c r="A93" s="10">
        <v>59</v>
      </c>
      <c r="B93" s="11">
        <v>35</v>
      </c>
      <c r="C93" s="12">
        <v>17</v>
      </c>
    </row>
    <row r="94" spans="1:3" x14ac:dyDescent="0.35">
      <c r="A94" s="7">
        <v>127</v>
      </c>
      <c r="B94" s="8">
        <v>58</v>
      </c>
      <c r="C94" s="9">
        <v>39</v>
      </c>
    </row>
    <row r="95" spans="1:3" x14ac:dyDescent="0.35">
      <c r="A95" s="10">
        <v>121</v>
      </c>
      <c r="B95" s="11">
        <v>175</v>
      </c>
      <c r="C95" s="12">
        <v>77</v>
      </c>
    </row>
    <row r="96" spans="1:3" x14ac:dyDescent="0.35">
      <c r="A96" s="7">
        <v>80</v>
      </c>
      <c r="B96" s="8">
        <v>101</v>
      </c>
      <c r="C96" s="9">
        <v>3</v>
      </c>
    </row>
    <row r="97" spans="1:3" x14ac:dyDescent="0.35">
      <c r="A97" s="10">
        <v>189</v>
      </c>
      <c r="B97" s="11">
        <v>161</v>
      </c>
      <c r="C97" s="12">
        <v>53</v>
      </c>
    </row>
    <row r="98" spans="1:3" x14ac:dyDescent="0.35">
      <c r="A98" s="7">
        <v>18</v>
      </c>
      <c r="B98" s="8">
        <v>61</v>
      </c>
      <c r="C98" s="9">
        <v>19</v>
      </c>
    </row>
    <row r="99" spans="1:3" x14ac:dyDescent="0.35">
      <c r="A99" s="10">
        <v>68</v>
      </c>
      <c r="B99" s="11">
        <v>127</v>
      </c>
      <c r="C99" s="12">
        <v>3</v>
      </c>
    </row>
    <row r="100" spans="1:3" x14ac:dyDescent="0.35">
      <c r="A100" s="7">
        <v>37</v>
      </c>
      <c r="B100" s="8">
        <v>112</v>
      </c>
      <c r="C100" s="9">
        <v>68</v>
      </c>
    </row>
    <row r="101" spans="1:3" x14ac:dyDescent="0.35">
      <c r="A101" s="10">
        <v>40</v>
      </c>
      <c r="B101" s="11">
        <v>140</v>
      </c>
      <c r="C101" s="12">
        <v>15</v>
      </c>
    </row>
    <row r="102" spans="1:3" x14ac:dyDescent="0.35">
      <c r="A102" s="7">
        <v>189</v>
      </c>
      <c r="B102" s="8">
        <v>87</v>
      </c>
      <c r="C102" s="9">
        <v>64</v>
      </c>
    </row>
    <row r="103" spans="1:3" x14ac:dyDescent="0.35">
      <c r="A103" s="10">
        <v>145</v>
      </c>
      <c r="B103" s="11">
        <v>18</v>
      </c>
      <c r="C103" s="12">
        <v>1</v>
      </c>
    </row>
    <row r="104" spans="1:3" x14ac:dyDescent="0.35">
      <c r="A104" s="7">
        <v>148</v>
      </c>
      <c r="B104" s="8">
        <v>27</v>
      </c>
      <c r="C104" s="9">
        <v>13</v>
      </c>
    </row>
    <row r="105" spans="1:3" x14ac:dyDescent="0.35">
      <c r="A105" s="10">
        <v>127</v>
      </c>
      <c r="B105" s="11">
        <v>161</v>
      </c>
      <c r="C105" s="12">
        <v>31</v>
      </c>
    </row>
    <row r="106" spans="1:3" x14ac:dyDescent="0.35">
      <c r="A106" s="7">
        <v>131</v>
      </c>
      <c r="B106" s="8">
        <v>1</v>
      </c>
      <c r="C106" s="9">
        <v>98</v>
      </c>
    </row>
    <row r="107" spans="1:3" x14ac:dyDescent="0.35">
      <c r="A107" s="10">
        <v>142</v>
      </c>
      <c r="B107" s="11">
        <v>131</v>
      </c>
      <c r="C107" s="12">
        <v>62</v>
      </c>
    </row>
    <row r="108" spans="1:3" x14ac:dyDescent="0.35">
      <c r="A108" s="7">
        <v>121</v>
      </c>
      <c r="B108" s="8">
        <v>150</v>
      </c>
      <c r="C108" s="9">
        <v>25</v>
      </c>
    </row>
    <row r="109" spans="1:3" x14ac:dyDescent="0.35">
      <c r="A109" s="10">
        <v>33</v>
      </c>
      <c r="B109" s="11">
        <v>113</v>
      </c>
      <c r="C109" s="12">
        <v>62</v>
      </c>
    </row>
    <row r="110" spans="1:3" x14ac:dyDescent="0.35">
      <c r="A110" s="7">
        <v>142</v>
      </c>
      <c r="B110" s="8">
        <v>44</v>
      </c>
      <c r="C110" s="9">
        <v>92</v>
      </c>
    </row>
    <row r="111" spans="1:3" x14ac:dyDescent="0.35">
      <c r="A111" s="10">
        <v>119</v>
      </c>
      <c r="B111" s="11">
        <v>167</v>
      </c>
      <c r="C111" s="12">
        <v>64</v>
      </c>
    </row>
    <row r="112" spans="1:3" x14ac:dyDescent="0.35">
      <c r="A112" s="7">
        <v>54</v>
      </c>
      <c r="B112" s="8">
        <v>109</v>
      </c>
      <c r="C112" s="9">
        <v>65</v>
      </c>
    </row>
    <row r="113" spans="1:3" x14ac:dyDescent="0.35">
      <c r="A113" s="10">
        <v>53</v>
      </c>
      <c r="B113" s="11">
        <v>94</v>
      </c>
      <c r="C113" s="12">
        <v>43</v>
      </c>
    </row>
    <row r="114" spans="1:3" x14ac:dyDescent="0.35">
      <c r="A114" s="7">
        <v>165</v>
      </c>
      <c r="B114" s="8">
        <v>101</v>
      </c>
      <c r="C114" s="9">
        <v>8</v>
      </c>
    </row>
    <row r="115" spans="1:3" x14ac:dyDescent="0.35">
      <c r="A115" s="10">
        <v>159</v>
      </c>
      <c r="B115" s="11">
        <v>68</v>
      </c>
      <c r="C115" s="12">
        <v>96</v>
      </c>
    </row>
    <row r="116" spans="1:3" x14ac:dyDescent="0.35">
      <c r="A116" s="7">
        <v>79</v>
      </c>
      <c r="B116" s="8">
        <v>119</v>
      </c>
      <c r="C116" s="9">
        <v>35</v>
      </c>
    </row>
    <row r="117" spans="1:3" x14ac:dyDescent="0.35">
      <c r="A117" s="10">
        <v>128</v>
      </c>
      <c r="B117" s="11">
        <v>148</v>
      </c>
      <c r="C117" s="12">
        <v>77</v>
      </c>
    </row>
    <row r="118" spans="1:3" x14ac:dyDescent="0.35">
      <c r="A118" s="7">
        <v>195</v>
      </c>
      <c r="B118" s="8">
        <v>39</v>
      </c>
      <c r="C118" s="9">
        <v>77</v>
      </c>
    </row>
    <row r="119" spans="1:3" x14ac:dyDescent="0.35">
      <c r="A119" s="10">
        <v>87</v>
      </c>
      <c r="B119" s="11">
        <v>8</v>
      </c>
      <c r="C119" s="12">
        <v>17</v>
      </c>
    </row>
    <row r="120" spans="1:3" x14ac:dyDescent="0.35">
      <c r="A120" s="7">
        <v>114</v>
      </c>
      <c r="B120" s="8">
        <v>124</v>
      </c>
      <c r="C120" s="9">
        <v>94</v>
      </c>
    </row>
    <row r="121" spans="1:3" x14ac:dyDescent="0.35">
      <c r="A121" s="10">
        <v>126</v>
      </c>
      <c r="B121" s="11">
        <v>122</v>
      </c>
      <c r="C121" s="12">
        <v>39</v>
      </c>
    </row>
    <row r="122" spans="1:3" x14ac:dyDescent="0.35">
      <c r="A122" s="7">
        <v>96</v>
      </c>
      <c r="B122" s="8">
        <v>113</v>
      </c>
      <c r="C122" s="9">
        <v>28</v>
      </c>
    </row>
    <row r="123" spans="1:3" x14ac:dyDescent="0.35">
      <c r="A123" s="10">
        <v>165</v>
      </c>
      <c r="B123" s="11">
        <v>4</v>
      </c>
      <c r="C123" s="12">
        <v>83</v>
      </c>
    </row>
    <row r="124" spans="1:3" x14ac:dyDescent="0.35">
      <c r="A124" s="7">
        <v>1</v>
      </c>
      <c r="B124" s="8">
        <v>117</v>
      </c>
      <c r="C124" s="9">
        <v>76</v>
      </c>
    </row>
    <row r="125" spans="1:3" x14ac:dyDescent="0.35">
      <c r="A125" s="10">
        <v>107</v>
      </c>
      <c r="B125" s="11">
        <v>70</v>
      </c>
      <c r="C125" s="12">
        <v>28</v>
      </c>
    </row>
    <row r="126" spans="1:3" x14ac:dyDescent="0.35">
      <c r="A126" s="7">
        <v>83</v>
      </c>
      <c r="B126" s="8">
        <v>81</v>
      </c>
      <c r="C126" s="9">
        <v>1</v>
      </c>
    </row>
    <row r="127" spans="1:3" x14ac:dyDescent="0.35">
      <c r="A127" s="10">
        <v>43</v>
      </c>
      <c r="B127" s="11">
        <v>109</v>
      </c>
      <c r="C127" s="12">
        <v>50</v>
      </c>
    </row>
    <row r="128" spans="1:3" x14ac:dyDescent="0.35">
      <c r="A128" s="7">
        <v>52</v>
      </c>
      <c r="B128" s="8">
        <v>110</v>
      </c>
      <c r="C128" s="9">
        <v>19</v>
      </c>
    </row>
    <row r="129" spans="1:3" x14ac:dyDescent="0.35">
      <c r="A129" s="10">
        <v>104</v>
      </c>
      <c r="B129" s="11">
        <v>132</v>
      </c>
      <c r="C129" s="12">
        <v>57</v>
      </c>
    </row>
    <row r="130" spans="1:3" x14ac:dyDescent="0.35">
      <c r="A130" s="7">
        <v>57</v>
      </c>
      <c r="B130" s="8">
        <v>150</v>
      </c>
      <c r="C130" s="9">
        <v>36</v>
      </c>
    </row>
    <row r="131" spans="1:3" x14ac:dyDescent="0.35">
      <c r="A131" s="10">
        <v>86</v>
      </c>
      <c r="B131" s="11">
        <v>183</v>
      </c>
      <c r="C131" s="12">
        <v>0</v>
      </c>
    </row>
    <row r="132" spans="1:3" x14ac:dyDescent="0.35">
      <c r="A132" s="7">
        <v>108</v>
      </c>
      <c r="B132" s="8">
        <v>20</v>
      </c>
      <c r="C132" s="9">
        <v>87</v>
      </c>
    </row>
    <row r="133" spans="1:3" x14ac:dyDescent="0.35">
      <c r="A133" s="10">
        <v>102</v>
      </c>
      <c r="B133" s="11">
        <v>142</v>
      </c>
      <c r="C133" s="12">
        <v>20</v>
      </c>
    </row>
    <row r="134" spans="1:3" x14ac:dyDescent="0.35">
      <c r="A134" s="7">
        <v>81</v>
      </c>
      <c r="B134" s="8">
        <v>133</v>
      </c>
      <c r="C134" s="9">
        <v>25</v>
      </c>
    </row>
    <row r="135" spans="1:3" x14ac:dyDescent="0.35">
      <c r="A135" s="10">
        <v>59</v>
      </c>
      <c r="B135" s="11">
        <v>87</v>
      </c>
      <c r="C135" s="12">
        <v>10</v>
      </c>
    </row>
    <row r="136" spans="1:3" x14ac:dyDescent="0.35">
      <c r="A136" s="7">
        <v>21</v>
      </c>
      <c r="B136" s="8">
        <v>75</v>
      </c>
      <c r="C136" s="9">
        <v>65</v>
      </c>
    </row>
    <row r="137" spans="1:3" x14ac:dyDescent="0.35">
      <c r="A137" s="10">
        <v>79</v>
      </c>
      <c r="B137" s="11">
        <v>14</v>
      </c>
      <c r="C137" s="12">
        <v>27</v>
      </c>
    </row>
    <row r="138" spans="1:3" x14ac:dyDescent="0.35">
      <c r="A138" s="7">
        <v>56</v>
      </c>
      <c r="B138" s="8">
        <v>12</v>
      </c>
      <c r="C138" s="9">
        <v>25</v>
      </c>
    </row>
    <row r="139" spans="1:3" x14ac:dyDescent="0.35">
      <c r="A139" s="10">
        <v>195</v>
      </c>
      <c r="B139" s="11">
        <v>90</v>
      </c>
      <c r="C139" s="12">
        <v>56</v>
      </c>
    </row>
    <row r="140" spans="1:3" x14ac:dyDescent="0.35">
      <c r="A140" s="7">
        <v>113</v>
      </c>
      <c r="B140" s="8">
        <v>90</v>
      </c>
      <c r="C140" s="9">
        <v>24</v>
      </c>
    </row>
    <row r="141" spans="1:3" x14ac:dyDescent="0.35">
      <c r="A141" s="10">
        <v>93</v>
      </c>
      <c r="B141" s="11">
        <v>139</v>
      </c>
      <c r="C141" s="12">
        <v>47</v>
      </c>
    </row>
    <row r="142" spans="1:3" x14ac:dyDescent="0.35">
      <c r="A142" s="7">
        <v>93</v>
      </c>
      <c r="B142" s="8">
        <v>147</v>
      </c>
      <c r="C142" s="9">
        <v>26</v>
      </c>
    </row>
    <row r="143" spans="1:3" x14ac:dyDescent="0.35">
      <c r="A143" s="10">
        <v>79</v>
      </c>
      <c r="B143" s="11">
        <v>145</v>
      </c>
      <c r="C143" s="12">
        <v>36</v>
      </c>
    </row>
    <row r="144" spans="1:3" x14ac:dyDescent="0.35">
      <c r="A144" s="7">
        <v>148</v>
      </c>
      <c r="B144" s="8">
        <v>127</v>
      </c>
      <c r="C144" s="9">
        <v>27</v>
      </c>
    </row>
    <row r="145" spans="1:3" x14ac:dyDescent="0.35">
      <c r="A145" s="10">
        <v>132</v>
      </c>
      <c r="B145" s="11">
        <v>128</v>
      </c>
      <c r="C145" s="12">
        <v>37</v>
      </c>
    </row>
    <row r="146" spans="1:3" x14ac:dyDescent="0.35">
      <c r="A146" s="7">
        <v>22</v>
      </c>
      <c r="B146" s="8">
        <v>115</v>
      </c>
      <c r="C146" s="9">
        <v>28</v>
      </c>
    </row>
    <row r="147" spans="1:3" x14ac:dyDescent="0.35">
      <c r="A147" s="10">
        <v>50</v>
      </c>
      <c r="B147" s="11">
        <v>99</v>
      </c>
      <c r="C147" s="12">
        <v>78</v>
      </c>
    </row>
    <row r="148" spans="1:3" x14ac:dyDescent="0.35">
      <c r="A148" s="7">
        <v>178</v>
      </c>
      <c r="B148" s="8">
        <v>146</v>
      </c>
      <c r="C148" s="9">
        <v>75</v>
      </c>
    </row>
    <row r="149" spans="1:3" x14ac:dyDescent="0.35">
      <c r="A149" s="10">
        <v>97</v>
      </c>
      <c r="B149" s="11">
        <v>135</v>
      </c>
      <c r="C149" s="12">
        <v>66</v>
      </c>
    </row>
    <row r="150" spans="1:3" x14ac:dyDescent="0.35">
      <c r="A150" s="7">
        <v>138</v>
      </c>
      <c r="B150" s="8">
        <v>160</v>
      </c>
      <c r="C150" s="9">
        <v>6</v>
      </c>
    </row>
    <row r="151" spans="1:3" x14ac:dyDescent="0.35">
      <c r="A151" s="10">
        <v>194</v>
      </c>
      <c r="B151" s="11">
        <v>87</v>
      </c>
      <c r="C151" s="12">
        <v>60</v>
      </c>
    </row>
    <row r="152" spans="1:3" x14ac:dyDescent="0.35">
      <c r="A152" s="7">
        <v>86</v>
      </c>
      <c r="B152" s="8">
        <v>21</v>
      </c>
      <c r="C152" s="9">
        <v>45</v>
      </c>
    </row>
    <row r="153" spans="1:3" x14ac:dyDescent="0.35">
      <c r="A153" s="10">
        <v>26</v>
      </c>
      <c r="B153" s="11">
        <v>60</v>
      </c>
      <c r="C153" s="12">
        <v>44</v>
      </c>
    </row>
    <row r="154" spans="1:3" x14ac:dyDescent="0.35">
      <c r="A154" s="7">
        <v>28</v>
      </c>
      <c r="B154" s="8">
        <v>35</v>
      </c>
      <c r="C154" s="9">
        <v>96</v>
      </c>
    </row>
    <row r="155" spans="1:3" x14ac:dyDescent="0.35">
      <c r="A155" s="10">
        <v>53</v>
      </c>
      <c r="B155" s="11">
        <v>100</v>
      </c>
      <c r="C155" s="12">
        <v>64</v>
      </c>
    </row>
    <row r="156" spans="1:3" x14ac:dyDescent="0.35">
      <c r="A156" s="7">
        <v>168</v>
      </c>
      <c r="B156" s="8">
        <v>64</v>
      </c>
      <c r="C156" s="9">
        <v>46</v>
      </c>
    </row>
    <row r="157" spans="1:3" x14ac:dyDescent="0.35">
      <c r="A157" s="10">
        <v>77</v>
      </c>
      <c r="B157" s="11">
        <v>60</v>
      </c>
      <c r="C157" s="12">
        <v>35</v>
      </c>
    </row>
    <row r="158" spans="1:3" x14ac:dyDescent="0.35">
      <c r="A158" s="7">
        <v>17</v>
      </c>
      <c r="B158" s="8">
        <v>80</v>
      </c>
      <c r="C158" s="9">
        <v>30</v>
      </c>
    </row>
    <row r="159" spans="1:3" x14ac:dyDescent="0.35">
      <c r="A159" s="10">
        <v>175</v>
      </c>
      <c r="B159" s="11">
        <v>47</v>
      </c>
      <c r="C159" s="12">
        <v>25</v>
      </c>
    </row>
    <row r="160" spans="1:3" x14ac:dyDescent="0.35">
      <c r="A160" s="7">
        <v>164</v>
      </c>
      <c r="B160" s="8">
        <v>60</v>
      </c>
      <c r="C160" s="9">
        <v>22</v>
      </c>
    </row>
    <row r="161" spans="1:3" x14ac:dyDescent="0.35">
      <c r="A161" s="10">
        <v>199</v>
      </c>
      <c r="B161" s="11">
        <v>80</v>
      </c>
      <c r="C161" s="12">
        <v>45</v>
      </c>
    </row>
    <row r="162" spans="1:3" x14ac:dyDescent="0.35">
      <c r="A162" s="7">
        <v>111</v>
      </c>
      <c r="B162" s="8">
        <v>92</v>
      </c>
      <c r="C162" s="9">
        <v>45</v>
      </c>
    </row>
    <row r="163" spans="1:3" x14ac:dyDescent="0.35">
      <c r="A163" s="10">
        <v>58</v>
      </c>
      <c r="B163" s="11">
        <v>90</v>
      </c>
      <c r="C163" s="12">
        <v>40</v>
      </c>
    </row>
    <row r="164" spans="1:3" x14ac:dyDescent="0.35">
      <c r="A164" s="7">
        <v>59</v>
      </c>
      <c r="B164" s="8">
        <v>164</v>
      </c>
      <c r="C164" s="9">
        <v>47</v>
      </c>
    </row>
    <row r="165" spans="1:3" x14ac:dyDescent="0.35">
      <c r="A165" s="10">
        <v>158</v>
      </c>
      <c r="B165" s="11">
        <v>120</v>
      </c>
      <c r="C165" s="12">
        <v>30</v>
      </c>
    </row>
    <row r="166" spans="1:3" x14ac:dyDescent="0.35">
      <c r="A166" s="7">
        <v>84</v>
      </c>
      <c r="B166" s="8">
        <v>90</v>
      </c>
      <c r="C166" s="9">
        <v>30</v>
      </c>
    </row>
    <row r="167" spans="1:3" x14ac:dyDescent="0.35">
      <c r="A167" s="10">
        <v>64</v>
      </c>
      <c r="B167" s="11">
        <v>61</v>
      </c>
      <c r="C167" s="12">
        <v>60</v>
      </c>
    </row>
    <row r="168" spans="1:3" x14ac:dyDescent="0.35">
      <c r="A168" s="7">
        <v>125</v>
      </c>
      <c r="B168" s="8">
        <v>84</v>
      </c>
      <c r="C168" s="9">
        <v>40</v>
      </c>
    </row>
    <row r="169" spans="1:3" x14ac:dyDescent="0.35">
      <c r="A169" s="10">
        <v>148</v>
      </c>
      <c r="B169" s="11">
        <v>110</v>
      </c>
      <c r="C169" s="12">
        <v>50</v>
      </c>
    </row>
    <row r="170" spans="1:3" x14ac:dyDescent="0.35">
      <c r="A170" s="7">
        <v>172</v>
      </c>
      <c r="B170" s="8">
        <v>100</v>
      </c>
      <c r="C170" s="9">
        <v>30</v>
      </c>
    </row>
    <row r="171" spans="1:3" x14ac:dyDescent="0.35">
      <c r="A171" s="10">
        <v>103</v>
      </c>
      <c r="B171" s="11">
        <v>60</v>
      </c>
      <c r="C171" s="12">
        <v>40</v>
      </c>
    </row>
    <row r="172" spans="1:3" x14ac:dyDescent="0.35">
      <c r="A172" s="7">
        <v>191</v>
      </c>
      <c r="B172" s="8">
        <v>41</v>
      </c>
      <c r="C172" s="9">
        <v>52</v>
      </c>
    </row>
    <row r="173" spans="1:3" x14ac:dyDescent="0.35">
      <c r="A173" s="10">
        <v>128</v>
      </c>
      <c r="B173" s="11">
        <v>98</v>
      </c>
      <c r="C173" s="12">
        <v>40</v>
      </c>
    </row>
    <row r="174" spans="1:3" x14ac:dyDescent="0.35">
      <c r="A174" s="7">
        <v>75</v>
      </c>
      <c r="B174" s="8">
        <v>87</v>
      </c>
      <c r="C174" s="9">
        <v>47</v>
      </c>
    </row>
    <row r="175" spans="1:3" x14ac:dyDescent="0.35">
      <c r="A175" s="10">
        <v>38</v>
      </c>
      <c r="B175" s="11">
        <v>100</v>
      </c>
      <c r="C175" s="12">
        <v>50</v>
      </c>
    </row>
    <row r="176" spans="1:3" x14ac:dyDescent="0.35">
      <c r="A176" s="7">
        <v>80</v>
      </c>
      <c r="B176" s="8">
        <v>40</v>
      </c>
      <c r="C176" s="9">
        <v>30</v>
      </c>
    </row>
    <row r="177" spans="1:3" x14ac:dyDescent="0.35">
      <c r="A177" s="10">
        <v>55</v>
      </c>
      <c r="B177" s="11">
        <v>60</v>
      </c>
      <c r="C177" s="12">
        <v>50</v>
      </c>
    </row>
    <row r="178" spans="1:3" x14ac:dyDescent="0.35">
      <c r="A178" s="7">
        <v>10</v>
      </c>
      <c r="B178" s="8">
        <v>80</v>
      </c>
      <c r="C178" s="9">
        <v>48</v>
      </c>
    </row>
    <row r="179" spans="1:3" x14ac:dyDescent="0.35">
      <c r="A179" s="10">
        <v>95</v>
      </c>
      <c r="B179" s="11">
        <v>60</v>
      </c>
      <c r="C179" s="12">
        <v>51</v>
      </c>
    </row>
    <row r="180" spans="1:3" x14ac:dyDescent="0.35">
      <c r="A180" s="7">
        <v>90</v>
      </c>
      <c r="B180" s="8">
        <v>100</v>
      </c>
      <c r="C180" s="9">
        <v>50</v>
      </c>
    </row>
    <row r="181" spans="1:3" x14ac:dyDescent="0.35">
      <c r="A181" s="10">
        <v>186</v>
      </c>
      <c r="B181" s="11">
        <v>60</v>
      </c>
      <c r="C181" s="12">
        <v>92</v>
      </c>
    </row>
    <row r="182" spans="1:3" x14ac:dyDescent="0.35">
      <c r="A182" s="7">
        <v>2</v>
      </c>
      <c r="B182" s="8">
        <v>40</v>
      </c>
      <c r="C182" s="9">
        <v>50</v>
      </c>
    </row>
    <row r="183" spans="1:3" x14ac:dyDescent="0.35">
      <c r="A183" s="10">
        <v>136</v>
      </c>
      <c r="B183" s="11">
        <v>20</v>
      </c>
      <c r="C183" s="12">
        <v>66</v>
      </c>
    </row>
    <row r="184" spans="1:3" x14ac:dyDescent="0.35">
      <c r="A184" s="1">
        <v>4</v>
      </c>
      <c r="B184" s="2">
        <v>20</v>
      </c>
      <c r="C184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78C2-4285-4711-AE60-CBA21CF0D55E}">
  <dimension ref="A1:J184"/>
  <sheetViews>
    <sheetView topLeftCell="A4" workbookViewId="0">
      <selection activeCell="G9" sqref="G9:J16"/>
    </sheetView>
  </sheetViews>
  <sheetFormatPr defaultRowHeight="14.5" x14ac:dyDescent="0.35"/>
  <cols>
    <col min="1" max="1" width="14.1796875" bestFit="1" customWidth="1"/>
    <col min="2" max="2" width="14.54296875" bestFit="1" customWidth="1"/>
    <col min="3" max="3" width="12.08984375" bestFit="1" customWidth="1"/>
    <col min="4" max="4" width="9.90625" bestFit="1" customWidth="1"/>
    <col min="5" max="5" width="7" bestFit="1" customWidth="1"/>
    <col min="6" max="6" width="30.26953125" bestFit="1" customWidth="1"/>
    <col min="7" max="7" width="2.81640625" bestFit="1" customWidth="1"/>
    <col min="8" max="8" width="19" bestFit="1" customWidth="1"/>
    <col min="9" max="9" width="22.36328125" bestFit="1" customWidth="1"/>
    <col min="10" max="10" width="18.81640625" bestFit="1" customWidth="1"/>
  </cols>
  <sheetData>
    <row r="1" spans="1:10" x14ac:dyDescent="0.35">
      <c r="A1" s="4" t="s">
        <v>0</v>
      </c>
      <c r="B1" s="5" t="s">
        <v>1</v>
      </c>
      <c r="C1" s="6" t="s">
        <v>2</v>
      </c>
      <c r="D1" s="13" t="s">
        <v>3</v>
      </c>
      <c r="E1" s="13" t="s">
        <v>4</v>
      </c>
      <c r="F1" s="13"/>
    </row>
    <row r="2" spans="1:10" x14ac:dyDescent="0.35">
      <c r="A2" s="7">
        <v>200</v>
      </c>
      <c r="B2" s="8">
        <v>120</v>
      </c>
      <c r="C2" s="9">
        <v>81</v>
      </c>
      <c r="D2" s="14">
        <v>41927</v>
      </c>
      <c r="E2">
        <f>MONTH(D2)</f>
        <v>10</v>
      </c>
      <c r="F2" s="15"/>
    </row>
    <row r="3" spans="1:10" x14ac:dyDescent="0.35">
      <c r="A3" s="10">
        <v>100</v>
      </c>
      <c r="B3" s="11">
        <v>135</v>
      </c>
      <c r="C3" s="12">
        <v>33</v>
      </c>
      <c r="D3" s="14">
        <v>41928</v>
      </c>
      <c r="E3">
        <f t="shared" ref="E3:E66" si="0">MONTH(D3)</f>
        <v>10</v>
      </c>
    </row>
    <row r="4" spans="1:10" x14ac:dyDescent="0.35">
      <c r="A4" s="7">
        <v>50</v>
      </c>
      <c r="B4" s="8">
        <v>29</v>
      </c>
      <c r="C4" s="9">
        <v>85</v>
      </c>
      <c r="D4" s="14">
        <v>41929</v>
      </c>
      <c r="E4">
        <f t="shared" si="0"/>
        <v>10</v>
      </c>
    </row>
    <row r="5" spans="1:10" x14ac:dyDescent="0.35">
      <c r="A5" s="10">
        <v>68</v>
      </c>
      <c r="B5" s="11">
        <v>107</v>
      </c>
      <c r="C5" s="12">
        <v>84</v>
      </c>
      <c r="D5" s="14">
        <v>41930</v>
      </c>
      <c r="E5">
        <f t="shared" si="0"/>
        <v>10</v>
      </c>
    </row>
    <row r="6" spans="1:10" x14ac:dyDescent="0.35">
      <c r="A6" s="7">
        <v>75</v>
      </c>
      <c r="B6" s="8">
        <v>49</v>
      </c>
      <c r="C6" s="9">
        <v>23</v>
      </c>
      <c r="D6" s="14">
        <v>41931</v>
      </c>
      <c r="E6">
        <f t="shared" si="0"/>
        <v>10</v>
      </c>
    </row>
    <row r="7" spans="1:10" x14ac:dyDescent="0.35">
      <c r="A7" s="10">
        <v>109</v>
      </c>
      <c r="B7" s="11">
        <v>90</v>
      </c>
      <c r="C7" s="12">
        <v>48</v>
      </c>
      <c r="D7" s="14">
        <v>41932</v>
      </c>
      <c r="E7">
        <f t="shared" si="0"/>
        <v>10</v>
      </c>
    </row>
    <row r="8" spans="1:10" x14ac:dyDescent="0.35">
      <c r="A8" s="7">
        <v>161</v>
      </c>
      <c r="B8" s="8">
        <v>2</v>
      </c>
      <c r="C8" s="9">
        <v>16</v>
      </c>
      <c r="D8" s="14">
        <v>41933</v>
      </c>
      <c r="E8">
        <f t="shared" si="0"/>
        <v>10</v>
      </c>
    </row>
    <row r="9" spans="1:10" x14ac:dyDescent="0.35">
      <c r="A9" s="10">
        <v>97</v>
      </c>
      <c r="B9" s="11">
        <v>129</v>
      </c>
      <c r="C9" s="12">
        <v>43</v>
      </c>
      <c r="D9" s="14">
        <v>41934</v>
      </c>
      <c r="E9">
        <f t="shared" si="0"/>
        <v>10</v>
      </c>
      <c r="H9" t="s">
        <v>5</v>
      </c>
      <c r="I9" t="s">
        <v>6</v>
      </c>
      <c r="J9" t="s">
        <v>7</v>
      </c>
    </row>
    <row r="10" spans="1:10" x14ac:dyDescent="0.35">
      <c r="A10" s="7">
        <v>25</v>
      </c>
      <c r="B10" s="8">
        <v>186</v>
      </c>
      <c r="C10" s="9">
        <v>4</v>
      </c>
      <c r="D10" s="14">
        <v>41935</v>
      </c>
      <c r="E10">
        <f t="shared" si="0"/>
        <v>10</v>
      </c>
      <c r="G10" s="13">
        <v>10</v>
      </c>
      <c r="H10">
        <f t="shared" ref="H10:J16" si="1">SUMIF($E$2:$E$184, $G10, A$2:A$184)</f>
        <v>1742</v>
      </c>
      <c r="I10">
        <f t="shared" si="1"/>
        <v>1658</v>
      </c>
      <c r="J10">
        <f t="shared" si="1"/>
        <v>915</v>
      </c>
    </row>
    <row r="11" spans="1:10" x14ac:dyDescent="0.35">
      <c r="A11" s="10">
        <v>113</v>
      </c>
      <c r="B11" s="11">
        <v>97</v>
      </c>
      <c r="C11" s="12">
        <v>97</v>
      </c>
      <c r="D11" s="14">
        <v>41936</v>
      </c>
      <c r="E11">
        <f t="shared" si="0"/>
        <v>10</v>
      </c>
      <c r="G11" s="15">
        <v>11</v>
      </c>
      <c r="H11">
        <f t="shared" si="1"/>
        <v>2756</v>
      </c>
      <c r="I11">
        <f t="shared" si="1"/>
        <v>2884</v>
      </c>
      <c r="J11">
        <f t="shared" si="1"/>
        <v>1750</v>
      </c>
    </row>
    <row r="12" spans="1:10" x14ac:dyDescent="0.35">
      <c r="A12" s="7">
        <v>70</v>
      </c>
      <c r="B12" s="8">
        <v>12</v>
      </c>
      <c r="C12" s="9">
        <v>53</v>
      </c>
      <c r="D12" s="14">
        <v>41937</v>
      </c>
      <c r="E12">
        <f t="shared" si="0"/>
        <v>10</v>
      </c>
      <c r="G12">
        <v>12</v>
      </c>
      <c r="H12">
        <f t="shared" si="1"/>
        <v>2696</v>
      </c>
      <c r="I12">
        <f t="shared" si="1"/>
        <v>2749</v>
      </c>
      <c r="J12">
        <f t="shared" si="1"/>
        <v>1586</v>
      </c>
    </row>
    <row r="13" spans="1:10" x14ac:dyDescent="0.35">
      <c r="A13" s="10">
        <v>117</v>
      </c>
      <c r="B13" s="11">
        <v>142</v>
      </c>
      <c r="C13" s="12">
        <v>90</v>
      </c>
      <c r="D13" s="14">
        <v>41938</v>
      </c>
      <c r="E13">
        <f t="shared" si="0"/>
        <v>10</v>
      </c>
      <c r="G13">
        <v>1</v>
      </c>
      <c r="H13">
        <f t="shared" si="1"/>
        <v>2990</v>
      </c>
      <c r="I13">
        <f t="shared" si="1"/>
        <v>2870</v>
      </c>
      <c r="J13">
        <f t="shared" si="1"/>
        <v>1646</v>
      </c>
    </row>
    <row r="14" spans="1:10" x14ac:dyDescent="0.35">
      <c r="A14" s="7">
        <v>189</v>
      </c>
      <c r="B14" s="8">
        <v>28</v>
      </c>
      <c r="C14" s="9">
        <v>43</v>
      </c>
      <c r="D14" s="14">
        <v>41939</v>
      </c>
      <c r="E14">
        <f t="shared" si="0"/>
        <v>10</v>
      </c>
      <c r="G14">
        <v>2</v>
      </c>
      <c r="H14">
        <f t="shared" si="1"/>
        <v>2579</v>
      </c>
      <c r="I14">
        <f t="shared" si="1"/>
        <v>2651</v>
      </c>
      <c r="J14">
        <f t="shared" si="1"/>
        <v>1252</v>
      </c>
    </row>
    <row r="15" spans="1:10" x14ac:dyDescent="0.35">
      <c r="A15" s="10">
        <v>140</v>
      </c>
      <c r="B15" s="11">
        <v>191</v>
      </c>
      <c r="C15" s="12">
        <v>40</v>
      </c>
      <c r="D15" s="14">
        <v>41940</v>
      </c>
      <c r="E15">
        <f t="shared" si="0"/>
        <v>10</v>
      </c>
      <c r="G15">
        <v>3</v>
      </c>
      <c r="H15">
        <f t="shared" si="1"/>
        <v>3332</v>
      </c>
      <c r="I15">
        <f t="shared" si="1"/>
        <v>3026</v>
      </c>
      <c r="J15">
        <f t="shared" si="1"/>
        <v>1360</v>
      </c>
    </row>
    <row r="16" spans="1:10" x14ac:dyDescent="0.35">
      <c r="A16" s="7">
        <v>167</v>
      </c>
      <c r="B16" s="8">
        <v>48</v>
      </c>
      <c r="C16" s="9">
        <v>30</v>
      </c>
      <c r="D16" s="14">
        <v>41941</v>
      </c>
      <c r="E16">
        <f t="shared" si="0"/>
        <v>10</v>
      </c>
      <c r="G16">
        <v>4</v>
      </c>
      <c r="H16">
        <f t="shared" si="1"/>
        <v>1365</v>
      </c>
      <c r="I16">
        <f t="shared" si="1"/>
        <v>966</v>
      </c>
      <c r="J16">
        <f t="shared" si="1"/>
        <v>706</v>
      </c>
    </row>
    <row r="17" spans="1:5" x14ac:dyDescent="0.35">
      <c r="A17" s="10">
        <v>0</v>
      </c>
      <c r="B17" s="11">
        <v>154</v>
      </c>
      <c r="C17" s="12">
        <v>68</v>
      </c>
      <c r="D17" s="14">
        <v>41942</v>
      </c>
      <c r="E17">
        <f t="shared" si="0"/>
        <v>10</v>
      </c>
    </row>
    <row r="18" spans="1:5" x14ac:dyDescent="0.35">
      <c r="A18" s="7">
        <v>61</v>
      </c>
      <c r="B18" s="8">
        <v>139</v>
      </c>
      <c r="C18" s="9">
        <v>77</v>
      </c>
      <c r="D18" s="14">
        <v>41943</v>
      </c>
      <c r="E18">
        <f t="shared" si="0"/>
        <v>10</v>
      </c>
    </row>
    <row r="19" spans="1:5" x14ac:dyDescent="0.35">
      <c r="A19" s="10">
        <v>18</v>
      </c>
      <c r="B19" s="11">
        <v>163</v>
      </c>
      <c r="C19" s="12">
        <v>75</v>
      </c>
      <c r="D19" s="14">
        <v>41944</v>
      </c>
      <c r="E19">
        <f t="shared" si="0"/>
        <v>11</v>
      </c>
    </row>
    <row r="20" spans="1:5" x14ac:dyDescent="0.35">
      <c r="A20" s="7">
        <v>43</v>
      </c>
      <c r="B20" s="8">
        <v>169</v>
      </c>
      <c r="C20" s="9">
        <v>0</v>
      </c>
      <c r="D20" s="14">
        <v>41945</v>
      </c>
      <c r="E20">
        <f t="shared" si="0"/>
        <v>11</v>
      </c>
    </row>
    <row r="21" spans="1:5" x14ac:dyDescent="0.35">
      <c r="A21" s="10">
        <v>160</v>
      </c>
      <c r="B21" s="11">
        <v>135</v>
      </c>
      <c r="C21" s="12">
        <v>34</v>
      </c>
      <c r="D21" s="14">
        <v>41946</v>
      </c>
      <c r="E21">
        <f t="shared" si="0"/>
        <v>11</v>
      </c>
    </row>
    <row r="22" spans="1:5" x14ac:dyDescent="0.35">
      <c r="A22" s="7">
        <v>150</v>
      </c>
      <c r="B22" s="8">
        <v>89</v>
      </c>
      <c r="C22" s="9">
        <v>17</v>
      </c>
      <c r="D22" s="14">
        <v>41947</v>
      </c>
      <c r="E22">
        <f t="shared" si="0"/>
        <v>11</v>
      </c>
    </row>
    <row r="23" spans="1:5" x14ac:dyDescent="0.35">
      <c r="A23" s="10">
        <v>57</v>
      </c>
      <c r="B23" s="11">
        <v>109</v>
      </c>
      <c r="C23" s="12">
        <v>93</v>
      </c>
      <c r="D23" s="14">
        <v>41948</v>
      </c>
      <c r="E23">
        <f t="shared" si="0"/>
        <v>11</v>
      </c>
    </row>
    <row r="24" spans="1:5" x14ac:dyDescent="0.35">
      <c r="A24" s="7">
        <v>62</v>
      </c>
      <c r="B24" s="8">
        <v>80</v>
      </c>
      <c r="C24" s="9">
        <v>62</v>
      </c>
      <c r="D24" s="14">
        <v>41949</v>
      </c>
      <c r="E24">
        <f t="shared" si="0"/>
        <v>11</v>
      </c>
    </row>
    <row r="25" spans="1:5" x14ac:dyDescent="0.35">
      <c r="A25" s="10">
        <v>162</v>
      </c>
      <c r="B25" s="11">
        <v>62</v>
      </c>
      <c r="C25" s="12">
        <v>88</v>
      </c>
      <c r="D25" s="14">
        <v>41950</v>
      </c>
      <c r="E25">
        <f t="shared" si="0"/>
        <v>11</v>
      </c>
    </row>
    <row r="26" spans="1:5" x14ac:dyDescent="0.35">
      <c r="A26" s="7">
        <v>142</v>
      </c>
      <c r="B26" s="8">
        <v>79</v>
      </c>
      <c r="C26" s="9">
        <v>76</v>
      </c>
      <c r="D26" s="14">
        <v>41951</v>
      </c>
      <c r="E26">
        <f t="shared" si="0"/>
        <v>11</v>
      </c>
    </row>
    <row r="27" spans="1:5" x14ac:dyDescent="0.35">
      <c r="A27" s="10">
        <v>7</v>
      </c>
      <c r="B27" s="11">
        <v>30</v>
      </c>
      <c r="C27" s="12">
        <v>68</v>
      </c>
      <c r="D27" s="14">
        <v>41952</v>
      </c>
      <c r="E27">
        <f t="shared" si="0"/>
        <v>11</v>
      </c>
    </row>
    <row r="28" spans="1:5" x14ac:dyDescent="0.35">
      <c r="A28" s="7">
        <v>116</v>
      </c>
      <c r="B28" s="8">
        <v>6</v>
      </c>
      <c r="C28" s="9">
        <v>88</v>
      </c>
      <c r="D28" s="14">
        <v>41953</v>
      </c>
      <c r="E28">
        <f t="shared" si="0"/>
        <v>11</v>
      </c>
    </row>
    <row r="29" spans="1:5" x14ac:dyDescent="0.35">
      <c r="A29" s="10">
        <v>0</v>
      </c>
      <c r="B29" s="11">
        <v>1</v>
      </c>
      <c r="C29" s="12">
        <v>47</v>
      </c>
      <c r="D29" s="14">
        <v>41954</v>
      </c>
      <c r="E29">
        <f t="shared" si="0"/>
        <v>11</v>
      </c>
    </row>
    <row r="30" spans="1:5" x14ac:dyDescent="0.35">
      <c r="A30" s="7">
        <v>78</v>
      </c>
      <c r="B30" s="8">
        <v>84</v>
      </c>
      <c r="C30" s="9">
        <v>16</v>
      </c>
      <c r="D30" s="14">
        <v>41955</v>
      </c>
      <c r="E30">
        <f t="shared" si="0"/>
        <v>11</v>
      </c>
    </row>
    <row r="31" spans="1:5" x14ac:dyDescent="0.35">
      <c r="A31" s="10">
        <v>112</v>
      </c>
      <c r="B31" s="11">
        <v>140</v>
      </c>
      <c r="C31" s="12">
        <v>97</v>
      </c>
      <c r="D31" s="14">
        <v>41956</v>
      </c>
      <c r="E31">
        <f t="shared" si="0"/>
        <v>11</v>
      </c>
    </row>
    <row r="32" spans="1:5" x14ac:dyDescent="0.35">
      <c r="A32" s="7">
        <v>109</v>
      </c>
      <c r="B32" s="8">
        <v>74</v>
      </c>
      <c r="C32" s="9">
        <v>53</v>
      </c>
      <c r="D32" s="14">
        <v>41957</v>
      </c>
      <c r="E32">
        <f t="shared" si="0"/>
        <v>11</v>
      </c>
    </row>
    <row r="33" spans="1:5" x14ac:dyDescent="0.35">
      <c r="A33" s="10">
        <v>121</v>
      </c>
      <c r="B33" s="11">
        <v>77</v>
      </c>
      <c r="C33" s="12">
        <v>70</v>
      </c>
      <c r="D33" s="14">
        <v>41958</v>
      </c>
      <c r="E33">
        <f t="shared" si="0"/>
        <v>11</v>
      </c>
    </row>
    <row r="34" spans="1:5" x14ac:dyDescent="0.35">
      <c r="A34" s="7">
        <v>106</v>
      </c>
      <c r="B34" s="8">
        <v>89</v>
      </c>
      <c r="C34" s="9">
        <v>75</v>
      </c>
      <c r="D34" s="14">
        <v>41959</v>
      </c>
      <c r="E34">
        <f t="shared" si="0"/>
        <v>11</v>
      </c>
    </row>
    <row r="35" spans="1:5" x14ac:dyDescent="0.35">
      <c r="A35" s="10">
        <v>57</v>
      </c>
      <c r="B35" s="11">
        <v>119</v>
      </c>
      <c r="C35" s="12">
        <v>64</v>
      </c>
      <c r="D35" s="14">
        <v>41960</v>
      </c>
      <c r="E35">
        <f t="shared" si="0"/>
        <v>11</v>
      </c>
    </row>
    <row r="36" spans="1:5" x14ac:dyDescent="0.35">
      <c r="A36" s="7">
        <v>26</v>
      </c>
      <c r="B36" s="8">
        <v>87</v>
      </c>
      <c r="C36" s="9">
        <v>84</v>
      </c>
      <c r="D36" s="14">
        <v>41961</v>
      </c>
      <c r="E36">
        <f t="shared" si="0"/>
        <v>11</v>
      </c>
    </row>
    <row r="37" spans="1:5" x14ac:dyDescent="0.35">
      <c r="A37" s="10">
        <v>79</v>
      </c>
      <c r="B37" s="11">
        <v>171</v>
      </c>
      <c r="C37" s="12">
        <v>75</v>
      </c>
      <c r="D37" s="14">
        <v>41962</v>
      </c>
      <c r="E37">
        <f t="shared" si="0"/>
        <v>11</v>
      </c>
    </row>
    <row r="38" spans="1:5" x14ac:dyDescent="0.35">
      <c r="A38" s="7">
        <v>192</v>
      </c>
      <c r="B38" s="8">
        <v>151</v>
      </c>
      <c r="C38" s="9">
        <v>45</v>
      </c>
      <c r="D38" s="14">
        <v>41963</v>
      </c>
      <c r="E38">
        <f t="shared" si="0"/>
        <v>11</v>
      </c>
    </row>
    <row r="39" spans="1:5" x14ac:dyDescent="0.35">
      <c r="A39" s="10">
        <v>9</v>
      </c>
      <c r="B39" s="11">
        <v>64</v>
      </c>
      <c r="C39" s="12">
        <v>22</v>
      </c>
      <c r="D39" s="14">
        <v>41964</v>
      </c>
      <c r="E39">
        <f t="shared" si="0"/>
        <v>11</v>
      </c>
    </row>
    <row r="40" spans="1:5" x14ac:dyDescent="0.35">
      <c r="A40" s="7">
        <v>123</v>
      </c>
      <c r="B40" s="8">
        <v>150</v>
      </c>
      <c r="C40" s="9">
        <v>10</v>
      </c>
      <c r="D40" s="14">
        <v>41965</v>
      </c>
      <c r="E40">
        <f t="shared" si="0"/>
        <v>11</v>
      </c>
    </row>
    <row r="41" spans="1:5" x14ac:dyDescent="0.35">
      <c r="A41" s="10">
        <v>87</v>
      </c>
      <c r="B41" s="11">
        <v>123</v>
      </c>
      <c r="C41" s="12">
        <v>33</v>
      </c>
      <c r="D41" s="14">
        <v>41966</v>
      </c>
      <c r="E41">
        <f t="shared" si="0"/>
        <v>11</v>
      </c>
    </row>
    <row r="42" spans="1:5" x14ac:dyDescent="0.35">
      <c r="A42" s="7">
        <v>165</v>
      </c>
      <c r="B42" s="8">
        <v>88</v>
      </c>
      <c r="C42" s="9">
        <v>13</v>
      </c>
      <c r="D42" s="14">
        <v>41967</v>
      </c>
      <c r="E42">
        <f t="shared" si="0"/>
        <v>11</v>
      </c>
    </row>
    <row r="43" spans="1:5" x14ac:dyDescent="0.35">
      <c r="A43" s="10">
        <v>144</v>
      </c>
      <c r="B43" s="11">
        <v>78</v>
      </c>
      <c r="C43" s="12">
        <v>82</v>
      </c>
      <c r="D43" s="14">
        <v>41968</v>
      </c>
      <c r="E43">
        <f t="shared" si="0"/>
        <v>11</v>
      </c>
    </row>
    <row r="44" spans="1:5" x14ac:dyDescent="0.35">
      <c r="A44" s="7">
        <v>54</v>
      </c>
      <c r="B44" s="8">
        <v>38</v>
      </c>
      <c r="C44" s="9">
        <v>68</v>
      </c>
      <c r="D44" s="14">
        <v>41969</v>
      </c>
      <c r="E44">
        <f t="shared" si="0"/>
        <v>11</v>
      </c>
    </row>
    <row r="45" spans="1:5" x14ac:dyDescent="0.35">
      <c r="A45" s="10">
        <v>188</v>
      </c>
      <c r="B45" s="11">
        <v>44</v>
      </c>
      <c r="C45" s="12">
        <v>86</v>
      </c>
      <c r="D45" s="14">
        <v>41970</v>
      </c>
      <c r="E45">
        <f t="shared" si="0"/>
        <v>11</v>
      </c>
    </row>
    <row r="46" spans="1:5" x14ac:dyDescent="0.35">
      <c r="A46" s="7">
        <v>165</v>
      </c>
      <c r="B46" s="8">
        <v>170</v>
      </c>
      <c r="C46" s="9">
        <v>62</v>
      </c>
      <c r="D46" s="14">
        <v>41971</v>
      </c>
      <c r="E46">
        <f t="shared" si="0"/>
        <v>11</v>
      </c>
    </row>
    <row r="47" spans="1:5" x14ac:dyDescent="0.35">
      <c r="A47" s="10">
        <v>24</v>
      </c>
      <c r="B47" s="11">
        <v>94</v>
      </c>
      <c r="C47" s="12">
        <v>87</v>
      </c>
      <c r="D47" s="14">
        <v>41972</v>
      </c>
      <c r="E47">
        <f t="shared" si="0"/>
        <v>11</v>
      </c>
    </row>
    <row r="48" spans="1:5" x14ac:dyDescent="0.35">
      <c r="A48" s="7">
        <v>0</v>
      </c>
      <c r="B48" s="8">
        <v>120</v>
      </c>
      <c r="C48" s="9">
        <v>60</v>
      </c>
      <c r="D48" s="14">
        <v>41973</v>
      </c>
      <c r="E48">
        <f t="shared" si="0"/>
        <v>11</v>
      </c>
    </row>
    <row r="49" spans="1:5" x14ac:dyDescent="0.35">
      <c r="A49" s="10">
        <v>101</v>
      </c>
      <c r="B49" s="11">
        <v>53</v>
      </c>
      <c r="C49" s="12">
        <v>62</v>
      </c>
      <c r="D49" s="14">
        <v>41974</v>
      </c>
      <c r="E49">
        <f t="shared" si="0"/>
        <v>12</v>
      </c>
    </row>
    <row r="50" spans="1:5" x14ac:dyDescent="0.35">
      <c r="A50" s="7">
        <v>67</v>
      </c>
      <c r="B50" s="8">
        <v>147</v>
      </c>
      <c r="C50" s="9">
        <v>20</v>
      </c>
      <c r="D50" s="14">
        <v>41975</v>
      </c>
      <c r="E50">
        <f t="shared" si="0"/>
        <v>12</v>
      </c>
    </row>
    <row r="51" spans="1:5" x14ac:dyDescent="0.35">
      <c r="A51" s="10">
        <v>109</v>
      </c>
      <c r="B51" s="11">
        <v>99</v>
      </c>
      <c r="C51" s="12">
        <v>70</v>
      </c>
      <c r="D51" s="14">
        <v>41976</v>
      </c>
      <c r="E51">
        <f t="shared" si="0"/>
        <v>12</v>
      </c>
    </row>
    <row r="52" spans="1:5" x14ac:dyDescent="0.35">
      <c r="A52" s="7">
        <v>22</v>
      </c>
      <c r="B52" s="8">
        <v>16</v>
      </c>
      <c r="C52" s="9">
        <v>59</v>
      </c>
      <c r="D52" s="14">
        <v>41977</v>
      </c>
      <c r="E52">
        <f t="shared" si="0"/>
        <v>12</v>
      </c>
    </row>
    <row r="53" spans="1:5" x14ac:dyDescent="0.35">
      <c r="A53" s="10">
        <v>5</v>
      </c>
      <c r="B53" s="11">
        <v>91</v>
      </c>
      <c r="C53" s="12">
        <v>73</v>
      </c>
      <c r="D53" s="14">
        <v>41978</v>
      </c>
      <c r="E53">
        <f t="shared" si="0"/>
        <v>12</v>
      </c>
    </row>
    <row r="54" spans="1:5" x14ac:dyDescent="0.35">
      <c r="A54" s="7">
        <v>105</v>
      </c>
      <c r="B54" s="8">
        <v>154</v>
      </c>
      <c r="C54" s="9">
        <v>48</v>
      </c>
      <c r="D54" s="14">
        <v>41979</v>
      </c>
      <c r="E54">
        <f t="shared" si="0"/>
        <v>12</v>
      </c>
    </row>
    <row r="55" spans="1:5" x14ac:dyDescent="0.35">
      <c r="A55" s="10">
        <v>108</v>
      </c>
      <c r="B55" s="11">
        <v>5</v>
      </c>
      <c r="C55" s="12">
        <v>71</v>
      </c>
      <c r="D55" s="14">
        <v>41980</v>
      </c>
      <c r="E55">
        <f t="shared" si="0"/>
        <v>12</v>
      </c>
    </row>
    <row r="56" spans="1:5" x14ac:dyDescent="0.35">
      <c r="A56" s="7">
        <v>64</v>
      </c>
      <c r="B56" s="8">
        <v>37</v>
      </c>
      <c r="C56" s="9">
        <v>89</v>
      </c>
      <c r="D56" s="14">
        <v>41981</v>
      </c>
      <c r="E56">
        <f t="shared" si="0"/>
        <v>12</v>
      </c>
    </row>
    <row r="57" spans="1:5" x14ac:dyDescent="0.35">
      <c r="A57" s="10">
        <v>114</v>
      </c>
      <c r="B57" s="11">
        <v>140</v>
      </c>
      <c r="C57" s="12">
        <v>36</v>
      </c>
      <c r="D57" s="14">
        <v>41982</v>
      </c>
      <c r="E57">
        <f t="shared" si="0"/>
        <v>12</v>
      </c>
    </row>
    <row r="58" spans="1:5" x14ac:dyDescent="0.35">
      <c r="A58" s="7">
        <v>147</v>
      </c>
      <c r="B58" s="8">
        <v>140</v>
      </c>
      <c r="C58" s="9">
        <v>61</v>
      </c>
      <c r="D58" s="14">
        <v>41983</v>
      </c>
      <c r="E58">
        <f t="shared" si="0"/>
        <v>12</v>
      </c>
    </row>
    <row r="59" spans="1:5" x14ac:dyDescent="0.35">
      <c r="A59" s="10">
        <v>69</v>
      </c>
      <c r="B59" s="11">
        <v>120</v>
      </c>
      <c r="C59" s="12">
        <v>52</v>
      </c>
      <c r="D59" s="14">
        <v>41984</v>
      </c>
      <c r="E59">
        <f t="shared" si="0"/>
        <v>12</v>
      </c>
    </row>
    <row r="60" spans="1:5" x14ac:dyDescent="0.35">
      <c r="A60" s="7">
        <v>101</v>
      </c>
      <c r="B60" s="8">
        <v>39</v>
      </c>
      <c r="C60" s="9">
        <v>10</v>
      </c>
      <c r="D60" s="14">
        <v>41985</v>
      </c>
      <c r="E60">
        <f t="shared" si="0"/>
        <v>12</v>
      </c>
    </row>
    <row r="61" spans="1:5" x14ac:dyDescent="0.35">
      <c r="A61" s="10">
        <v>158</v>
      </c>
      <c r="B61" s="11">
        <v>36</v>
      </c>
      <c r="C61" s="12">
        <v>79</v>
      </c>
      <c r="D61" s="14">
        <v>41986</v>
      </c>
      <c r="E61">
        <f t="shared" si="0"/>
        <v>12</v>
      </c>
    </row>
    <row r="62" spans="1:5" x14ac:dyDescent="0.35">
      <c r="A62" s="7">
        <v>79</v>
      </c>
      <c r="B62" s="8">
        <v>105</v>
      </c>
      <c r="C62" s="9">
        <v>73</v>
      </c>
      <c r="D62" s="14">
        <v>41987</v>
      </c>
      <c r="E62">
        <f t="shared" si="0"/>
        <v>12</v>
      </c>
    </row>
    <row r="63" spans="1:5" x14ac:dyDescent="0.35">
      <c r="A63" s="10">
        <v>5</v>
      </c>
      <c r="B63" s="11">
        <v>24</v>
      </c>
      <c r="C63" s="12">
        <v>43</v>
      </c>
      <c r="D63" s="14">
        <v>41988</v>
      </c>
      <c r="E63">
        <f t="shared" si="0"/>
        <v>12</v>
      </c>
    </row>
    <row r="64" spans="1:5" x14ac:dyDescent="0.35">
      <c r="A64" s="7">
        <v>68</v>
      </c>
      <c r="B64" s="8">
        <v>112</v>
      </c>
      <c r="C64" s="9">
        <v>25</v>
      </c>
      <c r="D64" s="14">
        <v>41989</v>
      </c>
      <c r="E64">
        <f t="shared" si="0"/>
        <v>12</v>
      </c>
    </row>
    <row r="65" spans="1:5" x14ac:dyDescent="0.35">
      <c r="A65" s="10">
        <v>37</v>
      </c>
      <c r="B65" s="11">
        <v>57</v>
      </c>
      <c r="C65" s="12">
        <v>81</v>
      </c>
      <c r="D65" s="14">
        <v>41990</v>
      </c>
      <c r="E65">
        <f t="shared" si="0"/>
        <v>12</v>
      </c>
    </row>
    <row r="66" spans="1:5" x14ac:dyDescent="0.35">
      <c r="A66" s="7">
        <v>188</v>
      </c>
      <c r="B66" s="8">
        <v>28</v>
      </c>
      <c r="C66" s="9">
        <v>7</v>
      </c>
      <c r="D66" s="14">
        <v>41991</v>
      </c>
      <c r="E66">
        <f t="shared" si="0"/>
        <v>12</v>
      </c>
    </row>
    <row r="67" spans="1:5" x14ac:dyDescent="0.35">
      <c r="A67" s="10">
        <v>167</v>
      </c>
      <c r="B67" s="11">
        <v>41</v>
      </c>
      <c r="C67" s="12">
        <v>45</v>
      </c>
      <c r="D67" s="14">
        <v>41992</v>
      </c>
      <c r="E67">
        <f t="shared" ref="E67:E130" si="2">MONTH(D67)</f>
        <v>12</v>
      </c>
    </row>
    <row r="68" spans="1:5" x14ac:dyDescent="0.35">
      <c r="A68" s="7">
        <v>197</v>
      </c>
      <c r="B68" s="8">
        <v>82</v>
      </c>
      <c r="C68" s="9">
        <v>43</v>
      </c>
      <c r="D68" s="14">
        <v>41993</v>
      </c>
      <c r="E68">
        <f t="shared" si="2"/>
        <v>12</v>
      </c>
    </row>
    <row r="69" spans="1:5" x14ac:dyDescent="0.35">
      <c r="A69" s="10">
        <v>54</v>
      </c>
      <c r="B69" s="11">
        <v>130</v>
      </c>
      <c r="C69" s="12">
        <v>50</v>
      </c>
      <c r="D69" s="14">
        <v>41994</v>
      </c>
      <c r="E69">
        <f t="shared" si="2"/>
        <v>12</v>
      </c>
    </row>
    <row r="70" spans="1:5" x14ac:dyDescent="0.35">
      <c r="A70" s="7">
        <v>19</v>
      </c>
      <c r="B70" s="8">
        <v>153</v>
      </c>
      <c r="C70" s="9">
        <v>65</v>
      </c>
      <c r="D70" s="14">
        <v>41995</v>
      </c>
      <c r="E70">
        <f t="shared" si="2"/>
        <v>12</v>
      </c>
    </row>
    <row r="71" spans="1:5" x14ac:dyDescent="0.35">
      <c r="A71" s="10">
        <v>27</v>
      </c>
      <c r="B71" s="11">
        <v>160</v>
      </c>
      <c r="C71" s="12">
        <v>81</v>
      </c>
      <c r="D71" s="14">
        <v>41996</v>
      </c>
      <c r="E71">
        <f t="shared" si="2"/>
        <v>12</v>
      </c>
    </row>
    <row r="72" spans="1:5" x14ac:dyDescent="0.35">
      <c r="A72" s="7">
        <v>11</v>
      </c>
      <c r="B72" s="8">
        <v>140</v>
      </c>
      <c r="C72" s="9">
        <v>77</v>
      </c>
      <c r="D72" s="14">
        <v>41997</v>
      </c>
      <c r="E72">
        <f t="shared" si="2"/>
        <v>12</v>
      </c>
    </row>
    <row r="73" spans="1:5" x14ac:dyDescent="0.35">
      <c r="A73" s="10">
        <v>182</v>
      </c>
      <c r="B73" s="11">
        <v>50</v>
      </c>
      <c r="C73" s="12">
        <v>22</v>
      </c>
      <c r="D73" s="14">
        <v>41998</v>
      </c>
      <c r="E73">
        <f t="shared" si="2"/>
        <v>12</v>
      </c>
    </row>
    <row r="74" spans="1:5" x14ac:dyDescent="0.35">
      <c r="A74" s="7">
        <v>63</v>
      </c>
      <c r="B74" s="8">
        <v>83</v>
      </c>
      <c r="C74" s="9">
        <v>69</v>
      </c>
      <c r="D74" s="14">
        <v>41999</v>
      </c>
      <c r="E74">
        <f t="shared" si="2"/>
        <v>12</v>
      </c>
    </row>
    <row r="75" spans="1:5" x14ac:dyDescent="0.35">
      <c r="A75" s="10">
        <v>33</v>
      </c>
      <c r="B75" s="11">
        <v>59</v>
      </c>
      <c r="C75" s="12">
        <v>46</v>
      </c>
      <c r="D75" s="14">
        <v>42000</v>
      </c>
      <c r="E75">
        <f t="shared" si="2"/>
        <v>12</v>
      </c>
    </row>
    <row r="76" spans="1:5" x14ac:dyDescent="0.35">
      <c r="A76" s="7">
        <v>119</v>
      </c>
      <c r="B76" s="8">
        <v>57</v>
      </c>
      <c r="C76" s="9">
        <v>67</v>
      </c>
      <c r="D76" s="14">
        <v>42001</v>
      </c>
      <c r="E76">
        <f t="shared" si="2"/>
        <v>12</v>
      </c>
    </row>
    <row r="77" spans="1:5" x14ac:dyDescent="0.35">
      <c r="A77" s="10">
        <v>58</v>
      </c>
      <c r="B77" s="11">
        <v>176</v>
      </c>
      <c r="C77" s="12">
        <v>16</v>
      </c>
      <c r="D77" s="14">
        <v>42002</v>
      </c>
      <c r="E77">
        <f t="shared" si="2"/>
        <v>12</v>
      </c>
    </row>
    <row r="78" spans="1:5" x14ac:dyDescent="0.35">
      <c r="A78" s="7">
        <v>174</v>
      </c>
      <c r="B78" s="8">
        <v>61</v>
      </c>
      <c r="C78" s="9">
        <v>46</v>
      </c>
      <c r="D78" s="14">
        <v>42003</v>
      </c>
      <c r="E78">
        <f t="shared" si="2"/>
        <v>12</v>
      </c>
    </row>
    <row r="79" spans="1:5" x14ac:dyDescent="0.35">
      <c r="A79" s="10">
        <v>45</v>
      </c>
      <c r="B79" s="11">
        <v>154</v>
      </c>
      <c r="C79" s="12">
        <v>0</v>
      </c>
      <c r="D79" s="14">
        <v>42004</v>
      </c>
      <c r="E79">
        <f t="shared" si="2"/>
        <v>12</v>
      </c>
    </row>
    <row r="80" spans="1:5" x14ac:dyDescent="0.35">
      <c r="A80" s="7">
        <v>94</v>
      </c>
      <c r="B80" s="8">
        <v>120</v>
      </c>
      <c r="C80" s="9">
        <v>95</v>
      </c>
      <c r="D80" s="14">
        <v>42005</v>
      </c>
      <c r="E80">
        <f t="shared" si="2"/>
        <v>1</v>
      </c>
    </row>
    <row r="81" spans="1:5" x14ac:dyDescent="0.35">
      <c r="A81" s="10">
        <v>12</v>
      </c>
      <c r="B81" s="11">
        <v>5</v>
      </c>
      <c r="C81" s="12">
        <v>42</v>
      </c>
      <c r="D81" s="14">
        <v>42006</v>
      </c>
      <c r="E81">
        <f t="shared" si="2"/>
        <v>1</v>
      </c>
    </row>
    <row r="82" spans="1:5" x14ac:dyDescent="0.35">
      <c r="A82" s="7">
        <v>80</v>
      </c>
      <c r="B82" s="8">
        <v>170</v>
      </c>
      <c r="C82" s="9">
        <v>96</v>
      </c>
      <c r="D82" s="14">
        <v>42007</v>
      </c>
      <c r="E82">
        <f t="shared" si="2"/>
        <v>1</v>
      </c>
    </row>
    <row r="83" spans="1:5" x14ac:dyDescent="0.35">
      <c r="A83" s="10">
        <v>80</v>
      </c>
      <c r="B83" s="11">
        <v>10</v>
      </c>
      <c r="C83" s="12">
        <v>30</v>
      </c>
      <c r="D83" s="14">
        <v>42008</v>
      </c>
      <c r="E83">
        <f t="shared" si="2"/>
        <v>1</v>
      </c>
    </row>
    <row r="84" spans="1:5" x14ac:dyDescent="0.35">
      <c r="A84" s="7">
        <v>90</v>
      </c>
      <c r="B84" s="8">
        <v>80</v>
      </c>
      <c r="C84" s="9">
        <v>31</v>
      </c>
      <c r="D84" s="14">
        <v>42009</v>
      </c>
      <c r="E84">
        <f t="shared" si="2"/>
        <v>1</v>
      </c>
    </row>
    <row r="85" spans="1:5" x14ac:dyDescent="0.35">
      <c r="A85" s="10">
        <v>130</v>
      </c>
      <c r="B85" s="11">
        <v>163</v>
      </c>
      <c r="C85" s="12">
        <v>92</v>
      </c>
      <c r="D85" s="14">
        <v>42010</v>
      </c>
      <c r="E85">
        <f t="shared" si="2"/>
        <v>1</v>
      </c>
    </row>
    <row r="86" spans="1:5" x14ac:dyDescent="0.35">
      <c r="A86" s="7">
        <v>54</v>
      </c>
      <c r="B86" s="8">
        <v>7</v>
      </c>
      <c r="C86" s="9">
        <v>79</v>
      </c>
      <c r="D86" s="14">
        <v>42011</v>
      </c>
      <c r="E86">
        <f t="shared" si="2"/>
        <v>1</v>
      </c>
    </row>
    <row r="87" spans="1:5" x14ac:dyDescent="0.35">
      <c r="A87" s="10">
        <v>88</v>
      </c>
      <c r="B87" s="11">
        <v>125</v>
      </c>
      <c r="C87" s="12">
        <v>97</v>
      </c>
      <c r="D87" s="14">
        <v>42012</v>
      </c>
      <c r="E87">
        <f t="shared" si="2"/>
        <v>1</v>
      </c>
    </row>
    <row r="88" spans="1:5" x14ac:dyDescent="0.35">
      <c r="A88" s="7">
        <v>83</v>
      </c>
      <c r="B88" s="8">
        <v>85</v>
      </c>
      <c r="C88" s="9">
        <v>99</v>
      </c>
      <c r="D88" s="14">
        <v>42013</v>
      </c>
      <c r="E88">
        <f t="shared" si="2"/>
        <v>1</v>
      </c>
    </row>
    <row r="89" spans="1:5" x14ac:dyDescent="0.35">
      <c r="A89" s="10">
        <v>139</v>
      </c>
      <c r="B89" s="11">
        <v>155</v>
      </c>
      <c r="C89" s="12">
        <v>11</v>
      </c>
      <c r="D89" s="14">
        <v>42014</v>
      </c>
      <c r="E89">
        <f t="shared" si="2"/>
        <v>1</v>
      </c>
    </row>
    <row r="90" spans="1:5" x14ac:dyDescent="0.35">
      <c r="A90" s="7">
        <v>82</v>
      </c>
      <c r="B90" s="8">
        <v>43</v>
      </c>
      <c r="C90" s="9">
        <v>93</v>
      </c>
      <c r="D90" s="14">
        <v>42015</v>
      </c>
      <c r="E90">
        <f t="shared" si="2"/>
        <v>1</v>
      </c>
    </row>
    <row r="91" spans="1:5" x14ac:dyDescent="0.35">
      <c r="A91" s="10">
        <v>23</v>
      </c>
      <c r="B91" s="11">
        <v>40</v>
      </c>
      <c r="C91" s="12">
        <v>83</v>
      </c>
      <c r="D91" s="14">
        <v>42016</v>
      </c>
      <c r="E91">
        <f t="shared" si="2"/>
        <v>1</v>
      </c>
    </row>
    <row r="92" spans="1:5" x14ac:dyDescent="0.35">
      <c r="A92" s="7">
        <v>118</v>
      </c>
      <c r="B92" s="8">
        <v>165</v>
      </c>
      <c r="C92" s="9">
        <v>56</v>
      </c>
      <c r="D92" s="14">
        <v>42017</v>
      </c>
      <c r="E92">
        <f t="shared" si="2"/>
        <v>1</v>
      </c>
    </row>
    <row r="93" spans="1:5" x14ac:dyDescent="0.35">
      <c r="A93" s="10">
        <v>59</v>
      </c>
      <c r="B93" s="11">
        <v>35</v>
      </c>
      <c r="C93" s="12">
        <v>17</v>
      </c>
      <c r="D93" s="14">
        <v>42018</v>
      </c>
      <c r="E93">
        <f t="shared" si="2"/>
        <v>1</v>
      </c>
    </row>
    <row r="94" spans="1:5" x14ac:dyDescent="0.35">
      <c r="A94" s="7">
        <v>127</v>
      </c>
      <c r="B94" s="8">
        <v>58</v>
      </c>
      <c r="C94" s="9">
        <v>39</v>
      </c>
      <c r="D94" s="14">
        <v>42019</v>
      </c>
      <c r="E94">
        <f t="shared" si="2"/>
        <v>1</v>
      </c>
    </row>
    <row r="95" spans="1:5" x14ac:dyDescent="0.35">
      <c r="A95" s="10">
        <v>121</v>
      </c>
      <c r="B95" s="11">
        <v>175</v>
      </c>
      <c r="C95" s="12">
        <v>77</v>
      </c>
      <c r="D95" s="14">
        <v>42020</v>
      </c>
      <c r="E95">
        <f t="shared" si="2"/>
        <v>1</v>
      </c>
    </row>
    <row r="96" spans="1:5" x14ac:dyDescent="0.35">
      <c r="A96" s="7">
        <v>80</v>
      </c>
      <c r="B96" s="8">
        <v>101</v>
      </c>
      <c r="C96" s="9">
        <v>3</v>
      </c>
      <c r="D96" s="14">
        <v>42021</v>
      </c>
      <c r="E96">
        <f t="shared" si="2"/>
        <v>1</v>
      </c>
    </row>
    <row r="97" spans="1:5" x14ac:dyDescent="0.35">
      <c r="A97" s="10">
        <v>189</v>
      </c>
      <c r="B97" s="11">
        <v>161</v>
      </c>
      <c r="C97" s="12">
        <v>53</v>
      </c>
      <c r="D97" s="14">
        <v>42022</v>
      </c>
      <c r="E97">
        <f t="shared" si="2"/>
        <v>1</v>
      </c>
    </row>
    <row r="98" spans="1:5" x14ac:dyDescent="0.35">
      <c r="A98" s="7">
        <v>18</v>
      </c>
      <c r="B98" s="8">
        <v>61</v>
      </c>
      <c r="C98" s="9">
        <v>19</v>
      </c>
      <c r="D98" s="14">
        <v>42023</v>
      </c>
      <c r="E98">
        <f t="shared" si="2"/>
        <v>1</v>
      </c>
    </row>
    <row r="99" spans="1:5" x14ac:dyDescent="0.35">
      <c r="A99" s="10">
        <v>68</v>
      </c>
      <c r="B99" s="11">
        <v>127</v>
      </c>
      <c r="C99" s="12">
        <v>3</v>
      </c>
      <c r="D99" s="14">
        <v>42024</v>
      </c>
      <c r="E99">
        <f t="shared" si="2"/>
        <v>1</v>
      </c>
    </row>
    <row r="100" spans="1:5" x14ac:dyDescent="0.35">
      <c r="A100" s="7">
        <v>37</v>
      </c>
      <c r="B100" s="8">
        <v>112</v>
      </c>
      <c r="C100" s="9">
        <v>68</v>
      </c>
      <c r="D100" s="14">
        <v>42025</v>
      </c>
      <c r="E100">
        <f t="shared" si="2"/>
        <v>1</v>
      </c>
    </row>
    <row r="101" spans="1:5" x14ac:dyDescent="0.35">
      <c r="A101" s="10">
        <v>40</v>
      </c>
      <c r="B101" s="11">
        <v>140</v>
      </c>
      <c r="C101" s="12">
        <v>15</v>
      </c>
      <c r="D101" s="14">
        <v>42026</v>
      </c>
      <c r="E101">
        <f t="shared" si="2"/>
        <v>1</v>
      </c>
    </row>
    <row r="102" spans="1:5" x14ac:dyDescent="0.35">
      <c r="A102" s="7">
        <v>189</v>
      </c>
      <c r="B102" s="8">
        <v>87</v>
      </c>
      <c r="C102" s="9">
        <v>64</v>
      </c>
      <c r="D102" s="14">
        <v>42027</v>
      </c>
      <c r="E102">
        <f t="shared" si="2"/>
        <v>1</v>
      </c>
    </row>
    <row r="103" spans="1:5" x14ac:dyDescent="0.35">
      <c r="A103" s="10">
        <v>145</v>
      </c>
      <c r="B103" s="11">
        <v>18</v>
      </c>
      <c r="C103" s="12">
        <v>1</v>
      </c>
      <c r="D103" s="14">
        <v>42028</v>
      </c>
      <c r="E103">
        <f t="shared" si="2"/>
        <v>1</v>
      </c>
    </row>
    <row r="104" spans="1:5" x14ac:dyDescent="0.35">
      <c r="A104" s="7">
        <v>148</v>
      </c>
      <c r="B104" s="8">
        <v>27</v>
      </c>
      <c r="C104" s="9">
        <v>13</v>
      </c>
      <c r="D104" s="14">
        <v>42029</v>
      </c>
      <c r="E104">
        <f t="shared" si="2"/>
        <v>1</v>
      </c>
    </row>
    <row r="105" spans="1:5" x14ac:dyDescent="0.35">
      <c r="A105" s="10">
        <v>127</v>
      </c>
      <c r="B105" s="11">
        <v>161</v>
      </c>
      <c r="C105" s="12">
        <v>31</v>
      </c>
      <c r="D105" s="14">
        <v>42030</v>
      </c>
      <c r="E105">
        <f t="shared" si="2"/>
        <v>1</v>
      </c>
    </row>
    <row r="106" spans="1:5" x14ac:dyDescent="0.35">
      <c r="A106" s="7">
        <v>131</v>
      </c>
      <c r="B106" s="8">
        <v>1</v>
      </c>
      <c r="C106" s="9">
        <v>98</v>
      </c>
      <c r="D106" s="14">
        <v>42031</v>
      </c>
      <c r="E106">
        <f t="shared" si="2"/>
        <v>1</v>
      </c>
    </row>
    <row r="107" spans="1:5" x14ac:dyDescent="0.35">
      <c r="A107" s="10">
        <v>142</v>
      </c>
      <c r="B107" s="11">
        <v>131</v>
      </c>
      <c r="C107" s="12">
        <v>62</v>
      </c>
      <c r="D107" s="14">
        <v>42032</v>
      </c>
      <c r="E107">
        <f t="shared" si="2"/>
        <v>1</v>
      </c>
    </row>
    <row r="108" spans="1:5" x14ac:dyDescent="0.35">
      <c r="A108" s="7">
        <v>121</v>
      </c>
      <c r="B108" s="8">
        <v>150</v>
      </c>
      <c r="C108" s="9">
        <v>25</v>
      </c>
      <c r="D108" s="14">
        <v>42033</v>
      </c>
      <c r="E108">
        <f t="shared" si="2"/>
        <v>1</v>
      </c>
    </row>
    <row r="109" spans="1:5" x14ac:dyDescent="0.35">
      <c r="A109" s="10">
        <v>33</v>
      </c>
      <c r="B109" s="11">
        <v>113</v>
      </c>
      <c r="C109" s="12">
        <v>62</v>
      </c>
      <c r="D109" s="14">
        <v>42034</v>
      </c>
      <c r="E109">
        <f t="shared" si="2"/>
        <v>1</v>
      </c>
    </row>
    <row r="110" spans="1:5" x14ac:dyDescent="0.35">
      <c r="A110" s="7">
        <v>142</v>
      </c>
      <c r="B110" s="8">
        <v>44</v>
      </c>
      <c r="C110" s="9">
        <v>92</v>
      </c>
      <c r="D110" s="14">
        <v>42035</v>
      </c>
      <c r="E110">
        <f t="shared" si="2"/>
        <v>1</v>
      </c>
    </row>
    <row r="111" spans="1:5" x14ac:dyDescent="0.35">
      <c r="A111" s="10">
        <v>119</v>
      </c>
      <c r="B111" s="11">
        <v>167</v>
      </c>
      <c r="C111" s="12">
        <v>64</v>
      </c>
      <c r="D111" s="14">
        <v>42036</v>
      </c>
      <c r="E111">
        <f t="shared" si="2"/>
        <v>2</v>
      </c>
    </row>
    <row r="112" spans="1:5" x14ac:dyDescent="0.35">
      <c r="A112" s="7">
        <v>54</v>
      </c>
      <c r="B112" s="8">
        <v>109</v>
      </c>
      <c r="C112" s="9">
        <v>65</v>
      </c>
      <c r="D112" s="14">
        <v>42037</v>
      </c>
      <c r="E112">
        <f t="shared" si="2"/>
        <v>2</v>
      </c>
    </row>
    <row r="113" spans="1:5" x14ac:dyDescent="0.35">
      <c r="A113" s="10">
        <v>53</v>
      </c>
      <c r="B113" s="11">
        <v>94</v>
      </c>
      <c r="C113" s="12">
        <v>43</v>
      </c>
      <c r="D113" s="14">
        <v>42038</v>
      </c>
      <c r="E113">
        <f t="shared" si="2"/>
        <v>2</v>
      </c>
    </row>
    <row r="114" spans="1:5" x14ac:dyDescent="0.35">
      <c r="A114" s="7">
        <v>165</v>
      </c>
      <c r="B114" s="8">
        <v>101</v>
      </c>
      <c r="C114" s="9">
        <v>8</v>
      </c>
      <c r="D114" s="14">
        <v>42039</v>
      </c>
      <c r="E114">
        <f t="shared" si="2"/>
        <v>2</v>
      </c>
    </row>
    <row r="115" spans="1:5" x14ac:dyDescent="0.35">
      <c r="A115" s="10">
        <v>159</v>
      </c>
      <c r="B115" s="11">
        <v>68</v>
      </c>
      <c r="C115" s="12">
        <v>96</v>
      </c>
      <c r="D115" s="14">
        <v>42040</v>
      </c>
      <c r="E115">
        <f t="shared" si="2"/>
        <v>2</v>
      </c>
    </row>
    <row r="116" spans="1:5" x14ac:dyDescent="0.35">
      <c r="A116" s="7">
        <v>79</v>
      </c>
      <c r="B116" s="8">
        <v>119</v>
      </c>
      <c r="C116" s="9">
        <v>35</v>
      </c>
      <c r="D116" s="14">
        <v>42041</v>
      </c>
      <c r="E116">
        <f t="shared" si="2"/>
        <v>2</v>
      </c>
    </row>
    <row r="117" spans="1:5" x14ac:dyDescent="0.35">
      <c r="A117" s="10">
        <v>128</v>
      </c>
      <c r="B117" s="11">
        <v>148</v>
      </c>
      <c r="C117" s="12">
        <v>77</v>
      </c>
      <c r="D117" s="14">
        <v>42042</v>
      </c>
      <c r="E117">
        <f t="shared" si="2"/>
        <v>2</v>
      </c>
    </row>
    <row r="118" spans="1:5" x14ac:dyDescent="0.35">
      <c r="A118" s="7">
        <v>195</v>
      </c>
      <c r="B118" s="8">
        <v>39</v>
      </c>
      <c r="C118" s="9">
        <v>77</v>
      </c>
      <c r="D118" s="14">
        <v>42043</v>
      </c>
      <c r="E118">
        <f t="shared" si="2"/>
        <v>2</v>
      </c>
    </row>
    <row r="119" spans="1:5" x14ac:dyDescent="0.35">
      <c r="A119" s="10">
        <v>87</v>
      </c>
      <c r="B119" s="11">
        <v>8</v>
      </c>
      <c r="C119" s="12">
        <v>17</v>
      </c>
      <c r="D119" s="14">
        <v>42044</v>
      </c>
      <c r="E119">
        <f t="shared" si="2"/>
        <v>2</v>
      </c>
    </row>
    <row r="120" spans="1:5" x14ac:dyDescent="0.35">
      <c r="A120" s="7">
        <v>114</v>
      </c>
      <c r="B120" s="8">
        <v>124</v>
      </c>
      <c r="C120" s="9">
        <v>94</v>
      </c>
      <c r="D120" s="14">
        <v>42045</v>
      </c>
      <c r="E120">
        <f t="shared" si="2"/>
        <v>2</v>
      </c>
    </row>
    <row r="121" spans="1:5" x14ac:dyDescent="0.35">
      <c r="A121" s="10">
        <v>126</v>
      </c>
      <c r="B121" s="11">
        <v>122</v>
      </c>
      <c r="C121" s="12">
        <v>39</v>
      </c>
      <c r="D121" s="14">
        <v>42046</v>
      </c>
      <c r="E121">
        <f t="shared" si="2"/>
        <v>2</v>
      </c>
    </row>
    <row r="122" spans="1:5" x14ac:dyDescent="0.35">
      <c r="A122" s="7">
        <v>96</v>
      </c>
      <c r="B122" s="8">
        <v>113</v>
      </c>
      <c r="C122" s="9">
        <v>28</v>
      </c>
      <c r="D122" s="14">
        <v>42047</v>
      </c>
      <c r="E122">
        <f t="shared" si="2"/>
        <v>2</v>
      </c>
    </row>
    <row r="123" spans="1:5" x14ac:dyDescent="0.35">
      <c r="A123" s="10">
        <v>165</v>
      </c>
      <c r="B123" s="11">
        <v>4</v>
      </c>
      <c r="C123" s="12">
        <v>83</v>
      </c>
      <c r="D123" s="14">
        <v>42048</v>
      </c>
      <c r="E123">
        <f t="shared" si="2"/>
        <v>2</v>
      </c>
    </row>
    <row r="124" spans="1:5" x14ac:dyDescent="0.35">
      <c r="A124" s="7">
        <v>1</v>
      </c>
      <c r="B124" s="8">
        <v>117</v>
      </c>
      <c r="C124" s="9">
        <v>76</v>
      </c>
      <c r="D124" s="14">
        <v>42049</v>
      </c>
      <c r="E124">
        <f t="shared" si="2"/>
        <v>2</v>
      </c>
    </row>
    <row r="125" spans="1:5" x14ac:dyDescent="0.35">
      <c r="A125" s="10">
        <v>107</v>
      </c>
      <c r="B125" s="11">
        <v>70</v>
      </c>
      <c r="C125" s="12">
        <v>28</v>
      </c>
      <c r="D125" s="14">
        <v>42050</v>
      </c>
      <c r="E125">
        <f t="shared" si="2"/>
        <v>2</v>
      </c>
    </row>
    <row r="126" spans="1:5" x14ac:dyDescent="0.35">
      <c r="A126" s="7">
        <v>83</v>
      </c>
      <c r="B126" s="8">
        <v>81</v>
      </c>
      <c r="C126" s="9">
        <v>1</v>
      </c>
      <c r="D126" s="14">
        <v>42051</v>
      </c>
      <c r="E126">
        <f t="shared" si="2"/>
        <v>2</v>
      </c>
    </row>
    <row r="127" spans="1:5" x14ac:dyDescent="0.35">
      <c r="A127" s="10">
        <v>43</v>
      </c>
      <c r="B127" s="11">
        <v>109</v>
      </c>
      <c r="C127" s="12">
        <v>50</v>
      </c>
      <c r="D127" s="14">
        <v>42052</v>
      </c>
      <c r="E127">
        <f t="shared" si="2"/>
        <v>2</v>
      </c>
    </row>
    <row r="128" spans="1:5" x14ac:dyDescent="0.35">
      <c r="A128" s="7">
        <v>52</v>
      </c>
      <c r="B128" s="8">
        <v>110</v>
      </c>
      <c r="C128" s="9">
        <v>19</v>
      </c>
      <c r="D128" s="14">
        <v>42053</v>
      </c>
      <c r="E128">
        <f t="shared" si="2"/>
        <v>2</v>
      </c>
    </row>
    <row r="129" spans="1:5" x14ac:dyDescent="0.35">
      <c r="A129" s="10">
        <v>104</v>
      </c>
      <c r="B129" s="11">
        <v>132</v>
      </c>
      <c r="C129" s="12">
        <v>57</v>
      </c>
      <c r="D129" s="14">
        <v>42054</v>
      </c>
      <c r="E129">
        <f t="shared" si="2"/>
        <v>2</v>
      </c>
    </row>
    <row r="130" spans="1:5" x14ac:dyDescent="0.35">
      <c r="A130" s="7">
        <v>57</v>
      </c>
      <c r="B130" s="8">
        <v>150</v>
      </c>
      <c r="C130" s="9">
        <v>36</v>
      </c>
      <c r="D130" s="14">
        <v>42055</v>
      </c>
      <c r="E130">
        <f t="shared" si="2"/>
        <v>2</v>
      </c>
    </row>
    <row r="131" spans="1:5" x14ac:dyDescent="0.35">
      <c r="A131" s="10">
        <v>86</v>
      </c>
      <c r="B131" s="11">
        <v>183</v>
      </c>
      <c r="C131" s="12">
        <v>0</v>
      </c>
      <c r="D131" s="14">
        <v>42056</v>
      </c>
      <c r="E131">
        <f t="shared" ref="E131:E184" si="3">MONTH(D131)</f>
        <v>2</v>
      </c>
    </row>
    <row r="132" spans="1:5" x14ac:dyDescent="0.35">
      <c r="A132" s="7">
        <v>108</v>
      </c>
      <c r="B132" s="8">
        <v>20</v>
      </c>
      <c r="C132" s="9">
        <v>87</v>
      </c>
      <c r="D132" s="14">
        <v>42057</v>
      </c>
      <c r="E132">
        <f t="shared" si="3"/>
        <v>2</v>
      </c>
    </row>
    <row r="133" spans="1:5" x14ac:dyDescent="0.35">
      <c r="A133" s="10">
        <v>102</v>
      </c>
      <c r="B133" s="11">
        <v>142</v>
      </c>
      <c r="C133" s="12">
        <v>20</v>
      </c>
      <c r="D133" s="14">
        <v>42058</v>
      </c>
      <c r="E133">
        <f t="shared" si="3"/>
        <v>2</v>
      </c>
    </row>
    <row r="134" spans="1:5" x14ac:dyDescent="0.35">
      <c r="A134" s="7">
        <v>81</v>
      </c>
      <c r="B134" s="8">
        <v>133</v>
      </c>
      <c r="C134" s="9">
        <v>25</v>
      </c>
      <c r="D134" s="14">
        <v>42059</v>
      </c>
      <c r="E134">
        <f t="shared" si="3"/>
        <v>2</v>
      </c>
    </row>
    <row r="135" spans="1:5" x14ac:dyDescent="0.35">
      <c r="A135" s="10">
        <v>59</v>
      </c>
      <c r="B135" s="11">
        <v>87</v>
      </c>
      <c r="C135" s="12">
        <v>10</v>
      </c>
      <c r="D135" s="14">
        <v>42060</v>
      </c>
      <c r="E135">
        <f t="shared" si="3"/>
        <v>2</v>
      </c>
    </row>
    <row r="136" spans="1:5" x14ac:dyDescent="0.35">
      <c r="A136" s="7">
        <v>21</v>
      </c>
      <c r="B136" s="8">
        <v>75</v>
      </c>
      <c r="C136" s="9">
        <v>65</v>
      </c>
      <c r="D136" s="14">
        <v>42061</v>
      </c>
      <c r="E136">
        <f t="shared" si="3"/>
        <v>2</v>
      </c>
    </row>
    <row r="137" spans="1:5" x14ac:dyDescent="0.35">
      <c r="A137" s="10">
        <v>79</v>
      </c>
      <c r="B137" s="11">
        <v>14</v>
      </c>
      <c r="C137" s="12">
        <v>27</v>
      </c>
      <c r="D137" s="14">
        <v>42062</v>
      </c>
      <c r="E137">
        <f t="shared" si="3"/>
        <v>2</v>
      </c>
    </row>
    <row r="138" spans="1:5" x14ac:dyDescent="0.35">
      <c r="A138" s="7">
        <v>56</v>
      </c>
      <c r="B138" s="8">
        <v>12</v>
      </c>
      <c r="C138" s="9">
        <v>25</v>
      </c>
      <c r="D138" s="14">
        <v>42063</v>
      </c>
      <c r="E138">
        <f t="shared" si="3"/>
        <v>2</v>
      </c>
    </row>
    <row r="139" spans="1:5" x14ac:dyDescent="0.35">
      <c r="A139" s="10">
        <v>195</v>
      </c>
      <c r="B139" s="11">
        <v>90</v>
      </c>
      <c r="C139" s="12">
        <v>56</v>
      </c>
      <c r="D139" s="14">
        <v>42064</v>
      </c>
      <c r="E139">
        <f t="shared" si="3"/>
        <v>3</v>
      </c>
    </row>
    <row r="140" spans="1:5" x14ac:dyDescent="0.35">
      <c r="A140" s="7">
        <v>113</v>
      </c>
      <c r="B140" s="8">
        <v>90</v>
      </c>
      <c r="C140" s="9">
        <v>24</v>
      </c>
      <c r="D140" s="14">
        <v>42065</v>
      </c>
      <c r="E140">
        <f t="shared" si="3"/>
        <v>3</v>
      </c>
    </row>
    <row r="141" spans="1:5" x14ac:dyDescent="0.35">
      <c r="A141" s="10">
        <v>93</v>
      </c>
      <c r="B141" s="11">
        <v>139</v>
      </c>
      <c r="C141" s="12">
        <v>47</v>
      </c>
      <c r="D141" s="14">
        <v>42066</v>
      </c>
      <c r="E141">
        <f t="shared" si="3"/>
        <v>3</v>
      </c>
    </row>
    <row r="142" spans="1:5" x14ac:dyDescent="0.35">
      <c r="A142" s="7">
        <v>93</v>
      </c>
      <c r="B142" s="8">
        <v>147</v>
      </c>
      <c r="C142" s="9">
        <v>26</v>
      </c>
      <c r="D142" s="14">
        <v>42067</v>
      </c>
      <c r="E142">
        <f t="shared" si="3"/>
        <v>3</v>
      </c>
    </row>
    <row r="143" spans="1:5" x14ac:dyDescent="0.35">
      <c r="A143" s="10">
        <v>79</v>
      </c>
      <c r="B143" s="11">
        <v>145</v>
      </c>
      <c r="C143" s="12">
        <v>36</v>
      </c>
      <c r="D143" s="14">
        <v>42068</v>
      </c>
      <c r="E143">
        <f t="shared" si="3"/>
        <v>3</v>
      </c>
    </row>
    <row r="144" spans="1:5" x14ac:dyDescent="0.35">
      <c r="A144" s="7">
        <v>148</v>
      </c>
      <c r="B144" s="8">
        <v>127</v>
      </c>
      <c r="C144" s="9">
        <v>27</v>
      </c>
      <c r="D144" s="14">
        <v>42069</v>
      </c>
      <c r="E144">
        <f t="shared" si="3"/>
        <v>3</v>
      </c>
    </row>
    <row r="145" spans="1:5" x14ac:dyDescent="0.35">
      <c r="A145" s="10">
        <v>132</v>
      </c>
      <c r="B145" s="11">
        <v>128</v>
      </c>
      <c r="C145" s="12">
        <v>37</v>
      </c>
      <c r="D145" s="14">
        <v>42070</v>
      </c>
      <c r="E145">
        <f t="shared" si="3"/>
        <v>3</v>
      </c>
    </row>
    <row r="146" spans="1:5" x14ac:dyDescent="0.35">
      <c r="A146" s="7">
        <v>22</v>
      </c>
      <c r="B146" s="8">
        <v>115</v>
      </c>
      <c r="C146" s="9">
        <v>28</v>
      </c>
      <c r="D146" s="14">
        <v>42071</v>
      </c>
      <c r="E146">
        <f t="shared" si="3"/>
        <v>3</v>
      </c>
    </row>
    <row r="147" spans="1:5" x14ac:dyDescent="0.35">
      <c r="A147" s="10">
        <v>50</v>
      </c>
      <c r="B147" s="11">
        <v>99</v>
      </c>
      <c r="C147" s="12">
        <v>78</v>
      </c>
      <c r="D147" s="14">
        <v>42072</v>
      </c>
      <c r="E147">
        <f t="shared" si="3"/>
        <v>3</v>
      </c>
    </row>
    <row r="148" spans="1:5" x14ac:dyDescent="0.35">
      <c r="A148" s="7">
        <v>178</v>
      </c>
      <c r="B148" s="8">
        <v>146</v>
      </c>
      <c r="C148" s="9">
        <v>75</v>
      </c>
      <c r="D148" s="14">
        <v>42073</v>
      </c>
      <c r="E148">
        <f t="shared" si="3"/>
        <v>3</v>
      </c>
    </row>
    <row r="149" spans="1:5" x14ac:dyDescent="0.35">
      <c r="A149" s="10">
        <v>97</v>
      </c>
      <c r="B149" s="11">
        <v>135</v>
      </c>
      <c r="C149" s="12">
        <v>66</v>
      </c>
      <c r="D149" s="14">
        <v>42074</v>
      </c>
      <c r="E149">
        <f t="shared" si="3"/>
        <v>3</v>
      </c>
    </row>
    <row r="150" spans="1:5" x14ac:dyDescent="0.35">
      <c r="A150" s="7">
        <v>138</v>
      </c>
      <c r="B150" s="8">
        <v>160</v>
      </c>
      <c r="C150" s="9">
        <v>6</v>
      </c>
      <c r="D150" s="14">
        <v>42075</v>
      </c>
      <c r="E150">
        <f t="shared" si="3"/>
        <v>3</v>
      </c>
    </row>
    <row r="151" spans="1:5" x14ac:dyDescent="0.35">
      <c r="A151" s="10">
        <v>194</v>
      </c>
      <c r="B151" s="11">
        <v>87</v>
      </c>
      <c r="C151" s="12">
        <v>60</v>
      </c>
      <c r="D151" s="14">
        <v>42076</v>
      </c>
      <c r="E151">
        <f t="shared" si="3"/>
        <v>3</v>
      </c>
    </row>
    <row r="152" spans="1:5" x14ac:dyDescent="0.35">
      <c r="A152" s="7">
        <v>86</v>
      </c>
      <c r="B152" s="8">
        <v>21</v>
      </c>
      <c r="C152" s="9">
        <v>45</v>
      </c>
      <c r="D152" s="14">
        <v>42077</v>
      </c>
      <c r="E152">
        <f t="shared" si="3"/>
        <v>3</v>
      </c>
    </row>
    <row r="153" spans="1:5" x14ac:dyDescent="0.35">
      <c r="A153" s="10">
        <v>26</v>
      </c>
      <c r="B153" s="11">
        <v>60</v>
      </c>
      <c r="C153" s="12">
        <v>44</v>
      </c>
      <c r="D153" s="14">
        <v>42078</v>
      </c>
      <c r="E153">
        <f t="shared" si="3"/>
        <v>3</v>
      </c>
    </row>
    <row r="154" spans="1:5" x14ac:dyDescent="0.35">
      <c r="A154" s="7">
        <v>28</v>
      </c>
      <c r="B154" s="8">
        <v>35</v>
      </c>
      <c r="C154" s="9">
        <v>96</v>
      </c>
      <c r="D154" s="14">
        <v>42079</v>
      </c>
      <c r="E154">
        <f t="shared" si="3"/>
        <v>3</v>
      </c>
    </row>
    <row r="155" spans="1:5" x14ac:dyDescent="0.35">
      <c r="A155" s="10">
        <v>53</v>
      </c>
      <c r="B155" s="11">
        <v>100</v>
      </c>
      <c r="C155" s="12">
        <v>64</v>
      </c>
      <c r="D155" s="14">
        <v>42080</v>
      </c>
      <c r="E155">
        <f t="shared" si="3"/>
        <v>3</v>
      </c>
    </row>
    <row r="156" spans="1:5" x14ac:dyDescent="0.35">
      <c r="A156" s="7">
        <v>168</v>
      </c>
      <c r="B156" s="8">
        <v>64</v>
      </c>
      <c r="C156" s="9">
        <v>46</v>
      </c>
      <c r="D156" s="14">
        <v>42081</v>
      </c>
      <c r="E156">
        <f t="shared" si="3"/>
        <v>3</v>
      </c>
    </row>
    <row r="157" spans="1:5" x14ac:dyDescent="0.35">
      <c r="A157" s="10">
        <v>77</v>
      </c>
      <c r="B157" s="11">
        <v>60</v>
      </c>
      <c r="C157" s="12">
        <v>35</v>
      </c>
      <c r="D157" s="14">
        <v>42082</v>
      </c>
      <c r="E157">
        <f t="shared" si="3"/>
        <v>3</v>
      </c>
    </row>
    <row r="158" spans="1:5" x14ac:dyDescent="0.35">
      <c r="A158" s="7">
        <v>17</v>
      </c>
      <c r="B158" s="8">
        <v>80</v>
      </c>
      <c r="C158" s="9">
        <v>30</v>
      </c>
      <c r="D158" s="14">
        <v>42083</v>
      </c>
      <c r="E158">
        <f t="shared" si="3"/>
        <v>3</v>
      </c>
    </row>
    <row r="159" spans="1:5" x14ac:dyDescent="0.35">
      <c r="A159" s="10">
        <v>175</v>
      </c>
      <c r="B159" s="11">
        <v>47</v>
      </c>
      <c r="C159" s="12">
        <v>25</v>
      </c>
      <c r="D159" s="14">
        <v>42084</v>
      </c>
      <c r="E159">
        <f t="shared" si="3"/>
        <v>3</v>
      </c>
    </row>
    <row r="160" spans="1:5" x14ac:dyDescent="0.35">
      <c r="A160" s="7">
        <v>164</v>
      </c>
      <c r="B160" s="8">
        <v>60</v>
      </c>
      <c r="C160" s="9">
        <v>22</v>
      </c>
      <c r="D160" s="14">
        <v>42085</v>
      </c>
      <c r="E160">
        <f t="shared" si="3"/>
        <v>3</v>
      </c>
    </row>
    <row r="161" spans="1:5" x14ac:dyDescent="0.35">
      <c r="A161" s="10">
        <v>199</v>
      </c>
      <c r="B161" s="11">
        <v>80</v>
      </c>
      <c r="C161" s="12">
        <v>45</v>
      </c>
      <c r="D161" s="14">
        <v>42086</v>
      </c>
      <c r="E161">
        <f t="shared" si="3"/>
        <v>3</v>
      </c>
    </row>
    <row r="162" spans="1:5" x14ac:dyDescent="0.35">
      <c r="A162" s="7">
        <v>111</v>
      </c>
      <c r="B162" s="8">
        <v>92</v>
      </c>
      <c r="C162" s="9">
        <v>45</v>
      </c>
      <c r="D162" s="14">
        <v>42087</v>
      </c>
      <c r="E162">
        <f t="shared" si="3"/>
        <v>3</v>
      </c>
    </row>
    <row r="163" spans="1:5" x14ac:dyDescent="0.35">
      <c r="A163" s="10">
        <v>58</v>
      </c>
      <c r="B163" s="11">
        <v>90</v>
      </c>
      <c r="C163" s="12">
        <v>40</v>
      </c>
      <c r="D163" s="14">
        <v>42088</v>
      </c>
      <c r="E163">
        <f t="shared" si="3"/>
        <v>3</v>
      </c>
    </row>
    <row r="164" spans="1:5" x14ac:dyDescent="0.35">
      <c r="A164" s="7">
        <v>59</v>
      </c>
      <c r="B164" s="8">
        <v>164</v>
      </c>
      <c r="C164" s="9">
        <v>47</v>
      </c>
      <c r="D164" s="14">
        <v>42089</v>
      </c>
      <c r="E164">
        <f t="shared" si="3"/>
        <v>3</v>
      </c>
    </row>
    <row r="165" spans="1:5" x14ac:dyDescent="0.35">
      <c r="A165" s="10">
        <v>158</v>
      </c>
      <c r="B165" s="11">
        <v>120</v>
      </c>
      <c r="C165" s="12">
        <v>30</v>
      </c>
      <c r="D165" s="14">
        <v>42090</v>
      </c>
      <c r="E165">
        <f t="shared" si="3"/>
        <v>3</v>
      </c>
    </row>
    <row r="166" spans="1:5" x14ac:dyDescent="0.35">
      <c r="A166" s="7">
        <v>84</v>
      </c>
      <c r="B166" s="8">
        <v>90</v>
      </c>
      <c r="C166" s="9">
        <v>30</v>
      </c>
      <c r="D166" s="14">
        <v>42091</v>
      </c>
      <c r="E166">
        <f t="shared" si="3"/>
        <v>3</v>
      </c>
    </row>
    <row r="167" spans="1:5" x14ac:dyDescent="0.35">
      <c r="A167" s="10">
        <v>64</v>
      </c>
      <c r="B167" s="11">
        <v>61</v>
      </c>
      <c r="C167" s="12">
        <v>60</v>
      </c>
      <c r="D167" s="14">
        <v>42092</v>
      </c>
      <c r="E167">
        <f t="shared" si="3"/>
        <v>3</v>
      </c>
    </row>
    <row r="168" spans="1:5" x14ac:dyDescent="0.35">
      <c r="A168" s="7">
        <v>125</v>
      </c>
      <c r="B168" s="8">
        <v>84</v>
      </c>
      <c r="C168" s="9">
        <v>40</v>
      </c>
      <c r="D168" s="14">
        <v>42093</v>
      </c>
      <c r="E168">
        <f t="shared" si="3"/>
        <v>3</v>
      </c>
    </row>
    <row r="169" spans="1:5" x14ac:dyDescent="0.35">
      <c r="A169" s="10">
        <v>148</v>
      </c>
      <c r="B169" s="11">
        <v>110</v>
      </c>
      <c r="C169" s="12">
        <v>50</v>
      </c>
      <c r="D169" s="14">
        <v>42094</v>
      </c>
      <c r="E169">
        <f t="shared" si="3"/>
        <v>3</v>
      </c>
    </row>
    <row r="170" spans="1:5" x14ac:dyDescent="0.35">
      <c r="A170" s="7">
        <v>172</v>
      </c>
      <c r="B170" s="8">
        <v>100</v>
      </c>
      <c r="C170" s="9">
        <v>30</v>
      </c>
      <c r="D170" s="14">
        <v>42095</v>
      </c>
      <c r="E170">
        <f t="shared" si="3"/>
        <v>4</v>
      </c>
    </row>
    <row r="171" spans="1:5" x14ac:dyDescent="0.35">
      <c r="A171" s="10">
        <v>103</v>
      </c>
      <c r="B171" s="11">
        <v>60</v>
      </c>
      <c r="C171" s="12">
        <v>40</v>
      </c>
      <c r="D171" s="14">
        <v>42096</v>
      </c>
      <c r="E171">
        <f t="shared" si="3"/>
        <v>4</v>
      </c>
    </row>
    <row r="172" spans="1:5" x14ac:dyDescent="0.35">
      <c r="A172" s="7">
        <v>191</v>
      </c>
      <c r="B172" s="8">
        <v>41</v>
      </c>
      <c r="C172" s="9">
        <v>52</v>
      </c>
      <c r="D172" s="14">
        <v>42097</v>
      </c>
      <c r="E172">
        <f t="shared" si="3"/>
        <v>4</v>
      </c>
    </row>
    <row r="173" spans="1:5" x14ac:dyDescent="0.35">
      <c r="A173" s="10">
        <v>128</v>
      </c>
      <c r="B173" s="11">
        <v>98</v>
      </c>
      <c r="C173" s="12">
        <v>40</v>
      </c>
      <c r="D173" s="14">
        <v>42098</v>
      </c>
      <c r="E173">
        <f t="shared" si="3"/>
        <v>4</v>
      </c>
    </row>
    <row r="174" spans="1:5" x14ac:dyDescent="0.35">
      <c r="A174" s="7">
        <v>75</v>
      </c>
      <c r="B174" s="8">
        <v>87</v>
      </c>
      <c r="C174" s="9">
        <v>47</v>
      </c>
      <c r="D174" s="14">
        <v>42099</v>
      </c>
      <c r="E174">
        <f t="shared" si="3"/>
        <v>4</v>
      </c>
    </row>
    <row r="175" spans="1:5" x14ac:dyDescent="0.35">
      <c r="A175" s="10">
        <v>38</v>
      </c>
      <c r="B175" s="11">
        <v>100</v>
      </c>
      <c r="C175" s="12">
        <v>50</v>
      </c>
      <c r="D175" s="14">
        <v>42100</v>
      </c>
      <c r="E175">
        <f t="shared" si="3"/>
        <v>4</v>
      </c>
    </row>
    <row r="176" spans="1:5" x14ac:dyDescent="0.35">
      <c r="A176" s="7">
        <v>80</v>
      </c>
      <c r="B176" s="8">
        <v>40</v>
      </c>
      <c r="C176" s="9">
        <v>30</v>
      </c>
      <c r="D176" s="14">
        <v>42101</v>
      </c>
      <c r="E176">
        <f t="shared" si="3"/>
        <v>4</v>
      </c>
    </row>
    <row r="177" spans="1:5" x14ac:dyDescent="0.35">
      <c r="A177" s="10">
        <v>55</v>
      </c>
      <c r="B177" s="11">
        <v>60</v>
      </c>
      <c r="C177" s="12">
        <v>50</v>
      </c>
      <c r="D177" s="14">
        <v>42102</v>
      </c>
      <c r="E177">
        <f t="shared" si="3"/>
        <v>4</v>
      </c>
    </row>
    <row r="178" spans="1:5" x14ac:dyDescent="0.35">
      <c r="A178" s="7">
        <v>10</v>
      </c>
      <c r="B178" s="8">
        <v>80</v>
      </c>
      <c r="C178" s="9">
        <v>48</v>
      </c>
      <c r="D178" s="14">
        <v>42103</v>
      </c>
      <c r="E178">
        <f t="shared" si="3"/>
        <v>4</v>
      </c>
    </row>
    <row r="179" spans="1:5" x14ac:dyDescent="0.35">
      <c r="A179" s="10">
        <v>95</v>
      </c>
      <c r="B179" s="11">
        <v>60</v>
      </c>
      <c r="C179" s="12">
        <v>51</v>
      </c>
      <c r="D179" s="14">
        <v>42104</v>
      </c>
      <c r="E179">
        <f t="shared" si="3"/>
        <v>4</v>
      </c>
    </row>
    <row r="180" spans="1:5" x14ac:dyDescent="0.35">
      <c r="A180" s="7">
        <v>90</v>
      </c>
      <c r="B180" s="8">
        <v>100</v>
      </c>
      <c r="C180" s="9">
        <v>50</v>
      </c>
      <c r="D180" s="14">
        <v>42105</v>
      </c>
      <c r="E180">
        <f t="shared" si="3"/>
        <v>4</v>
      </c>
    </row>
    <row r="181" spans="1:5" x14ac:dyDescent="0.35">
      <c r="A181" s="10">
        <v>186</v>
      </c>
      <c r="B181" s="11">
        <v>60</v>
      </c>
      <c r="C181" s="12">
        <v>92</v>
      </c>
      <c r="D181" s="14">
        <v>42106</v>
      </c>
      <c r="E181">
        <f t="shared" si="3"/>
        <v>4</v>
      </c>
    </row>
    <row r="182" spans="1:5" x14ac:dyDescent="0.35">
      <c r="A182" s="7">
        <v>2</v>
      </c>
      <c r="B182" s="8">
        <v>40</v>
      </c>
      <c r="C182" s="9">
        <v>50</v>
      </c>
      <c r="D182" s="14">
        <v>42107</v>
      </c>
      <c r="E182">
        <f t="shared" si="3"/>
        <v>4</v>
      </c>
    </row>
    <row r="183" spans="1:5" x14ac:dyDescent="0.35">
      <c r="A183" s="10">
        <v>136</v>
      </c>
      <c r="B183" s="11">
        <v>20</v>
      </c>
      <c r="C183" s="12">
        <v>66</v>
      </c>
      <c r="D183" s="14">
        <v>42108</v>
      </c>
      <c r="E183">
        <f t="shared" si="3"/>
        <v>4</v>
      </c>
    </row>
    <row r="184" spans="1:5" x14ac:dyDescent="0.35">
      <c r="A184" s="1">
        <v>4</v>
      </c>
      <c r="B184" s="2">
        <v>20</v>
      </c>
      <c r="C184" s="3">
        <v>10</v>
      </c>
      <c r="D184" s="14">
        <v>42109</v>
      </c>
      <c r="E184">
        <f t="shared" si="3"/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390A-EF80-4ACE-A883-DD9C33C13B23}">
  <dimension ref="A1:K184"/>
  <sheetViews>
    <sheetView topLeftCell="A9" workbookViewId="0">
      <selection activeCell="H17" sqref="H17"/>
    </sheetView>
  </sheetViews>
  <sheetFormatPr defaultRowHeight="14.5" x14ac:dyDescent="0.35"/>
  <cols>
    <col min="1" max="1" width="14.1796875" bestFit="1" customWidth="1"/>
    <col min="2" max="2" width="14.54296875" bestFit="1" customWidth="1"/>
    <col min="3" max="3" width="12.08984375" bestFit="1" customWidth="1"/>
    <col min="4" max="4" width="9.90625" bestFit="1" customWidth="1"/>
    <col min="5" max="5" width="7" bestFit="1" customWidth="1"/>
    <col min="6" max="6" width="30.26953125" bestFit="1" customWidth="1"/>
    <col min="7" max="7" width="11.54296875" bestFit="1" customWidth="1"/>
    <col min="8" max="8" width="19" bestFit="1" customWidth="1"/>
    <col min="9" max="9" width="22.36328125" bestFit="1" customWidth="1"/>
    <col min="10" max="10" width="18.81640625" bestFit="1" customWidth="1"/>
  </cols>
  <sheetData>
    <row r="1" spans="1:10" x14ac:dyDescent="0.35">
      <c r="A1" s="4" t="s">
        <v>0</v>
      </c>
      <c r="B1" s="5" t="s">
        <v>1</v>
      </c>
      <c r="C1" s="6" t="s">
        <v>2</v>
      </c>
      <c r="D1" s="13" t="s">
        <v>3</v>
      </c>
      <c r="E1" s="13" t="s">
        <v>4</v>
      </c>
      <c r="F1" s="13"/>
    </row>
    <row r="2" spans="1:10" x14ac:dyDescent="0.35">
      <c r="A2" s="7">
        <v>200</v>
      </c>
      <c r="B2" s="8">
        <v>120</v>
      </c>
      <c r="C2" s="9">
        <v>81</v>
      </c>
      <c r="D2" s="14">
        <v>41927</v>
      </c>
      <c r="E2">
        <f>MONTH(D2)</f>
        <v>10</v>
      </c>
      <c r="F2" s="15"/>
    </row>
    <row r="3" spans="1:10" x14ac:dyDescent="0.35">
      <c r="A3" s="10">
        <v>100</v>
      </c>
      <c r="B3" s="11">
        <v>135</v>
      </c>
      <c r="C3" s="12">
        <v>33</v>
      </c>
      <c r="D3" s="14">
        <v>41928</v>
      </c>
      <c r="E3">
        <f t="shared" ref="E3:E66" si="0">MONTH(D3)</f>
        <v>10</v>
      </c>
    </row>
    <row r="4" spans="1:10" x14ac:dyDescent="0.35">
      <c r="A4" s="7">
        <v>50</v>
      </c>
      <c r="B4" s="8">
        <v>29</v>
      </c>
      <c r="C4" s="9">
        <v>85</v>
      </c>
      <c r="D4" s="14">
        <v>41929</v>
      </c>
      <c r="E4">
        <f t="shared" si="0"/>
        <v>10</v>
      </c>
    </row>
    <row r="5" spans="1:10" x14ac:dyDescent="0.35">
      <c r="A5" s="10">
        <v>68</v>
      </c>
      <c r="B5" s="11">
        <v>107</v>
      </c>
      <c r="C5" s="12">
        <v>84</v>
      </c>
      <c r="D5" s="14">
        <v>41930</v>
      </c>
      <c r="E5">
        <f t="shared" si="0"/>
        <v>10</v>
      </c>
    </row>
    <row r="6" spans="1:10" x14ac:dyDescent="0.35">
      <c r="A6" s="7">
        <v>75</v>
      </c>
      <c r="B6" s="8">
        <v>49</v>
      </c>
      <c r="C6" s="9">
        <v>23</v>
      </c>
      <c r="D6" s="14">
        <v>41931</v>
      </c>
      <c r="E6">
        <f t="shared" si="0"/>
        <v>10</v>
      </c>
    </row>
    <row r="7" spans="1:10" x14ac:dyDescent="0.35">
      <c r="A7" s="10">
        <v>109</v>
      </c>
      <c r="B7" s="11">
        <v>90</v>
      </c>
      <c r="C7" s="12">
        <v>48</v>
      </c>
      <c r="D7" s="14">
        <v>41932</v>
      </c>
      <c r="E7">
        <f t="shared" si="0"/>
        <v>10</v>
      </c>
    </row>
    <row r="8" spans="1:10" x14ac:dyDescent="0.35">
      <c r="A8" s="7">
        <v>161</v>
      </c>
      <c r="B8" s="8">
        <v>2</v>
      </c>
      <c r="C8" s="9">
        <v>16</v>
      </c>
      <c r="D8" s="14">
        <v>41933</v>
      </c>
      <c r="E8">
        <f t="shared" si="0"/>
        <v>10</v>
      </c>
    </row>
    <row r="9" spans="1:10" x14ac:dyDescent="0.35">
      <c r="A9" s="10">
        <v>97</v>
      </c>
      <c r="B9" s="11">
        <v>129</v>
      </c>
      <c r="C9" s="12">
        <v>43</v>
      </c>
      <c r="D9" s="14">
        <v>41934</v>
      </c>
      <c r="E9">
        <f t="shared" si="0"/>
        <v>10</v>
      </c>
      <c r="H9" t="s">
        <v>5</v>
      </c>
      <c r="I9" t="s">
        <v>6</v>
      </c>
      <c r="J9" t="s">
        <v>7</v>
      </c>
    </row>
    <row r="10" spans="1:10" x14ac:dyDescent="0.35">
      <c r="A10" s="7">
        <v>25</v>
      </c>
      <c r="B10" s="8">
        <v>186</v>
      </c>
      <c r="C10" s="9">
        <v>4</v>
      </c>
      <c r="D10" s="14">
        <v>41935</v>
      </c>
      <c r="E10">
        <f t="shared" si="0"/>
        <v>10</v>
      </c>
      <c r="G10" s="13">
        <v>10</v>
      </c>
      <c r="H10">
        <f t="shared" ref="H10:J16" si="1">SUMIF($E$2:$E$184, $G10, A$2:A$184)</f>
        <v>1742</v>
      </c>
      <c r="I10">
        <f t="shared" si="1"/>
        <v>1658</v>
      </c>
      <c r="J10">
        <f t="shared" si="1"/>
        <v>915</v>
      </c>
    </row>
    <row r="11" spans="1:10" x14ac:dyDescent="0.35">
      <c r="A11" s="10">
        <v>113</v>
      </c>
      <c r="B11" s="11">
        <v>97</v>
      </c>
      <c r="C11" s="12">
        <v>97</v>
      </c>
      <c r="D11" s="14">
        <v>41936</v>
      </c>
      <c r="E11">
        <f t="shared" si="0"/>
        <v>10</v>
      </c>
      <c r="G11" s="15">
        <v>11</v>
      </c>
      <c r="H11">
        <f t="shared" si="1"/>
        <v>2756</v>
      </c>
      <c r="I11">
        <f t="shared" si="1"/>
        <v>2884</v>
      </c>
      <c r="J11">
        <f t="shared" si="1"/>
        <v>1750</v>
      </c>
    </row>
    <row r="12" spans="1:10" x14ac:dyDescent="0.35">
      <c r="A12" s="7">
        <v>70</v>
      </c>
      <c r="B12" s="8">
        <v>12</v>
      </c>
      <c r="C12" s="9">
        <v>53</v>
      </c>
      <c r="D12" s="14">
        <v>41937</v>
      </c>
      <c r="E12">
        <f t="shared" si="0"/>
        <v>10</v>
      </c>
      <c r="G12">
        <v>12</v>
      </c>
      <c r="H12">
        <f t="shared" si="1"/>
        <v>2696</v>
      </c>
      <c r="I12">
        <f t="shared" si="1"/>
        <v>2749</v>
      </c>
      <c r="J12">
        <f t="shared" si="1"/>
        <v>1586</v>
      </c>
    </row>
    <row r="13" spans="1:10" x14ac:dyDescent="0.35">
      <c r="A13" s="10">
        <v>117</v>
      </c>
      <c r="B13" s="11">
        <v>142</v>
      </c>
      <c r="C13" s="12">
        <v>90</v>
      </c>
      <c r="D13" s="14">
        <v>41938</v>
      </c>
      <c r="E13">
        <f t="shared" si="0"/>
        <v>10</v>
      </c>
      <c r="G13">
        <v>1</v>
      </c>
      <c r="H13">
        <f t="shared" si="1"/>
        <v>2990</v>
      </c>
      <c r="I13">
        <f t="shared" si="1"/>
        <v>2870</v>
      </c>
      <c r="J13">
        <f t="shared" si="1"/>
        <v>1646</v>
      </c>
    </row>
    <row r="14" spans="1:10" x14ac:dyDescent="0.35">
      <c r="A14" s="7">
        <v>189</v>
      </c>
      <c r="B14" s="8">
        <v>28</v>
      </c>
      <c r="C14" s="9">
        <v>43</v>
      </c>
      <c r="D14" s="14">
        <v>41939</v>
      </c>
      <c r="E14">
        <f t="shared" si="0"/>
        <v>10</v>
      </c>
      <c r="G14">
        <v>2</v>
      </c>
      <c r="H14">
        <f t="shared" si="1"/>
        <v>2579</v>
      </c>
      <c r="I14">
        <f t="shared" si="1"/>
        <v>2651</v>
      </c>
      <c r="J14">
        <f t="shared" si="1"/>
        <v>1252</v>
      </c>
    </row>
    <row r="15" spans="1:10" x14ac:dyDescent="0.35">
      <c r="A15" s="10">
        <v>140</v>
      </c>
      <c r="B15" s="11">
        <v>191</v>
      </c>
      <c r="C15" s="12">
        <v>40</v>
      </c>
      <c r="D15" s="14">
        <v>41940</v>
      </c>
      <c r="E15">
        <f t="shared" si="0"/>
        <v>10</v>
      </c>
      <c r="G15">
        <v>3</v>
      </c>
      <c r="H15">
        <f t="shared" si="1"/>
        <v>3332</v>
      </c>
      <c r="I15">
        <f t="shared" si="1"/>
        <v>3026</v>
      </c>
      <c r="J15">
        <f t="shared" si="1"/>
        <v>1360</v>
      </c>
    </row>
    <row r="16" spans="1:10" x14ac:dyDescent="0.35">
      <c r="A16" s="7">
        <v>167</v>
      </c>
      <c r="B16" s="8">
        <v>48</v>
      </c>
      <c r="C16" s="9">
        <v>30</v>
      </c>
      <c r="D16" s="14">
        <v>41941</v>
      </c>
      <c r="E16">
        <f t="shared" si="0"/>
        <v>10</v>
      </c>
      <c r="G16">
        <v>4</v>
      </c>
      <c r="H16">
        <f t="shared" si="1"/>
        <v>1365</v>
      </c>
      <c r="I16">
        <f t="shared" si="1"/>
        <v>966</v>
      </c>
      <c r="J16">
        <f t="shared" si="1"/>
        <v>706</v>
      </c>
    </row>
    <row r="17" spans="1:11" x14ac:dyDescent="0.35">
      <c r="A17" s="10">
        <v>0</v>
      </c>
      <c r="B17" s="11">
        <v>154</v>
      </c>
      <c r="C17" s="12">
        <v>68</v>
      </c>
      <c r="D17" s="14">
        <v>41942</v>
      </c>
      <c r="E17">
        <f t="shared" si="0"/>
        <v>10</v>
      </c>
      <c r="H17">
        <f>SUM(H10:H16)</f>
        <v>17460</v>
      </c>
      <c r="I17">
        <f t="shared" ref="I17:J17" si="2">SUM(I10:I16)</f>
        <v>16804</v>
      </c>
      <c r="J17">
        <f t="shared" si="2"/>
        <v>9215</v>
      </c>
    </row>
    <row r="18" spans="1:11" x14ac:dyDescent="0.35">
      <c r="A18" s="7">
        <v>61</v>
      </c>
      <c r="B18" s="8">
        <v>139</v>
      </c>
      <c r="C18" s="9">
        <v>77</v>
      </c>
      <c r="D18" s="14">
        <v>41943</v>
      </c>
      <c r="E18">
        <f t="shared" si="0"/>
        <v>10</v>
      </c>
      <c r="G18" t="s">
        <v>8</v>
      </c>
      <c r="H18">
        <f>H17*685</f>
        <v>11960100</v>
      </c>
      <c r="I18">
        <f>I17*620</f>
        <v>10418480</v>
      </c>
      <c r="J18">
        <f>J17*380</f>
        <v>3501700</v>
      </c>
      <c r="K18">
        <f>SUM(H18:J18)</f>
        <v>25880280</v>
      </c>
    </row>
    <row r="19" spans="1:11" x14ac:dyDescent="0.35">
      <c r="A19" s="10">
        <v>18</v>
      </c>
      <c r="B19" s="11">
        <v>163</v>
      </c>
      <c r="C19" s="12">
        <v>75</v>
      </c>
      <c r="D19" s="14">
        <v>41944</v>
      </c>
      <c r="E19">
        <f t="shared" si="0"/>
        <v>11</v>
      </c>
    </row>
    <row r="20" spans="1:11" x14ac:dyDescent="0.35">
      <c r="A20" s="7">
        <v>43</v>
      </c>
      <c r="B20" s="8">
        <v>169</v>
      </c>
      <c r="C20" s="9">
        <v>0</v>
      </c>
      <c r="D20" s="14">
        <v>41945</v>
      </c>
      <c r="E20">
        <f t="shared" si="0"/>
        <v>11</v>
      </c>
      <c r="G20" t="s">
        <v>9</v>
      </c>
      <c r="H20">
        <f>SUM(H18:J18)</f>
        <v>25880280</v>
      </c>
    </row>
    <row r="21" spans="1:11" x14ac:dyDescent="0.35">
      <c r="A21" s="10">
        <v>160</v>
      </c>
      <c r="B21" s="11">
        <v>135</v>
      </c>
      <c r="C21" s="12">
        <v>34</v>
      </c>
      <c r="D21" s="14">
        <v>41946</v>
      </c>
      <c r="E21">
        <f t="shared" si="0"/>
        <v>11</v>
      </c>
    </row>
    <row r="22" spans="1:11" x14ac:dyDescent="0.35">
      <c r="A22" s="7">
        <v>150</v>
      </c>
      <c r="B22" s="8">
        <v>89</v>
      </c>
      <c r="C22" s="9">
        <v>17</v>
      </c>
      <c r="D22" s="14">
        <v>41947</v>
      </c>
      <c r="E22">
        <f t="shared" si="0"/>
        <v>11</v>
      </c>
    </row>
    <row r="23" spans="1:11" x14ac:dyDescent="0.35">
      <c r="A23" s="10">
        <v>57</v>
      </c>
      <c r="B23" s="11">
        <v>109</v>
      </c>
      <c r="C23" s="12">
        <v>93</v>
      </c>
      <c r="D23" s="14">
        <v>41948</v>
      </c>
      <c r="E23">
        <f t="shared" si="0"/>
        <v>11</v>
      </c>
    </row>
    <row r="24" spans="1:11" x14ac:dyDescent="0.35">
      <c r="A24" s="7">
        <v>62</v>
      </c>
      <c r="B24" s="8">
        <v>80</v>
      </c>
      <c r="C24" s="9">
        <v>62</v>
      </c>
      <c r="D24" s="14">
        <v>41949</v>
      </c>
      <c r="E24">
        <f t="shared" si="0"/>
        <v>11</v>
      </c>
    </row>
    <row r="25" spans="1:11" x14ac:dyDescent="0.35">
      <c r="A25" s="10">
        <v>162</v>
      </c>
      <c r="B25" s="11">
        <v>62</v>
      </c>
      <c r="C25" s="12">
        <v>88</v>
      </c>
      <c r="D25" s="14">
        <v>41950</v>
      </c>
      <c r="E25">
        <f t="shared" si="0"/>
        <v>11</v>
      </c>
    </row>
    <row r="26" spans="1:11" x14ac:dyDescent="0.35">
      <c r="A26" s="7">
        <v>142</v>
      </c>
      <c r="B26" s="8">
        <v>79</v>
      </c>
      <c r="C26" s="9">
        <v>76</v>
      </c>
      <c r="D26" s="14">
        <v>41951</v>
      </c>
      <c r="E26">
        <f t="shared" si="0"/>
        <v>11</v>
      </c>
    </row>
    <row r="27" spans="1:11" x14ac:dyDescent="0.35">
      <c r="A27" s="10">
        <v>7</v>
      </c>
      <c r="B27" s="11">
        <v>30</v>
      </c>
      <c r="C27" s="12">
        <v>68</v>
      </c>
      <c r="D27" s="14">
        <v>41952</v>
      </c>
      <c r="E27">
        <f t="shared" si="0"/>
        <v>11</v>
      </c>
    </row>
    <row r="28" spans="1:11" x14ac:dyDescent="0.35">
      <c r="A28" s="7">
        <v>116</v>
      </c>
      <c r="B28" s="8">
        <v>6</v>
      </c>
      <c r="C28" s="9">
        <v>88</v>
      </c>
      <c r="D28" s="14">
        <v>41953</v>
      </c>
      <c r="E28">
        <f t="shared" si="0"/>
        <v>11</v>
      </c>
    </row>
    <row r="29" spans="1:11" x14ac:dyDescent="0.35">
      <c r="A29" s="10">
        <v>0</v>
      </c>
      <c r="B29" s="11">
        <v>1</v>
      </c>
      <c r="C29" s="12">
        <v>47</v>
      </c>
      <c r="D29" s="14">
        <v>41954</v>
      </c>
      <c r="E29">
        <f t="shared" si="0"/>
        <v>11</v>
      </c>
    </row>
    <row r="30" spans="1:11" x14ac:dyDescent="0.35">
      <c r="A30" s="7">
        <v>78</v>
      </c>
      <c r="B30" s="8">
        <v>84</v>
      </c>
      <c r="C30" s="9">
        <v>16</v>
      </c>
      <c r="D30" s="14">
        <v>41955</v>
      </c>
      <c r="E30">
        <f t="shared" si="0"/>
        <v>11</v>
      </c>
    </row>
    <row r="31" spans="1:11" x14ac:dyDescent="0.35">
      <c r="A31" s="10">
        <v>112</v>
      </c>
      <c r="B31" s="11">
        <v>140</v>
      </c>
      <c r="C31" s="12">
        <v>97</v>
      </c>
      <c r="D31" s="14">
        <v>41956</v>
      </c>
      <c r="E31">
        <f t="shared" si="0"/>
        <v>11</v>
      </c>
    </row>
    <row r="32" spans="1:11" x14ac:dyDescent="0.35">
      <c r="A32" s="7">
        <v>109</v>
      </c>
      <c r="B32" s="8">
        <v>74</v>
      </c>
      <c r="C32" s="9">
        <v>53</v>
      </c>
      <c r="D32" s="14">
        <v>41957</v>
      </c>
      <c r="E32">
        <f t="shared" si="0"/>
        <v>11</v>
      </c>
    </row>
    <row r="33" spans="1:5" x14ac:dyDescent="0.35">
      <c r="A33" s="10">
        <v>121</v>
      </c>
      <c r="B33" s="11">
        <v>77</v>
      </c>
      <c r="C33" s="12">
        <v>70</v>
      </c>
      <c r="D33" s="14">
        <v>41958</v>
      </c>
      <c r="E33">
        <f t="shared" si="0"/>
        <v>11</v>
      </c>
    </row>
    <row r="34" spans="1:5" x14ac:dyDescent="0.35">
      <c r="A34" s="7">
        <v>106</v>
      </c>
      <c r="B34" s="8">
        <v>89</v>
      </c>
      <c r="C34" s="9">
        <v>75</v>
      </c>
      <c r="D34" s="14">
        <v>41959</v>
      </c>
      <c r="E34">
        <f t="shared" si="0"/>
        <v>11</v>
      </c>
    </row>
    <row r="35" spans="1:5" x14ac:dyDescent="0.35">
      <c r="A35" s="10">
        <v>57</v>
      </c>
      <c r="B35" s="11">
        <v>119</v>
      </c>
      <c r="C35" s="12">
        <v>64</v>
      </c>
      <c r="D35" s="14">
        <v>41960</v>
      </c>
      <c r="E35">
        <f t="shared" si="0"/>
        <v>11</v>
      </c>
    </row>
    <row r="36" spans="1:5" x14ac:dyDescent="0.35">
      <c r="A36" s="7">
        <v>26</v>
      </c>
      <c r="B36" s="8">
        <v>87</v>
      </c>
      <c r="C36" s="9">
        <v>84</v>
      </c>
      <c r="D36" s="14">
        <v>41961</v>
      </c>
      <c r="E36">
        <f t="shared" si="0"/>
        <v>11</v>
      </c>
    </row>
    <row r="37" spans="1:5" x14ac:dyDescent="0.35">
      <c r="A37" s="10">
        <v>79</v>
      </c>
      <c r="B37" s="11">
        <v>171</v>
      </c>
      <c r="C37" s="12">
        <v>75</v>
      </c>
      <c r="D37" s="14">
        <v>41962</v>
      </c>
      <c r="E37">
        <f t="shared" si="0"/>
        <v>11</v>
      </c>
    </row>
    <row r="38" spans="1:5" x14ac:dyDescent="0.35">
      <c r="A38" s="7">
        <v>192</v>
      </c>
      <c r="B38" s="8">
        <v>151</v>
      </c>
      <c r="C38" s="9">
        <v>45</v>
      </c>
      <c r="D38" s="14">
        <v>41963</v>
      </c>
      <c r="E38">
        <f t="shared" si="0"/>
        <v>11</v>
      </c>
    </row>
    <row r="39" spans="1:5" x14ac:dyDescent="0.35">
      <c r="A39" s="10">
        <v>9</v>
      </c>
      <c r="B39" s="11">
        <v>64</v>
      </c>
      <c r="C39" s="12">
        <v>22</v>
      </c>
      <c r="D39" s="14">
        <v>41964</v>
      </c>
      <c r="E39">
        <f t="shared" si="0"/>
        <v>11</v>
      </c>
    </row>
    <row r="40" spans="1:5" x14ac:dyDescent="0.35">
      <c r="A40" s="7">
        <v>123</v>
      </c>
      <c r="B40" s="8">
        <v>150</v>
      </c>
      <c r="C40" s="9">
        <v>10</v>
      </c>
      <c r="D40" s="14">
        <v>41965</v>
      </c>
      <c r="E40">
        <f t="shared" si="0"/>
        <v>11</v>
      </c>
    </row>
    <row r="41" spans="1:5" x14ac:dyDescent="0.35">
      <c r="A41" s="10">
        <v>87</v>
      </c>
      <c r="B41" s="11">
        <v>123</v>
      </c>
      <c r="C41" s="12">
        <v>33</v>
      </c>
      <c r="D41" s="14">
        <v>41966</v>
      </c>
      <c r="E41">
        <f t="shared" si="0"/>
        <v>11</v>
      </c>
    </row>
    <row r="42" spans="1:5" x14ac:dyDescent="0.35">
      <c r="A42" s="7">
        <v>165</v>
      </c>
      <c r="B42" s="8">
        <v>88</v>
      </c>
      <c r="C42" s="9">
        <v>13</v>
      </c>
      <c r="D42" s="14">
        <v>41967</v>
      </c>
      <c r="E42">
        <f t="shared" si="0"/>
        <v>11</v>
      </c>
    </row>
    <row r="43" spans="1:5" x14ac:dyDescent="0.35">
      <c r="A43" s="10">
        <v>144</v>
      </c>
      <c r="B43" s="11">
        <v>78</v>
      </c>
      <c r="C43" s="12">
        <v>82</v>
      </c>
      <c r="D43" s="14">
        <v>41968</v>
      </c>
      <c r="E43">
        <f t="shared" si="0"/>
        <v>11</v>
      </c>
    </row>
    <row r="44" spans="1:5" x14ac:dyDescent="0.35">
      <c r="A44" s="7">
        <v>54</v>
      </c>
      <c r="B44" s="8">
        <v>38</v>
      </c>
      <c r="C44" s="9">
        <v>68</v>
      </c>
      <c r="D44" s="14">
        <v>41969</v>
      </c>
      <c r="E44">
        <f t="shared" si="0"/>
        <v>11</v>
      </c>
    </row>
    <row r="45" spans="1:5" x14ac:dyDescent="0.35">
      <c r="A45" s="10">
        <v>188</v>
      </c>
      <c r="B45" s="11">
        <v>44</v>
      </c>
      <c r="C45" s="12">
        <v>86</v>
      </c>
      <c r="D45" s="14">
        <v>41970</v>
      </c>
      <c r="E45">
        <f t="shared" si="0"/>
        <v>11</v>
      </c>
    </row>
    <row r="46" spans="1:5" x14ac:dyDescent="0.35">
      <c r="A46" s="7">
        <v>165</v>
      </c>
      <c r="B46" s="8">
        <v>170</v>
      </c>
      <c r="C46" s="9">
        <v>62</v>
      </c>
      <c r="D46" s="14">
        <v>41971</v>
      </c>
      <c r="E46">
        <f t="shared" si="0"/>
        <v>11</v>
      </c>
    </row>
    <row r="47" spans="1:5" x14ac:dyDescent="0.35">
      <c r="A47" s="10">
        <v>24</v>
      </c>
      <c r="B47" s="11">
        <v>94</v>
      </c>
      <c r="C47" s="12">
        <v>87</v>
      </c>
      <c r="D47" s="14">
        <v>41972</v>
      </c>
      <c r="E47">
        <f t="shared" si="0"/>
        <v>11</v>
      </c>
    </row>
    <row r="48" spans="1:5" x14ac:dyDescent="0.35">
      <c r="A48" s="7">
        <v>0</v>
      </c>
      <c r="B48" s="8">
        <v>120</v>
      </c>
      <c r="C48" s="9">
        <v>60</v>
      </c>
      <c r="D48" s="14">
        <v>41973</v>
      </c>
      <c r="E48">
        <f t="shared" si="0"/>
        <v>11</v>
      </c>
    </row>
    <row r="49" spans="1:5" x14ac:dyDescent="0.35">
      <c r="A49" s="10">
        <v>101</v>
      </c>
      <c r="B49" s="11">
        <v>53</v>
      </c>
      <c r="C49" s="12">
        <v>62</v>
      </c>
      <c r="D49" s="14">
        <v>41974</v>
      </c>
      <c r="E49">
        <f t="shared" si="0"/>
        <v>12</v>
      </c>
    </row>
    <row r="50" spans="1:5" x14ac:dyDescent="0.35">
      <c r="A50" s="7">
        <v>67</v>
      </c>
      <c r="B50" s="8">
        <v>147</v>
      </c>
      <c r="C50" s="9">
        <v>20</v>
      </c>
      <c r="D50" s="14">
        <v>41975</v>
      </c>
      <c r="E50">
        <f t="shared" si="0"/>
        <v>12</v>
      </c>
    </row>
    <row r="51" spans="1:5" x14ac:dyDescent="0.35">
      <c r="A51" s="10">
        <v>109</v>
      </c>
      <c r="B51" s="11">
        <v>99</v>
      </c>
      <c r="C51" s="12">
        <v>70</v>
      </c>
      <c r="D51" s="14">
        <v>41976</v>
      </c>
      <c r="E51">
        <f t="shared" si="0"/>
        <v>12</v>
      </c>
    </row>
    <row r="52" spans="1:5" x14ac:dyDescent="0.35">
      <c r="A52" s="7">
        <v>22</v>
      </c>
      <c r="B52" s="8">
        <v>16</v>
      </c>
      <c r="C52" s="9">
        <v>59</v>
      </c>
      <c r="D52" s="14">
        <v>41977</v>
      </c>
      <c r="E52">
        <f t="shared" si="0"/>
        <v>12</v>
      </c>
    </row>
    <row r="53" spans="1:5" x14ac:dyDescent="0.35">
      <c r="A53" s="10">
        <v>5</v>
      </c>
      <c r="B53" s="11">
        <v>91</v>
      </c>
      <c r="C53" s="12">
        <v>73</v>
      </c>
      <c r="D53" s="14">
        <v>41978</v>
      </c>
      <c r="E53">
        <f t="shared" si="0"/>
        <v>12</v>
      </c>
    </row>
    <row r="54" spans="1:5" x14ac:dyDescent="0.35">
      <c r="A54" s="7">
        <v>105</v>
      </c>
      <c r="B54" s="8">
        <v>154</v>
      </c>
      <c r="C54" s="9">
        <v>48</v>
      </c>
      <c r="D54" s="14">
        <v>41979</v>
      </c>
      <c r="E54">
        <f t="shared" si="0"/>
        <v>12</v>
      </c>
    </row>
    <row r="55" spans="1:5" x14ac:dyDescent="0.35">
      <c r="A55" s="10">
        <v>108</v>
      </c>
      <c r="B55" s="11">
        <v>5</v>
      </c>
      <c r="C55" s="12">
        <v>71</v>
      </c>
      <c r="D55" s="14">
        <v>41980</v>
      </c>
      <c r="E55">
        <f t="shared" si="0"/>
        <v>12</v>
      </c>
    </row>
    <row r="56" spans="1:5" x14ac:dyDescent="0.35">
      <c r="A56" s="7">
        <v>64</v>
      </c>
      <c r="B56" s="8">
        <v>37</v>
      </c>
      <c r="C56" s="9">
        <v>89</v>
      </c>
      <c r="D56" s="14">
        <v>41981</v>
      </c>
      <c r="E56">
        <f t="shared" si="0"/>
        <v>12</v>
      </c>
    </row>
    <row r="57" spans="1:5" x14ac:dyDescent="0.35">
      <c r="A57" s="10">
        <v>114</v>
      </c>
      <c r="B57" s="11">
        <v>140</v>
      </c>
      <c r="C57" s="12">
        <v>36</v>
      </c>
      <c r="D57" s="14">
        <v>41982</v>
      </c>
      <c r="E57">
        <f t="shared" si="0"/>
        <v>12</v>
      </c>
    </row>
    <row r="58" spans="1:5" x14ac:dyDescent="0.35">
      <c r="A58" s="7">
        <v>147</v>
      </c>
      <c r="B58" s="8">
        <v>140</v>
      </c>
      <c r="C58" s="9">
        <v>61</v>
      </c>
      <c r="D58" s="14">
        <v>41983</v>
      </c>
      <c r="E58">
        <f t="shared" si="0"/>
        <v>12</v>
      </c>
    </row>
    <row r="59" spans="1:5" x14ac:dyDescent="0.35">
      <c r="A59" s="10">
        <v>69</v>
      </c>
      <c r="B59" s="11">
        <v>120</v>
      </c>
      <c r="C59" s="12">
        <v>52</v>
      </c>
      <c r="D59" s="14">
        <v>41984</v>
      </c>
      <c r="E59">
        <f t="shared" si="0"/>
        <v>12</v>
      </c>
    </row>
    <row r="60" spans="1:5" x14ac:dyDescent="0.35">
      <c r="A60" s="7">
        <v>101</v>
      </c>
      <c r="B60" s="8">
        <v>39</v>
      </c>
      <c r="C60" s="9">
        <v>10</v>
      </c>
      <c r="D60" s="14">
        <v>41985</v>
      </c>
      <c r="E60">
        <f t="shared" si="0"/>
        <v>12</v>
      </c>
    </row>
    <row r="61" spans="1:5" x14ac:dyDescent="0.35">
      <c r="A61" s="10">
        <v>158</v>
      </c>
      <c r="B61" s="11">
        <v>36</v>
      </c>
      <c r="C61" s="12">
        <v>79</v>
      </c>
      <c r="D61" s="14">
        <v>41986</v>
      </c>
      <c r="E61">
        <f t="shared" si="0"/>
        <v>12</v>
      </c>
    </row>
    <row r="62" spans="1:5" x14ac:dyDescent="0.35">
      <c r="A62" s="7">
        <v>79</v>
      </c>
      <c r="B62" s="8">
        <v>105</v>
      </c>
      <c r="C62" s="9">
        <v>73</v>
      </c>
      <c r="D62" s="14">
        <v>41987</v>
      </c>
      <c r="E62">
        <f t="shared" si="0"/>
        <v>12</v>
      </c>
    </row>
    <row r="63" spans="1:5" x14ac:dyDescent="0.35">
      <c r="A63" s="10">
        <v>5</v>
      </c>
      <c r="B63" s="11">
        <v>24</v>
      </c>
      <c r="C63" s="12">
        <v>43</v>
      </c>
      <c r="D63" s="14">
        <v>41988</v>
      </c>
      <c r="E63">
        <f t="shared" si="0"/>
        <v>12</v>
      </c>
    </row>
    <row r="64" spans="1:5" x14ac:dyDescent="0.35">
      <c r="A64" s="7">
        <v>68</v>
      </c>
      <c r="B64" s="8">
        <v>112</v>
      </c>
      <c r="C64" s="9">
        <v>25</v>
      </c>
      <c r="D64" s="14">
        <v>41989</v>
      </c>
      <c r="E64">
        <f t="shared" si="0"/>
        <v>12</v>
      </c>
    </row>
    <row r="65" spans="1:5" x14ac:dyDescent="0.35">
      <c r="A65" s="10">
        <v>37</v>
      </c>
      <c r="B65" s="11">
        <v>57</v>
      </c>
      <c r="C65" s="12">
        <v>81</v>
      </c>
      <c r="D65" s="14">
        <v>41990</v>
      </c>
      <c r="E65">
        <f t="shared" si="0"/>
        <v>12</v>
      </c>
    </row>
    <row r="66" spans="1:5" x14ac:dyDescent="0.35">
      <c r="A66" s="7">
        <v>188</v>
      </c>
      <c r="B66" s="8">
        <v>28</v>
      </c>
      <c r="C66" s="9">
        <v>7</v>
      </c>
      <c r="D66" s="14">
        <v>41991</v>
      </c>
      <c r="E66">
        <f t="shared" si="0"/>
        <v>12</v>
      </c>
    </row>
    <row r="67" spans="1:5" x14ac:dyDescent="0.35">
      <c r="A67" s="10">
        <v>167</v>
      </c>
      <c r="B67" s="11">
        <v>41</v>
      </c>
      <c r="C67" s="12">
        <v>45</v>
      </c>
      <c r="D67" s="14">
        <v>41992</v>
      </c>
      <c r="E67">
        <f t="shared" ref="E67:E130" si="3">MONTH(D67)</f>
        <v>12</v>
      </c>
    </row>
    <row r="68" spans="1:5" x14ac:dyDescent="0.35">
      <c r="A68" s="7">
        <v>197</v>
      </c>
      <c r="B68" s="8">
        <v>82</v>
      </c>
      <c r="C68" s="9">
        <v>43</v>
      </c>
      <c r="D68" s="14">
        <v>41993</v>
      </c>
      <c r="E68">
        <f t="shared" si="3"/>
        <v>12</v>
      </c>
    </row>
    <row r="69" spans="1:5" x14ac:dyDescent="0.35">
      <c r="A69" s="10">
        <v>54</v>
      </c>
      <c r="B69" s="11">
        <v>130</v>
      </c>
      <c r="C69" s="12">
        <v>50</v>
      </c>
      <c r="D69" s="14">
        <v>41994</v>
      </c>
      <c r="E69">
        <f t="shared" si="3"/>
        <v>12</v>
      </c>
    </row>
    <row r="70" spans="1:5" x14ac:dyDescent="0.35">
      <c r="A70" s="7">
        <v>19</v>
      </c>
      <c r="B70" s="8">
        <v>153</v>
      </c>
      <c r="C70" s="9">
        <v>65</v>
      </c>
      <c r="D70" s="14">
        <v>41995</v>
      </c>
      <c r="E70">
        <f t="shared" si="3"/>
        <v>12</v>
      </c>
    </row>
    <row r="71" spans="1:5" x14ac:dyDescent="0.35">
      <c r="A71" s="10">
        <v>27</v>
      </c>
      <c r="B71" s="11">
        <v>160</v>
      </c>
      <c r="C71" s="12">
        <v>81</v>
      </c>
      <c r="D71" s="14">
        <v>41996</v>
      </c>
      <c r="E71">
        <f t="shared" si="3"/>
        <v>12</v>
      </c>
    </row>
    <row r="72" spans="1:5" x14ac:dyDescent="0.35">
      <c r="A72" s="7">
        <v>11</v>
      </c>
      <c r="B72" s="8">
        <v>140</v>
      </c>
      <c r="C72" s="9">
        <v>77</v>
      </c>
      <c r="D72" s="14">
        <v>41997</v>
      </c>
      <c r="E72">
        <f t="shared" si="3"/>
        <v>12</v>
      </c>
    </row>
    <row r="73" spans="1:5" x14ac:dyDescent="0.35">
      <c r="A73" s="10">
        <v>182</v>
      </c>
      <c r="B73" s="11">
        <v>50</v>
      </c>
      <c r="C73" s="12">
        <v>22</v>
      </c>
      <c r="D73" s="14">
        <v>41998</v>
      </c>
      <c r="E73">
        <f t="shared" si="3"/>
        <v>12</v>
      </c>
    </row>
    <row r="74" spans="1:5" x14ac:dyDescent="0.35">
      <c r="A74" s="7">
        <v>63</v>
      </c>
      <c r="B74" s="8">
        <v>83</v>
      </c>
      <c r="C74" s="9">
        <v>69</v>
      </c>
      <c r="D74" s="14">
        <v>41999</v>
      </c>
      <c r="E74">
        <f t="shared" si="3"/>
        <v>12</v>
      </c>
    </row>
    <row r="75" spans="1:5" x14ac:dyDescent="0.35">
      <c r="A75" s="10">
        <v>33</v>
      </c>
      <c r="B75" s="11">
        <v>59</v>
      </c>
      <c r="C75" s="12">
        <v>46</v>
      </c>
      <c r="D75" s="14">
        <v>42000</v>
      </c>
      <c r="E75">
        <f t="shared" si="3"/>
        <v>12</v>
      </c>
    </row>
    <row r="76" spans="1:5" x14ac:dyDescent="0.35">
      <c r="A76" s="7">
        <v>119</v>
      </c>
      <c r="B76" s="8">
        <v>57</v>
      </c>
      <c r="C76" s="9">
        <v>67</v>
      </c>
      <c r="D76" s="14">
        <v>42001</v>
      </c>
      <c r="E76">
        <f t="shared" si="3"/>
        <v>12</v>
      </c>
    </row>
    <row r="77" spans="1:5" x14ac:dyDescent="0.35">
      <c r="A77" s="10">
        <v>58</v>
      </c>
      <c r="B77" s="11">
        <v>176</v>
      </c>
      <c r="C77" s="12">
        <v>16</v>
      </c>
      <c r="D77" s="14">
        <v>42002</v>
      </c>
      <c r="E77">
        <f t="shared" si="3"/>
        <v>12</v>
      </c>
    </row>
    <row r="78" spans="1:5" x14ac:dyDescent="0.35">
      <c r="A78" s="7">
        <v>174</v>
      </c>
      <c r="B78" s="8">
        <v>61</v>
      </c>
      <c r="C78" s="9">
        <v>46</v>
      </c>
      <c r="D78" s="14">
        <v>42003</v>
      </c>
      <c r="E78">
        <f t="shared" si="3"/>
        <v>12</v>
      </c>
    </row>
    <row r="79" spans="1:5" x14ac:dyDescent="0.35">
      <c r="A79" s="10">
        <v>45</v>
      </c>
      <c r="B79" s="11">
        <v>154</v>
      </c>
      <c r="C79" s="12">
        <v>0</v>
      </c>
      <c r="D79" s="14">
        <v>42004</v>
      </c>
      <c r="E79">
        <f t="shared" si="3"/>
        <v>12</v>
      </c>
    </row>
    <row r="80" spans="1:5" x14ac:dyDescent="0.35">
      <c r="A80" s="7">
        <v>94</v>
      </c>
      <c r="B80" s="8">
        <v>120</v>
      </c>
      <c r="C80" s="9">
        <v>95</v>
      </c>
      <c r="D80" s="14">
        <v>42005</v>
      </c>
      <c r="E80">
        <f t="shared" si="3"/>
        <v>1</v>
      </c>
    </row>
    <row r="81" spans="1:5" x14ac:dyDescent="0.35">
      <c r="A81" s="10">
        <v>12</v>
      </c>
      <c r="B81" s="11">
        <v>5</v>
      </c>
      <c r="C81" s="12">
        <v>42</v>
      </c>
      <c r="D81" s="14">
        <v>42006</v>
      </c>
      <c r="E81">
        <f t="shared" si="3"/>
        <v>1</v>
      </c>
    </row>
    <row r="82" spans="1:5" x14ac:dyDescent="0.35">
      <c r="A82" s="7">
        <v>80</v>
      </c>
      <c r="B82" s="8">
        <v>170</v>
      </c>
      <c r="C82" s="9">
        <v>96</v>
      </c>
      <c r="D82" s="14">
        <v>42007</v>
      </c>
      <c r="E82">
        <f t="shared" si="3"/>
        <v>1</v>
      </c>
    </row>
    <row r="83" spans="1:5" x14ac:dyDescent="0.35">
      <c r="A83" s="10">
        <v>80</v>
      </c>
      <c r="B83" s="11">
        <v>10</v>
      </c>
      <c r="C83" s="12">
        <v>30</v>
      </c>
      <c r="D83" s="14">
        <v>42008</v>
      </c>
      <c r="E83">
        <f t="shared" si="3"/>
        <v>1</v>
      </c>
    </row>
    <row r="84" spans="1:5" x14ac:dyDescent="0.35">
      <c r="A84" s="7">
        <v>90</v>
      </c>
      <c r="B84" s="8">
        <v>80</v>
      </c>
      <c r="C84" s="9">
        <v>31</v>
      </c>
      <c r="D84" s="14">
        <v>42009</v>
      </c>
      <c r="E84">
        <f t="shared" si="3"/>
        <v>1</v>
      </c>
    </row>
    <row r="85" spans="1:5" x14ac:dyDescent="0.35">
      <c r="A85" s="10">
        <v>130</v>
      </c>
      <c r="B85" s="11">
        <v>163</v>
      </c>
      <c r="C85" s="12">
        <v>92</v>
      </c>
      <c r="D85" s="14">
        <v>42010</v>
      </c>
      <c r="E85">
        <f t="shared" si="3"/>
        <v>1</v>
      </c>
    </row>
    <row r="86" spans="1:5" x14ac:dyDescent="0.35">
      <c r="A86" s="7">
        <v>54</v>
      </c>
      <c r="B86" s="8">
        <v>7</v>
      </c>
      <c r="C86" s="9">
        <v>79</v>
      </c>
      <c r="D86" s="14">
        <v>42011</v>
      </c>
      <c r="E86">
        <f t="shared" si="3"/>
        <v>1</v>
      </c>
    </row>
    <row r="87" spans="1:5" x14ac:dyDescent="0.35">
      <c r="A87" s="10">
        <v>88</v>
      </c>
      <c r="B87" s="11">
        <v>125</v>
      </c>
      <c r="C87" s="12">
        <v>97</v>
      </c>
      <c r="D87" s="14">
        <v>42012</v>
      </c>
      <c r="E87">
        <f t="shared" si="3"/>
        <v>1</v>
      </c>
    </row>
    <row r="88" spans="1:5" x14ac:dyDescent="0.35">
      <c r="A88" s="7">
        <v>83</v>
      </c>
      <c r="B88" s="8">
        <v>85</v>
      </c>
      <c r="C88" s="9">
        <v>99</v>
      </c>
      <c r="D88" s="14">
        <v>42013</v>
      </c>
      <c r="E88">
        <f t="shared" si="3"/>
        <v>1</v>
      </c>
    </row>
    <row r="89" spans="1:5" x14ac:dyDescent="0.35">
      <c r="A89" s="10">
        <v>139</v>
      </c>
      <c r="B89" s="11">
        <v>155</v>
      </c>
      <c r="C89" s="12">
        <v>11</v>
      </c>
      <c r="D89" s="14">
        <v>42014</v>
      </c>
      <c r="E89">
        <f t="shared" si="3"/>
        <v>1</v>
      </c>
    </row>
    <row r="90" spans="1:5" x14ac:dyDescent="0.35">
      <c r="A90" s="7">
        <v>82</v>
      </c>
      <c r="B90" s="8">
        <v>43</v>
      </c>
      <c r="C90" s="9">
        <v>93</v>
      </c>
      <c r="D90" s="14">
        <v>42015</v>
      </c>
      <c r="E90">
        <f t="shared" si="3"/>
        <v>1</v>
      </c>
    </row>
    <row r="91" spans="1:5" x14ac:dyDescent="0.35">
      <c r="A91" s="10">
        <v>23</v>
      </c>
      <c r="B91" s="11">
        <v>40</v>
      </c>
      <c r="C91" s="12">
        <v>83</v>
      </c>
      <c r="D91" s="14">
        <v>42016</v>
      </c>
      <c r="E91">
        <f t="shared" si="3"/>
        <v>1</v>
      </c>
    </row>
    <row r="92" spans="1:5" x14ac:dyDescent="0.35">
      <c r="A92" s="7">
        <v>118</v>
      </c>
      <c r="B92" s="8">
        <v>165</v>
      </c>
      <c r="C92" s="9">
        <v>56</v>
      </c>
      <c r="D92" s="14">
        <v>42017</v>
      </c>
      <c r="E92">
        <f t="shared" si="3"/>
        <v>1</v>
      </c>
    </row>
    <row r="93" spans="1:5" x14ac:dyDescent="0.35">
      <c r="A93" s="10">
        <v>59</v>
      </c>
      <c r="B93" s="11">
        <v>35</v>
      </c>
      <c r="C93" s="12">
        <v>17</v>
      </c>
      <c r="D93" s="14">
        <v>42018</v>
      </c>
      <c r="E93">
        <f t="shared" si="3"/>
        <v>1</v>
      </c>
    </row>
    <row r="94" spans="1:5" x14ac:dyDescent="0.35">
      <c r="A94" s="7">
        <v>127</v>
      </c>
      <c r="B94" s="8">
        <v>58</v>
      </c>
      <c r="C94" s="9">
        <v>39</v>
      </c>
      <c r="D94" s="14">
        <v>42019</v>
      </c>
      <c r="E94">
        <f t="shared" si="3"/>
        <v>1</v>
      </c>
    </row>
    <row r="95" spans="1:5" x14ac:dyDescent="0.35">
      <c r="A95" s="10">
        <v>121</v>
      </c>
      <c r="B95" s="11">
        <v>175</v>
      </c>
      <c r="C95" s="12">
        <v>77</v>
      </c>
      <c r="D95" s="14">
        <v>42020</v>
      </c>
      <c r="E95">
        <f t="shared" si="3"/>
        <v>1</v>
      </c>
    </row>
    <row r="96" spans="1:5" x14ac:dyDescent="0.35">
      <c r="A96" s="7">
        <v>80</v>
      </c>
      <c r="B96" s="8">
        <v>101</v>
      </c>
      <c r="C96" s="9">
        <v>3</v>
      </c>
      <c r="D96" s="14">
        <v>42021</v>
      </c>
      <c r="E96">
        <f t="shared" si="3"/>
        <v>1</v>
      </c>
    </row>
    <row r="97" spans="1:5" x14ac:dyDescent="0.35">
      <c r="A97" s="10">
        <v>189</v>
      </c>
      <c r="B97" s="11">
        <v>161</v>
      </c>
      <c r="C97" s="12">
        <v>53</v>
      </c>
      <c r="D97" s="14">
        <v>42022</v>
      </c>
      <c r="E97">
        <f t="shared" si="3"/>
        <v>1</v>
      </c>
    </row>
    <row r="98" spans="1:5" x14ac:dyDescent="0.35">
      <c r="A98" s="7">
        <v>18</v>
      </c>
      <c r="B98" s="8">
        <v>61</v>
      </c>
      <c r="C98" s="9">
        <v>19</v>
      </c>
      <c r="D98" s="14">
        <v>42023</v>
      </c>
      <c r="E98">
        <f t="shared" si="3"/>
        <v>1</v>
      </c>
    </row>
    <row r="99" spans="1:5" x14ac:dyDescent="0.35">
      <c r="A99" s="10">
        <v>68</v>
      </c>
      <c r="B99" s="11">
        <v>127</v>
      </c>
      <c r="C99" s="12">
        <v>3</v>
      </c>
      <c r="D99" s="14">
        <v>42024</v>
      </c>
      <c r="E99">
        <f t="shared" si="3"/>
        <v>1</v>
      </c>
    </row>
    <row r="100" spans="1:5" x14ac:dyDescent="0.35">
      <c r="A100" s="7">
        <v>37</v>
      </c>
      <c r="B100" s="8">
        <v>112</v>
      </c>
      <c r="C100" s="9">
        <v>68</v>
      </c>
      <c r="D100" s="14">
        <v>42025</v>
      </c>
      <c r="E100">
        <f t="shared" si="3"/>
        <v>1</v>
      </c>
    </row>
    <row r="101" spans="1:5" x14ac:dyDescent="0.35">
      <c r="A101" s="10">
        <v>40</v>
      </c>
      <c r="B101" s="11">
        <v>140</v>
      </c>
      <c r="C101" s="12">
        <v>15</v>
      </c>
      <c r="D101" s="14">
        <v>42026</v>
      </c>
      <c r="E101">
        <f t="shared" si="3"/>
        <v>1</v>
      </c>
    </row>
    <row r="102" spans="1:5" x14ac:dyDescent="0.35">
      <c r="A102" s="7">
        <v>189</v>
      </c>
      <c r="B102" s="8">
        <v>87</v>
      </c>
      <c r="C102" s="9">
        <v>64</v>
      </c>
      <c r="D102" s="14">
        <v>42027</v>
      </c>
      <c r="E102">
        <f t="shared" si="3"/>
        <v>1</v>
      </c>
    </row>
    <row r="103" spans="1:5" x14ac:dyDescent="0.35">
      <c r="A103" s="10">
        <v>145</v>
      </c>
      <c r="B103" s="11">
        <v>18</v>
      </c>
      <c r="C103" s="12">
        <v>1</v>
      </c>
      <c r="D103" s="14">
        <v>42028</v>
      </c>
      <c r="E103">
        <f t="shared" si="3"/>
        <v>1</v>
      </c>
    </row>
    <row r="104" spans="1:5" x14ac:dyDescent="0.35">
      <c r="A104" s="7">
        <v>148</v>
      </c>
      <c r="B104" s="8">
        <v>27</v>
      </c>
      <c r="C104" s="9">
        <v>13</v>
      </c>
      <c r="D104" s="14">
        <v>42029</v>
      </c>
      <c r="E104">
        <f t="shared" si="3"/>
        <v>1</v>
      </c>
    </row>
    <row r="105" spans="1:5" x14ac:dyDescent="0.35">
      <c r="A105" s="10">
        <v>127</v>
      </c>
      <c r="B105" s="11">
        <v>161</v>
      </c>
      <c r="C105" s="12">
        <v>31</v>
      </c>
      <c r="D105" s="14">
        <v>42030</v>
      </c>
      <c r="E105">
        <f t="shared" si="3"/>
        <v>1</v>
      </c>
    </row>
    <row r="106" spans="1:5" x14ac:dyDescent="0.35">
      <c r="A106" s="7">
        <v>131</v>
      </c>
      <c r="B106" s="8">
        <v>1</v>
      </c>
      <c r="C106" s="9">
        <v>98</v>
      </c>
      <c r="D106" s="14">
        <v>42031</v>
      </c>
      <c r="E106">
        <f t="shared" si="3"/>
        <v>1</v>
      </c>
    </row>
    <row r="107" spans="1:5" x14ac:dyDescent="0.35">
      <c r="A107" s="10">
        <v>142</v>
      </c>
      <c r="B107" s="11">
        <v>131</v>
      </c>
      <c r="C107" s="12">
        <v>62</v>
      </c>
      <c r="D107" s="14">
        <v>42032</v>
      </c>
      <c r="E107">
        <f t="shared" si="3"/>
        <v>1</v>
      </c>
    </row>
    <row r="108" spans="1:5" x14ac:dyDescent="0.35">
      <c r="A108" s="7">
        <v>121</v>
      </c>
      <c r="B108" s="8">
        <v>150</v>
      </c>
      <c r="C108" s="9">
        <v>25</v>
      </c>
      <c r="D108" s="14">
        <v>42033</v>
      </c>
      <c r="E108">
        <f t="shared" si="3"/>
        <v>1</v>
      </c>
    </row>
    <row r="109" spans="1:5" x14ac:dyDescent="0.35">
      <c r="A109" s="10">
        <v>33</v>
      </c>
      <c r="B109" s="11">
        <v>113</v>
      </c>
      <c r="C109" s="12">
        <v>62</v>
      </c>
      <c r="D109" s="14">
        <v>42034</v>
      </c>
      <c r="E109">
        <f t="shared" si="3"/>
        <v>1</v>
      </c>
    </row>
    <row r="110" spans="1:5" x14ac:dyDescent="0.35">
      <c r="A110" s="7">
        <v>142</v>
      </c>
      <c r="B110" s="8">
        <v>44</v>
      </c>
      <c r="C110" s="9">
        <v>92</v>
      </c>
      <c r="D110" s="14">
        <v>42035</v>
      </c>
      <c r="E110">
        <f t="shared" si="3"/>
        <v>1</v>
      </c>
    </row>
    <row r="111" spans="1:5" x14ac:dyDescent="0.35">
      <c r="A111" s="10">
        <v>119</v>
      </c>
      <c r="B111" s="11">
        <v>167</v>
      </c>
      <c r="C111" s="12">
        <v>64</v>
      </c>
      <c r="D111" s="14">
        <v>42036</v>
      </c>
      <c r="E111">
        <f t="shared" si="3"/>
        <v>2</v>
      </c>
    </row>
    <row r="112" spans="1:5" x14ac:dyDescent="0.35">
      <c r="A112" s="7">
        <v>54</v>
      </c>
      <c r="B112" s="8">
        <v>109</v>
      </c>
      <c r="C112" s="9">
        <v>65</v>
      </c>
      <c r="D112" s="14">
        <v>42037</v>
      </c>
      <c r="E112">
        <f t="shared" si="3"/>
        <v>2</v>
      </c>
    </row>
    <row r="113" spans="1:5" x14ac:dyDescent="0.35">
      <c r="A113" s="10">
        <v>53</v>
      </c>
      <c r="B113" s="11">
        <v>94</v>
      </c>
      <c r="C113" s="12">
        <v>43</v>
      </c>
      <c r="D113" s="14">
        <v>42038</v>
      </c>
      <c r="E113">
        <f t="shared" si="3"/>
        <v>2</v>
      </c>
    </row>
    <row r="114" spans="1:5" x14ac:dyDescent="0.35">
      <c r="A114" s="7">
        <v>165</v>
      </c>
      <c r="B114" s="8">
        <v>101</v>
      </c>
      <c r="C114" s="9">
        <v>8</v>
      </c>
      <c r="D114" s="14">
        <v>42039</v>
      </c>
      <c r="E114">
        <f t="shared" si="3"/>
        <v>2</v>
      </c>
    </row>
    <row r="115" spans="1:5" x14ac:dyDescent="0.35">
      <c r="A115" s="10">
        <v>159</v>
      </c>
      <c r="B115" s="11">
        <v>68</v>
      </c>
      <c r="C115" s="12">
        <v>96</v>
      </c>
      <c r="D115" s="14">
        <v>42040</v>
      </c>
      <c r="E115">
        <f t="shared" si="3"/>
        <v>2</v>
      </c>
    </row>
    <row r="116" spans="1:5" x14ac:dyDescent="0.35">
      <c r="A116" s="7">
        <v>79</v>
      </c>
      <c r="B116" s="8">
        <v>119</v>
      </c>
      <c r="C116" s="9">
        <v>35</v>
      </c>
      <c r="D116" s="14">
        <v>42041</v>
      </c>
      <c r="E116">
        <f t="shared" si="3"/>
        <v>2</v>
      </c>
    </row>
    <row r="117" spans="1:5" x14ac:dyDescent="0.35">
      <c r="A117" s="10">
        <v>128</v>
      </c>
      <c r="B117" s="11">
        <v>148</v>
      </c>
      <c r="C117" s="12">
        <v>77</v>
      </c>
      <c r="D117" s="14">
        <v>42042</v>
      </c>
      <c r="E117">
        <f t="shared" si="3"/>
        <v>2</v>
      </c>
    </row>
    <row r="118" spans="1:5" x14ac:dyDescent="0.35">
      <c r="A118" s="7">
        <v>195</v>
      </c>
      <c r="B118" s="8">
        <v>39</v>
      </c>
      <c r="C118" s="9">
        <v>77</v>
      </c>
      <c r="D118" s="14">
        <v>42043</v>
      </c>
      <c r="E118">
        <f t="shared" si="3"/>
        <v>2</v>
      </c>
    </row>
    <row r="119" spans="1:5" x14ac:dyDescent="0.35">
      <c r="A119" s="10">
        <v>87</v>
      </c>
      <c r="B119" s="11">
        <v>8</v>
      </c>
      <c r="C119" s="12">
        <v>17</v>
      </c>
      <c r="D119" s="14">
        <v>42044</v>
      </c>
      <c r="E119">
        <f t="shared" si="3"/>
        <v>2</v>
      </c>
    </row>
    <row r="120" spans="1:5" x14ac:dyDescent="0.35">
      <c r="A120" s="7">
        <v>114</v>
      </c>
      <c r="B120" s="8">
        <v>124</v>
      </c>
      <c r="C120" s="9">
        <v>94</v>
      </c>
      <c r="D120" s="14">
        <v>42045</v>
      </c>
      <c r="E120">
        <f t="shared" si="3"/>
        <v>2</v>
      </c>
    </row>
    <row r="121" spans="1:5" x14ac:dyDescent="0.35">
      <c r="A121" s="10">
        <v>126</v>
      </c>
      <c r="B121" s="11">
        <v>122</v>
      </c>
      <c r="C121" s="12">
        <v>39</v>
      </c>
      <c r="D121" s="14">
        <v>42046</v>
      </c>
      <c r="E121">
        <f t="shared" si="3"/>
        <v>2</v>
      </c>
    </row>
    <row r="122" spans="1:5" x14ac:dyDescent="0.35">
      <c r="A122" s="7">
        <v>96</v>
      </c>
      <c r="B122" s="8">
        <v>113</v>
      </c>
      <c r="C122" s="9">
        <v>28</v>
      </c>
      <c r="D122" s="14">
        <v>42047</v>
      </c>
      <c r="E122">
        <f t="shared" si="3"/>
        <v>2</v>
      </c>
    </row>
    <row r="123" spans="1:5" x14ac:dyDescent="0.35">
      <c r="A123" s="10">
        <v>165</v>
      </c>
      <c r="B123" s="11">
        <v>4</v>
      </c>
      <c r="C123" s="12">
        <v>83</v>
      </c>
      <c r="D123" s="14">
        <v>42048</v>
      </c>
      <c r="E123">
        <f t="shared" si="3"/>
        <v>2</v>
      </c>
    </row>
    <row r="124" spans="1:5" x14ac:dyDescent="0.35">
      <c r="A124" s="7">
        <v>1</v>
      </c>
      <c r="B124" s="8">
        <v>117</v>
      </c>
      <c r="C124" s="9">
        <v>76</v>
      </c>
      <c r="D124" s="14">
        <v>42049</v>
      </c>
      <c r="E124">
        <f t="shared" si="3"/>
        <v>2</v>
      </c>
    </row>
    <row r="125" spans="1:5" x14ac:dyDescent="0.35">
      <c r="A125" s="10">
        <v>107</v>
      </c>
      <c r="B125" s="11">
        <v>70</v>
      </c>
      <c r="C125" s="12">
        <v>28</v>
      </c>
      <c r="D125" s="14">
        <v>42050</v>
      </c>
      <c r="E125">
        <f t="shared" si="3"/>
        <v>2</v>
      </c>
    </row>
    <row r="126" spans="1:5" x14ac:dyDescent="0.35">
      <c r="A126" s="7">
        <v>83</v>
      </c>
      <c r="B126" s="8">
        <v>81</v>
      </c>
      <c r="C126" s="9">
        <v>1</v>
      </c>
      <c r="D126" s="14">
        <v>42051</v>
      </c>
      <c r="E126">
        <f t="shared" si="3"/>
        <v>2</v>
      </c>
    </row>
    <row r="127" spans="1:5" x14ac:dyDescent="0.35">
      <c r="A127" s="10">
        <v>43</v>
      </c>
      <c r="B127" s="11">
        <v>109</v>
      </c>
      <c r="C127" s="12">
        <v>50</v>
      </c>
      <c r="D127" s="14">
        <v>42052</v>
      </c>
      <c r="E127">
        <f t="shared" si="3"/>
        <v>2</v>
      </c>
    </row>
    <row r="128" spans="1:5" x14ac:dyDescent="0.35">
      <c r="A128" s="7">
        <v>52</v>
      </c>
      <c r="B128" s="8">
        <v>110</v>
      </c>
      <c r="C128" s="9">
        <v>19</v>
      </c>
      <c r="D128" s="14">
        <v>42053</v>
      </c>
      <c r="E128">
        <f t="shared" si="3"/>
        <v>2</v>
      </c>
    </row>
    <row r="129" spans="1:5" x14ac:dyDescent="0.35">
      <c r="A129" s="10">
        <v>104</v>
      </c>
      <c r="B129" s="11">
        <v>132</v>
      </c>
      <c r="C129" s="12">
        <v>57</v>
      </c>
      <c r="D129" s="14">
        <v>42054</v>
      </c>
      <c r="E129">
        <f t="shared" si="3"/>
        <v>2</v>
      </c>
    </row>
    <row r="130" spans="1:5" x14ac:dyDescent="0.35">
      <c r="A130" s="7">
        <v>57</v>
      </c>
      <c r="B130" s="8">
        <v>150</v>
      </c>
      <c r="C130" s="9">
        <v>36</v>
      </c>
      <c r="D130" s="14">
        <v>42055</v>
      </c>
      <c r="E130">
        <f t="shared" si="3"/>
        <v>2</v>
      </c>
    </row>
    <row r="131" spans="1:5" x14ac:dyDescent="0.35">
      <c r="A131" s="10">
        <v>86</v>
      </c>
      <c r="B131" s="11">
        <v>183</v>
      </c>
      <c r="C131" s="12">
        <v>0</v>
      </c>
      <c r="D131" s="14">
        <v>42056</v>
      </c>
      <c r="E131">
        <f t="shared" ref="E131:E184" si="4">MONTH(D131)</f>
        <v>2</v>
      </c>
    </row>
    <row r="132" spans="1:5" x14ac:dyDescent="0.35">
      <c r="A132" s="7">
        <v>108</v>
      </c>
      <c r="B132" s="8">
        <v>20</v>
      </c>
      <c r="C132" s="9">
        <v>87</v>
      </c>
      <c r="D132" s="14">
        <v>42057</v>
      </c>
      <c r="E132">
        <f t="shared" si="4"/>
        <v>2</v>
      </c>
    </row>
    <row r="133" spans="1:5" x14ac:dyDescent="0.35">
      <c r="A133" s="10">
        <v>102</v>
      </c>
      <c r="B133" s="11">
        <v>142</v>
      </c>
      <c r="C133" s="12">
        <v>20</v>
      </c>
      <c r="D133" s="14">
        <v>42058</v>
      </c>
      <c r="E133">
        <f t="shared" si="4"/>
        <v>2</v>
      </c>
    </row>
    <row r="134" spans="1:5" x14ac:dyDescent="0.35">
      <c r="A134" s="7">
        <v>81</v>
      </c>
      <c r="B134" s="8">
        <v>133</v>
      </c>
      <c r="C134" s="9">
        <v>25</v>
      </c>
      <c r="D134" s="14">
        <v>42059</v>
      </c>
      <c r="E134">
        <f t="shared" si="4"/>
        <v>2</v>
      </c>
    </row>
    <row r="135" spans="1:5" x14ac:dyDescent="0.35">
      <c r="A135" s="10">
        <v>59</v>
      </c>
      <c r="B135" s="11">
        <v>87</v>
      </c>
      <c r="C135" s="12">
        <v>10</v>
      </c>
      <c r="D135" s="14">
        <v>42060</v>
      </c>
      <c r="E135">
        <f t="shared" si="4"/>
        <v>2</v>
      </c>
    </row>
    <row r="136" spans="1:5" x14ac:dyDescent="0.35">
      <c r="A136" s="7">
        <v>21</v>
      </c>
      <c r="B136" s="8">
        <v>75</v>
      </c>
      <c r="C136" s="9">
        <v>65</v>
      </c>
      <c r="D136" s="14">
        <v>42061</v>
      </c>
      <c r="E136">
        <f t="shared" si="4"/>
        <v>2</v>
      </c>
    </row>
    <row r="137" spans="1:5" x14ac:dyDescent="0.35">
      <c r="A137" s="10">
        <v>79</v>
      </c>
      <c r="B137" s="11">
        <v>14</v>
      </c>
      <c r="C137" s="12">
        <v>27</v>
      </c>
      <c r="D137" s="14">
        <v>42062</v>
      </c>
      <c r="E137">
        <f t="shared" si="4"/>
        <v>2</v>
      </c>
    </row>
    <row r="138" spans="1:5" x14ac:dyDescent="0.35">
      <c r="A138" s="7">
        <v>56</v>
      </c>
      <c r="B138" s="8">
        <v>12</v>
      </c>
      <c r="C138" s="9">
        <v>25</v>
      </c>
      <c r="D138" s="14">
        <v>42063</v>
      </c>
      <c r="E138">
        <f t="shared" si="4"/>
        <v>2</v>
      </c>
    </row>
    <row r="139" spans="1:5" x14ac:dyDescent="0.35">
      <c r="A139" s="10">
        <v>195</v>
      </c>
      <c r="B139" s="11">
        <v>90</v>
      </c>
      <c r="C139" s="12">
        <v>56</v>
      </c>
      <c r="D139" s="14">
        <v>42064</v>
      </c>
      <c r="E139">
        <f t="shared" si="4"/>
        <v>3</v>
      </c>
    </row>
    <row r="140" spans="1:5" x14ac:dyDescent="0.35">
      <c r="A140" s="7">
        <v>113</v>
      </c>
      <c r="B140" s="8">
        <v>90</v>
      </c>
      <c r="C140" s="9">
        <v>24</v>
      </c>
      <c r="D140" s="14">
        <v>42065</v>
      </c>
      <c r="E140">
        <f t="shared" si="4"/>
        <v>3</v>
      </c>
    </row>
    <row r="141" spans="1:5" x14ac:dyDescent="0.35">
      <c r="A141" s="10">
        <v>93</v>
      </c>
      <c r="B141" s="11">
        <v>139</v>
      </c>
      <c r="C141" s="12">
        <v>47</v>
      </c>
      <c r="D141" s="14">
        <v>42066</v>
      </c>
      <c r="E141">
        <f t="shared" si="4"/>
        <v>3</v>
      </c>
    </row>
    <row r="142" spans="1:5" x14ac:dyDescent="0.35">
      <c r="A142" s="7">
        <v>93</v>
      </c>
      <c r="B142" s="8">
        <v>147</v>
      </c>
      <c r="C142" s="9">
        <v>26</v>
      </c>
      <c r="D142" s="14">
        <v>42067</v>
      </c>
      <c r="E142">
        <f t="shared" si="4"/>
        <v>3</v>
      </c>
    </row>
    <row r="143" spans="1:5" x14ac:dyDescent="0.35">
      <c r="A143" s="10">
        <v>79</v>
      </c>
      <c r="B143" s="11">
        <v>145</v>
      </c>
      <c r="C143" s="12">
        <v>36</v>
      </c>
      <c r="D143" s="14">
        <v>42068</v>
      </c>
      <c r="E143">
        <f t="shared" si="4"/>
        <v>3</v>
      </c>
    </row>
    <row r="144" spans="1:5" x14ac:dyDescent="0.35">
      <c r="A144" s="7">
        <v>148</v>
      </c>
      <c r="B144" s="8">
        <v>127</v>
      </c>
      <c r="C144" s="9">
        <v>27</v>
      </c>
      <c r="D144" s="14">
        <v>42069</v>
      </c>
      <c r="E144">
        <f t="shared" si="4"/>
        <v>3</v>
      </c>
    </row>
    <row r="145" spans="1:5" x14ac:dyDescent="0.35">
      <c r="A145" s="10">
        <v>132</v>
      </c>
      <c r="B145" s="11">
        <v>128</v>
      </c>
      <c r="C145" s="12">
        <v>37</v>
      </c>
      <c r="D145" s="14">
        <v>42070</v>
      </c>
      <c r="E145">
        <f t="shared" si="4"/>
        <v>3</v>
      </c>
    </row>
    <row r="146" spans="1:5" x14ac:dyDescent="0.35">
      <c r="A146" s="7">
        <v>22</v>
      </c>
      <c r="B146" s="8">
        <v>115</v>
      </c>
      <c r="C146" s="9">
        <v>28</v>
      </c>
      <c r="D146" s="14">
        <v>42071</v>
      </c>
      <c r="E146">
        <f t="shared" si="4"/>
        <v>3</v>
      </c>
    </row>
    <row r="147" spans="1:5" x14ac:dyDescent="0.35">
      <c r="A147" s="10">
        <v>50</v>
      </c>
      <c r="B147" s="11">
        <v>99</v>
      </c>
      <c r="C147" s="12">
        <v>78</v>
      </c>
      <c r="D147" s="14">
        <v>42072</v>
      </c>
      <c r="E147">
        <f t="shared" si="4"/>
        <v>3</v>
      </c>
    </row>
    <row r="148" spans="1:5" x14ac:dyDescent="0.35">
      <c r="A148" s="7">
        <v>178</v>
      </c>
      <c r="B148" s="8">
        <v>146</v>
      </c>
      <c r="C148" s="9">
        <v>75</v>
      </c>
      <c r="D148" s="14">
        <v>42073</v>
      </c>
      <c r="E148">
        <f t="shared" si="4"/>
        <v>3</v>
      </c>
    </row>
    <row r="149" spans="1:5" x14ac:dyDescent="0.35">
      <c r="A149" s="10">
        <v>97</v>
      </c>
      <c r="B149" s="11">
        <v>135</v>
      </c>
      <c r="C149" s="12">
        <v>66</v>
      </c>
      <c r="D149" s="14">
        <v>42074</v>
      </c>
      <c r="E149">
        <f t="shared" si="4"/>
        <v>3</v>
      </c>
    </row>
    <row r="150" spans="1:5" x14ac:dyDescent="0.35">
      <c r="A150" s="7">
        <v>138</v>
      </c>
      <c r="B150" s="8">
        <v>160</v>
      </c>
      <c r="C150" s="9">
        <v>6</v>
      </c>
      <c r="D150" s="14">
        <v>42075</v>
      </c>
      <c r="E150">
        <f t="shared" si="4"/>
        <v>3</v>
      </c>
    </row>
    <row r="151" spans="1:5" x14ac:dyDescent="0.35">
      <c r="A151" s="10">
        <v>194</v>
      </c>
      <c r="B151" s="11">
        <v>87</v>
      </c>
      <c r="C151" s="12">
        <v>60</v>
      </c>
      <c r="D151" s="14">
        <v>42076</v>
      </c>
      <c r="E151">
        <f t="shared" si="4"/>
        <v>3</v>
      </c>
    </row>
    <row r="152" spans="1:5" x14ac:dyDescent="0.35">
      <c r="A152" s="7">
        <v>86</v>
      </c>
      <c r="B152" s="8">
        <v>21</v>
      </c>
      <c r="C152" s="9">
        <v>45</v>
      </c>
      <c r="D152" s="14">
        <v>42077</v>
      </c>
      <c r="E152">
        <f t="shared" si="4"/>
        <v>3</v>
      </c>
    </row>
    <row r="153" spans="1:5" x14ac:dyDescent="0.35">
      <c r="A153" s="10">
        <v>26</v>
      </c>
      <c r="B153" s="11">
        <v>60</v>
      </c>
      <c r="C153" s="12">
        <v>44</v>
      </c>
      <c r="D153" s="14">
        <v>42078</v>
      </c>
      <c r="E153">
        <f t="shared" si="4"/>
        <v>3</v>
      </c>
    </row>
    <row r="154" spans="1:5" x14ac:dyDescent="0.35">
      <c r="A154" s="7">
        <v>28</v>
      </c>
      <c r="B154" s="8">
        <v>35</v>
      </c>
      <c r="C154" s="9">
        <v>96</v>
      </c>
      <c r="D154" s="14">
        <v>42079</v>
      </c>
      <c r="E154">
        <f t="shared" si="4"/>
        <v>3</v>
      </c>
    </row>
    <row r="155" spans="1:5" x14ac:dyDescent="0.35">
      <c r="A155" s="10">
        <v>53</v>
      </c>
      <c r="B155" s="11">
        <v>100</v>
      </c>
      <c r="C155" s="12">
        <v>64</v>
      </c>
      <c r="D155" s="14">
        <v>42080</v>
      </c>
      <c r="E155">
        <f t="shared" si="4"/>
        <v>3</v>
      </c>
    </row>
    <row r="156" spans="1:5" x14ac:dyDescent="0.35">
      <c r="A156" s="7">
        <v>168</v>
      </c>
      <c r="B156" s="8">
        <v>64</v>
      </c>
      <c r="C156" s="9">
        <v>46</v>
      </c>
      <c r="D156" s="14">
        <v>42081</v>
      </c>
      <c r="E156">
        <f t="shared" si="4"/>
        <v>3</v>
      </c>
    </row>
    <row r="157" spans="1:5" x14ac:dyDescent="0.35">
      <c r="A157" s="10">
        <v>77</v>
      </c>
      <c r="B157" s="11">
        <v>60</v>
      </c>
      <c r="C157" s="12">
        <v>35</v>
      </c>
      <c r="D157" s="14">
        <v>42082</v>
      </c>
      <c r="E157">
        <f t="shared" si="4"/>
        <v>3</v>
      </c>
    </row>
    <row r="158" spans="1:5" x14ac:dyDescent="0.35">
      <c r="A158" s="7">
        <v>17</v>
      </c>
      <c r="B158" s="8">
        <v>80</v>
      </c>
      <c r="C158" s="9">
        <v>30</v>
      </c>
      <c r="D158" s="14">
        <v>42083</v>
      </c>
      <c r="E158">
        <f t="shared" si="4"/>
        <v>3</v>
      </c>
    </row>
    <row r="159" spans="1:5" x14ac:dyDescent="0.35">
      <c r="A159" s="10">
        <v>175</v>
      </c>
      <c r="B159" s="11">
        <v>47</v>
      </c>
      <c r="C159" s="12">
        <v>25</v>
      </c>
      <c r="D159" s="14">
        <v>42084</v>
      </c>
      <c r="E159">
        <f t="shared" si="4"/>
        <v>3</v>
      </c>
    </row>
    <row r="160" spans="1:5" x14ac:dyDescent="0.35">
      <c r="A160" s="7">
        <v>164</v>
      </c>
      <c r="B160" s="8">
        <v>60</v>
      </c>
      <c r="C160" s="9">
        <v>22</v>
      </c>
      <c r="D160" s="14">
        <v>42085</v>
      </c>
      <c r="E160">
        <f t="shared" si="4"/>
        <v>3</v>
      </c>
    </row>
    <row r="161" spans="1:5" x14ac:dyDescent="0.35">
      <c r="A161" s="10">
        <v>199</v>
      </c>
      <c r="B161" s="11">
        <v>80</v>
      </c>
      <c r="C161" s="12">
        <v>45</v>
      </c>
      <c r="D161" s="14">
        <v>42086</v>
      </c>
      <c r="E161">
        <f t="shared" si="4"/>
        <v>3</v>
      </c>
    </row>
    <row r="162" spans="1:5" x14ac:dyDescent="0.35">
      <c r="A162" s="7">
        <v>111</v>
      </c>
      <c r="B162" s="8">
        <v>92</v>
      </c>
      <c r="C162" s="9">
        <v>45</v>
      </c>
      <c r="D162" s="14">
        <v>42087</v>
      </c>
      <c r="E162">
        <f t="shared" si="4"/>
        <v>3</v>
      </c>
    </row>
    <row r="163" spans="1:5" x14ac:dyDescent="0.35">
      <c r="A163" s="10">
        <v>58</v>
      </c>
      <c r="B163" s="11">
        <v>90</v>
      </c>
      <c r="C163" s="12">
        <v>40</v>
      </c>
      <c r="D163" s="14">
        <v>42088</v>
      </c>
      <c r="E163">
        <f t="shared" si="4"/>
        <v>3</v>
      </c>
    </row>
    <row r="164" spans="1:5" x14ac:dyDescent="0.35">
      <c r="A164" s="7">
        <v>59</v>
      </c>
      <c r="B164" s="8">
        <v>164</v>
      </c>
      <c r="C164" s="9">
        <v>47</v>
      </c>
      <c r="D164" s="14">
        <v>42089</v>
      </c>
      <c r="E164">
        <f t="shared" si="4"/>
        <v>3</v>
      </c>
    </row>
    <row r="165" spans="1:5" x14ac:dyDescent="0.35">
      <c r="A165" s="10">
        <v>158</v>
      </c>
      <c r="B165" s="11">
        <v>120</v>
      </c>
      <c r="C165" s="12">
        <v>30</v>
      </c>
      <c r="D165" s="14">
        <v>42090</v>
      </c>
      <c r="E165">
        <f t="shared" si="4"/>
        <v>3</v>
      </c>
    </row>
    <row r="166" spans="1:5" x14ac:dyDescent="0.35">
      <c r="A166" s="7">
        <v>84</v>
      </c>
      <c r="B166" s="8">
        <v>90</v>
      </c>
      <c r="C166" s="9">
        <v>30</v>
      </c>
      <c r="D166" s="14">
        <v>42091</v>
      </c>
      <c r="E166">
        <f t="shared" si="4"/>
        <v>3</v>
      </c>
    </row>
    <row r="167" spans="1:5" x14ac:dyDescent="0.35">
      <c r="A167" s="10">
        <v>64</v>
      </c>
      <c r="B167" s="11">
        <v>61</v>
      </c>
      <c r="C167" s="12">
        <v>60</v>
      </c>
      <c r="D167" s="14">
        <v>42092</v>
      </c>
      <c r="E167">
        <f t="shared" si="4"/>
        <v>3</v>
      </c>
    </row>
    <row r="168" spans="1:5" x14ac:dyDescent="0.35">
      <c r="A168" s="7">
        <v>125</v>
      </c>
      <c r="B168" s="8">
        <v>84</v>
      </c>
      <c r="C168" s="9">
        <v>40</v>
      </c>
      <c r="D168" s="14">
        <v>42093</v>
      </c>
      <c r="E168">
        <f t="shared" si="4"/>
        <v>3</v>
      </c>
    </row>
    <row r="169" spans="1:5" x14ac:dyDescent="0.35">
      <c r="A169" s="10">
        <v>148</v>
      </c>
      <c r="B169" s="11">
        <v>110</v>
      </c>
      <c r="C169" s="12">
        <v>50</v>
      </c>
      <c r="D169" s="14">
        <v>42094</v>
      </c>
      <c r="E169">
        <f t="shared" si="4"/>
        <v>3</v>
      </c>
    </row>
    <row r="170" spans="1:5" x14ac:dyDescent="0.35">
      <c r="A170" s="7">
        <v>172</v>
      </c>
      <c r="B170" s="8">
        <v>100</v>
      </c>
      <c r="C170" s="9">
        <v>30</v>
      </c>
      <c r="D170" s="14">
        <v>42095</v>
      </c>
      <c r="E170">
        <f t="shared" si="4"/>
        <v>4</v>
      </c>
    </row>
    <row r="171" spans="1:5" x14ac:dyDescent="0.35">
      <c r="A171" s="10">
        <v>103</v>
      </c>
      <c r="B171" s="11">
        <v>60</v>
      </c>
      <c r="C171" s="12">
        <v>40</v>
      </c>
      <c r="D171" s="14">
        <v>42096</v>
      </c>
      <c r="E171">
        <f t="shared" si="4"/>
        <v>4</v>
      </c>
    </row>
    <row r="172" spans="1:5" x14ac:dyDescent="0.35">
      <c r="A172" s="7">
        <v>191</v>
      </c>
      <c r="B172" s="8">
        <v>41</v>
      </c>
      <c r="C172" s="9">
        <v>52</v>
      </c>
      <c r="D172" s="14">
        <v>42097</v>
      </c>
      <c r="E172">
        <f t="shared" si="4"/>
        <v>4</v>
      </c>
    </row>
    <row r="173" spans="1:5" x14ac:dyDescent="0.35">
      <c r="A173" s="10">
        <v>128</v>
      </c>
      <c r="B173" s="11">
        <v>98</v>
      </c>
      <c r="C173" s="12">
        <v>40</v>
      </c>
      <c r="D173" s="14">
        <v>42098</v>
      </c>
      <c r="E173">
        <f t="shared" si="4"/>
        <v>4</v>
      </c>
    </row>
    <row r="174" spans="1:5" x14ac:dyDescent="0.35">
      <c r="A174" s="7">
        <v>75</v>
      </c>
      <c r="B174" s="8">
        <v>87</v>
      </c>
      <c r="C174" s="9">
        <v>47</v>
      </c>
      <c r="D174" s="14">
        <v>42099</v>
      </c>
      <c r="E174">
        <f t="shared" si="4"/>
        <v>4</v>
      </c>
    </row>
    <row r="175" spans="1:5" x14ac:dyDescent="0.35">
      <c r="A175" s="10">
        <v>38</v>
      </c>
      <c r="B175" s="11">
        <v>100</v>
      </c>
      <c r="C175" s="12">
        <v>50</v>
      </c>
      <c r="D175" s="14">
        <v>42100</v>
      </c>
      <c r="E175">
        <f t="shared" si="4"/>
        <v>4</v>
      </c>
    </row>
    <row r="176" spans="1:5" x14ac:dyDescent="0.35">
      <c r="A176" s="7">
        <v>80</v>
      </c>
      <c r="B176" s="8">
        <v>40</v>
      </c>
      <c r="C176" s="9">
        <v>30</v>
      </c>
      <c r="D176" s="14">
        <v>42101</v>
      </c>
      <c r="E176">
        <f t="shared" si="4"/>
        <v>4</v>
      </c>
    </row>
    <row r="177" spans="1:5" x14ac:dyDescent="0.35">
      <c r="A177" s="10">
        <v>55</v>
      </c>
      <c r="B177" s="11">
        <v>60</v>
      </c>
      <c r="C177" s="12">
        <v>50</v>
      </c>
      <c r="D177" s="14">
        <v>42102</v>
      </c>
      <c r="E177">
        <f t="shared" si="4"/>
        <v>4</v>
      </c>
    </row>
    <row r="178" spans="1:5" x14ac:dyDescent="0.35">
      <c r="A178" s="7">
        <v>10</v>
      </c>
      <c r="B178" s="8">
        <v>80</v>
      </c>
      <c r="C178" s="9">
        <v>48</v>
      </c>
      <c r="D178" s="14">
        <v>42103</v>
      </c>
      <c r="E178">
        <f t="shared" si="4"/>
        <v>4</v>
      </c>
    </row>
    <row r="179" spans="1:5" x14ac:dyDescent="0.35">
      <c r="A179" s="10">
        <v>95</v>
      </c>
      <c r="B179" s="11">
        <v>60</v>
      </c>
      <c r="C179" s="12">
        <v>51</v>
      </c>
      <c r="D179" s="14">
        <v>42104</v>
      </c>
      <c r="E179">
        <f t="shared" si="4"/>
        <v>4</v>
      </c>
    </row>
    <row r="180" spans="1:5" x14ac:dyDescent="0.35">
      <c r="A180" s="7">
        <v>90</v>
      </c>
      <c r="B180" s="8">
        <v>100</v>
      </c>
      <c r="C180" s="9">
        <v>50</v>
      </c>
      <c r="D180" s="14">
        <v>42105</v>
      </c>
      <c r="E180">
        <f t="shared" si="4"/>
        <v>4</v>
      </c>
    </row>
    <row r="181" spans="1:5" x14ac:dyDescent="0.35">
      <c r="A181" s="10">
        <v>186</v>
      </c>
      <c r="B181" s="11">
        <v>60</v>
      </c>
      <c r="C181" s="12">
        <v>92</v>
      </c>
      <c r="D181" s="14">
        <v>42106</v>
      </c>
      <c r="E181">
        <f t="shared" si="4"/>
        <v>4</v>
      </c>
    </row>
    <row r="182" spans="1:5" x14ac:dyDescent="0.35">
      <c r="A182" s="7">
        <v>2</v>
      </c>
      <c r="B182" s="8">
        <v>40</v>
      </c>
      <c r="C182" s="9">
        <v>50</v>
      </c>
      <c r="D182" s="14">
        <v>42107</v>
      </c>
      <c r="E182">
        <f t="shared" si="4"/>
        <v>4</v>
      </c>
    </row>
    <row r="183" spans="1:5" x14ac:dyDescent="0.35">
      <c r="A183" s="10">
        <v>136</v>
      </c>
      <c r="B183" s="11">
        <v>20</v>
      </c>
      <c r="C183" s="12">
        <v>66</v>
      </c>
      <c r="D183" s="14">
        <v>42108</v>
      </c>
      <c r="E183">
        <f t="shared" si="4"/>
        <v>4</v>
      </c>
    </row>
    <row r="184" spans="1:5" x14ac:dyDescent="0.35">
      <c r="A184" s="1">
        <v>4</v>
      </c>
      <c r="B184" s="2">
        <v>20</v>
      </c>
      <c r="C184" s="3">
        <v>10</v>
      </c>
      <c r="D184" s="14">
        <v>42109</v>
      </c>
      <c r="E184">
        <f t="shared" si="4"/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EB07-9DAD-4EE3-B312-1CB2A91ADDEC}">
  <dimension ref="A1:K184"/>
  <sheetViews>
    <sheetView topLeftCell="A10" workbookViewId="0">
      <selection activeCell="J21" sqref="J21"/>
    </sheetView>
  </sheetViews>
  <sheetFormatPr defaultRowHeight="14.5" x14ac:dyDescent="0.35"/>
  <cols>
    <col min="1" max="1" width="14.1796875" bestFit="1" customWidth="1"/>
    <col min="2" max="2" width="14.54296875" bestFit="1" customWidth="1"/>
    <col min="3" max="3" width="12.08984375" bestFit="1" customWidth="1"/>
    <col min="4" max="4" width="9.90625" bestFit="1" customWidth="1"/>
    <col min="5" max="5" width="7" bestFit="1" customWidth="1"/>
    <col min="6" max="6" width="30.26953125" bestFit="1" customWidth="1"/>
    <col min="7" max="7" width="15.1796875" bestFit="1" customWidth="1"/>
    <col min="8" max="8" width="19" bestFit="1" customWidth="1"/>
    <col min="9" max="9" width="22.36328125" bestFit="1" customWidth="1"/>
    <col min="10" max="10" width="18.81640625" bestFit="1" customWidth="1"/>
  </cols>
  <sheetData>
    <row r="1" spans="1:10" x14ac:dyDescent="0.35">
      <c r="A1" s="4" t="s">
        <v>0</v>
      </c>
      <c r="B1" s="5" t="s">
        <v>1</v>
      </c>
      <c r="C1" s="6" t="s">
        <v>2</v>
      </c>
      <c r="D1" s="13" t="s">
        <v>3</v>
      </c>
      <c r="E1" s="13" t="s">
        <v>4</v>
      </c>
      <c r="F1" s="13"/>
    </row>
    <row r="2" spans="1:10" x14ac:dyDescent="0.35">
      <c r="A2" s="7">
        <v>200</v>
      </c>
      <c r="B2" s="8">
        <v>120</v>
      </c>
      <c r="C2" s="9">
        <v>81</v>
      </c>
      <c r="D2" s="14">
        <v>41927</v>
      </c>
      <c r="E2">
        <f>MONTH(D2)</f>
        <v>10</v>
      </c>
      <c r="F2" s="15"/>
    </row>
    <row r="3" spans="1:10" x14ac:dyDescent="0.35">
      <c r="A3" s="10">
        <v>100</v>
      </c>
      <c r="B3" s="11">
        <v>135</v>
      </c>
      <c r="C3" s="12">
        <v>33</v>
      </c>
      <c r="D3" s="14">
        <v>41928</v>
      </c>
      <c r="E3">
        <f t="shared" ref="E3:E66" si="0">MONTH(D3)</f>
        <v>10</v>
      </c>
    </row>
    <row r="4" spans="1:10" x14ac:dyDescent="0.35">
      <c r="A4" s="7">
        <v>50</v>
      </c>
      <c r="B4" s="8">
        <v>29</v>
      </c>
      <c r="C4" s="9">
        <v>85</v>
      </c>
      <c r="D4" s="14">
        <v>41929</v>
      </c>
      <c r="E4">
        <f t="shared" si="0"/>
        <v>10</v>
      </c>
    </row>
    <row r="5" spans="1:10" x14ac:dyDescent="0.35">
      <c r="A5" s="10">
        <v>68</v>
      </c>
      <c r="B5" s="11">
        <v>107</v>
      </c>
      <c r="C5" s="12">
        <v>84</v>
      </c>
      <c r="D5" s="14">
        <v>41930</v>
      </c>
      <c r="E5">
        <f t="shared" si="0"/>
        <v>10</v>
      </c>
    </row>
    <row r="6" spans="1:10" x14ac:dyDescent="0.35">
      <c r="A6" s="7">
        <v>75</v>
      </c>
      <c r="B6" s="8">
        <v>49</v>
      </c>
      <c r="C6" s="9">
        <v>23</v>
      </c>
      <c r="D6" s="14">
        <v>41931</v>
      </c>
      <c r="E6">
        <f t="shared" si="0"/>
        <v>10</v>
      </c>
    </row>
    <row r="7" spans="1:10" x14ac:dyDescent="0.35">
      <c r="A7" s="10">
        <v>109</v>
      </c>
      <c r="B7" s="11">
        <v>90</v>
      </c>
      <c r="C7" s="12">
        <v>48</v>
      </c>
      <c r="D7" s="14">
        <v>41932</v>
      </c>
      <c r="E7">
        <f t="shared" si="0"/>
        <v>10</v>
      </c>
    </row>
    <row r="8" spans="1:10" x14ac:dyDescent="0.35">
      <c r="A8" s="7">
        <v>161</v>
      </c>
      <c r="B8" s="8">
        <v>2</v>
      </c>
      <c r="C8" s="9">
        <v>16</v>
      </c>
      <c r="D8" s="14">
        <v>41933</v>
      </c>
      <c r="E8">
        <f t="shared" si="0"/>
        <v>10</v>
      </c>
    </row>
    <row r="9" spans="1:10" x14ac:dyDescent="0.35">
      <c r="A9" s="10">
        <v>97</v>
      </c>
      <c r="B9" s="11">
        <v>129</v>
      </c>
      <c r="C9" s="12">
        <v>43</v>
      </c>
      <c r="D9" s="14">
        <v>41934</v>
      </c>
      <c r="E9">
        <f t="shared" si="0"/>
        <v>10</v>
      </c>
      <c r="H9" t="s">
        <v>5</v>
      </c>
      <c r="I9" t="s">
        <v>6</v>
      </c>
      <c r="J9" t="s">
        <v>7</v>
      </c>
    </row>
    <row r="10" spans="1:10" x14ac:dyDescent="0.35">
      <c r="A10" s="7">
        <v>25</v>
      </c>
      <c r="B10" s="8">
        <v>186</v>
      </c>
      <c r="C10" s="9">
        <v>4</v>
      </c>
      <c r="D10" s="14">
        <v>41935</v>
      </c>
      <c r="E10">
        <f t="shared" si="0"/>
        <v>10</v>
      </c>
      <c r="G10" s="13">
        <v>10</v>
      </c>
      <c r="H10">
        <f t="shared" ref="H10:J16" si="1">SUMIF($E$2:$E$184, $G10, A$2:A$184)</f>
        <v>1742</v>
      </c>
      <c r="I10">
        <f t="shared" si="1"/>
        <v>1658</v>
      </c>
      <c r="J10">
        <f t="shared" si="1"/>
        <v>915</v>
      </c>
    </row>
    <row r="11" spans="1:10" x14ac:dyDescent="0.35">
      <c r="A11" s="10">
        <v>113</v>
      </c>
      <c r="B11" s="11">
        <v>97</v>
      </c>
      <c r="C11" s="12">
        <v>97</v>
      </c>
      <c r="D11" s="14">
        <v>41936</v>
      </c>
      <c r="E11">
        <f t="shared" si="0"/>
        <v>10</v>
      </c>
      <c r="G11" s="15">
        <v>11</v>
      </c>
      <c r="H11">
        <f t="shared" si="1"/>
        <v>2756</v>
      </c>
      <c r="I11">
        <f t="shared" si="1"/>
        <v>2884</v>
      </c>
      <c r="J11">
        <f t="shared" si="1"/>
        <v>1750</v>
      </c>
    </row>
    <row r="12" spans="1:10" x14ac:dyDescent="0.35">
      <c r="A12" s="7">
        <v>70</v>
      </c>
      <c r="B12" s="8">
        <v>12</v>
      </c>
      <c r="C12" s="9">
        <v>53</v>
      </c>
      <c r="D12" s="14">
        <v>41937</v>
      </c>
      <c r="E12">
        <f t="shared" si="0"/>
        <v>10</v>
      </c>
      <c r="G12">
        <v>12</v>
      </c>
      <c r="H12">
        <f t="shared" si="1"/>
        <v>2696</v>
      </c>
      <c r="I12">
        <f t="shared" si="1"/>
        <v>2749</v>
      </c>
      <c r="J12">
        <f t="shared" si="1"/>
        <v>1586</v>
      </c>
    </row>
    <row r="13" spans="1:10" x14ac:dyDescent="0.35">
      <c r="A13" s="10">
        <v>117</v>
      </c>
      <c r="B13" s="11">
        <v>142</v>
      </c>
      <c r="C13" s="12">
        <v>90</v>
      </c>
      <c r="D13" s="14">
        <v>41938</v>
      </c>
      <c r="E13">
        <f t="shared" si="0"/>
        <v>10</v>
      </c>
      <c r="G13">
        <v>1</v>
      </c>
      <c r="H13">
        <f t="shared" si="1"/>
        <v>2990</v>
      </c>
      <c r="I13">
        <f t="shared" si="1"/>
        <v>2870</v>
      </c>
      <c r="J13">
        <f t="shared" si="1"/>
        <v>1646</v>
      </c>
    </row>
    <row r="14" spans="1:10" x14ac:dyDescent="0.35">
      <c r="A14" s="7">
        <v>189</v>
      </c>
      <c r="B14" s="8">
        <v>28</v>
      </c>
      <c r="C14" s="9">
        <v>43</v>
      </c>
      <c r="D14" s="14">
        <v>41939</v>
      </c>
      <c r="E14">
        <f t="shared" si="0"/>
        <v>10</v>
      </c>
      <c r="G14">
        <v>2</v>
      </c>
      <c r="H14">
        <f t="shared" si="1"/>
        <v>2579</v>
      </c>
      <c r="I14">
        <f t="shared" si="1"/>
        <v>2651</v>
      </c>
      <c r="J14">
        <f t="shared" si="1"/>
        <v>1252</v>
      </c>
    </row>
    <row r="15" spans="1:10" x14ac:dyDescent="0.35">
      <c r="A15" s="10">
        <v>140</v>
      </c>
      <c r="B15" s="11">
        <v>191</v>
      </c>
      <c r="C15" s="12">
        <v>40</v>
      </c>
      <c r="D15" s="14">
        <v>41940</v>
      </c>
      <c r="E15">
        <f t="shared" si="0"/>
        <v>10</v>
      </c>
      <c r="G15">
        <v>3</v>
      </c>
      <c r="H15">
        <f t="shared" si="1"/>
        <v>3332</v>
      </c>
      <c r="I15">
        <f t="shared" si="1"/>
        <v>3026</v>
      </c>
      <c r="J15">
        <f t="shared" si="1"/>
        <v>1360</v>
      </c>
    </row>
    <row r="16" spans="1:10" x14ac:dyDescent="0.35">
      <c r="A16" s="7">
        <v>167</v>
      </c>
      <c r="B16" s="8">
        <v>48</v>
      </c>
      <c r="C16" s="9">
        <v>30</v>
      </c>
      <c r="D16" s="14">
        <v>41941</v>
      </c>
      <c r="E16">
        <f t="shared" si="0"/>
        <v>10</v>
      </c>
      <c r="G16">
        <v>4</v>
      </c>
      <c r="H16">
        <f t="shared" si="1"/>
        <v>1365</v>
      </c>
      <c r="I16">
        <f t="shared" si="1"/>
        <v>966</v>
      </c>
      <c r="J16">
        <f t="shared" si="1"/>
        <v>706</v>
      </c>
    </row>
    <row r="17" spans="1:11" x14ac:dyDescent="0.35">
      <c r="A17" s="10">
        <v>0</v>
      </c>
      <c r="B17" s="11">
        <v>154</v>
      </c>
      <c r="C17" s="12">
        <v>68</v>
      </c>
      <c r="D17" s="14">
        <v>41942</v>
      </c>
      <c r="E17">
        <f t="shared" si="0"/>
        <v>10</v>
      </c>
      <c r="H17">
        <f>SUM(H10:H16)</f>
        <v>17460</v>
      </c>
      <c r="I17">
        <f t="shared" ref="I17:J17" si="2">SUM(I10:I16)</f>
        <v>16804</v>
      </c>
      <c r="J17">
        <f t="shared" si="2"/>
        <v>9215</v>
      </c>
    </row>
    <row r="18" spans="1:11" x14ac:dyDescent="0.35">
      <c r="A18" s="7">
        <v>61</v>
      </c>
      <c r="B18" s="8">
        <v>139</v>
      </c>
      <c r="C18" s="9">
        <v>77</v>
      </c>
      <c r="D18" s="14">
        <v>41943</v>
      </c>
      <c r="E18">
        <f t="shared" si="0"/>
        <v>10</v>
      </c>
      <c r="G18" t="s">
        <v>8</v>
      </c>
      <c r="H18">
        <f>H17*685</f>
        <v>11960100</v>
      </c>
      <c r="I18">
        <f>I17*620</f>
        <v>10418480</v>
      </c>
      <c r="J18">
        <f>J17*380</f>
        <v>3501700</v>
      </c>
      <c r="K18">
        <f>SUM(H18:J18)</f>
        <v>25880280</v>
      </c>
    </row>
    <row r="19" spans="1:11" x14ac:dyDescent="0.35">
      <c r="A19" s="10">
        <v>18</v>
      </c>
      <c r="B19" s="11">
        <v>163</v>
      </c>
      <c r="C19" s="12">
        <v>75</v>
      </c>
      <c r="D19" s="14">
        <v>41944</v>
      </c>
      <c r="E19">
        <f t="shared" si="0"/>
        <v>11</v>
      </c>
      <c r="G19" t="s">
        <v>11</v>
      </c>
      <c r="H19">
        <f>H17+80</f>
        <v>17540</v>
      </c>
      <c r="I19">
        <f>I17+80</f>
        <v>16884</v>
      </c>
      <c r="J19">
        <v>9280</v>
      </c>
    </row>
    <row r="20" spans="1:11" x14ac:dyDescent="0.35">
      <c r="A20" s="7">
        <v>43</v>
      </c>
      <c r="B20" s="8">
        <v>169</v>
      </c>
      <c r="C20" s="9">
        <v>0</v>
      </c>
      <c r="D20" s="14">
        <v>41945</v>
      </c>
      <c r="E20">
        <f t="shared" si="0"/>
        <v>11</v>
      </c>
      <c r="G20" t="s">
        <v>9</v>
      </c>
      <c r="H20">
        <f>SUM(H18:J18)</f>
        <v>25880280</v>
      </c>
    </row>
    <row r="21" spans="1:11" x14ac:dyDescent="0.35">
      <c r="A21" s="10">
        <v>160</v>
      </c>
      <c r="B21" s="11">
        <v>135</v>
      </c>
      <c r="C21" s="12">
        <v>34</v>
      </c>
      <c r="D21" s="14">
        <v>41946</v>
      </c>
      <c r="E21">
        <f t="shared" si="0"/>
        <v>11</v>
      </c>
      <c r="H21" t="s">
        <v>12</v>
      </c>
      <c r="I21" t="s">
        <v>13</v>
      </c>
    </row>
    <row r="22" spans="1:11" x14ac:dyDescent="0.35">
      <c r="A22" s="7">
        <v>150</v>
      </c>
      <c r="B22" s="8">
        <v>89</v>
      </c>
      <c r="C22" s="9">
        <v>17</v>
      </c>
      <c r="D22" s="14">
        <v>41947</v>
      </c>
      <c r="E22">
        <f t="shared" si="0"/>
        <v>11</v>
      </c>
      <c r="G22" t="s">
        <v>10</v>
      </c>
      <c r="H22">
        <f>ROUNDDOWN(H19/200, 0)</f>
        <v>87</v>
      </c>
      <c r="I22">
        <f>ROUNDDOWN(I19/260, 0)</f>
        <v>64</v>
      </c>
      <c r="J22">
        <f>ROUNDDOWN(J19/320, 0)</f>
        <v>29</v>
      </c>
    </row>
    <row r="23" spans="1:11" x14ac:dyDescent="0.35">
      <c r="A23" s="10">
        <v>57</v>
      </c>
      <c r="B23" s="11">
        <v>109</v>
      </c>
      <c r="C23" s="12">
        <v>93</v>
      </c>
      <c r="D23" s="14">
        <v>41948</v>
      </c>
      <c r="E23">
        <f t="shared" si="0"/>
        <v>11</v>
      </c>
    </row>
    <row r="24" spans="1:11" x14ac:dyDescent="0.35">
      <c r="A24" s="7">
        <v>62</v>
      </c>
      <c r="B24" s="8">
        <v>80</v>
      </c>
      <c r="C24" s="9">
        <v>62</v>
      </c>
      <c r="D24" s="14">
        <v>41949</v>
      </c>
      <c r="E24">
        <f t="shared" si="0"/>
        <v>11</v>
      </c>
    </row>
    <row r="25" spans="1:11" x14ac:dyDescent="0.35">
      <c r="A25" s="10">
        <v>162</v>
      </c>
      <c r="B25" s="11">
        <v>62</v>
      </c>
      <c r="C25" s="12">
        <v>88</v>
      </c>
      <c r="D25" s="14">
        <v>41950</v>
      </c>
      <c r="E25">
        <f t="shared" si="0"/>
        <v>11</v>
      </c>
    </row>
    <row r="26" spans="1:11" x14ac:dyDescent="0.35">
      <c r="A26" s="7">
        <v>142</v>
      </c>
      <c r="B26" s="8">
        <v>79</v>
      </c>
      <c r="C26" s="9">
        <v>76</v>
      </c>
      <c r="D26" s="14">
        <v>41951</v>
      </c>
      <c r="E26">
        <f t="shared" si="0"/>
        <v>11</v>
      </c>
    </row>
    <row r="27" spans="1:11" x14ac:dyDescent="0.35">
      <c r="A27" s="10">
        <v>7</v>
      </c>
      <c r="B27" s="11">
        <v>30</v>
      </c>
      <c r="C27" s="12">
        <v>68</v>
      </c>
      <c r="D27" s="14">
        <v>41952</v>
      </c>
      <c r="E27">
        <f t="shared" si="0"/>
        <v>11</v>
      </c>
    </row>
    <row r="28" spans="1:11" x14ac:dyDescent="0.35">
      <c r="A28" s="7">
        <v>116</v>
      </c>
      <c r="B28" s="8">
        <v>6</v>
      </c>
      <c r="C28" s="9">
        <v>88</v>
      </c>
      <c r="D28" s="14">
        <v>41953</v>
      </c>
      <c r="E28">
        <f t="shared" si="0"/>
        <v>11</v>
      </c>
    </row>
    <row r="29" spans="1:11" x14ac:dyDescent="0.35">
      <c r="A29" s="10">
        <v>0</v>
      </c>
      <c r="B29" s="11">
        <v>1</v>
      </c>
      <c r="C29" s="12">
        <v>47</v>
      </c>
      <c r="D29" s="14">
        <v>41954</v>
      </c>
      <c r="E29">
        <f t="shared" si="0"/>
        <v>11</v>
      </c>
    </row>
    <row r="30" spans="1:11" x14ac:dyDescent="0.35">
      <c r="A30" s="7">
        <v>78</v>
      </c>
      <c r="B30" s="8">
        <v>84</v>
      </c>
      <c r="C30" s="9">
        <v>16</v>
      </c>
      <c r="D30" s="14">
        <v>41955</v>
      </c>
      <c r="E30">
        <f t="shared" si="0"/>
        <v>11</v>
      </c>
    </row>
    <row r="31" spans="1:11" x14ac:dyDescent="0.35">
      <c r="A31" s="10">
        <v>112</v>
      </c>
      <c r="B31" s="11">
        <v>140</v>
      </c>
      <c r="C31" s="12">
        <v>97</v>
      </c>
      <c r="D31" s="14">
        <v>41956</v>
      </c>
      <c r="E31">
        <f t="shared" si="0"/>
        <v>11</v>
      </c>
    </row>
    <row r="32" spans="1:11" x14ac:dyDescent="0.35">
      <c r="A32" s="7">
        <v>109</v>
      </c>
      <c r="B32" s="8">
        <v>74</v>
      </c>
      <c r="C32" s="9">
        <v>53</v>
      </c>
      <c r="D32" s="14">
        <v>41957</v>
      </c>
      <c r="E32">
        <f t="shared" si="0"/>
        <v>11</v>
      </c>
    </row>
    <row r="33" spans="1:5" x14ac:dyDescent="0.35">
      <c r="A33" s="10">
        <v>121</v>
      </c>
      <c r="B33" s="11">
        <v>77</v>
      </c>
      <c r="C33" s="12">
        <v>70</v>
      </c>
      <c r="D33" s="14">
        <v>41958</v>
      </c>
      <c r="E33">
        <f t="shared" si="0"/>
        <v>11</v>
      </c>
    </row>
    <row r="34" spans="1:5" x14ac:dyDescent="0.35">
      <c r="A34" s="7">
        <v>106</v>
      </c>
      <c r="B34" s="8">
        <v>89</v>
      </c>
      <c r="C34" s="9">
        <v>75</v>
      </c>
      <c r="D34" s="14">
        <v>41959</v>
      </c>
      <c r="E34">
        <f t="shared" si="0"/>
        <v>11</v>
      </c>
    </row>
    <row r="35" spans="1:5" x14ac:dyDescent="0.35">
      <c r="A35" s="10">
        <v>57</v>
      </c>
      <c r="B35" s="11">
        <v>119</v>
      </c>
      <c r="C35" s="12">
        <v>64</v>
      </c>
      <c r="D35" s="14">
        <v>41960</v>
      </c>
      <c r="E35">
        <f t="shared" si="0"/>
        <v>11</v>
      </c>
    </row>
    <row r="36" spans="1:5" x14ac:dyDescent="0.35">
      <c r="A36" s="7">
        <v>26</v>
      </c>
      <c r="B36" s="8">
        <v>87</v>
      </c>
      <c r="C36" s="9">
        <v>84</v>
      </c>
      <c r="D36" s="14">
        <v>41961</v>
      </c>
      <c r="E36">
        <f t="shared" si="0"/>
        <v>11</v>
      </c>
    </row>
    <row r="37" spans="1:5" x14ac:dyDescent="0.35">
      <c r="A37" s="10">
        <v>79</v>
      </c>
      <c r="B37" s="11">
        <v>171</v>
      </c>
      <c r="C37" s="12">
        <v>75</v>
      </c>
      <c r="D37" s="14">
        <v>41962</v>
      </c>
      <c r="E37">
        <f t="shared" si="0"/>
        <v>11</v>
      </c>
    </row>
    <row r="38" spans="1:5" x14ac:dyDescent="0.35">
      <c r="A38" s="7">
        <v>192</v>
      </c>
      <c r="B38" s="8">
        <v>151</v>
      </c>
      <c r="C38" s="9">
        <v>45</v>
      </c>
      <c r="D38" s="14">
        <v>41963</v>
      </c>
      <c r="E38">
        <f t="shared" si="0"/>
        <v>11</v>
      </c>
    </row>
    <row r="39" spans="1:5" x14ac:dyDescent="0.35">
      <c r="A39" s="10">
        <v>9</v>
      </c>
      <c r="B39" s="11">
        <v>64</v>
      </c>
      <c r="C39" s="12">
        <v>22</v>
      </c>
      <c r="D39" s="14">
        <v>41964</v>
      </c>
      <c r="E39">
        <f t="shared" si="0"/>
        <v>11</v>
      </c>
    </row>
    <row r="40" spans="1:5" x14ac:dyDescent="0.35">
      <c r="A40" s="7">
        <v>123</v>
      </c>
      <c r="B40" s="8">
        <v>150</v>
      </c>
      <c r="C40" s="9">
        <v>10</v>
      </c>
      <c r="D40" s="14">
        <v>41965</v>
      </c>
      <c r="E40">
        <f t="shared" si="0"/>
        <v>11</v>
      </c>
    </row>
    <row r="41" spans="1:5" x14ac:dyDescent="0.35">
      <c r="A41" s="10">
        <v>87</v>
      </c>
      <c r="B41" s="11">
        <v>123</v>
      </c>
      <c r="C41" s="12">
        <v>33</v>
      </c>
      <c r="D41" s="14">
        <v>41966</v>
      </c>
      <c r="E41">
        <f t="shared" si="0"/>
        <v>11</v>
      </c>
    </row>
    <row r="42" spans="1:5" x14ac:dyDescent="0.35">
      <c r="A42" s="7">
        <v>165</v>
      </c>
      <c r="B42" s="8">
        <v>88</v>
      </c>
      <c r="C42" s="9">
        <v>13</v>
      </c>
      <c r="D42" s="14">
        <v>41967</v>
      </c>
      <c r="E42">
        <f t="shared" si="0"/>
        <v>11</v>
      </c>
    </row>
    <row r="43" spans="1:5" x14ac:dyDescent="0.35">
      <c r="A43" s="10">
        <v>144</v>
      </c>
      <c r="B43" s="11">
        <v>78</v>
      </c>
      <c r="C43" s="12">
        <v>82</v>
      </c>
      <c r="D43" s="14">
        <v>41968</v>
      </c>
      <c r="E43">
        <f t="shared" si="0"/>
        <v>11</v>
      </c>
    </row>
    <row r="44" spans="1:5" x14ac:dyDescent="0.35">
      <c r="A44" s="7">
        <v>54</v>
      </c>
      <c r="B44" s="8">
        <v>38</v>
      </c>
      <c r="C44" s="9">
        <v>68</v>
      </c>
      <c r="D44" s="14">
        <v>41969</v>
      </c>
      <c r="E44">
        <f t="shared" si="0"/>
        <v>11</v>
      </c>
    </row>
    <row r="45" spans="1:5" x14ac:dyDescent="0.35">
      <c r="A45" s="10">
        <v>188</v>
      </c>
      <c r="B45" s="11">
        <v>44</v>
      </c>
      <c r="C45" s="12">
        <v>86</v>
      </c>
      <c r="D45" s="14">
        <v>41970</v>
      </c>
      <c r="E45">
        <f t="shared" si="0"/>
        <v>11</v>
      </c>
    </row>
    <row r="46" spans="1:5" x14ac:dyDescent="0.35">
      <c r="A46" s="7">
        <v>165</v>
      </c>
      <c r="B46" s="8">
        <v>170</v>
      </c>
      <c r="C46" s="9">
        <v>62</v>
      </c>
      <c r="D46" s="14">
        <v>41971</v>
      </c>
      <c r="E46">
        <f t="shared" si="0"/>
        <v>11</v>
      </c>
    </row>
    <row r="47" spans="1:5" x14ac:dyDescent="0.35">
      <c r="A47" s="10">
        <v>24</v>
      </c>
      <c r="B47" s="11">
        <v>94</v>
      </c>
      <c r="C47" s="12">
        <v>87</v>
      </c>
      <c r="D47" s="14">
        <v>41972</v>
      </c>
      <c r="E47">
        <f t="shared" si="0"/>
        <v>11</v>
      </c>
    </row>
    <row r="48" spans="1:5" x14ac:dyDescent="0.35">
      <c r="A48" s="7">
        <v>0</v>
      </c>
      <c r="B48" s="8">
        <v>120</v>
      </c>
      <c r="C48" s="9">
        <v>60</v>
      </c>
      <c r="D48" s="14">
        <v>41973</v>
      </c>
      <c r="E48">
        <f t="shared" si="0"/>
        <v>11</v>
      </c>
    </row>
    <row r="49" spans="1:5" x14ac:dyDescent="0.35">
      <c r="A49" s="10">
        <v>101</v>
      </c>
      <c r="B49" s="11">
        <v>53</v>
      </c>
      <c r="C49" s="12">
        <v>62</v>
      </c>
      <c r="D49" s="14">
        <v>41974</v>
      </c>
      <c r="E49">
        <f t="shared" si="0"/>
        <v>12</v>
      </c>
    </row>
    <row r="50" spans="1:5" x14ac:dyDescent="0.35">
      <c r="A50" s="7">
        <v>67</v>
      </c>
      <c r="B50" s="8">
        <v>147</v>
      </c>
      <c r="C50" s="9">
        <v>20</v>
      </c>
      <c r="D50" s="14">
        <v>41975</v>
      </c>
      <c r="E50">
        <f t="shared" si="0"/>
        <v>12</v>
      </c>
    </row>
    <row r="51" spans="1:5" x14ac:dyDescent="0.35">
      <c r="A51" s="10">
        <v>109</v>
      </c>
      <c r="B51" s="11">
        <v>99</v>
      </c>
      <c r="C51" s="12">
        <v>70</v>
      </c>
      <c r="D51" s="14">
        <v>41976</v>
      </c>
      <c r="E51">
        <f t="shared" si="0"/>
        <v>12</v>
      </c>
    </row>
    <row r="52" spans="1:5" x14ac:dyDescent="0.35">
      <c r="A52" s="7">
        <v>22</v>
      </c>
      <c r="B52" s="8">
        <v>16</v>
      </c>
      <c r="C52" s="9">
        <v>59</v>
      </c>
      <c r="D52" s="14">
        <v>41977</v>
      </c>
      <c r="E52">
        <f t="shared" si="0"/>
        <v>12</v>
      </c>
    </row>
    <row r="53" spans="1:5" x14ac:dyDescent="0.35">
      <c r="A53" s="10">
        <v>5</v>
      </c>
      <c r="B53" s="11">
        <v>91</v>
      </c>
      <c r="C53" s="12">
        <v>73</v>
      </c>
      <c r="D53" s="14">
        <v>41978</v>
      </c>
      <c r="E53">
        <f t="shared" si="0"/>
        <v>12</v>
      </c>
    </row>
    <row r="54" spans="1:5" x14ac:dyDescent="0.35">
      <c r="A54" s="7">
        <v>105</v>
      </c>
      <c r="B54" s="8">
        <v>154</v>
      </c>
      <c r="C54" s="9">
        <v>48</v>
      </c>
      <c r="D54" s="14">
        <v>41979</v>
      </c>
      <c r="E54">
        <f t="shared" si="0"/>
        <v>12</v>
      </c>
    </row>
    <row r="55" spans="1:5" x14ac:dyDescent="0.35">
      <c r="A55" s="10">
        <v>108</v>
      </c>
      <c r="B55" s="11">
        <v>5</v>
      </c>
      <c r="C55" s="12">
        <v>71</v>
      </c>
      <c r="D55" s="14">
        <v>41980</v>
      </c>
      <c r="E55">
        <f t="shared" si="0"/>
        <v>12</v>
      </c>
    </row>
    <row r="56" spans="1:5" x14ac:dyDescent="0.35">
      <c r="A56" s="7">
        <v>64</v>
      </c>
      <c r="B56" s="8">
        <v>37</v>
      </c>
      <c r="C56" s="9">
        <v>89</v>
      </c>
      <c r="D56" s="14">
        <v>41981</v>
      </c>
      <c r="E56">
        <f t="shared" si="0"/>
        <v>12</v>
      </c>
    </row>
    <row r="57" spans="1:5" x14ac:dyDescent="0.35">
      <c r="A57" s="10">
        <v>114</v>
      </c>
      <c r="B57" s="11">
        <v>140</v>
      </c>
      <c r="C57" s="12">
        <v>36</v>
      </c>
      <c r="D57" s="14">
        <v>41982</v>
      </c>
      <c r="E57">
        <f t="shared" si="0"/>
        <v>12</v>
      </c>
    </row>
    <row r="58" spans="1:5" x14ac:dyDescent="0.35">
      <c r="A58" s="7">
        <v>147</v>
      </c>
      <c r="B58" s="8">
        <v>140</v>
      </c>
      <c r="C58" s="9">
        <v>61</v>
      </c>
      <c r="D58" s="14">
        <v>41983</v>
      </c>
      <c r="E58">
        <f t="shared" si="0"/>
        <v>12</v>
      </c>
    </row>
    <row r="59" spans="1:5" x14ac:dyDescent="0.35">
      <c r="A59" s="10">
        <v>69</v>
      </c>
      <c r="B59" s="11">
        <v>120</v>
      </c>
      <c r="C59" s="12">
        <v>52</v>
      </c>
      <c r="D59" s="14">
        <v>41984</v>
      </c>
      <c r="E59">
        <f t="shared" si="0"/>
        <v>12</v>
      </c>
    </row>
    <row r="60" spans="1:5" x14ac:dyDescent="0.35">
      <c r="A60" s="7">
        <v>101</v>
      </c>
      <c r="B60" s="8">
        <v>39</v>
      </c>
      <c r="C60" s="9">
        <v>10</v>
      </c>
      <c r="D60" s="14">
        <v>41985</v>
      </c>
      <c r="E60">
        <f t="shared" si="0"/>
        <v>12</v>
      </c>
    </row>
    <row r="61" spans="1:5" x14ac:dyDescent="0.35">
      <c r="A61" s="10">
        <v>158</v>
      </c>
      <c r="B61" s="11">
        <v>36</v>
      </c>
      <c r="C61" s="12">
        <v>79</v>
      </c>
      <c r="D61" s="14">
        <v>41986</v>
      </c>
      <c r="E61">
        <f t="shared" si="0"/>
        <v>12</v>
      </c>
    </row>
    <row r="62" spans="1:5" x14ac:dyDescent="0.35">
      <c r="A62" s="7">
        <v>79</v>
      </c>
      <c r="B62" s="8">
        <v>105</v>
      </c>
      <c r="C62" s="9">
        <v>73</v>
      </c>
      <c r="D62" s="14">
        <v>41987</v>
      </c>
      <c r="E62">
        <f t="shared" si="0"/>
        <v>12</v>
      </c>
    </row>
    <row r="63" spans="1:5" x14ac:dyDescent="0.35">
      <c r="A63" s="10">
        <v>5</v>
      </c>
      <c r="B63" s="11">
        <v>24</v>
      </c>
      <c r="C63" s="12">
        <v>43</v>
      </c>
      <c r="D63" s="14">
        <v>41988</v>
      </c>
      <c r="E63">
        <f t="shared" si="0"/>
        <v>12</v>
      </c>
    </row>
    <row r="64" spans="1:5" x14ac:dyDescent="0.35">
      <c r="A64" s="7">
        <v>68</v>
      </c>
      <c r="B64" s="8">
        <v>112</v>
      </c>
      <c r="C64" s="9">
        <v>25</v>
      </c>
      <c r="D64" s="14">
        <v>41989</v>
      </c>
      <c r="E64">
        <f t="shared" si="0"/>
        <v>12</v>
      </c>
    </row>
    <row r="65" spans="1:5" x14ac:dyDescent="0.35">
      <c r="A65" s="10">
        <v>37</v>
      </c>
      <c r="B65" s="11">
        <v>57</v>
      </c>
      <c r="C65" s="12">
        <v>81</v>
      </c>
      <c r="D65" s="14">
        <v>41990</v>
      </c>
      <c r="E65">
        <f t="shared" si="0"/>
        <v>12</v>
      </c>
    </row>
    <row r="66" spans="1:5" x14ac:dyDescent="0.35">
      <c r="A66" s="7">
        <v>188</v>
      </c>
      <c r="B66" s="8">
        <v>28</v>
      </c>
      <c r="C66" s="9">
        <v>7</v>
      </c>
      <c r="D66" s="14">
        <v>41991</v>
      </c>
      <c r="E66">
        <f t="shared" si="0"/>
        <v>12</v>
      </c>
    </row>
    <row r="67" spans="1:5" x14ac:dyDescent="0.35">
      <c r="A67" s="10">
        <v>167</v>
      </c>
      <c r="B67" s="11">
        <v>41</v>
      </c>
      <c r="C67" s="12">
        <v>45</v>
      </c>
      <c r="D67" s="14">
        <v>41992</v>
      </c>
      <c r="E67">
        <f t="shared" ref="E67:E130" si="3">MONTH(D67)</f>
        <v>12</v>
      </c>
    </row>
    <row r="68" spans="1:5" x14ac:dyDescent="0.35">
      <c r="A68" s="7">
        <v>197</v>
      </c>
      <c r="B68" s="8">
        <v>82</v>
      </c>
      <c r="C68" s="9">
        <v>43</v>
      </c>
      <c r="D68" s="14">
        <v>41993</v>
      </c>
      <c r="E68">
        <f t="shared" si="3"/>
        <v>12</v>
      </c>
    </row>
    <row r="69" spans="1:5" x14ac:dyDescent="0.35">
      <c r="A69" s="10">
        <v>54</v>
      </c>
      <c r="B69" s="11">
        <v>130</v>
      </c>
      <c r="C69" s="12">
        <v>50</v>
      </c>
      <c r="D69" s="14">
        <v>41994</v>
      </c>
      <c r="E69">
        <f t="shared" si="3"/>
        <v>12</v>
      </c>
    </row>
    <row r="70" spans="1:5" x14ac:dyDescent="0.35">
      <c r="A70" s="7">
        <v>19</v>
      </c>
      <c r="B70" s="8">
        <v>153</v>
      </c>
      <c r="C70" s="9">
        <v>65</v>
      </c>
      <c r="D70" s="14">
        <v>41995</v>
      </c>
      <c r="E70">
        <f t="shared" si="3"/>
        <v>12</v>
      </c>
    </row>
    <row r="71" spans="1:5" x14ac:dyDescent="0.35">
      <c r="A71" s="10">
        <v>27</v>
      </c>
      <c r="B71" s="11">
        <v>160</v>
      </c>
      <c r="C71" s="12">
        <v>81</v>
      </c>
      <c r="D71" s="14">
        <v>41996</v>
      </c>
      <c r="E71">
        <f t="shared" si="3"/>
        <v>12</v>
      </c>
    </row>
    <row r="72" spans="1:5" x14ac:dyDescent="0.35">
      <c r="A72" s="7">
        <v>11</v>
      </c>
      <c r="B72" s="8">
        <v>140</v>
      </c>
      <c r="C72" s="9">
        <v>77</v>
      </c>
      <c r="D72" s="14">
        <v>41997</v>
      </c>
      <c r="E72">
        <f t="shared" si="3"/>
        <v>12</v>
      </c>
    </row>
    <row r="73" spans="1:5" x14ac:dyDescent="0.35">
      <c r="A73" s="10">
        <v>182</v>
      </c>
      <c r="B73" s="11">
        <v>50</v>
      </c>
      <c r="C73" s="12">
        <v>22</v>
      </c>
      <c r="D73" s="14">
        <v>41998</v>
      </c>
      <c r="E73">
        <f t="shared" si="3"/>
        <v>12</v>
      </c>
    </row>
    <row r="74" spans="1:5" x14ac:dyDescent="0.35">
      <c r="A74" s="7">
        <v>63</v>
      </c>
      <c r="B74" s="8">
        <v>83</v>
      </c>
      <c r="C74" s="9">
        <v>69</v>
      </c>
      <c r="D74" s="14">
        <v>41999</v>
      </c>
      <c r="E74">
        <f t="shared" si="3"/>
        <v>12</v>
      </c>
    </row>
    <row r="75" spans="1:5" x14ac:dyDescent="0.35">
      <c r="A75" s="10">
        <v>33</v>
      </c>
      <c r="B75" s="11">
        <v>59</v>
      </c>
      <c r="C75" s="12">
        <v>46</v>
      </c>
      <c r="D75" s="14">
        <v>42000</v>
      </c>
      <c r="E75">
        <f t="shared" si="3"/>
        <v>12</v>
      </c>
    </row>
    <row r="76" spans="1:5" x14ac:dyDescent="0.35">
      <c r="A76" s="7">
        <v>119</v>
      </c>
      <c r="B76" s="8">
        <v>57</v>
      </c>
      <c r="C76" s="9">
        <v>67</v>
      </c>
      <c r="D76" s="14">
        <v>42001</v>
      </c>
      <c r="E76">
        <f t="shared" si="3"/>
        <v>12</v>
      </c>
    </row>
    <row r="77" spans="1:5" x14ac:dyDescent="0.35">
      <c r="A77" s="10">
        <v>58</v>
      </c>
      <c r="B77" s="11">
        <v>176</v>
      </c>
      <c r="C77" s="12">
        <v>16</v>
      </c>
      <c r="D77" s="14">
        <v>42002</v>
      </c>
      <c r="E77">
        <f t="shared" si="3"/>
        <v>12</v>
      </c>
    </row>
    <row r="78" spans="1:5" x14ac:dyDescent="0.35">
      <c r="A78" s="7">
        <v>174</v>
      </c>
      <c r="B78" s="8">
        <v>61</v>
      </c>
      <c r="C78" s="9">
        <v>46</v>
      </c>
      <c r="D78" s="14">
        <v>42003</v>
      </c>
      <c r="E78">
        <f t="shared" si="3"/>
        <v>12</v>
      </c>
    </row>
    <row r="79" spans="1:5" x14ac:dyDescent="0.35">
      <c r="A79" s="10">
        <v>45</v>
      </c>
      <c r="B79" s="11">
        <v>154</v>
      </c>
      <c r="C79" s="12">
        <v>0</v>
      </c>
      <c r="D79" s="14">
        <v>42004</v>
      </c>
      <c r="E79">
        <f t="shared" si="3"/>
        <v>12</v>
      </c>
    </row>
    <row r="80" spans="1:5" x14ac:dyDescent="0.35">
      <c r="A80" s="7">
        <v>94</v>
      </c>
      <c r="B80" s="8">
        <v>120</v>
      </c>
      <c r="C80" s="9">
        <v>95</v>
      </c>
      <c r="D80" s="14">
        <v>42005</v>
      </c>
      <c r="E80">
        <f t="shared" si="3"/>
        <v>1</v>
      </c>
    </row>
    <row r="81" spans="1:5" x14ac:dyDescent="0.35">
      <c r="A81" s="10">
        <v>12</v>
      </c>
      <c r="B81" s="11">
        <v>5</v>
      </c>
      <c r="C81" s="12">
        <v>42</v>
      </c>
      <c r="D81" s="14">
        <v>42006</v>
      </c>
      <c r="E81">
        <f t="shared" si="3"/>
        <v>1</v>
      </c>
    </row>
    <row r="82" spans="1:5" x14ac:dyDescent="0.35">
      <c r="A82" s="7">
        <v>80</v>
      </c>
      <c r="B82" s="8">
        <v>170</v>
      </c>
      <c r="C82" s="9">
        <v>96</v>
      </c>
      <c r="D82" s="14">
        <v>42007</v>
      </c>
      <c r="E82">
        <f t="shared" si="3"/>
        <v>1</v>
      </c>
    </row>
    <row r="83" spans="1:5" x14ac:dyDescent="0.35">
      <c r="A83" s="10">
        <v>80</v>
      </c>
      <c r="B83" s="11">
        <v>10</v>
      </c>
      <c r="C83" s="12">
        <v>30</v>
      </c>
      <c r="D83" s="14">
        <v>42008</v>
      </c>
      <c r="E83">
        <f t="shared" si="3"/>
        <v>1</v>
      </c>
    </row>
    <row r="84" spans="1:5" x14ac:dyDescent="0.35">
      <c r="A84" s="7">
        <v>90</v>
      </c>
      <c r="B84" s="8">
        <v>80</v>
      </c>
      <c r="C84" s="9">
        <v>31</v>
      </c>
      <c r="D84" s="14">
        <v>42009</v>
      </c>
      <c r="E84">
        <f t="shared" si="3"/>
        <v>1</v>
      </c>
    </row>
    <row r="85" spans="1:5" x14ac:dyDescent="0.35">
      <c r="A85" s="10">
        <v>130</v>
      </c>
      <c r="B85" s="11">
        <v>163</v>
      </c>
      <c r="C85" s="12">
        <v>92</v>
      </c>
      <c r="D85" s="14">
        <v>42010</v>
      </c>
      <c r="E85">
        <f t="shared" si="3"/>
        <v>1</v>
      </c>
    </row>
    <row r="86" spans="1:5" x14ac:dyDescent="0.35">
      <c r="A86" s="7">
        <v>54</v>
      </c>
      <c r="B86" s="8">
        <v>7</v>
      </c>
      <c r="C86" s="9">
        <v>79</v>
      </c>
      <c r="D86" s="14">
        <v>42011</v>
      </c>
      <c r="E86">
        <f t="shared" si="3"/>
        <v>1</v>
      </c>
    </row>
    <row r="87" spans="1:5" x14ac:dyDescent="0.35">
      <c r="A87" s="10">
        <v>88</v>
      </c>
      <c r="B87" s="11">
        <v>125</v>
      </c>
      <c r="C87" s="12">
        <v>97</v>
      </c>
      <c r="D87" s="14">
        <v>42012</v>
      </c>
      <c r="E87">
        <f t="shared" si="3"/>
        <v>1</v>
      </c>
    </row>
    <row r="88" spans="1:5" x14ac:dyDescent="0.35">
      <c r="A88" s="7">
        <v>83</v>
      </c>
      <c r="B88" s="8">
        <v>85</v>
      </c>
      <c r="C88" s="9">
        <v>99</v>
      </c>
      <c r="D88" s="14">
        <v>42013</v>
      </c>
      <c r="E88">
        <f t="shared" si="3"/>
        <v>1</v>
      </c>
    </row>
    <row r="89" spans="1:5" x14ac:dyDescent="0.35">
      <c r="A89" s="10">
        <v>139</v>
      </c>
      <c r="B89" s="11">
        <v>155</v>
      </c>
      <c r="C89" s="12">
        <v>11</v>
      </c>
      <c r="D89" s="14">
        <v>42014</v>
      </c>
      <c r="E89">
        <f t="shared" si="3"/>
        <v>1</v>
      </c>
    </row>
    <row r="90" spans="1:5" x14ac:dyDescent="0.35">
      <c r="A90" s="7">
        <v>82</v>
      </c>
      <c r="B90" s="8">
        <v>43</v>
      </c>
      <c r="C90" s="9">
        <v>93</v>
      </c>
      <c r="D90" s="14">
        <v>42015</v>
      </c>
      <c r="E90">
        <f t="shared" si="3"/>
        <v>1</v>
      </c>
    </row>
    <row r="91" spans="1:5" x14ac:dyDescent="0.35">
      <c r="A91" s="10">
        <v>23</v>
      </c>
      <c r="B91" s="11">
        <v>40</v>
      </c>
      <c r="C91" s="12">
        <v>83</v>
      </c>
      <c r="D91" s="14">
        <v>42016</v>
      </c>
      <c r="E91">
        <f t="shared" si="3"/>
        <v>1</v>
      </c>
    </row>
    <row r="92" spans="1:5" x14ac:dyDescent="0.35">
      <c r="A92" s="7">
        <v>118</v>
      </c>
      <c r="B92" s="8">
        <v>165</v>
      </c>
      <c r="C92" s="9">
        <v>56</v>
      </c>
      <c r="D92" s="14">
        <v>42017</v>
      </c>
      <c r="E92">
        <f t="shared" si="3"/>
        <v>1</v>
      </c>
    </row>
    <row r="93" spans="1:5" x14ac:dyDescent="0.35">
      <c r="A93" s="10">
        <v>59</v>
      </c>
      <c r="B93" s="11">
        <v>35</v>
      </c>
      <c r="C93" s="12">
        <v>17</v>
      </c>
      <c r="D93" s="14">
        <v>42018</v>
      </c>
      <c r="E93">
        <f t="shared" si="3"/>
        <v>1</v>
      </c>
    </row>
    <row r="94" spans="1:5" x14ac:dyDescent="0.35">
      <c r="A94" s="7">
        <v>127</v>
      </c>
      <c r="B94" s="8">
        <v>58</v>
      </c>
      <c r="C94" s="9">
        <v>39</v>
      </c>
      <c r="D94" s="14">
        <v>42019</v>
      </c>
      <c r="E94">
        <f t="shared" si="3"/>
        <v>1</v>
      </c>
    </row>
    <row r="95" spans="1:5" x14ac:dyDescent="0.35">
      <c r="A95" s="10">
        <v>121</v>
      </c>
      <c r="B95" s="11">
        <v>175</v>
      </c>
      <c r="C95" s="12">
        <v>77</v>
      </c>
      <c r="D95" s="14">
        <v>42020</v>
      </c>
      <c r="E95">
        <f t="shared" si="3"/>
        <v>1</v>
      </c>
    </row>
    <row r="96" spans="1:5" x14ac:dyDescent="0.35">
      <c r="A96" s="7">
        <v>80</v>
      </c>
      <c r="B96" s="8">
        <v>101</v>
      </c>
      <c r="C96" s="9">
        <v>3</v>
      </c>
      <c r="D96" s="14">
        <v>42021</v>
      </c>
      <c r="E96">
        <f t="shared" si="3"/>
        <v>1</v>
      </c>
    </row>
    <row r="97" spans="1:5" x14ac:dyDescent="0.35">
      <c r="A97" s="10">
        <v>189</v>
      </c>
      <c r="B97" s="11">
        <v>161</v>
      </c>
      <c r="C97" s="12">
        <v>53</v>
      </c>
      <c r="D97" s="14">
        <v>42022</v>
      </c>
      <c r="E97">
        <f t="shared" si="3"/>
        <v>1</v>
      </c>
    </row>
    <row r="98" spans="1:5" x14ac:dyDescent="0.35">
      <c r="A98" s="7">
        <v>18</v>
      </c>
      <c r="B98" s="8">
        <v>61</v>
      </c>
      <c r="C98" s="9">
        <v>19</v>
      </c>
      <c r="D98" s="14">
        <v>42023</v>
      </c>
      <c r="E98">
        <f t="shared" si="3"/>
        <v>1</v>
      </c>
    </row>
    <row r="99" spans="1:5" x14ac:dyDescent="0.35">
      <c r="A99" s="10">
        <v>68</v>
      </c>
      <c r="B99" s="11">
        <v>127</v>
      </c>
      <c r="C99" s="12">
        <v>3</v>
      </c>
      <c r="D99" s="14">
        <v>42024</v>
      </c>
      <c r="E99">
        <f t="shared" si="3"/>
        <v>1</v>
      </c>
    </row>
    <row r="100" spans="1:5" x14ac:dyDescent="0.35">
      <c r="A100" s="7">
        <v>37</v>
      </c>
      <c r="B100" s="8">
        <v>112</v>
      </c>
      <c r="C100" s="9">
        <v>68</v>
      </c>
      <c r="D100" s="14">
        <v>42025</v>
      </c>
      <c r="E100">
        <f t="shared" si="3"/>
        <v>1</v>
      </c>
    </row>
    <row r="101" spans="1:5" x14ac:dyDescent="0.35">
      <c r="A101" s="10">
        <v>40</v>
      </c>
      <c r="B101" s="11">
        <v>140</v>
      </c>
      <c r="C101" s="12">
        <v>15</v>
      </c>
      <c r="D101" s="14">
        <v>42026</v>
      </c>
      <c r="E101">
        <f t="shared" si="3"/>
        <v>1</v>
      </c>
    </row>
    <row r="102" spans="1:5" x14ac:dyDescent="0.35">
      <c r="A102" s="7">
        <v>189</v>
      </c>
      <c r="B102" s="8">
        <v>87</v>
      </c>
      <c r="C102" s="9">
        <v>64</v>
      </c>
      <c r="D102" s="14">
        <v>42027</v>
      </c>
      <c r="E102">
        <f t="shared" si="3"/>
        <v>1</v>
      </c>
    </row>
    <row r="103" spans="1:5" x14ac:dyDescent="0.35">
      <c r="A103" s="10">
        <v>145</v>
      </c>
      <c r="B103" s="11">
        <v>18</v>
      </c>
      <c r="C103" s="12">
        <v>1</v>
      </c>
      <c r="D103" s="14">
        <v>42028</v>
      </c>
      <c r="E103">
        <f t="shared" si="3"/>
        <v>1</v>
      </c>
    </row>
    <row r="104" spans="1:5" x14ac:dyDescent="0.35">
      <c r="A104" s="7">
        <v>148</v>
      </c>
      <c r="B104" s="8">
        <v>27</v>
      </c>
      <c r="C104" s="9">
        <v>13</v>
      </c>
      <c r="D104" s="14">
        <v>42029</v>
      </c>
      <c r="E104">
        <f t="shared" si="3"/>
        <v>1</v>
      </c>
    </row>
    <row r="105" spans="1:5" x14ac:dyDescent="0.35">
      <c r="A105" s="10">
        <v>127</v>
      </c>
      <c r="B105" s="11">
        <v>161</v>
      </c>
      <c r="C105" s="12">
        <v>31</v>
      </c>
      <c r="D105" s="14">
        <v>42030</v>
      </c>
      <c r="E105">
        <f t="shared" si="3"/>
        <v>1</v>
      </c>
    </row>
    <row r="106" spans="1:5" x14ac:dyDescent="0.35">
      <c r="A106" s="7">
        <v>131</v>
      </c>
      <c r="B106" s="8">
        <v>1</v>
      </c>
      <c r="C106" s="9">
        <v>98</v>
      </c>
      <c r="D106" s="14">
        <v>42031</v>
      </c>
      <c r="E106">
        <f t="shared" si="3"/>
        <v>1</v>
      </c>
    </row>
    <row r="107" spans="1:5" x14ac:dyDescent="0.35">
      <c r="A107" s="10">
        <v>142</v>
      </c>
      <c r="B107" s="11">
        <v>131</v>
      </c>
      <c r="C107" s="12">
        <v>62</v>
      </c>
      <c r="D107" s="14">
        <v>42032</v>
      </c>
      <c r="E107">
        <f t="shared" si="3"/>
        <v>1</v>
      </c>
    </row>
    <row r="108" spans="1:5" x14ac:dyDescent="0.35">
      <c r="A108" s="7">
        <v>121</v>
      </c>
      <c r="B108" s="8">
        <v>150</v>
      </c>
      <c r="C108" s="9">
        <v>25</v>
      </c>
      <c r="D108" s="14">
        <v>42033</v>
      </c>
      <c r="E108">
        <f t="shared" si="3"/>
        <v>1</v>
      </c>
    </row>
    <row r="109" spans="1:5" x14ac:dyDescent="0.35">
      <c r="A109" s="10">
        <v>33</v>
      </c>
      <c r="B109" s="11">
        <v>113</v>
      </c>
      <c r="C109" s="12">
        <v>62</v>
      </c>
      <c r="D109" s="14">
        <v>42034</v>
      </c>
      <c r="E109">
        <f t="shared" si="3"/>
        <v>1</v>
      </c>
    </row>
    <row r="110" spans="1:5" x14ac:dyDescent="0.35">
      <c r="A110" s="7">
        <v>142</v>
      </c>
      <c r="B110" s="8">
        <v>44</v>
      </c>
      <c r="C110" s="9">
        <v>92</v>
      </c>
      <c r="D110" s="14">
        <v>42035</v>
      </c>
      <c r="E110">
        <f t="shared" si="3"/>
        <v>1</v>
      </c>
    </row>
    <row r="111" spans="1:5" x14ac:dyDescent="0.35">
      <c r="A111" s="10">
        <v>119</v>
      </c>
      <c r="B111" s="11">
        <v>167</v>
      </c>
      <c r="C111" s="12">
        <v>64</v>
      </c>
      <c r="D111" s="14">
        <v>42036</v>
      </c>
      <c r="E111">
        <f t="shared" si="3"/>
        <v>2</v>
      </c>
    </row>
    <row r="112" spans="1:5" x14ac:dyDescent="0.35">
      <c r="A112" s="7">
        <v>54</v>
      </c>
      <c r="B112" s="8">
        <v>109</v>
      </c>
      <c r="C112" s="9">
        <v>65</v>
      </c>
      <c r="D112" s="14">
        <v>42037</v>
      </c>
      <c r="E112">
        <f t="shared" si="3"/>
        <v>2</v>
      </c>
    </row>
    <row r="113" spans="1:5" x14ac:dyDescent="0.35">
      <c r="A113" s="10">
        <v>53</v>
      </c>
      <c r="B113" s="11">
        <v>94</v>
      </c>
      <c r="C113" s="12">
        <v>43</v>
      </c>
      <c r="D113" s="14">
        <v>42038</v>
      </c>
      <c r="E113">
        <f t="shared" si="3"/>
        <v>2</v>
      </c>
    </row>
    <row r="114" spans="1:5" x14ac:dyDescent="0.35">
      <c r="A114" s="7">
        <v>165</v>
      </c>
      <c r="B114" s="8">
        <v>101</v>
      </c>
      <c r="C114" s="9">
        <v>8</v>
      </c>
      <c r="D114" s="14">
        <v>42039</v>
      </c>
      <c r="E114">
        <f t="shared" si="3"/>
        <v>2</v>
      </c>
    </row>
    <row r="115" spans="1:5" x14ac:dyDescent="0.35">
      <c r="A115" s="10">
        <v>159</v>
      </c>
      <c r="B115" s="11">
        <v>68</v>
      </c>
      <c r="C115" s="12">
        <v>96</v>
      </c>
      <c r="D115" s="14">
        <v>42040</v>
      </c>
      <c r="E115">
        <f t="shared" si="3"/>
        <v>2</v>
      </c>
    </row>
    <row r="116" spans="1:5" x14ac:dyDescent="0.35">
      <c r="A116" s="7">
        <v>79</v>
      </c>
      <c r="B116" s="8">
        <v>119</v>
      </c>
      <c r="C116" s="9">
        <v>35</v>
      </c>
      <c r="D116" s="14">
        <v>42041</v>
      </c>
      <c r="E116">
        <f t="shared" si="3"/>
        <v>2</v>
      </c>
    </row>
    <row r="117" spans="1:5" x14ac:dyDescent="0.35">
      <c r="A117" s="10">
        <v>128</v>
      </c>
      <c r="B117" s="11">
        <v>148</v>
      </c>
      <c r="C117" s="12">
        <v>77</v>
      </c>
      <c r="D117" s="14">
        <v>42042</v>
      </c>
      <c r="E117">
        <f t="shared" si="3"/>
        <v>2</v>
      </c>
    </row>
    <row r="118" spans="1:5" x14ac:dyDescent="0.35">
      <c r="A118" s="7">
        <v>195</v>
      </c>
      <c r="B118" s="8">
        <v>39</v>
      </c>
      <c r="C118" s="9">
        <v>77</v>
      </c>
      <c r="D118" s="14">
        <v>42043</v>
      </c>
      <c r="E118">
        <f t="shared" si="3"/>
        <v>2</v>
      </c>
    </row>
    <row r="119" spans="1:5" x14ac:dyDescent="0.35">
      <c r="A119" s="10">
        <v>87</v>
      </c>
      <c r="B119" s="11">
        <v>8</v>
      </c>
      <c r="C119" s="12">
        <v>17</v>
      </c>
      <c r="D119" s="14">
        <v>42044</v>
      </c>
      <c r="E119">
        <f t="shared" si="3"/>
        <v>2</v>
      </c>
    </row>
    <row r="120" spans="1:5" x14ac:dyDescent="0.35">
      <c r="A120" s="7">
        <v>114</v>
      </c>
      <c r="B120" s="8">
        <v>124</v>
      </c>
      <c r="C120" s="9">
        <v>94</v>
      </c>
      <c r="D120" s="14">
        <v>42045</v>
      </c>
      <c r="E120">
        <f t="shared" si="3"/>
        <v>2</v>
      </c>
    </row>
    <row r="121" spans="1:5" x14ac:dyDescent="0.35">
      <c r="A121" s="10">
        <v>126</v>
      </c>
      <c r="B121" s="11">
        <v>122</v>
      </c>
      <c r="C121" s="12">
        <v>39</v>
      </c>
      <c r="D121" s="14">
        <v>42046</v>
      </c>
      <c r="E121">
        <f t="shared" si="3"/>
        <v>2</v>
      </c>
    </row>
    <row r="122" spans="1:5" x14ac:dyDescent="0.35">
      <c r="A122" s="7">
        <v>96</v>
      </c>
      <c r="B122" s="8">
        <v>113</v>
      </c>
      <c r="C122" s="9">
        <v>28</v>
      </c>
      <c r="D122" s="14">
        <v>42047</v>
      </c>
      <c r="E122">
        <f t="shared" si="3"/>
        <v>2</v>
      </c>
    </row>
    <row r="123" spans="1:5" x14ac:dyDescent="0.35">
      <c r="A123" s="10">
        <v>165</v>
      </c>
      <c r="B123" s="11">
        <v>4</v>
      </c>
      <c r="C123" s="12">
        <v>83</v>
      </c>
      <c r="D123" s="14">
        <v>42048</v>
      </c>
      <c r="E123">
        <f t="shared" si="3"/>
        <v>2</v>
      </c>
    </row>
    <row r="124" spans="1:5" x14ac:dyDescent="0.35">
      <c r="A124" s="7">
        <v>1</v>
      </c>
      <c r="B124" s="8">
        <v>117</v>
      </c>
      <c r="C124" s="9">
        <v>76</v>
      </c>
      <c r="D124" s="14">
        <v>42049</v>
      </c>
      <c r="E124">
        <f t="shared" si="3"/>
        <v>2</v>
      </c>
    </row>
    <row r="125" spans="1:5" x14ac:dyDescent="0.35">
      <c r="A125" s="10">
        <v>107</v>
      </c>
      <c r="B125" s="11">
        <v>70</v>
      </c>
      <c r="C125" s="12">
        <v>28</v>
      </c>
      <c r="D125" s="14">
        <v>42050</v>
      </c>
      <c r="E125">
        <f t="shared" si="3"/>
        <v>2</v>
      </c>
    </row>
    <row r="126" spans="1:5" x14ac:dyDescent="0.35">
      <c r="A126" s="7">
        <v>83</v>
      </c>
      <c r="B126" s="8">
        <v>81</v>
      </c>
      <c r="C126" s="9">
        <v>1</v>
      </c>
      <c r="D126" s="14">
        <v>42051</v>
      </c>
      <c r="E126">
        <f t="shared" si="3"/>
        <v>2</v>
      </c>
    </row>
    <row r="127" spans="1:5" x14ac:dyDescent="0.35">
      <c r="A127" s="10">
        <v>43</v>
      </c>
      <c r="B127" s="11">
        <v>109</v>
      </c>
      <c r="C127" s="12">
        <v>50</v>
      </c>
      <c r="D127" s="14">
        <v>42052</v>
      </c>
      <c r="E127">
        <f t="shared" si="3"/>
        <v>2</v>
      </c>
    </row>
    <row r="128" spans="1:5" x14ac:dyDescent="0.35">
      <c r="A128" s="7">
        <v>52</v>
      </c>
      <c r="B128" s="8">
        <v>110</v>
      </c>
      <c r="C128" s="9">
        <v>19</v>
      </c>
      <c r="D128" s="14">
        <v>42053</v>
      </c>
      <c r="E128">
        <f t="shared" si="3"/>
        <v>2</v>
      </c>
    </row>
    <row r="129" spans="1:5" x14ac:dyDescent="0.35">
      <c r="A129" s="10">
        <v>104</v>
      </c>
      <c r="B129" s="11">
        <v>132</v>
      </c>
      <c r="C129" s="12">
        <v>57</v>
      </c>
      <c r="D129" s="14">
        <v>42054</v>
      </c>
      <c r="E129">
        <f t="shared" si="3"/>
        <v>2</v>
      </c>
    </row>
    <row r="130" spans="1:5" x14ac:dyDescent="0.35">
      <c r="A130" s="7">
        <v>57</v>
      </c>
      <c r="B130" s="8">
        <v>150</v>
      </c>
      <c r="C130" s="9">
        <v>36</v>
      </c>
      <c r="D130" s="14">
        <v>42055</v>
      </c>
      <c r="E130">
        <f t="shared" si="3"/>
        <v>2</v>
      </c>
    </row>
    <row r="131" spans="1:5" x14ac:dyDescent="0.35">
      <c r="A131" s="10">
        <v>86</v>
      </c>
      <c r="B131" s="11">
        <v>183</v>
      </c>
      <c r="C131" s="12">
        <v>0</v>
      </c>
      <c r="D131" s="14">
        <v>42056</v>
      </c>
      <c r="E131">
        <f t="shared" ref="E131:E184" si="4">MONTH(D131)</f>
        <v>2</v>
      </c>
    </row>
    <row r="132" spans="1:5" x14ac:dyDescent="0.35">
      <c r="A132" s="7">
        <v>108</v>
      </c>
      <c r="B132" s="8">
        <v>20</v>
      </c>
      <c r="C132" s="9">
        <v>87</v>
      </c>
      <c r="D132" s="14">
        <v>42057</v>
      </c>
      <c r="E132">
        <f t="shared" si="4"/>
        <v>2</v>
      </c>
    </row>
    <row r="133" spans="1:5" x14ac:dyDescent="0.35">
      <c r="A133" s="10">
        <v>102</v>
      </c>
      <c r="B133" s="11">
        <v>142</v>
      </c>
      <c r="C133" s="12">
        <v>20</v>
      </c>
      <c r="D133" s="14">
        <v>42058</v>
      </c>
      <c r="E133">
        <f t="shared" si="4"/>
        <v>2</v>
      </c>
    </row>
    <row r="134" spans="1:5" x14ac:dyDescent="0.35">
      <c r="A134" s="7">
        <v>81</v>
      </c>
      <c r="B134" s="8">
        <v>133</v>
      </c>
      <c r="C134" s="9">
        <v>25</v>
      </c>
      <c r="D134" s="14">
        <v>42059</v>
      </c>
      <c r="E134">
        <f t="shared" si="4"/>
        <v>2</v>
      </c>
    </row>
    <row r="135" spans="1:5" x14ac:dyDescent="0.35">
      <c r="A135" s="10">
        <v>59</v>
      </c>
      <c r="B135" s="11">
        <v>87</v>
      </c>
      <c r="C135" s="12">
        <v>10</v>
      </c>
      <c r="D135" s="14">
        <v>42060</v>
      </c>
      <c r="E135">
        <f t="shared" si="4"/>
        <v>2</v>
      </c>
    </row>
    <row r="136" spans="1:5" x14ac:dyDescent="0.35">
      <c r="A136" s="7">
        <v>21</v>
      </c>
      <c r="B136" s="8">
        <v>75</v>
      </c>
      <c r="C136" s="9">
        <v>65</v>
      </c>
      <c r="D136" s="14">
        <v>42061</v>
      </c>
      <c r="E136">
        <f t="shared" si="4"/>
        <v>2</v>
      </c>
    </row>
    <row r="137" spans="1:5" x14ac:dyDescent="0.35">
      <c r="A137" s="10">
        <v>79</v>
      </c>
      <c r="B137" s="11">
        <v>14</v>
      </c>
      <c r="C137" s="12">
        <v>27</v>
      </c>
      <c r="D137" s="14">
        <v>42062</v>
      </c>
      <c r="E137">
        <f t="shared" si="4"/>
        <v>2</v>
      </c>
    </row>
    <row r="138" spans="1:5" x14ac:dyDescent="0.35">
      <c r="A138" s="7">
        <v>56</v>
      </c>
      <c r="B138" s="8">
        <v>12</v>
      </c>
      <c r="C138" s="9">
        <v>25</v>
      </c>
      <c r="D138" s="14">
        <v>42063</v>
      </c>
      <c r="E138">
        <f t="shared" si="4"/>
        <v>2</v>
      </c>
    </row>
    <row r="139" spans="1:5" x14ac:dyDescent="0.35">
      <c r="A139" s="10">
        <v>195</v>
      </c>
      <c r="B139" s="11">
        <v>90</v>
      </c>
      <c r="C139" s="12">
        <v>56</v>
      </c>
      <c r="D139" s="14">
        <v>42064</v>
      </c>
      <c r="E139">
        <f t="shared" si="4"/>
        <v>3</v>
      </c>
    </row>
    <row r="140" spans="1:5" x14ac:dyDescent="0.35">
      <c r="A140" s="7">
        <v>113</v>
      </c>
      <c r="B140" s="8">
        <v>90</v>
      </c>
      <c r="C140" s="9">
        <v>24</v>
      </c>
      <c r="D140" s="14">
        <v>42065</v>
      </c>
      <c r="E140">
        <f t="shared" si="4"/>
        <v>3</v>
      </c>
    </row>
    <row r="141" spans="1:5" x14ac:dyDescent="0.35">
      <c r="A141" s="10">
        <v>93</v>
      </c>
      <c r="B141" s="11">
        <v>139</v>
      </c>
      <c r="C141" s="12">
        <v>47</v>
      </c>
      <c r="D141" s="14">
        <v>42066</v>
      </c>
      <c r="E141">
        <f t="shared" si="4"/>
        <v>3</v>
      </c>
    </row>
    <row r="142" spans="1:5" x14ac:dyDescent="0.35">
      <c r="A142" s="7">
        <v>93</v>
      </c>
      <c r="B142" s="8">
        <v>147</v>
      </c>
      <c r="C142" s="9">
        <v>26</v>
      </c>
      <c r="D142" s="14">
        <v>42067</v>
      </c>
      <c r="E142">
        <f t="shared" si="4"/>
        <v>3</v>
      </c>
    </row>
    <row r="143" spans="1:5" x14ac:dyDescent="0.35">
      <c r="A143" s="10">
        <v>79</v>
      </c>
      <c r="B143" s="11">
        <v>145</v>
      </c>
      <c r="C143" s="12">
        <v>36</v>
      </c>
      <c r="D143" s="14">
        <v>42068</v>
      </c>
      <c r="E143">
        <f t="shared" si="4"/>
        <v>3</v>
      </c>
    </row>
    <row r="144" spans="1:5" x14ac:dyDescent="0.35">
      <c r="A144" s="7">
        <v>148</v>
      </c>
      <c r="B144" s="8">
        <v>127</v>
      </c>
      <c r="C144" s="9">
        <v>27</v>
      </c>
      <c r="D144" s="14">
        <v>42069</v>
      </c>
      <c r="E144">
        <f t="shared" si="4"/>
        <v>3</v>
      </c>
    </row>
    <row r="145" spans="1:5" x14ac:dyDescent="0.35">
      <c r="A145" s="10">
        <v>132</v>
      </c>
      <c r="B145" s="11">
        <v>128</v>
      </c>
      <c r="C145" s="12">
        <v>37</v>
      </c>
      <c r="D145" s="14">
        <v>42070</v>
      </c>
      <c r="E145">
        <f t="shared" si="4"/>
        <v>3</v>
      </c>
    </row>
    <row r="146" spans="1:5" x14ac:dyDescent="0.35">
      <c r="A146" s="7">
        <v>22</v>
      </c>
      <c r="B146" s="8">
        <v>115</v>
      </c>
      <c r="C146" s="9">
        <v>28</v>
      </c>
      <c r="D146" s="14">
        <v>42071</v>
      </c>
      <c r="E146">
        <f t="shared" si="4"/>
        <v>3</v>
      </c>
    </row>
    <row r="147" spans="1:5" x14ac:dyDescent="0.35">
      <c r="A147" s="10">
        <v>50</v>
      </c>
      <c r="B147" s="11">
        <v>99</v>
      </c>
      <c r="C147" s="12">
        <v>78</v>
      </c>
      <c r="D147" s="14">
        <v>42072</v>
      </c>
      <c r="E147">
        <f t="shared" si="4"/>
        <v>3</v>
      </c>
    </row>
    <row r="148" spans="1:5" x14ac:dyDescent="0.35">
      <c r="A148" s="7">
        <v>178</v>
      </c>
      <c r="B148" s="8">
        <v>146</v>
      </c>
      <c r="C148" s="9">
        <v>75</v>
      </c>
      <c r="D148" s="14">
        <v>42073</v>
      </c>
      <c r="E148">
        <f t="shared" si="4"/>
        <v>3</v>
      </c>
    </row>
    <row r="149" spans="1:5" x14ac:dyDescent="0.35">
      <c r="A149" s="10">
        <v>97</v>
      </c>
      <c r="B149" s="11">
        <v>135</v>
      </c>
      <c r="C149" s="12">
        <v>66</v>
      </c>
      <c r="D149" s="14">
        <v>42074</v>
      </c>
      <c r="E149">
        <f t="shared" si="4"/>
        <v>3</v>
      </c>
    </row>
    <row r="150" spans="1:5" x14ac:dyDescent="0.35">
      <c r="A150" s="7">
        <v>138</v>
      </c>
      <c r="B150" s="8">
        <v>160</v>
      </c>
      <c r="C150" s="9">
        <v>6</v>
      </c>
      <c r="D150" s="14">
        <v>42075</v>
      </c>
      <c r="E150">
        <f t="shared" si="4"/>
        <v>3</v>
      </c>
    </row>
    <row r="151" spans="1:5" x14ac:dyDescent="0.35">
      <c r="A151" s="10">
        <v>194</v>
      </c>
      <c r="B151" s="11">
        <v>87</v>
      </c>
      <c r="C151" s="12">
        <v>60</v>
      </c>
      <c r="D151" s="14">
        <v>42076</v>
      </c>
      <c r="E151">
        <f t="shared" si="4"/>
        <v>3</v>
      </c>
    </row>
    <row r="152" spans="1:5" x14ac:dyDescent="0.35">
      <c r="A152" s="7">
        <v>86</v>
      </c>
      <c r="B152" s="8">
        <v>21</v>
      </c>
      <c r="C152" s="9">
        <v>45</v>
      </c>
      <c r="D152" s="14">
        <v>42077</v>
      </c>
      <c r="E152">
        <f t="shared" si="4"/>
        <v>3</v>
      </c>
    </row>
    <row r="153" spans="1:5" x14ac:dyDescent="0.35">
      <c r="A153" s="10">
        <v>26</v>
      </c>
      <c r="B153" s="11">
        <v>60</v>
      </c>
      <c r="C153" s="12">
        <v>44</v>
      </c>
      <c r="D153" s="14">
        <v>42078</v>
      </c>
      <c r="E153">
        <f t="shared" si="4"/>
        <v>3</v>
      </c>
    </row>
    <row r="154" spans="1:5" x14ac:dyDescent="0.35">
      <c r="A154" s="7">
        <v>28</v>
      </c>
      <c r="B154" s="8">
        <v>35</v>
      </c>
      <c r="C154" s="9">
        <v>96</v>
      </c>
      <c r="D154" s="14">
        <v>42079</v>
      </c>
      <c r="E154">
        <f t="shared" si="4"/>
        <v>3</v>
      </c>
    </row>
    <row r="155" spans="1:5" x14ac:dyDescent="0.35">
      <c r="A155" s="10">
        <v>53</v>
      </c>
      <c r="B155" s="11">
        <v>100</v>
      </c>
      <c r="C155" s="12">
        <v>64</v>
      </c>
      <c r="D155" s="14">
        <v>42080</v>
      </c>
      <c r="E155">
        <f t="shared" si="4"/>
        <v>3</v>
      </c>
    </row>
    <row r="156" spans="1:5" x14ac:dyDescent="0.35">
      <c r="A156" s="7">
        <v>168</v>
      </c>
      <c r="B156" s="8">
        <v>64</v>
      </c>
      <c r="C156" s="9">
        <v>46</v>
      </c>
      <c r="D156" s="14">
        <v>42081</v>
      </c>
      <c r="E156">
        <f t="shared" si="4"/>
        <v>3</v>
      </c>
    </row>
    <row r="157" spans="1:5" x14ac:dyDescent="0.35">
      <c r="A157" s="10">
        <v>77</v>
      </c>
      <c r="B157" s="11">
        <v>60</v>
      </c>
      <c r="C157" s="12">
        <v>35</v>
      </c>
      <c r="D157" s="14">
        <v>42082</v>
      </c>
      <c r="E157">
        <f t="shared" si="4"/>
        <v>3</v>
      </c>
    </row>
    <row r="158" spans="1:5" x14ac:dyDescent="0.35">
      <c r="A158" s="7">
        <v>17</v>
      </c>
      <c r="B158" s="8">
        <v>80</v>
      </c>
      <c r="C158" s="9">
        <v>30</v>
      </c>
      <c r="D158" s="14">
        <v>42083</v>
      </c>
      <c r="E158">
        <f t="shared" si="4"/>
        <v>3</v>
      </c>
    </row>
    <row r="159" spans="1:5" x14ac:dyDescent="0.35">
      <c r="A159" s="10">
        <v>175</v>
      </c>
      <c r="B159" s="11">
        <v>47</v>
      </c>
      <c r="C159" s="12">
        <v>25</v>
      </c>
      <c r="D159" s="14">
        <v>42084</v>
      </c>
      <c r="E159">
        <f t="shared" si="4"/>
        <v>3</v>
      </c>
    </row>
    <row r="160" spans="1:5" x14ac:dyDescent="0.35">
      <c r="A160" s="7">
        <v>164</v>
      </c>
      <c r="B160" s="8">
        <v>60</v>
      </c>
      <c r="C160" s="9">
        <v>22</v>
      </c>
      <c r="D160" s="14">
        <v>42085</v>
      </c>
      <c r="E160">
        <f t="shared" si="4"/>
        <v>3</v>
      </c>
    </row>
    <row r="161" spans="1:5" x14ac:dyDescent="0.35">
      <c r="A161" s="10">
        <v>199</v>
      </c>
      <c r="B161" s="11">
        <v>80</v>
      </c>
      <c r="C161" s="12">
        <v>45</v>
      </c>
      <c r="D161" s="14">
        <v>42086</v>
      </c>
      <c r="E161">
        <f t="shared" si="4"/>
        <v>3</v>
      </c>
    </row>
    <row r="162" spans="1:5" x14ac:dyDescent="0.35">
      <c r="A162" s="7">
        <v>111</v>
      </c>
      <c r="B162" s="8">
        <v>92</v>
      </c>
      <c r="C162" s="9">
        <v>45</v>
      </c>
      <c r="D162" s="14">
        <v>42087</v>
      </c>
      <c r="E162">
        <f t="shared" si="4"/>
        <v>3</v>
      </c>
    </row>
    <row r="163" spans="1:5" x14ac:dyDescent="0.35">
      <c r="A163" s="10">
        <v>58</v>
      </c>
      <c r="B163" s="11">
        <v>90</v>
      </c>
      <c r="C163" s="12">
        <v>40</v>
      </c>
      <c r="D163" s="14">
        <v>42088</v>
      </c>
      <c r="E163">
        <f t="shared" si="4"/>
        <v>3</v>
      </c>
    </row>
    <row r="164" spans="1:5" x14ac:dyDescent="0.35">
      <c r="A164" s="7">
        <v>59</v>
      </c>
      <c r="B164" s="8">
        <v>164</v>
      </c>
      <c r="C164" s="9">
        <v>47</v>
      </c>
      <c r="D164" s="14">
        <v>42089</v>
      </c>
      <c r="E164">
        <f t="shared" si="4"/>
        <v>3</v>
      </c>
    </row>
    <row r="165" spans="1:5" x14ac:dyDescent="0.35">
      <c r="A165" s="10">
        <v>158</v>
      </c>
      <c r="B165" s="11">
        <v>120</v>
      </c>
      <c r="C165" s="12">
        <v>30</v>
      </c>
      <c r="D165" s="14">
        <v>42090</v>
      </c>
      <c r="E165">
        <f t="shared" si="4"/>
        <v>3</v>
      </c>
    </row>
    <row r="166" spans="1:5" x14ac:dyDescent="0.35">
      <c r="A166" s="7">
        <v>84</v>
      </c>
      <c r="B166" s="8">
        <v>90</v>
      </c>
      <c r="C166" s="9">
        <v>30</v>
      </c>
      <c r="D166" s="14">
        <v>42091</v>
      </c>
      <c r="E166">
        <f t="shared" si="4"/>
        <v>3</v>
      </c>
    </row>
    <row r="167" spans="1:5" x14ac:dyDescent="0.35">
      <c r="A167" s="10">
        <v>64</v>
      </c>
      <c r="B167" s="11">
        <v>61</v>
      </c>
      <c r="C167" s="12">
        <v>60</v>
      </c>
      <c r="D167" s="14">
        <v>42092</v>
      </c>
      <c r="E167">
        <f t="shared" si="4"/>
        <v>3</v>
      </c>
    </row>
    <row r="168" spans="1:5" x14ac:dyDescent="0.35">
      <c r="A168" s="7">
        <v>125</v>
      </c>
      <c r="B168" s="8">
        <v>84</v>
      </c>
      <c r="C168" s="9">
        <v>40</v>
      </c>
      <c r="D168" s="14">
        <v>42093</v>
      </c>
      <c r="E168">
        <f t="shared" si="4"/>
        <v>3</v>
      </c>
    </row>
    <row r="169" spans="1:5" x14ac:dyDescent="0.35">
      <c r="A169" s="10">
        <v>148</v>
      </c>
      <c r="B169" s="11">
        <v>110</v>
      </c>
      <c r="C169" s="12">
        <v>50</v>
      </c>
      <c r="D169" s="14">
        <v>42094</v>
      </c>
      <c r="E169">
        <f t="shared" si="4"/>
        <v>3</v>
      </c>
    </row>
    <row r="170" spans="1:5" x14ac:dyDescent="0.35">
      <c r="A170" s="7">
        <v>172</v>
      </c>
      <c r="B170" s="8">
        <v>100</v>
      </c>
      <c r="C170" s="9">
        <v>30</v>
      </c>
      <c r="D170" s="14">
        <v>42095</v>
      </c>
      <c r="E170">
        <f t="shared" si="4"/>
        <v>4</v>
      </c>
    </row>
    <row r="171" spans="1:5" x14ac:dyDescent="0.35">
      <c r="A171" s="10">
        <v>103</v>
      </c>
      <c r="B171" s="11">
        <v>60</v>
      </c>
      <c r="C171" s="12">
        <v>40</v>
      </c>
      <c r="D171" s="14">
        <v>42096</v>
      </c>
      <c r="E171">
        <f t="shared" si="4"/>
        <v>4</v>
      </c>
    </row>
    <row r="172" spans="1:5" x14ac:dyDescent="0.35">
      <c r="A172" s="7">
        <v>191</v>
      </c>
      <c r="B172" s="8">
        <v>41</v>
      </c>
      <c r="C172" s="9">
        <v>52</v>
      </c>
      <c r="D172" s="14">
        <v>42097</v>
      </c>
      <c r="E172">
        <f t="shared" si="4"/>
        <v>4</v>
      </c>
    </row>
    <row r="173" spans="1:5" x14ac:dyDescent="0.35">
      <c r="A173" s="10">
        <v>128</v>
      </c>
      <c r="B173" s="11">
        <v>98</v>
      </c>
      <c r="C173" s="12">
        <v>40</v>
      </c>
      <c r="D173" s="14">
        <v>42098</v>
      </c>
      <c r="E173">
        <f t="shared" si="4"/>
        <v>4</v>
      </c>
    </row>
    <row r="174" spans="1:5" x14ac:dyDescent="0.35">
      <c r="A174" s="7">
        <v>75</v>
      </c>
      <c r="B174" s="8">
        <v>87</v>
      </c>
      <c r="C174" s="9">
        <v>47</v>
      </c>
      <c r="D174" s="14">
        <v>42099</v>
      </c>
      <c r="E174">
        <f t="shared" si="4"/>
        <v>4</v>
      </c>
    </row>
    <row r="175" spans="1:5" x14ac:dyDescent="0.35">
      <c r="A175" s="10">
        <v>38</v>
      </c>
      <c r="B175" s="11">
        <v>100</v>
      </c>
      <c r="C175" s="12">
        <v>50</v>
      </c>
      <c r="D175" s="14">
        <v>42100</v>
      </c>
      <c r="E175">
        <f t="shared" si="4"/>
        <v>4</v>
      </c>
    </row>
    <row r="176" spans="1:5" x14ac:dyDescent="0.35">
      <c r="A176" s="7">
        <v>80</v>
      </c>
      <c r="B176" s="8">
        <v>40</v>
      </c>
      <c r="C176" s="9">
        <v>30</v>
      </c>
      <c r="D176" s="14">
        <v>42101</v>
      </c>
      <c r="E176">
        <f t="shared" si="4"/>
        <v>4</v>
      </c>
    </row>
    <row r="177" spans="1:5" x14ac:dyDescent="0.35">
      <c r="A177" s="10">
        <v>55</v>
      </c>
      <c r="B177" s="11">
        <v>60</v>
      </c>
      <c r="C177" s="12">
        <v>50</v>
      </c>
      <c r="D177" s="14">
        <v>42102</v>
      </c>
      <c r="E177">
        <f t="shared" si="4"/>
        <v>4</v>
      </c>
    </row>
    <row r="178" spans="1:5" x14ac:dyDescent="0.35">
      <c r="A178" s="7">
        <v>10</v>
      </c>
      <c r="B178" s="8">
        <v>80</v>
      </c>
      <c r="C178" s="9">
        <v>48</v>
      </c>
      <c r="D178" s="14">
        <v>42103</v>
      </c>
      <c r="E178">
        <f t="shared" si="4"/>
        <v>4</v>
      </c>
    </row>
    <row r="179" spans="1:5" x14ac:dyDescent="0.35">
      <c r="A179" s="10">
        <v>95</v>
      </c>
      <c r="B179" s="11">
        <v>60</v>
      </c>
      <c r="C179" s="12">
        <v>51</v>
      </c>
      <c r="D179" s="14">
        <v>42104</v>
      </c>
      <c r="E179">
        <f t="shared" si="4"/>
        <v>4</v>
      </c>
    </row>
    <row r="180" spans="1:5" x14ac:dyDescent="0.35">
      <c r="A180" s="7">
        <v>90</v>
      </c>
      <c r="B180" s="8">
        <v>100</v>
      </c>
      <c r="C180" s="9">
        <v>50</v>
      </c>
      <c r="D180" s="14">
        <v>42105</v>
      </c>
      <c r="E180">
        <f t="shared" si="4"/>
        <v>4</v>
      </c>
    </row>
    <row r="181" spans="1:5" x14ac:dyDescent="0.35">
      <c r="A181" s="10">
        <v>186</v>
      </c>
      <c r="B181" s="11">
        <v>60</v>
      </c>
      <c r="C181" s="12">
        <v>92</v>
      </c>
      <c r="D181" s="14">
        <v>42106</v>
      </c>
      <c r="E181">
        <f t="shared" si="4"/>
        <v>4</v>
      </c>
    </row>
    <row r="182" spans="1:5" x14ac:dyDescent="0.35">
      <c r="A182" s="7">
        <v>2</v>
      </c>
      <c r="B182" s="8">
        <v>40</v>
      </c>
      <c r="C182" s="9">
        <v>50</v>
      </c>
      <c r="D182" s="14">
        <v>42107</v>
      </c>
      <c r="E182">
        <f t="shared" si="4"/>
        <v>4</v>
      </c>
    </row>
    <row r="183" spans="1:5" x14ac:dyDescent="0.35">
      <c r="A183" s="10">
        <v>136</v>
      </c>
      <c r="B183" s="11">
        <v>20</v>
      </c>
      <c r="C183" s="12">
        <v>66</v>
      </c>
      <c r="D183" s="14">
        <v>42108</v>
      </c>
      <c r="E183">
        <f t="shared" si="4"/>
        <v>4</v>
      </c>
    </row>
    <row r="184" spans="1:5" x14ac:dyDescent="0.35">
      <c r="A184" s="1">
        <v>4</v>
      </c>
      <c r="B184" s="2">
        <v>20</v>
      </c>
      <c r="C184" s="3">
        <v>10</v>
      </c>
      <c r="D184" s="14">
        <v>42109</v>
      </c>
      <c r="E184">
        <f t="shared" si="4"/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89D6-BC2E-4CAF-8E01-F4AF393E9DEC}">
  <dimension ref="A1:O184"/>
  <sheetViews>
    <sheetView tabSelected="1" zoomScale="105" workbookViewId="0">
      <selection activeCell="I2" sqref="I2"/>
    </sheetView>
  </sheetViews>
  <sheetFormatPr defaultRowHeight="14.5" x14ac:dyDescent="0.35"/>
  <cols>
    <col min="1" max="1" width="14.1796875" bestFit="1" customWidth="1"/>
    <col min="2" max="2" width="14.54296875" bestFit="1" customWidth="1"/>
    <col min="3" max="3" width="12.08984375" bestFit="1" customWidth="1"/>
    <col min="4" max="4" width="10.08984375" bestFit="1" customWidth="1"/>
    <col min="5" max="5" width="7" bestFit="1" customWidth="1"/>
    <col min="6" max="9" width="7" customWidth="1"/>
    <col min="10" max="10" width="30.26953125" bestFit="1" customWidth="1"/>
    <col min="11" max="11" width="28.26953125" bestFit="1" customWidth="1"/>
    <col min="12" max="12" width="19" bestFit="1" customWidth="1"/>
    <col min="13" max="13" width="22.36328125" bestFit="1" customWidth="1"/>
    <col min="14" max="14" width="18.81640625" bestFit="1" customWidth="1"/>
    <col min="15" max="15" width="9.08984375" bestFit="1" customWidth="1"/>
  </cols>
  <sheetData>
    <row r="1" spans="1:14" x14ac:dyDescent="0.35">
      <c r="A1" s="4" t="s">
        <v>0</v>
      </c>
      <c r="B1" s="5" t="s">
        <v>1</v>
      </c>
      <c r="C1" s="6" t="s">
        <v>2</v>
      </c>
      <c r="D1" s="13" t="s">
        <v>3</v>
      </c>
      <c r="E1" s="13" t="s">
        <v>4</v>
      </c>
      <c r="F1" s="13">
        <v>80</v>
      </c>
      <c r="G1" s="13">
        <v>80</v>
      </c>
      <c r="H1" s="13">
        <v>80</v>
      </c>
      <c r="I1" s="13"/>
      <c r="J1" s="13"/>
      <c r="K1" t="s">
        <v>14</v>
      </c>
    </row>
    <row r="2" spans="1:14" x14ac:dyDescent="0.35">
      <c r="A2" s="7">
        <v>200</v>
      </c>
      <c r="B2" s="8">
        <v>120</v>
      </c>
      <c r="C2" s="9">
        <v>81</v>
      </c>
      <c r="D2" s="14">
        <v>41927</v>
      </c>
      <c r="E2">
        <f>MONTH(D2)</f>
        <v>10</v>
      </c>
      <c r="F2">
        <f>IF(F1+A2&gt;200, F1+A2 -200, F1+A2)</f>
        <v>80</v>
      </c>
      <c r="G2">
        <f>IF(AND(A2+F1 &lt; 200, B2+G1 &gt; 260), B2+G1 - 260, B2+G1)</f>
        <v>200</v>
      </c>
      <c r="H2">
        <f>IF(AND(A2+F1&lt;200,B2+G1&lt;260,H1+C2&gt;320),C2+H1-320,C2+H1)</f>
        <v>161</v>
      </c>
      <c r="I2">
        <f>IF(AND(F1+A2&lt;200,G1+B2&lt;260,H1+C2&lt;320),1,0)</f>
        <v>0</v>
      </c>
      <c r="J2" s="15">
        <f>IF(H2&lt;H1, 1, 0)</f>
        <v>0</v>
      </c>
      <c r="K2">
        <f>SUM(I2:I184)</f>
        <v>4</v>
      </c>
    </row>
    <row r="3" spans="1:14" x14ac:dyDescent="0.35">
      <c r="A3" s="10">
        <v>100</v>
      </c>
      <c r="B3" s="11">
        <v>135</v>
      </c>
      <c r="C3" s="12">
        <v>33</v>
      </c>
      <c r="D3" s="14">
        <v>41928</v>
      </c>
      <c r="E3">
        <f t="shared" ref="E3:E66" si="0">MONTH(D3)</f>
        <v>10</v>
      </c>
      <c r="F3">
        <f t="shared" ref="F3:F66" si="1">IF(F2+A3&gt;200, F2+A3 -200, F2+A3)</f>
        <v>180</v>
      </c>
      <c r="G3">
        <f t="shared" ref="G3:G66" si="2">IF(AND(A3+F2 &lt; 200, B3+G2 &gt; 260), B3+G2 - 260, B3+G2)</f>
        <v>75</v>
      </c>
      <c r="H3">
        <f t="shared" ref="H3:H66" si="3">IF(AND(A3+F2&lt;200,B3+G2&lt;260,H2+C3&gt;320),C3+H2-320,C3+H2)</f>
        <v>194</v>
      </c>
      <c r="I3">
        <f t="shared" ref="I3:I66" si="4">IF(AND(F3&gt;F2,G3&gt;G2,H3&gt;H2),1,0)</f>
        <v>0</v>
      </c>
      <c r="J3" s="15">
        <f t="shared" ref="J3:J15" si="5">IF(H3&lt;H2, 1, 0)</f>
        <v>0</v>
      </c>
    </row>
    <row r="4" spans="1:14" x14ac:dyDescent="0.35">
      <c r="A4" s="7">
        <v>50</v>
      </c>
      <c r="B4" s="8">
        <v>29</v>
      </c>
      <c r="C4" s="9">
        <v>85</v>
      </c>
      <c r="D4" s="14">
        <v>41929</v>
      </c>
      <c r="E4">
        <f t="shared" si="0"/>
        <v>10</v>
      </c>
      <c r="F4">
        <f t="shared" si="1"/>
        <v>30</v>
      </c>
      <c r="G4">
        <f t="shared" si="2"/>
        <v>104</v>
      </c>
      <c r="H4">
        <f t="shared" si="3"/>
        <v>279</v>
      </c>
      <c r="I4">
        <f t="shared" si="4"/>
        <v>0</v>
      </c>
      <c r="J4" s="15">
        <f t="shared" si="5"/>
        <v>0</v>
      </c>
    </row>
    <row r="5" spans="1:14" x14ac:dyDescent="0.35">
      <c r="A5" s="10">
        <v>68</v>
      </c>
      <c r="B5" s="11">
        <v>107</v>
      </c>
      <c r="C5" s="12">
        <v>84</v>
      </c>
      <c r="D5" s="14">
        <v>41930</v>
      </c>
      <c r="E5">
        <f t="shared" si="0"/>
        <v>10</v>
      </c>
      <c r="F5">
        <f t="shared" si="1"/>
        <v>98</v>
      </c>
      <c r="G5">
        <f t="shared" si="2"/>
        <v>211</v>
      </c>
      <c r="H5">
        <f t="shared" si="3"/>
        <v>43</v>
      </c>
      <c r="I5">
        <f t="shared" si="4"/>
        <v>0</v>
      </c>
      <c r="J5" s="15">
        <f t="shared" si="5"/>
        <v>1</v>
      </c>
    </row>
    <row r="6" spans="1:14" x14ac:dyDescent="0.35">
      <c r="A6" s="7">
        <v>75</v>
      </c>
      <c r="B6" s="8">
        <v>49</v>
      </c>
      <c r="C6" s="9">
        <v>23</v>
      </c>
      <c r="D6" s="14">
        <v>41931</v>
      </c>
      <c r="E6">
        <f t="shared" si="0"/>
        <v>10</v>
      </c>
      <c r="F6">
        <f t="shared" si="1"/>
        <v>173</v>
      </c>
      <c r="G6">
        <f t="shared" si="2"/>
        <v>260</v>
      </c>
      <c r="H6">
        <f t="shared" si="3"/>
        <v>66</v>
      </c>
      <c r="I6">
        <f t="shared" si="4"/>
        <v>1</v>
      </c>
      <c r="J6" s="15">
        <f t="shared" si="5"/>
        <v>0</v>
      </c>
    </row>
    <row r="7" spans="1:14" x14ac:dyDescent="0.35">
      <c r="A7" s="10">
        <v>109</v>
      </c>
      <c r="B7" s="11">
        <v>90</v>
      </c>
      <c r="C7" s="12">
        <v>48</v>
      </c>
      <c r="D7" s="14">
        <v>41932</v>
      </c>
      <c r="E7">
        <f t="shared" si="0"/>
        <v>10</v>
      </c>
      <c r="F7">
        <f t="shared" si="1"/>
        <v>82</v>
      </c>
      <c r="G7">
        <f t="shared" si="2"/>
        <v>350</v>
      </c>
      <c r="H7">
        <f t="shared" si="3"/>
        <v>114</v>
      </c>
      <c r="I7">
        <f t="shared" si="4"/>
        <v>0</v>
      </c>
      <c r="J7" s="15">
        <f t="shared" si="5"/>
        <v>0</v>
      </c>
    </row>
    <row r="8" spans="1:14" x14ac:dyDescent="0.35">
      <c r="A8" s="7">
        <v>161</v>
      </c>
      <c r="B8" s="8">
        <v>2</v>
      </c>
      <c r="C8" s="9">
        <v>16</v>
      </c>
      <c r="D8" s="14">
        <v>41933</v>
      </c>
      <c r="E8">
        <f t="shared" si="0"/>
        <v>10</v>
      </c>
      <c r="F8">
        <f t="shared" si="1"/>
        <v>43</v>
      </c>
      <c r="G8">
        <f t="shared" si="2"/>
        <v>352</v>
      </c>
      <c r="H8">
        <f t="shared" si="3"/>
        <v>130</v>
      </c>
      <c r="I8">
        <f t="shared" si="4"/>
        <v>0</v>
      </c>
      <c r="J8" s="15">
        <f t="shared" si="5"/>
        <v>0</v>
      </c>
    </row>
    <row r="9" spans="1:14" x14ac:dyDescent="0.35">
      <c r="A9" s="10">
        <v>97</v>
      </c>
      <c r="B9" s="11">
        <v>129</v>
      </c>
      <c r="C9" s="12">
        <v>43</v>
      </c>
      <c r="D9" s="14">
        <v>41934</v>
      </c>
      <c r="E9">
        <f t="shared" si="0"/>
        <v>10</v>
      </c>
      <c r="F9">
        <f t="shared" si="1"/>
        <v>140</v>
      </c>
      <c r="G9">
        <f t="shared" si="2"/>
        <v>221</v>
      </c>
      <c r="H9">
        <f t="shared" si="3"/>
        <v>173</v>
      </c>
      <c r="I9">
        <f t="shared" si="4"/>
        <v>0</v>
      </c>
      <c r="J9" s="15">
        <f t="shared" si="5"/>
        <v>0</v>
      </c>
      <c r="L9" t="s">
        <v>5</v>
      </c>
      <c r="M9" t="s">
        <v>6</v>
      </c>
      <c r="N9" t="s">
        <v>7</v>
      </c>
    </row>
    <row r="10" spans="1:14" x14ac:dyDescent="0.35">
      <c r="A10" s="7">
        <v>25</v>
      </c>
      <c r="B10" s="8">
        <v>186</v>
      </c>
      <c r="C10" s="9">
        <v>4</v>
      </c>
      <c r="D10" s="14">
        <v>41935</v>
      </c>
      <c r="E10">
        <f t="shared" si="0"/>
        <v>10</v>
      </c>
      <c r="F10">
        <f t="shared" si="1"/>
        <v>165</v>
      </c>
      <c r="G10">
        <f t="shared" si="2"/>
        <v>147</v>
      </c>
      <c r="H10">
        <f t="shared" si="3"/>
        <v>177</v>
      </c>
      <c r="I10">
        <f t="shared" si="4"/>
        <v>0</v>
      </c>
      <c r="J10" s="15">
        <f t="shared" si="5"/>
        <v>0</v>
      </c>
      <c r="K10" s="13">
        <v>10</v>
      </c>
      <c r="L10">
        <f>SUMIF($E$2:$E$184, $K10, A$2:A$184)</f>
        <v>1742</v>
      </c>
      <c r="M10">
        <f>SUMIF($E$2:$E$184, $K10, B$2:B$184)</f>
        <v>1658</v>
      </c>
      <c r="N10">
        <f>SUMIF($E$2:$E$184, $K10, C$2:C$184)</f>
        <v>915</v>
      </c>
    </row>
    <row r="11" spans="1:14" x14ac:dyDescent="0.35">
      <c r="A11" s="10">
        <v>113</v>
      </c>
      <c r="B11" s="11">
        <v>97</v>
      </c>
      <c r="C11" s="12">
        <v>97</v>
      </c>
      <c r="D11" s="14">
        <v>41936</v>
      </c>
      <c r="E11">
        <f t="shared" si="0"/>
        <v>10</v>
      </c>
      <c r="F11">
        <f t="shared" si="1"/>
        <v>78</v>
      </c>
      <c r="G11">
        <f t="shared" si="2"/>
        <v>244</v>
      </c>
      <c r="H11">
        <f t="shared" si="3"/>
        <v>274</v>
      </c>
      <c r="I11">
        <f t="shared" si="4"/>
        <v>0</v>
      </c>
      <c r="J11" s="15">
        <f t="shared" si="5"/>
        <v>0</v>
      </c>
      <c r="K11" s="15">
        <v>11</v>
      </c>
      <c r="L11">
        <f>SUMIF($E$2:$E$184, $K11, A$2:A$184)</f>
        <v>2756</v>
      </c>
      <c r="M11">
        <f>SUMIF($E$2:$E$184, $K11, B$2:B$184)</f>
        <v>2884</v>
      </c>
      <c r="N11">
        <f>SUMIF($E$2:$E$184, $K11, C$2:C$184)</f>
        <v>1750</v>
      </c>
    </row>
    <row r="12" spans="1:14" x14ac:dyDescent="0.35">
      <c r="A12" s="7">
        <v>70</v>
      </c>
      <c r="B12" s="8">
        <v>12</v>
      </c>
      <c r="C12" s="9">
        <v>53</v>
      </c>
      <c r="D12" s="14">
        <v>41937</v>
      </c>
      <c r="E12">
        <f t="shared" si="0"/>
        <v>10</v>
      </c>
      <c r="F12">
        <f t="shared" si="1"/>
        <v>148</v>
      </c>
      <c r="G12">
        <f t="shared" si="2"/>
        <v>256</v>
      </c>
      <c r="H12">
        <f t="shared" si="3"/>
        <v>7</v>
      </c>
      <c r="I12">
        <f t="shared" si="4"/>
        <v>0</v>
      </c>
      <c r="J12" s="15">
        <f t="shared" si="5"/>
        <v>1</v>
      </c>
      <c r="K12">
        <v>12</v>
      </c>
      <c r="L12">
        <f>SUMIF($E$2:$E$184, $K12, A$2:A$184)</f>
        <v>2696</v>
      </c>
      <c r="M12">
        <f>SUMIF($E$2:$E$184, $K12, B$2:B$184)</f>
        <v>2749</v>
      </c>
      <c r="N12">
        <f>SUMIF($E$2:$E$184, $K12, C$2:C$184)</f>
        <v>1586</v>
      </c>
    </row>
    <row r="13" spans="1:14" x14ac:dyDescent="0.35">
      <c r="A13" s="10">
        <v>117</v>
      </c>
      <c r="B13" s="11">
        <v>142</v>
      </c>
      <c r="C13" s="12">
        <v>90</v>
      </c>
      <c r="D13" s="14">
        <v>41938</v>
      </c>
      <c r="E13">
        <f t="shared" si="0"/>
        <v>10</v>
      </c>
      <c r="F13">
        <f t="shared" si="1"/>
        <v>65</v>
      </c>
      <c r="G13">
        <f t="shared" si="2"/>
        <v>398</v>
      </c>
      <c r="H13">
        <f t="shared" si="3"/>
        <v>97</v>
      </c>
      <c r="I13">
        <f t="shared" si="4"/>
        <v>0</v>
      </c>
      <c r="J13" s="15">
        <f t="shared" si="5"/>
        <v>0</v>
      </c>
      <c r="K13">
        <v>1</v>
      </c>
      <c r="L13">
        <f>SUMIF($E$2:$E$184, $K13, A$2:A$184)</f>
        <v>2990</v>
      </c>
      <c r="M13">
        <f>SUMIF($E$2:$E$184, $K13, B$2:B$184)</f>
        <v>2870</v>
      </c>
      <c r="N13">
        <f>SUMIF($E$2:$E$184, $K13, C$2:C$184)</f>
        <v>1646</v>
      </c>
    </row>
    <row r="14" spans="1:14" x14ac:dyDescent="0.35">
      <c r="A14" s="7">
        <v>189</v>
      </c>
      <c r="B14" s="8">
        <v>28</v>
      </c>
      <c r="C14" s="9">
        <v>43</v>
      </c>
      <c r="D14" s="14">
        <v>41939</v>
      </c>
      <c r="E14">
        <f t="shared" si="0"/>
        <v>10</v>
      </c>
      <c r="F14">
        <f t="shared" si="1"/>
        <v>54</v>
      </c>
      <c r="G14">
        <f t="shared" si="2"/>
        <v>426</v>
      </c>
      <c r="H14">
        <f t="shared" si="3"/>
        <v>140</v>
      </c>
      <c r="I14">
        <f t="shared" si="4"/>
        <v>0</v>
      </c>
      <c r="J14" s="15">
        <f t="shared" si="5"/>
        <v>0</v>
      </c>
      <c r="K14">
        <v>2</v>
      </c>
      <c r="L14">
        <f>SUMIF($E$2:$E$184, $K14, A$2:A$184)</f>
        <v>2579</v>
      </c>
      <c r="M14">
        <f>SUMIF($E$2:$E$184, $K14, B$2:B$184)</f>
        <v>2651</v>
      </c>
      <c r="N14">
        <f>SUMIF($E$2:$E$184, $K14, C$2:C$184)</f>
        <v>1252</v>
      </c>
    </row>
    <row r="15" spans="1:14" x14ac:dyDescent="0.35">
      <c r="A15" s="10">
        <v>140</v>
      </c>
      <c r="B15" s="11">
        <v>191</v>
      </c>
      <c r="C15" s="12">
        <v>40</v>
      </c>
      <c r="D15" s="14">
        <v>41940</v>
      </c>
      <c r="E15">
        <f t="shared" si="0"/>
        <v>10</v>
      </c>
      <c r="F15">
        <f t="shared" si="1"/>
        <v>194</v>
      </c>
      <c r="G15">
        <f t="shared" si="2"/>
        <v>357</v>
      </c>
      <c r="H15">
        <f t="shared" si="3"/>
        <v>180</v>
      </c>
      <c r="I15">
        <f t="shared" si="4"/>
        <v>0</v>
      </c>
      <c r="J15" s="15">
        <f t="shared" si="5"/>
        <v>0</v>
      </c>
      <c r="K15">
        <v>3</v>
      </c>
      <c r="L15">
        <f>SUMIF($E$2:$E$184, $K15, A$2:A$184)</f>
        <v>3332</v>
      </c>
      <c r="M15">
        <f>SUMIF($E$2:$E$184, $K15, B$2:B$184)</f>
        <v>3026</v>
      </c>
      <c r="N15">
        <f>SUMIF($E$2:$E$184, $K15, C$2:C$184)</f>
        <v>1360</v>
      </c>
    </row>
    <row r="16" spans="1:14" x14ac:dyDescent="0.35">
      <c r="A16" s="7">
        <v>167</v>
      </c>
      <c r="B16" s="8">
        <v>48</v>
      </c>
      <c r="C16" s="9">
        <v>30</v>
      </c>
      <c r="D16" s="14">
        <v>41941</v>
      </c>
      <c r="E16">
        <f t="shared" si="0"/>
        <v>10</v>
      </c>
      <c r="F16">
        <f t="shared" si="1"/>
        <v>161</v>
      </c>
      <c r="G16">
        <f t="shared" si="2"/>
        <v>405</v>
      </c>
      <c r="H16">
        <f t="shared" si="3"/>
        <v>210</v>
      </c>
      <c r="I16">
        <f t="shared" si="4"/>
        <v>0</v>
      </c>
      <c r="K16">
        <v>4</v>
      </c>
      <c r="L16">
        <f>SUMIF($E$2:$E$184, $K16, A$2:A$184)</f>
        <v>1365</v>
      </c>
      <c r="M16">
        <f>SUMIF($E$2:$E$184, $K16, B$2:B$184)</f>
        <v>966</v>
      </c>
      <c r="N16">
        <f>SUMIF($E$2:$E$184, $K16, C$2:C$184)</f>
        <v>706</v>
      </c>
    </row>
    <row r="17" spans="1:15" x14ac:dyDescent="0.35">
      <c r="A17" s="10">
        <v>0</v>
      </c>
      <c r="B17" s="11">
        <v>154</v>
      </c>
      <c r="C17" s="12">
        <v>68</v>
      </c>
      <c r="D17" s="14">
        <v>41942</v>
      </c>
      <c r="E17">
        <f t="shared" si="0"/>
        <v>10</v>
      </c>
      <c r="F17">
        <f t="shared" si="1"/>
        <v>161</v>
      </c>
      <c r="G17">
        <f t="shared" si="2"/>
        <v>299</v>
      </c>
      <c r="H17">
        <f t="shared" si="3"/>
        <v>278</v>
      </c>
      <c r="I17">
        <f t="shared" si="4"/>
        <v>0</v>
      </c>
      <c r="L17">
        <f>SUM(L10:L16)</f>
        <v>17460</v>
      </c>
      <c r="M17">
        <f t="shared" ref="M17:N17" si="6">SUM(M10:M16)</f>
        <v>16804</v>
      </c>
      <c r="N17">
        <f t="shared" si="6"/>
        <v>9215</v>
      </c>
    </row>
    <row r="18" spans="1:15" x14ac:dyDescent="0.35">
      <c r="A18" s="7">
        <v>61</v>
      </c>
      <c r="B18" s="8">
        <v>139</v>
      </c>
      <c r="C18" s="9">
        <v>77</v>
      </c>
      <c r="D18" s="14">
        <v>41943</v>
      </c>
      <c r="E18">
        <f t="shared" si="0"/>
        <v>10</v>
      </c>
      <c r="F18">
        <f t="shared" si="1"/>
        <v>22</v>
      </c>
      <c r="G18">
        <f t="shared" si="2"/>
        <v>438</v>
      </c>
      <c r="H18">
        <f t="shared" si="3"/>
        <v>355</v>
      </c>
      <c r="I18">
        <f t="shared" si="4"/>
        <v>0</v>
      </c>
      <c r="K18" t="s">
        <v>8</v>
      </c>
      <c r="L18">
        <f>L17*685</f>
        <v>11960100</v>
      </c>
      <c r="M18">
        <f>M17*620</f>
        <v>10418480</v>
      </c>
      <c r="N18">
        <f>N17*380</f>
        <v>3501700</v>
      </c>
      <c r="O18">
        <f>SUM(L18:N18)</f>
        <v>25880280</v>
      </c>
    </row>
    <row r="19" spans="1:15" x14ac:dyDescent="0.35">
      <c r="A19" s="10">
        <v>18</v>
      </c>
      <c r="B19" s="11">
        <v>163</v>
      </c>
      <c r="C19" s="12">
        <v>75</v>
      </c>
      <c r="D19" s="14">
        <v>41944</v>
      </c>
      <c r="E19">
        <f t="shared" si="0"/>
        <v>11</v>
      </c>
      <c r="F19">
        <f t="shared" si="1"/>
        <v>40</v>
      </c>
      <c r="G19">
        <f t="shared" si="2"/>
        <v>341</v>
      </c>
      <c r="H19">
        <f t="shared" si="3"/>
        <v>430</v>
      </c>
      <c r="I19">
        <f t="shared" si="4"/>
        <v>0</v>
      </c>
      <c r="K19" t="s">
        <v>11</v>
      </c>
      <c r="L19">
        <f>L17+80</f>
        <v>17540</v>
      </c>
      <c r="M19">
        <f>M17+80</f>
        <v>16884</v>
      </c>
      <c r="N19">
        <v>9280</v>
      </c>
    </row>
    <row r="20" spans="1:15" x14ac:dyDescent="0.35">
      <c r="A20" s="7">
        <v>43</v>
      </c>
      <c r="B20" s="8">
        <v>169</v>
      </c>
      <c r="C20" s="9">
        <v>0</v>
      </c>
      <c r="D20" s="14">
        <v>41945</v>
      </c>
      <c r="E20">
        <f t="shared" si="0"/>
        <v>11</v>
      </c>
      <c r="F20">
        <f t="shared" si="1"/>
        <v>83</v>
      </c>
      <c r="G20">
        <f t="shared" si="2"/>
        <v>250</v>
      </c>
      <c r="H20">
        <f t="shared" si="3"/>
        <v>430</v>
      </c>
      <c r="I20">
        <f t="shared" si="4"/>
        <v>0</v>
      </c>
      <c r="K20" t="s">
        <v>9</v>
      </c>
      <c r="L20">
        <f>SUM(L18:N18)</f>
        <v>25880280</v>
      </c>
    </row>
    <row r="21" spans="1:15" x14ac:dyDescent="0.35">
      <c r="A21" s="10">
        <v>160</v>
      </c>
      <c r="B21" s="11">
        <v>135</v>
      </c>
      <c r="C21" s="12">
        <v>34</v>
      </c>
      <c r="D21" s="14">
        <v>41946</v>
      </c>
      <c r="E21">
        <f t="shared" si="0"/>
        <v>11</v>
      </c>
      <c r="F21">
        <f t="shared" si="1"/>
        <v>43</v>
      </c>
      <c r="G21">
        <f t="shared" si="2"/>
        <v>385</v>
      </c>
      <c r="H21">
        <f t="shared" si="3"/>
        <v>464</v>
      </c>
      <c r="I21">
        <f t="shared" si="4"/>
        <v>0</v>
      </c>
      <c r="L21" t="s">
        <v>12</v>
      </c>
      <c r="M21" t="s">
        <v>13</v>
      </c>
    </row>
    <row r="22" spans="1:15" x14ac:dyDescent="0.35">
      <c r="A22" s="7">
        <v>150</v>
      </c>
      <c r="B22" s="8">
        <v>89</v>
      </c>
      <c r="C22" s="9">
        <v>17</v>
      </c>
      <c r="D22" s="14">
        <v>41947</v>
      </c>
      <c r="E22">
        <f t="shared" si="0"/>
        <v>11</v>
      </c>
      <c r="F22">
        <f t="shared" si="1"/>
        <v>193</v>
      </c>
      <c r="G22">
        <f t="shared" si="2"/>
        <v>214</v>
      </c>
      <c r="H22">
        <f t="shared" si="3"/>
        <v>481</v>
      </c>
      <c r="I22">
        <f t="shared" si="4"/>
        <v>0</v>
      </c>
      <c r="K22" t="s">
        <v>10</v>
      </c>
      <c r="L22">
        <f>ROUNDDOWN(L19/200, 0)</f>
        <v>87</v>
      </c>
      <c r="M22">
        <f>ROUNDDOWN(M19/260, 0)</f>
        <v>64</v>
      </c>
      <c r="N22">
        <f>ROUNDDOWN(N19/320, 0)</f>
        <v>29</v>
      </c>
    </row>
    <row r="23" spans="1:15" x14ac:dyDescent="0.35">
      <c r="A23" s="10">
        <v>57</v>
      </c>
      <c r="B23" s="11">
        <v>109</v>
      </c>
      <c r="C23" s="12">
        <v>93</v>
      </c>
      <c r="D23" s="14">
        <v>41948</v>
      </c>
      <c r="E23">
        <f t="shared" si="0"/>
        <v>11</v>
      </c>
      <c r="F23">
        <f t="shared" si="1"/>
        <v>50</v>
      </c>
      <c r="G23">
        <f t="shared" si="2"/>
        <v>323</v>
      </c>
      <c r="H23">
        <f t="shared" si="3"/>
        <v>574</v>
      </c>
      <c r="I23">
        <f t="shared" si="4"/>
        <v>0</v>
      </c>
    </row>
    <row r="24" spans="1:15" x14ac:dyDescent="0.35">
      <c r="A24" s="7">
        <v>62</v>
      </c>
      <c r="B24" s="8">
        <v>80</v>
      </c>
      <c r="C24" s="9">
        <v>62</v>
      </c>
      <c r="D24" s="14">
        <v>41949</v>
      </c>
      <c r="E24">
        <f t="shared" si="0"/>
        <v>11</v>
      </c>
      <c r="F24">
        <f t="shared" si="1"/>
        <v>112</v>
      </c>
      <c r="G24">
        <f t="shared" si="2"/>
        <v>143</v>
      </c>
      <c r="H24">
        <f t="shared" si="3"/>
        <v>636</v>
      </c>
      <c r="I24">
        <f t="shared" si="4"/>
        <v>0</v>
      </c>
    </row>
    <row r="25" spans="1:15" x14ac:dyDescent="0.35">
      <c r="A25" s="10">
        <v>162</v>
      </c>
      <c r="B25" s="11">
        <v>62</v>
      </c>
      <c r="C25" s="12">
        <v>88</v>
      </c>
      <c r="D25" s="14">
        <v>41950</v>
      </c>
      <c r="E25">
        <f t="shared" si="0"/>
        <v>11</v>
      </c>
      <c r="F25">
        <f t="shared" si="1"/>
        <v>74</v>
      </c>
      <c r="G25">
        <f t="shared" si="2"/>
        <v>205</v>
      </c>
      <c r="H25">
        <f t="shared" si="3"/>
        <v>724</v>
      </c>
      <c r="I25">
        <f t="shared" si="4"/>
        <v>0</v>
      </c>
    </row>
    <row r="26" spans="1:15" x14ac:dyDescent="0.35">
      <c r="A26" s="7">
        <v>142</v>
      </c>
      <c r="B26" s="8">
        <v>79</v>
      </c>
      <c r="C26" s="9">
        <v>76</v>
      </c>
      <c r="D26" s="14">
        <v>41951</v>
      </c>
      <c r="E26">
        <f t="shared" si="0"/>
        <v>11</v>
      </c>
      <c r="F26">
        <f t="shared" si="1"/>
        <v>16</v>
      </c>
      <c r="G26">
        <f t="shared" si="2"/>
        <v>284</v>
      </c>
      <c r="H26">
        <f t="shared" si="3"/>
        <v>800</v>
      </c>
      <c r="I26">
        <f t="shared" si="4"/>
        <v>0</v>
      </c>
    </row>
    <row r="27" spans="1:15" x14ac:dyDescent="0.35">
      <c r="A27" s="10">
        <v>7</v>
      </c>
      <c r="B27" s="11">
        <v>30</v>
      </c>
      <c r="C27" s="12">
        <v>68</v>
      </c>
      <c r="D27" s="14">
        <v>41952</v>
      </c>
      <c r="E27">
        <f t="shared" si="0"/>
        <v>11</v>
      </c>
      <c r="F27">
        <f t="shared" si="1"/>
        <v>23</v>
      </c>
      <c r="G27">
        <f t="shared" si="2"/>
        <v>54</v>
      </c>
      <c r="H27">
        <f t="shared" si="3"/>
        <v>868</v>
      </c>
      <c r="I27">
        <f t="shared" si="4"/>
        <v>0</v>
      </c>
    </row>
    <row r="28" spans="1:15" x14ac:dyDescent="0.35">
      <c r="A28" s="7">
        <v>116</v>
      </c>
      <c r="B28" s="8">
        <v>6</v>
      </c>
      <c r="C28" s="9">
        <v>88</v>
      </c>
      <c r="D28" s="14">
        <v>41953</v>
      </c>
      <c r="E28">
        <f t="shared" si="0"/>
        <v>11</v>
      </c>
      <c r="F28">
        <f t="shared" si="1"/>
        <v>139</v>
      </c>
      <c r="G28">
        <f t="shared" si="2"/>
        <v>60</v>
      </c>
      <c r="H28">
        <f t="shared" si="3"/>
        <v>636</v>
      </c>
      <c r="I28">
        <f t="shared" si="4"/>
        <v>0</v>
      </c>
    </row>
    <row r="29" spans="1:15" x14ac:dyDescent="0.35">
      <c r="A29" s="10">
        <v>0</v>
      </c>
      <c r="B29" s="11">
        <v>1</v>
      </c>
      <c r="C29" s="12">
        <v>47</v>
      </c>
      <c r="D29" s="14">
        <v>41954</v>
      </c>
      <c r="E29">
        <f t="shared" si="0"/>
        <v>11</v>
      </c>
      <c r="F29">
        <f t="shared" si="1"/>
        <v>139</v>
      </c>
      <c r="G29">
        <f t="shared" si="2"/>
        <v>61</v>
      </c>
      <c r="H29">
        <f t="shared" si="3"/>
        <v>363</v>
      </c>
      <c r="I29">
        <f t="shared" si="4"/>
        <v>0</v>
      </c>
    </row>
    <row r="30" spans="1:15" x14ac:dyDescent="0.35">
      <c r="A30" s="7">
        <v>78</v>
      </c>
      <c r="B30" s="8">
        <v>84</v>
      </c>
      <c r="C30" s="9">
        <v>16</v>
      </c>
      <c r="D30" s="14">
        <v>41955</v>
      </c>
      <c r="E30">
        <f t="shared" si="0"/>
        <v>11</v>
      </c>
      <c r="F30">
        <f t="shared" si="1"/>
        <v>17</v>
      </c>
      <c r="G30">
        <f t="shared" si="2"/>
        <v>145</v>
      </c>
      <c r="H30">
        <f t="shared" si="3"/>
        <v>379</v>
      </c>
      <c r="I30">
        <f t="shared" si="4"/>
        <v>0</v>
      </c>
    </row>
    <row r="31" spans="1:15" x14ac:dyDescent="0.35">
      <c r="A31" s="10">
        <v>112</v>
      </c>
      <c r="B31" s="11">
        <v>140</v>
      </c>
      <c r="C31" s="12">
        <v>97</v>
      </c>
      <c r="D31" s="14">
        <v>41956</v>
      </c>
      <c r="E31">
        <f t="shared" si="0"/>
        <v>11</v>
      </c>
      <c r="F31">
        <f t="shared" si="1"/>
        <v>129</v>
      </c>
      <c r="G31">
        <f t="shared" si="2"/>
        <v>25</v>
      </c>
      <c r="H31">
        <f t="shared" si="3"/>
        <v>476</v>
      </c>
      <c r="I31">
        <f t="shared" si="4"/>
        <v>0</v>
      </c>
    </row>
    <row r="32" spans="1:15" x14ac:dyDescent="0.35">
      <c r="A32" s="7">
        <v>109</v>
      </c>
      <c r="B32" s="8">
        <v>74</v>
      </c>
      <c r="C32" s="9">
        <v>53</v>
      </c>
      <c r="D32" s="14">
        <v>41957</v>
      </c>
      <c r="E32">
        <f t="shared" si="0"/>
        <v>11</v>
      </c>
      <c r="F32">
        <f t="shared" si="1"/>
        <v>38</v>
      </c>
      <c r="G32">
        <f t="shared" si="2"/>
        <v>99</v>
      </c>
      <c r="H32">
        <f t="shared" si="3"/>
        <v>529</v>
      </c>
      <c r="I32">
        <f t="shared" si="4"/>
        <v>0</v>
      </c>
    </row>
    <row r="33" spans="1:9" x14ac:dyDescent="0.35">
      <c r="A33" s="10">
        <v>121</v>
      </c>
      <c r="B33" s="11">
        <v>77</v>
      </c>
      <c r="C33" s="12">
        <v>70</v>
      </c>
      <c r="D33" s="14">
        <v>41958</v>
      </c>
      <c r="E33">
        <f t="shared" si="0"/>
        <v>11</v>
      </c>
      <c r="F33">
        <f t="shared" si="1"/>
        <v>159</v>
      </c>
      <c r="G33">
        <f t="shared" si="2"/>
        <v>176</v>
      </c>
      <c r="H33">
        <f t="shared" si="3"/>
        <v>279</v>
      </c>
      <c r="I33">
        <f t="shared" si="4"/>
        <v>0</v>
      </c>
    </row>
    <row r="34" spans="1:9" x14ac:dyDescent="0.35">
      <c r="A34" s="7">
        <v>106</v>
      </c>
      <c r="B34" s="8">
        <v>89</v>
      </c>
      <c r="C34" s="9">
        <v>75</v>
      </c>
      <c r="D34" s="14">
        <v>41959</v>
      </c>
      <c r="E34">
        <f t="shared" si="0"/>
        <v>11</v>
      </c>
      <c r="F34">
        <f t="shared" si="1"/>
        <v>65</v>
      </c>
      <c r="G34">
        <f t="shared" si="2"/>
        <v>265</v>
      </c>
      <c r="H34">
        <f t="shared" si="3"/>
        <v>354</v>
      </c>
      <c r="I34">
        <f t="shared" si="4"/>
        <v>0</v>
      </c>
    </row>
    <row r="35" spans="1:9" x14ac:dyDescent="0.35">
      <c r="A35" s="10">
        <v>57</v>
      </c>
      <c r="B35" s="11">
        <v>119</v>
      </c>
      <c r="C35" s="12">
        <v>64</v>
      </c>
      <c r="D35" s="14">
        <v>41960</v>
      </c>
      <c r="E35">
        <f t="shared" si="0"/>
        <v>11</v>
      </c>
      <c r="F35">
        <f t="shared" si="1"/>
        <v>122</v>
      </c>
      <c r="G35">
        <f t="shared" si="2"/>
        <v>124</v>
      </c>
      <c r="H35">
        <f t="shared" si="3"/>
        <v>418</v>
      </c>
      <c r="I35">
        <f t="shared" si="4"/>
        <v>0</v>
      </c>
    </row>
    <row r="36" spans="1:9" x14ac:dyDescent="0.35">
      <c r="A36" s="7">
        <v>26</v>
      </c>
      <c r="B36" s="8">
        <v>87</v>
      </c>
      <c r="C36" s="9">
        <v>84</v>
      </c>
      <c r="D36" s="14">
        <v>41961</v>
      </c>
      <c r="E36">
        <f t="shared" si="0"/>
        <v>11</v>
      </c>
      <c r="F36">
        <f t="shared" si="1"/>
        <v>148</v>
      </c>
      <c r="G36">
        <f t="shared" si="2"/>
        <v>211</v>
      </c>
      <c r="H36">
        <f t="shared" si="3"/>
        <v>182</v>
      </c>
      <c r="I36">
        <f t="shared" si="4"/>
        <v>0</v>
      </c>
    </row>
    <row r="37" spans="1:9" x14ac:dyDescent="0.35">
      <c r="A37" s="10">
        <v>79</v>
      </c>
      <c r="B37" s="11">
        <v>171</v>
      </c>
      <c r="C37" s="12">
        <v>75</v>
      </c>
      <c r="D37" s="14">
        <v>41962</v>
      </c>
      <c r="E37">
        <f t="shared" si="0"/>
        <v>11</v>
      </c>
      <c r="F37">
        <f t="shared" si="1"/>
        <v>27</v>
      </c>
      <c r="G37">
        <f t="shared" si="2"/>
        <v>382</v>
      </c>
      <c r="H37">
        <f t="shared" si="3"/>
        <v>257</v>
      </c>
      <c r="I37">
        <f t="shared" si="4"/>
        <v>0</v>
      </c>
    </row>
    <row r="38" spans="1:9" x14ac:dyDescent="0.35">
      <c r="A38" s="7">
        <v>192</v>
      </c>
      <c r="B38" s="8">
        <v>151</v>
      </c>
      <c r="C38" s="9">
        <v>45</v>
      </c>
      <c r="D38" s="14">
        <v>41963</v>
      </c>
      <c r="E38">
        <f t="shared" si="0"/>
        <v>11</v>
      </c>
      <c r="F38">
        <f t="shared" si="1"/>
        <v>19</v>
      </c>
      <c r="G38">
        <f t="shared" si="2"/>
        <v>533</v>
      </c>
      <c r="H38">
        <f t="shared" si="3"/>
        <v>302</v>
      </c>
      <c r="I38">
        <f t="shared" si="4"/>
        <v>0</v>
      </c>
    </row>
    <row r="39" spans="1:9" x14ac:dyDescent="0.35">
      <c r="A39" s="10">
        <v>9</v>
      </c>
      <c r="B39" s="11">
        <v>64</v>
      </c>
      <c r="C39" s="12">
        <v>22</v>
      </c>
      <c r="D39" s="14">
        <v>41964</v>
      </c>
      <c r="E39">
        <f t="shared" si="0"/>
        <v>11</v>
      </c>
      <c r="F39">
        <f t="shared" si="1"/>
        <v>28</v>
      </c>
      <c r="G39">
        <f t="shared" si="2"/>
        <v>337</v>
      </c>
      <c r="H39">
        <f t="shared" si="3"/>
        <v>324</v>
      </c>
      <c r="I39">
        <f t="shared" si="4"/>
        <v>0</v>
      </c>
    </row>
    <row r="40" spans="1:9" x14ac:dyDescent="0.35">
      <c r="A40" s="7">
        <v>123</v>
      </c>
      <c r="B40" s="8">
        <v>150</v>
      </c>
      <c r="C40" s="9">
        <v>10</v>
      </c>
      <c r="D40" s="14">
        <v>41965</v>
      </c>
      <c r="E40">
        <f t="shared" si="0"/>
        <v>11</v>
      </c>
      <c r="F40">
        <f t="shared" si="1"/>
        <v>151</v>
      </c>
      <c r="G40">
        <f t="shared" si="2"/>
        <v>227</v>
      </c>
      <c r="H40">
        <f t="shared" si="3"/>
        <v>334</v>
      </c>
      <c r="I40">
        <f t="shared" si="4"/>
        <v>0</v>
      </c>
    </row>
    <row r="41" spans="1:9" x14ac:dyDescent="0.35">
      <c r="A41" s="10">
        <v>87</v>
      </c>
      <c r="B41" s="11">
        <v>123</v>
      </c>
      <c r="C41" s="12">
        <v>33</v>
      </c>
      <c r="D41" s="14">
        <v>41966</v>
      </c>
      <c r="E41">
        <f t="shared" si="0"/>
        <v>11</v>
      </c>
      <c r="F41">
        <f t="shared" si="1"/>
        <v>38</v>
      </c>
      <c r="G41">
        <f t="shared" si="2"/>
        <v>350</v>
      </c>
      <c r="H41">
        <f t="shared" si="3"/>
        <v>367</v>
      </c>
      <c r="I41">
        <f t="shared" si="4"/>
        <v>0</v>
      </c>
    </row>
    <row r="42" spans="1:9" x14ac:dyDescent="0.35">
      <c r="A42" s="7">
        <v>165</v>
      </c>
      <c r="B42" s="8">
        <v>88</v>
      </c>
      <c r="C42" s="9">
        <v>13</v>
      </c>
      <c r="D42" s="14">
        <v>41967</v>
      </c>
      <c r="E42">
        <f t="shared" si="0"/>
        <v>11</v>
      </c>
      <c r="F42">
        <f t="shared" si="1"/>
        <v>3</v>
      </c>
      <c r="G42">
        <f t="shared" si="2"/>
        <v>438</v>
      </c>
      <c r="H42">
        <f t="shared" si="3"/>
        <v>380</v>
      </c>
      <c r="I42">
        <f t="shared" si="4"/>
        <v>0</v>
      </c>
    </row>
    <row r="43" spans="1:9" x14ac:dyDescent="0.35">
      <c r="A43" s="10">
        <v>144</v>
      </c>
      <c r="B43" s="11">
        <v>78</v>
      </c>
      <c r="C43" s="12">
        <v>82</v>
      </c>
      <c r="D43" s="14">
        <v>41968</v>
      </c>
      <c r="E43">
        <f t="shared" si="0"/>
        <v>11</v>
      </c>
      <c r="F43">
        <f t="shared" si="1"/>
        <v>147</v>
      </c>
      <c r="G43">
        <f t="shared" si="2"/>
        <v>256</v>
      </c>
      <c r="H43">
        <f t="shared" si="3"/>
        <v>462</v>
      </c>
      <c r="I43">
        <f t="shared" si="4"/>
        <v>0</v>
      </c>
    </row>
    <row r="44" spans="1:9" x14ac:dyDescent="0.35">
      <c r="A44" s="7">
        <v>54</v>
      </c>
      <c r="B44" s="8">
        <v>38</v>
      </c>
      <c r="C44" s="9">
        <v>68</v>
      </c>
      <c r="D44" s="14">
        <v>41969</v>
      </c>
      <c r="E44">
        <f t="shared" si="0"/>
        <v>11</v>
      </c>
      <c r="F44">
        <f t="shared" si="1"/>
        <v>1</v>
      </c>
      <c r="G44">
        <f t="shared" si="2"/>
        <v>294</v>
      </c>
      <c r="H44">
        <f t="shared" si="3"/>
        <v>530</v>
      </c>
      <c r="I44">
        <f t="shared" si="4"/>
        <v>0</v>
      </c>
    </row>
    <row r="45" spans="1:9" x14ac:dyDescent="0.35">
      <c r="A45" s="10">
        <v>188</v>
      </c>
      <c r="B45" s="11">
        <v>44</v>
      </c>
      <c r="C45" s="12">
        <v>86</v>
      </c>
      <c r="D45" s="14">
        <v>41970</v>
      </c>
      <c r="E45">
        <f t="shared" si="0"/>
        <v>11</v>
      </c>
      <c r="F45">
        <f t="shared" si="1"/>
        <v>189</v>
      </c>
      <c r="G45">
        <f t="shared" si="2"/>
        <v>78</v>
      </c>
      <c r="H45">
        <f t="shared" si="3"/>
        <v>616</v>
      </c>
      <c r="I45">
        <f t="shared" si="4"/>
        <v>0</v>
      </c>
    </row>
    <row r="46" spans="1:9" x14ac:dyDescent="0.35">
      <c r="A46" s="7">
        <v>165</v>
      </c>
      <c r="B46" s="8">
        <v>170</v>
      </c>
      <c r="C46" s="9">
        <v>62</v>
      </c>
      <c r="D46" s="14">
        <v>41971</v>
      </c>
      <c r="E46">
        <f t="shared" si="0"/>
        <v>11</v>
      </c>
      <c r="F46">
        <f t="shared" si="1"/>
        <v>154</v>
      </c>
      <c r="G46">
        <f t="shared" si="2"/>
        <v>248</v>
      </c>
      <c r="H46">
        <f t="shared" si="3"/>
        <v>678</v>
      </c>
      <c r="I46">
        <f t="shared" si="4"/>
        <v>0</v>
      </c>
    </row>
    <row r="47" spans="1:9" x14ac:dyDescent="0.35">
      <c r="A47" s="10">
        <v>24</v>
      </c>
      <c r="B47" s="11">
        <v>94</v>
      </c>
      <c r="C47" s="12">
        <v>87</v>
      </c>
      <c r="D47" s="14">
        <v>41972</v>
      </c>
      <c r="E47">
        <f t="shared" si="0"/>
        <v>11</v>
      </c>
      <c r="F47">
        <f t="shared" si="1"/>
        <v>178</v>
      </c>
      <c r="G47">
        <f t="shared" si="2"/>
        <v>82</v>
      </c>
      <c r="H47">
        <f t="shared" si="3"/>
        <v>765</v>
      </c>
      <c r="I47">
        <f t="shared" si="4"/>
        <v>0</v>
      </c>
    </row>
    <row r="48" spans="1:9" x14ac:dyDescent="0.35">
      <c r="A48" s="7">
        <v>0</v>
      </c>
      <c r="B48" s="8">
        <v>120</v>
      </c>
      <c r="C48" s="9">
        <v>60</v>
      </c>
      <c r="D48" s="14">
        <v>41973</v>
      </c>
      <c r="E48">
        <f t="shared" si="0"/>
        <v>11</v>
      </c>
      <c r="F48">
        <f t="shared" si="1"/>
        <v>178</v>
      </c>
      <c r="G48">
        <f t="shared" si="2"/>
        <v>202</v>
      </c>
      <c r="H48">
        <f t="shared" si="3"/>
        <v>505</v>
      </c>
      <c r="I48">
        <f t="shared" si="4"/>
        <v>0</v>
      </c>
    </row>
    <row r="49" spans="1:9" x14ac:dyDescent="0.35">
      <c r="A49" s="10">
        <v>101</v>
      </c>
      <c r="B49" s="11">
        <v>53</v>
      </c>
      <c r="C49" s="12">
        <v>62</v>
      </c>
      <c r="D49" s="14">
        <v>41974</v>
      </c>
      <c r="E49">
        <f t="shared" si="0"/>
        <v>12</v>
      </c>
      <c r="F49">
        <f t="shared" si="1"/>
        <v>79</v>
      </c>
      <c r="G49">
        <f t="shared" si="2"/>
        <v>255</v>
      </c>
      <c r="H49">
        <f t="shared" si="3"/>
        <v>567</v>
      </c>
      <c r="I49">
        <f t="shared" si="4"/>
        <v>0</v>
      </c>
    </row>
    <row r="50" spans="1:9" x14ac:dyDescent="0.35">
      <c r="A50" s="7">
        <v>67</v>
      </c>
      <c r="B50" s="8">
        <v>147</v>
      </c>
      <c r="C50" s="9">
        <v>20</v>
      </c>
      <c r="D50" s="14">
        <v>41975</v>
      </c>
      <c r="E50">
        <f t="shared" si="0"/>
        <v>12</v>
      </c>
      <c r="F50">
        <f t="shared" si="1"/>
        <v>146</v>
      </c>
      <c r="G50">
        <f t="shared" si="2"/>
        <v>142</v>
      </c>
      <c r="H50">
        <f t="shared" si="3"/>
        <v>587</v>
      </c>
      <c r="I50">
        <f t="shared" si="4"/>
        <v>0</v>
      </c>
    </row>
    <row r="51" spans="1:9" x14ac:dyDescent="0.35">
      <c r="A51" s="10">
        <v>109</v>
      </c>
      <c r="B51" s="11">
        <v>99</v>
      </c>
      <c r="C51" s="12">
        <v>70</v>
      </c>
      <c r="D51" s="14">
        <v>41976</v>
      </c>
      <c r="E51">
        <f t="shared" si="0"/>
        <v>12</v>
      </c>
      <c r="F51">
        <f t="shared" si="1"/>
        <v>55</v>
      </c>
      <c r="G51">
        <f t="shared" si="2"/>
        <v>241</v>
      </c>
      <c r="H51">
        <f t="shared" si="3"/>
        <v>657</v>
      </c>
      <c r="I51">
        <f t="shared" si="4"/>
        <v>0</v>
      </c>
    </row>
    <row r="52" spans="1:9" x14ac:dyDescent="0.35">
      <c r="A52" s="7">
        <v>22</v>
      </c>
      <c r="B52" s="8">
        <v>16</v>
      </c>
      <c r="C52" s="9">
        <v>59</v>
      </c>
      <c r="D52" s="14">
        <v>41977</v>
      </c>
      <c r="E52">
        <f t="shared" si="0"/>
        <v>12</v>
      </c>
      <c r="F52">
        <f t="shared" si="1"/>
        <v>77</v>
      </c>
      <c r="G52">
        <f t="shared" si="2"/>
        <v>257</v>
      </c>
      <c r="H52">
        <f t="shared" si="3"/>
        <v>396</v>
      </c>
      <c r="I52">
        <f t="shared" si="4"/>
        <v>0</v>
      </c>
    </row>
    <row r="53" spans="1:9" x14ac:dyDescent="0.35">
      <c r="A53" s="10">
        <v>5</v>
      </c>
      <c r="B53" s="11">
        <v>91</v>
      </c>
      <c r="C53" s="12">
        <v>73</v>
      </c>
      <c r="D53" s="14">
        <v>41978</v>
      </c>
      <c r="E53">
        <f t="shared" si="0"/>
        <v>12</v>
      </c>
      <c r="F53">
        <f t="shared" si="1"/>
        <v>82</v>
      </c>
      <c r="G53">
        <f t="shared" si="2"/>
        <v>88</v>
      </c>
      <c r="H53">
        <f t="shared" si="3"/>
        <v>469</v>
      </c>
      <c r="I53">
        <f t="shared" si="4"/>
        <v>0</v>
      </c>
    </row>
    <row r="54" spans="1:9" x14ac:dyDescent="0.35">
      <c r="A54" s="7">
        <v>105</v>
      </c>
      <c r="B54" s="8">
        <v>154</v>
      </c>
      <c r="C54" s="9">
        <v>48</v>
      </c>
      <c r="D54" s="14">
        <v>41979</v>
      </c>
      <c r="E54">
        <f t="shared" si="0"/>
        <v>12</v>
      </c>
      <c r="F54">
        <f t="shared" si="1"/>
        <v>187</v>
      </c>
      <c r="G54">
        <f t="shared" si="2"/>
        <v>242</v>
      </c>
      <c r="H54">
        <f t="shared" si="3"/>
        <v>197</v>
      </c>
      <c r="I54">
        <f t="shared" si="4"/>
        <v>0</v>
      </c>
    </row>
    <row r="55" spans="1:9" x14ac:dyDescent="0.35">
      <c r="A55" s="10">
        <v>108</v>
      </c>
      <c r="B55" s="11">
        <v>5</v>
      </c>
      <c r="C55" s="12">
        <v>71</v>
      </c>
      <c r="D55" s="14">
        <v>41980</v>
      </c>
      <c r="E55">
        <f t="shared" si="0"/>
        <v>12</v>
      </c>
      <c r="F55">
        <f t="shared" si="1"/>
        <v>95</v>
      </c>
      <c r="G55">
        <f t="shared" si="2"/>
        <v>247</v>
      </c>
      <c r="H55">
        <f t="shared" si="3"/>
        <v>268</v>
      </c>
      <c r="I55">
        <f t="shared" si="4"/>
        <v>0</v>
      </c>
    </row>
    <row r="56" spans="1:9" x14ac:dyDescent="0.35">
      <c r="A56" s="7">
        <v>64</v>
      </c>
      <c r="B56" s="8">
        <v>37</v>
      </c>
      <c r="C56" s="9">
        <v>89</v>
      </c>
      <c r="D56" s="14">
        <v>41981</v>
      </c>
      <c r="E56">
        <f t="shared" si="0"/>
        <v>12</v>
      </c>
      <c r="F56">
        <f t="shared" si="1"/>
        <v>159</v>
      </c>
      <c r="G56">
        <f t="shared" si="2"/>
        <v>24</v>
      </c>
      <c r="H56">
        <f t="shared" si="3"/>
        <v>357</v>
      </c>
      <c r="I56">
        <f t="shared" si="4"/>
        <v>0</v>
      </c>
    </row>
    <row r="57" spans="1:9" x14ac:dyDescent="0.35">
      <c r="A57" s="10">
        <v>114</v>
      </c>
      <c r="B57" s="11">
        <v>140</v>
      </c>
      <c r="C57" s="12">
        <v>36</v>
      </c>
      <c r="D57" s="14">
        <v>41982</v>
      </c>
      <c r="E57">
        <f t="shared" si="0"/>
        <v>12</v>
      </c>
      <c r="F57">
        <f t="shared" si="1"/>
        <v>73</v>
      </c>
      <c r="G57">
        <f t="shared" si="2"/>
        <v>164</v>
      </c>
      <c r="H57">
        <f t="shared" si="3"/>
        <v>393</v>
      </c>
      <c r="I57">
        <f t="shared" si="4"/>
        <v>0</v>
      </c>
    </row>
    <row r="58" spans="1:9" x14ac:dyDescent="0.35">
      <c r="A58" s="7">
        <v>147</v>
      </c>
      <c r="B58" s="8">
        <v>140</v>
      </c>
      <c r="C58" s="9">
        <v>61</v>
      </c>
      <c r="D58" s="14">
        <v>41983</v>
      </c>
      <c r="E58">
        <f t="shared" si="0"/>
        <v>12</v>
      </c>
      <c r="F58">
        <f t="shared" si="1"/>
        <v>20</v>
      </c>
      <c r="G58">
        <f t="shared" si="2"/>
        <v>304</v>
      </c>
      <c r="H58">
        <f t="shared" si="3"/>
        <v>454</v>
      </c>
      <c r="I58">
        <f t="shared" si="4"/>
        <v>0</v>
      </c>
    </row>
    <row r="59" spans="1:9" x14ac:dyDescent="0.35">
      <c r="A59" s="10">
        <v>69</v>
      </c>
      <c r="B59" s="11">
        <v>120</v>
      </c>
      <c r="C59" s="12">
        <v>52</v>
      </c>
      <c r="D59" s="14">
        <v>41984</v>
      </c>
      <c r="E59">
        <f t="shared" si="0"/>
        <v>12</v>
      </c>
      <c r="F59">
        <f t="shared" si="1"/>
        <v>89</v>
      </c>
      <c r="G59">
        <f t="shared" si="2"/>
        <v>164</v>
      </c>
      <c r="H59">
        <f t="shared" si="3"/>
        <v>506</v>
      </c>
      <c r="I59">
        <f t="shared" si="4"/>
        <v>0</v>
      </c>
    </row>
    <row r="60" spans="1:9" x14ac:dyDescent="0.35">
      <c r="A60" s="7">
        <v>101</v>
      </c>
      <c r="B60" s="8">
        <v>39</v>
      </c>
      <c r="C60" s="9">
        <v>10</v>
      </c>
      <c r="D60" s="14">
        <v>41985</v>
      </c>
      <c r="E60">
        <f t="shared" si="0"/>
        <v>12</v>
      </c>
      <c r="F60">
        <f t="shared" si="1"/>
        <v>190</v>
      </c>
      <c r="G60">
        <f t="shared" si="2"/>
        <v>203</v>
      </c>
      <c r="H60">
        <f t="shared" si="3"/>
        <v>196</v>
      </c>
      <c r="I60">
        <f t="shared" si="4"/>
        <v>0</v>
      </c>
    </row>
    <row r="61" spans="1:9" x14ac:dyDescent="0.35">
      <c r="A61" s="10">
        <v>158</v>
      </c>
      <c r="B61" s="11">
        <v>36</v>
      </c>
      <c r="C61" s="12">
        <v>79</v>
      </c>
      <c r="D61" s="14">
        <v>41986</v>
      </c>
      <c r="E61">
        <f t="shared" si="0"/>
        <v>12</v>
      </c>
      <c r="F61">
        <f t="shared" si="1"/>
        <v>148</v>
      </c>
      <c r="G61">
        <f t="shared" si="2"/>
        <v>239</v>
      </c>
      <c r="H61">
        <f t="shared" si="3"/>
        <v>275</v>
      </c>
      <c r="I61">
        <f t="shared" si="4"/>
        <v>0</v>
      </c>
    </row>
    <row r="62" spans="1:9" x14ac:dyDescent="0.35">
      <c r="A62" s="7">
        <v>79</v>
      </c>
      <c r="B62" s="8">
        <v>105</v>
      </c>
      <c r="C62" s="9">
        <v>73</v>
      </c>
      <c r="D62" s="14">
        <v>41987</v>
      </c>
      <c r="E62">
        <f t="shared" si="0"/>
        <v>12</v>
      </c>
      <c r="F62">
        <f t="shared" si="1"/>
        <v>27</v>
      </c>
      <c r="G62">
        <f t="shared" si="2"/>
        <v>344</v>
      </c>
      <c r="H62">
        <f t="shared" si="3"/>
        <v>348</v>
      </c>
      <c r="I62">
        <f t="shared" si="4"/>
        <v>0</v>
      </c>
    </row>
    <row r="63" spans="1:9" x14ac:dyDescent="0.35">
      <c r="A63" s="10">
        <v>5</v>
      </c>
      <c r="B63" s="11">
        <v>24</v>
      </c>
      <c r="C63" s="12">
        <v>43</v>
      </c>
      <c r="D63" s="14">
        <v>41988</v>
      </c>
      <c r="E63">
        <f t="shared" si="0"/>
        <v>12</v>
      </c>
      <c r="F63">
        <f t="shared" si="1"/>
        <v>32</v>
      </c>
      <c r="G63">
        <f t="shared" si="2"/>
        <v>108</v>
      </c>
      <c r="H63">
        <f t="shared" si="3"/>
        <v>391</v>
      </c>
      <c r="I63">
        <f t="shared" si="4"/>
        <v>0</v>
      </c>
    </row>
    <row r="64" spans="1:9" x14ac:dyDescent="0.35">
      <c r="A64" s="7">
        <v>68</v>
      </c>
      <c r="B64" s="8">
        <v>112</v>
      </c>
      <c r="C64" s="9">
        <v>25</v>
      </c>
      <c r="D64" s="14">
        <v>41989</v>
      </c>
      <c r="E64">
        <f t="shared" si="0"/>
        <v>12</v>
      </c>
      <c r="F64">
        <f t="shared" si="1"/>
        <v>100</v>
      </c>
      <c r="G64">
        <f t="shared" si="2"/>
        <v>220</v>
      </c>
      <c r="H64">
        <f t="shared" si="3"/>
        <v>96</v>
      </c>
      <c r="I64">
        <f t="shared" si="4"/>
        <v>0</v>
      </c>
    </row>
    <row r="65" spans="1:9" x14ac:dyDescent="0.35">
      <c r="A65" s="10">
        <v>37</v>
      </c>
      <c r="B65" s="11">
        <v>57</v>
      </c>
      <c r="C65" s="12">
        <v>81</v>
      </c>
      <c r="D65" s="14">
        <v>41990</v>
      </c>
      <c r="E65">
        <f t="shared" si="0"/>
        <v>12</v>
      </c>
      <c r="F65">
        <f t="shared" si="1"/>
        <v>137</v>
      </c>
      <c r="G65">
        <f t="shared" si="2"/>
        <v>17</v>
      </c>
      <c r="H65">
        <f t="shared" si="3"/>
        <v>177</v>
      </c>
      <c r="I65">
        <f t="shared" si="4"/>
        <v>0</v>
      </c>
    </row>
    <row r="66" spans="1:9" x14ac:dyDescent="0.35">
      <c r="A66" s="7">
        <v>188</v>
      </c>
      <c r="B66" s="8">
        <v>28</v>
      </c>
      <c r="C66" s="9">
        <v>7</v>
      </c>
      <c r="D66" s="14">
        <v>41991</v>
      </c>
      <c r="E66">
        <f t="shared" si="0"/>
        <v>12</v>
      </c>
      <c r="F66">
        <f t="shared" si="1"/>
        <v>125</v>
      </c>
      <c r="G66">
        <f t="shared" si="2"/>
        <v>45</v>
      </c>
      <c r="H66">
        <f t="shared" si="3"/>
        <v>184</v>
      </c>
      <c r="I66">
        <f t="shared" si="4"/>
        <v>0</v>
      </c>
    </row>
    <row r="67" spans="1:9" x14ac:dyDescent="0.35">
      <c r="A67" s="10">
        <v>167</v>
      </c>
      <c r="B67" s="11">
        <v>41</v>
      </c>
      <c r="C67" s="12">
        <v>45</v>
      </c>
      <c r="D67" s="14">
        <v>41992</v>
      </c>
      <c r="E67">
        <f t="shared" ref="E67:E130" si="7">MONTH(D67)</f>
        <v>12</v>
      </c>
      <c r="F67">
        <f t="shared" ref="F67:F130" si="8">IF(F66+A67&gt;200, F66+A67 -200, F66+A67)</f>
        <v>92</v>
      </c>
      <c r="G67">
        <f t="shared" ref="G67:G130" si="9">IF(AND(A67+F66 &lt; 200, B67+G66 &gt; 260), B67+G66 - 260, B67+G66)</f>
        <v>86</v>
      </c>
      <c r="H67">
        <f t="shared" ref="H67:H130" si="10">IF(AND(A67+F66&lt;200,B67+G66&lt;260,H66+C67&gt;320),C67+H66-320,C67+H66)</f>
        <v>229</v>
      </c>
      <c r="I67">
        <f t="shared" ref="I67:I130" si="11">IF(AND(F67&gt;F66,G67&gt;G66,H67&gt;H66),1,0)</f>
        <v>0</v>
      </c>
    </row>
    <row r="68" spans="1:9" x14ac:dyDescent="0.35">
      <c r="A68" s="7">
        <v>197</v>
      </c>
      <c r="B68" s="8">
        <v>82</v>
      </c>
      <c r="C68" s="9">
        <v>43</v>
      </c>
      <c r="D68" s="14">
        <v>41993</v>
      </c>
      <c r="E68">
        <f t="shared" si="7"/>
        <v>12</v>
      </c>
      <c r="F68">
        <f t="shared" si="8"/>
        <v>89</v>
      </c>
      <c r="G68">
        <f t="shared" si="9"/>
        <v>168</v>
      </c>
      <c r="H68">
        <f t="shared" si="10"/>
        <v>272</v>
      </c>
      <c r="I68">
        <f t="shared" si="11"/>
        <v>0</v>
      </c>
    </row>
    <row r="69" spans="1:9" x14ac:dyDescent="0.35">
      <c r="A69" s="10">
        <v>54</v>
      </c>
      <c r="B69" s="11">
        <v>130</v>
      </c>
      <c r="C69" s="12">
        <v>50</v>
      </c>
      <c r="D69" s="14">
        <v>41994</v>
      </c>
      <c r="E69">
        <f t="shared" si="7"/>
        <v>12</v>
      </c>
      <c r="F69">
        <f t="shared" si="8"/>
        <v>143</v>
      </c>
      <c r="G69">
        <f t="shared" si="9"/>
        <v>38</v>
      </c>
      <c r="H69">
        <f t="shared" si="10"/>
        <v>322</v>
      </c>
      <c r="I69">
        <f t="shared" si="11"/>
        <v>0</v>
      </c>
    </row>
    <row r="70" spans="1:9" x14ac:dyDescent="0.35">
      <c r="A70" s="7">
        <v>19</v>
      </c>
      <c r="B70" s="8">
        <v>153</v>
      </c>
      <c r="C70" s="9">
        <v>65</v>
      </c>
      <c r="D70" s="14">
        <v>41995</v>
      </c>
      <c r="E70">
        <f t="shared" si="7"/>
        <v>12</v>
      </c>
      <c r="F70">
        <f t="shared" si="8"/>
        <v>162</v>
      </c>
      <c r="G70">
        <f t="shared" si="9"/>
        <v>191</v>
      </c>
      <c r="H70">
        <f t="shared" si="10"/>
        <v>67</v>
      </c>
      <c r="I70">
        <f t="shared" si="11"/>
        <v>0</v>
      </c>
    </row>
    <row r="71" spans="1:9" x14ac:dyDescent="0.35">
      <c r="A71" s="10">
        <v>27</v>
      </c>
      <c r="B71" s="11">
        <v>160</v>
      </c>
      <c r="C71" s="12">
        <v>81</v>
      </c>
      <c r="D71" s="14">
        <v>41996</v>
      </c>
      <c r="E71">
        <f t="shared" si="7"/>
        <v>12</v>
      </c>
      <c r="F71">
        <f t="shared" si="8"/>
        <v>189</v>
      </c>
      <c r="G71">
        <f t="shared" si="9"/>
        <v>91</v>
      </c>
      <c r="H71">
        <f t="shared" si="10"/>
        <v>148</v>
      </c>
      <c r="I71">
        <f t="shared" si="11"/>
        <v>0</v>
      </c>
    </row>
    <row r="72" spans="1:9" x14ac:dyDescent="0.35">
      <c r="A72" s="7">
        <v>11</v>
      </c>
      <c r="B72" s="8">
        <v>140</v>
      </c>
      <c r="C72" s="9">
        <v>77</v>
      </c>
      <c r="D72" s="14">
        <v>41997</v>
      </c>
      <c r="E72">
        <f t="shared" si="7"/>
        <v>12</v>
      </c>
      <c r="F72">
        <f t="shared" si="8"/>
        <v>200</v>
      </c>
      <c r="G72">
        <f t="shared" si="9"/>
        <v>231</v>
      </c>
      <c r="H72">
        <f t="shared" si="10"/>
        <v>225</v>
      </c>
      <c r="I72">
        <f t="shared" si="11"/>
        <v>1</v>
      </c>
    </row>
    <row r="73" spans="1:9" x14ac:dyDescent="0.35">
      <c r="A73" s="10">
        <v>182</v>
      </c>
      <c r="B73" s="11">
        <v>50</v>
      </c>
      <c r="C73" s="12">
        <v>22</v>
      </c>
      <c r="D73" s="14">
        <v>41998</v>
      </c>
      <c r="E73">
        <f t="shared" si="7"/>
        <v>12</v>
      </c>
      <c r="F73">
        <f t="shared" si="8"/>
        <v>182</v>
      </c>
      <c r="G73">
        <f t="shared" si="9"/>
        <v>281</v>
      </c>
      <c r="H73">
        <f t="shared" si="10"/>
        <v>247</v>
      </c>
      <c r="I73">
        <f t="shared" si="11"/>
        <v>0</v>
      </c>
    </row>
    <row r="74" spans="1:9" x14ac:dyDescent="0.35">
      <c r="A74" s="7">
        <v>63</v>
      </c>
      <c r="B74" s="8">
        <v>83</v>
      </c>
      <c r="C74" s="9">
        <v>69</v>
      </c>
      <c r="D74" s="14">
        <v>41999</v>
      </c>
      <c r="E74">
        <f t="shared" si="7"/>
        <v>12</v>
      </c>
      <c r="F74">
        <f t="shared" si="8"/>
        <v>45</v>
      </c>
      <c r="G74">
        <f t="shared" si="9"/>
        <v>364</v>
      </c>
      <c r="H74">
        <f t="shared" si="10"/>
        <v>316</v>
      </c>
      <c r="I74">
        <f t="shared" si="11"/>
        <v>0</v>
      </c>
    </row>
    <row r="75" spans="1:9" x14ac:dyDescent="0.35">
      <c r="A75" s="10">
        <v>33</v>
      </c>
      <c r="B75" s="11">
        <v>59</v>
      </c>
      <c r="C75" s="12">
        <v>46</v>
      </c>
      <c r="D75" s="14">
        <v>42000</v>
      </c>
      <c r="E75">
        <f t="shared" si="7"/>
        <v>12</v>
      </c>
      <c r="F75">
        <f t="shared" si="8"/>
        <v>78</v>
      </c>
      <c r="G75">
        <f t="shared" si="9"/>
        <v>163</v>
      </c>
      <c r="H75">
        <f t="shared" si="10"/>
        <v>362</v>
      </c>
      <c r="I75">
        <f t="shared" si="11"/>
        <v>0</v>
      </c>
    </row>
    <row r="76" spans="1:9" x14ac:dyDescent="0.35">
      <c r="A76" s="7">
        <v>119</v>
      </c>
      <c r="B76" s="8">
        <v>57</v>
      </c>
      <c r="C76" s="9">
        <v>67</v>
      </c>
      <c r="D76" s="14">
        <v>42001</v>
      </c>
      <c r="E76">
        <f t="shared" si="7"/>
        <v>12</v>
      </c>
      <c r="F76">
        <f t="shared" si="8"/>
        <v>197</v>
      </c>
      <c r="G76">
        <f t="shared" si="9"/>
        <v>220</v>
      </c>
      <c r="H76">
        <f t="shared" si="10"/>
        <v>109</v>
      </c>
      <c r="I76">
        <f t="shared" si="11"/>
        <v>0</v>
      </c>
    </row>
    <row r="77" spans="1:9" x14ac:dyDescent="0.35">
      <c r="A77" s="10">
        <v>58</v>
      </c>
      <c r="B77" s="11">
        <v>176</v>
      </c>
      <c r="C77" s="12">
        <v>16</v>
      </c>
      <c r="D77" s="14">
        <v>42002</v>
      </c>
      <c r="E77">
        <f t="shared" si="7"/>
        <v>12</v>
      </c>
      <c r="F77">
        <f t="shared" si="8"/>
        <v>55</v>
      </c>
      <c r="G77">
        <f t="shared" si="9"/>
        <v>396</v>
      </c>
      <c r="H77">
        <f t="shared" si="10"/>
        <v>125</v>
      </c>
      <c r="I77">
        <f t="shared" si="11"/>
        <v>0</v>
      </c>
    </row>
    <row r="78" spans="1:9" x14ac:dyDescent="0.35">
      <c r="A78" s="7">
        <v>174</v>
      </c>
      <c r="B78" s="8">
        <v>61</v>
      </c>
      <c r="C78" s="9">
        <v>46</v>
      </c>
      <c r="D78" s="14">
        <v>42003</v>
      </c>
      <c r="E78">
        <f t="shared" si="7"/>
        <v>12</v>
      </c>
      <c r="F78">
        <f t="shared" si="8"/>
        <v>29</v>
      </c>
      <c r="G78">
        <f t="shared" si="9"/>
        <v>457</v>
      </c>
      <c r="H78">
        <f t="shared" si="10"/>
        <v>171</v>
      </c>
      <c r="I78">
        <f t="shared" si="11"/>
        <v>0</v>
      </c>
    </row>
    <row r="79" spans="1:9" x14ac:dyDescent="0.35">
      <c r="A79" s="10">
        <v>45</v>
      </c>
      <c r="B79" s="11">
        <v>154</v>
      </c>
      <c r="C79" s="12">
        <v>0</v>
      </c>
      <c r="D79" s="14">
        <v>42004</v>
      </c>
      <c r="E79">
        <f t="shared" si="7"/>
        <v>12</v>
      </c>
      <c r="F79">
        <f t="shared" si="8"/>
        <v>74</v>
      </c>
      <c r="G79">
        <f t="shared" si="9"/>
        <v>351</v>
      </c>
      <c r="H79">
        <f t="shared" si="10"/>
        <v>171</v>
      </c>
      <c r="I79">
        <f t="shared" si="11"/>
        <v>0</v>
      </c>
    </row>
    <row r="80" spans="1:9" x14ac:dyDescent="0.35">
      <c r="A80" s="7">
        <v>94</v>
      </c>
      <c r="B80" s="8">
        <v>120</v>
      </c>
      <c r="C80" s="9">
        <v>95</v>
      </c>
      <c r="D80" s="14">
        <v>42005</v>
      </c>
      <c r="E80">
        <f t="shared" si="7"/>
        <v>1</v>
      </c>
      <c r="F80">
        <f t="shared" si="8"/>
        <v>168</v>
      </c>
      <c r="G80">
        <f t="shared" si="9"/>
        <v>211</v>
      </c>
      <c r="H80">
        <f t="shared" si="10"/>
        <v>266</v>
      </c>
      <c r="I80">
        <f t="shared" si="11"/>
        <v>0</v>
      </c>
    </row>
    <row r="81" spans="1:9" x14ac:dyDescent="0.35">
      <c r="A81" s="10">
        <v>12</v>
      </c>
      <c r="B81" s="11">
        <v>5</v>
      </c>
      <c r="C81" s="12">
        <v>42</v>
      </c>
      <c r="D81" s="14">
        <v>42006</v>
      </c>
      <c r="E81">
        <f t="shared" si="7"/>
        <v>1</v>
      </c>
      <c r="F81">
        <f t="shared" si="8"/>
        <v>180</v>
      </c>
      <c r="G81">
        <f t="shared" si="9"/>
        <v>216</v>
      </c>
      <c r="H81">
        <f t="shared" si="10"/>
        <v>308</v>
      </c>
      <c r="I81">
        <f t="shared" si="11"/>
        <v>1</v>
      </c>
    </row>
    <row r="82" spans="1:9" x14ac:dyDescent="0.35">
      <c r="A82" s="7">
        <v>80</v>
      </c>
      <c r="B82" s="8">
        <v>170</v>
      </c>
      <c r="C82" s="9">
        <v>96</v>
      </c>
      <c r="D82" s="14">
        <v>42007</v>
      </c>
      <c r="E82">
        <f t="shared" si="7"/>
        <v>1</v>
      </c>
      <c r="F82">
        <f t="shared" si="8"/>
        <v>60</v>
      </c>
      <c r="G82">
        <f t="shared" si="9"/>
        <v>386</v>
      </c>
      <c r="H82">
        <f t="shared" si="10"/>
        <v>404</v>
      </c>
      <c r="I82">
        <f t="shared" si="11"/>
        <v>0</v>
      </c>
    </row>
    <row r="83" spans="1:9" x14ac:dyDescent="0.35">
      <c r="A83" s="10">
        <v>80</v>
      </c>
      <c r="B83" s="11">
        <v>10</v>
      </c>
      <c r="C83" s="12">
        <v>30</v>
      </c>
      <c r="D83" s="14">
        <v>42008</v>
      </c>
      <c r="E83">
        <f t="shared" si="7"/>
        <v>1</v>
      </c>
      <c r="F83">
        <f t="shared" si="8"/>
        <v>140</v>
      </c>
      <c r="G83">
        <f t="shared" si="9"/>
        <v>136</v>
      </c>
      <c r="H83">
        <f t="shared" si="10"/>
        <v>434</v>
      </c>
      <c r="I83">
        <f t="shared" si="11"/>
        <v>0</v>
      </c>
    </row>
    <row r="84" spans="1:9" x14ac:dyDescent="0.35">
      <c r="A84" s="7">
        <v>90</v>
      </c>
      <c r="B84" s="8">
        <v>80</v>
      </c>
      <c r="C84" s="9">
        <v>31</v>
      </c>
      <c r="D84" s="14">
        <v>42009</v>
      </c>
      <c r="E84">
        <f t="shared" si="7"/>
        <v>1</v>
      </c>
      <c r="F84">
        <f t="shared" si="8"/>
        <v>30</v>
      </c>
      <c r="G84">
        <f t="shared" si="9"/>
        <v>216</v>
      </c>
      <c r="H84">
        <f t="shared" si="10"/>
        <v>465</v>
      </c>
      <c r="I84">
        <f t="shared" si="11"/>
        <v>0</v>
      </c>
    </row>
    <row r="85" spans="1:9" x14ac:dyDescent="0.35">
      <c r="A85" s="10">
        <v>130</v>
      </c>
      <c r="B85" s="11">
        <v>163</v>
      </c>
      <c r="C85" s="12">
        <v>92</v>
      </c>
      <c r="D85" s="14">
        <v>42010</v>
      </c>
      <c r="E85">
        <f t="shared" si="7"/>
        <v>1</v>
      </c>
      <c r="F85">
        <f t="shared" si="8"/>
        <v>160</v>
      </c>
      <c r="G85">
        <f t="shared" si="9"/>
        <v>119</v>
      </c>
      <c r="H85">
        <f t="shared" si="10"/>
        <v>557</v>
      </c>
      <c r="I85">
        <f t="shared" si="11"/>
        <v>0</v>
      </c>
    </row>
    <row r="86" spans="1:9" x14ac:dyDescent="0.35">
      <c r="A86" s="7">
        <v>54</v>
      </c>
      <c r="B86" s="8">
        <v>7</v>
      </c>
      <c r="C86" s="9">
        <v>79</v>
      </c>
      <c r="D86" s="14">
        <v>42011</v>
      </c>
      <c r="E86">
        <f t="shared" si="7"/>
        <v>1</v>
      </c>
      <c r="F86">
        <f t="shared" si="8"/>
        <v>14</v>
      </c>
      <c r="G86">
        <f t="shared" si="9"/>
        <v>126</v>
      </c>
      <c r="H86">
        <f t="shared" si="10"/>
        <v>636</v>
      </c>
      <c r="I86">
        <f t="shared" si="11"/>
        <v>0</v>
      </c>
    </row>
    <row r="87" spans="1:9" x14ac:dyDescent="0.35">
      <c r="A87" s="10">
        <v>88</v>
      </c>
      <c r="B87" s="11">
        <v>125</v>
      </c>
      <c r="C87" s="12">
        <v>97</v>
      </c>
      <c r="D87" s="14">
        <v>42012</v>
      </c>
      <c r="E87">
        <f t="shared" si="7"/>
        <v>1</v>
      </c>
      <c r="F87">
        <f t="shared" si="8"/>
        <v>102</v>
      </c>
      <c r="G87">
        <f t="shared" si="9"/>
        <v>251</v>
      </c>
      <c r="H87">
        <f t="shared" si="10"/>
        <v>413</v>
      </c>
      <c r="I87">
        <f t="shared" si="11"/>
        <v>0</v>
      </c>
    </row>
    <row r="88" spans="1:9" x14ac:dyDescent="0.35">
      <c r="A88" s="7">
        <v>83</v>
      </c>
      <c r="B88" s="8">
        <v>85</v>
      </c>
      <c r="C88" s="9">
        <v>99</v>
      </c>
      <c r="D88" s="14">
        <v>42013</v>
      </c>
      <c r="E88">
        <f t="shared" si="7"/>
        <v>1</v>
      </c>
      <c r="F88">
        <f t="shared" si="8"/>
        <v>185</v>
      </c>
      <c r="G88">
        <f t="shared" si="9"/>
        <v>76</v>
      </c>
      <c r="H88">
        <f t="shared" si="10"/>
        <v>512</v>
      </c>
      <c r="I88">
        <f t="shared" si="11"/>
        <v>0</v>
      </c>
    </row>
    <row r="89" spans="1:9" x14ac:dyDescent="0.35">
      <c r="A89" s="10">
        <v>139</v>
      </c>
      <c r="B89" s="11">
        <v>155</v>
      </c>
      <c r="C89" s="12">
        <v>11</v>
      </c>
      <c r="D89" s="14">
        <v>42014</v>
      </c>
      <c r="E89">
        <f t="shared" si="7"/>
        <v>1</v>
      </c>
      <c r="F89">
        <f t="shared" si="8"/>
        <v>124</v>
      </c>
      <c r="G89">
        <f t="shared" si="9"/>
        <v>231</v>
      </c>
      <c r="H89">
        <f t="shared" si="10"/>
        <v>523</v>
      </c>
      <c r="I89">
        <f t="shared" si="11"/>
        <v>0</v>
      </c>
    </row>
    <row r="90" spans="1:9" x14ac:dyDescent="0.35">
      <c r="A90" s="7">
        <v>82</v>
      </c>
      <c r="B90" s="8">
        <v>43</v>
      </c>
      <c r="C90" s="9">
        <v>93</v>
      </c>
      <c r="D90" s="14">
        <v>42015</v>
      </c>
      <c r="E90">
        <f t="shared" si="7"/>
        <v>1</v>
      </c>
      <c r="F90">
        <f t="shared" si="8"/>
        <v>6</v>
      </c>
      <c r="G90">
        <f t="shared" si="9"/>
        <v>274</v>
      </c>
      <c r="H90">
        <f t="shared" si="10"/>
        <v>616</v>
      </c>
      <c r="I90">
        <f t="shared" si="11"/>
        <v>0</v>
      </c>
    </row>
    <row r="91" spans="1:9" x14ac:dyDescent="0.35">
      <c r="A91" s="10">
        <v>23</v>
      </c>
      <c r="B91" s="11">
        <v>40</v>
      </c>
      <c r="C91" s="12">
        <v>83</v>
      </c>
      <c r="D91" s="14">
        <v>42016</v>
      </c>
      <c r="E91">
        <f t="shared" si="7"/>
        <v>1</v>
      </c>
      <c r="F91">
        <f t="shared" si="8"/>
        <v>29</v>
      </c>
      <c r="G91">
        <f t="shared" si="9"/>
        <v>54</v>
      </c>
      <c r="H91">
        <f t="shared" si="10"/>
        <v>699</v>
      </c>
      <c r="I91">
        <f t="shared" si="11"/>
        <v>0</v>
      </c>
    </row>
    <row r="92" spans="1:9" x14ac:dyDescent="0.35">
      <c r="A92" s="7">
        <v>118</v>
      </c>
      <c r="B92" s="8">
        <v>165</v>
      </c>
      <c r="C92" s="9">
        <v>56</v>
      </c>
      <c r="D92" s="14">
        <v>42017</v>
      </c>
      <c r="E92">
        <f t="shared" si="7"/>
        <v>1</v>
      </c>
      <c r="F92">
        <f t="shared" si="8"/>
        <v>147</v>
      </c>
      <c r="G92">
        <f t="shared" si="9"/>
        <v>219</v>
      </c>
      <c r="H92">
        <f t="shared" si="10"/>
        <v>435</v>
      </c>
      <c r="I92">
        <f t="shared" si="11"/>
        <v>0</v>
      </c>
    </row>
    <row r="93" spans="1:9" x14ac:dyDescent="0.35">
      <c r="A93" s="10">
        <v>59</v>
      </c>
      <c r="B93" s="11">
        <v>35</v>
      </c>
      <c r="C93" s="12">
        <v>17</v>
      </c>
      <c r="D93" s="14">
        <v>42018</v>
      </c>
      <c r="E93">
        <f t="shared" si="7"/>
        <v>1</v>
      </c>
      <c r="F93">
        <f t="shared" si="8"/>
        <v>6</v>
      </c>
      <c r="G93">
        <f t="shared" si="9"/>
        <v>254</v>
      </c>
      <c r="H93">
        <f t="shared" si="10"/>
        <v>452</v>
      </c>
      <c r="I93">
        <f t="shared" si="11"/>
        <v>0</v>
      </c>
    </row>
    <row r="94" spans="1:9" x14ac:dyDescent="0.35">
      <c r="A94" s="7">
        <v>127</v>
      </c>
      <c r="B94" s="8">
        <v>58</v>
      </c>
      <c r="C94" s="9">
        <v>39</v>
      </c>
      <c r="D94" s="14">
        <v>42019</v>
      </c>
      <c r="E94">
        <f t="shared" si="7"/>
        <v>1</v>
      </c>
      <c r="F94">
        <f t="shared" si="8"/>
        <v>133</v>
      </c>
      <c r="G94">
        <f t="shared" si="9"/>
        <v>52</v>
      </c>
      <c r="H94">
        <f t="shared" si="10"/>
        <v>491</v>
      </c>
      <c r="I94">
        <f t="shared" si="11"/>
        <v>0</v>
      </c>
    </row>
    <row r="95" spans="1:9" x14ac:dyDescent="0.35">
      <c r="A95" s="10">
        <v>121</v>
      </c>
      <c r="B95" s="11">
        <v>175</v>
      </c>
      <c r="C95" s="12">
        <v>77</v>
      </c>
      <c r="D95" s="14">
        <v>42020</v>
      </c>
      <c r="E95">
        <f t="shared" si="7"/>
        <v>1</v>
      </c>
      <c r="F95">
        <f t="shared" si="8"/>
        <v>54</v>
      </c>
      <c r="G95">
        <f t="shared" si="9"/>
        <v>227</v>
      </c>
      <c r="H95">
        <f t="shared" si="10"/>
        <v>568</v>
      </c>
      <c r="I95">
        <f t="shared" si="11"/>
        <v>0</v>
      </c>
    </row>
    <row r="96" spans="1:9" x14ac:dyDescent="0.35">
      <c r="A96" s="7">
        <v>80</v>
      </c>
      <c r="B96" s="8">
        <v>101</v>
      </c>
      <c r="C96" s="9">
        <v>3</v>
      </c>
      <c r="D96" s="14">
        <v>42021</v>
      </c>
      <c r="E96">
        <f t="shared" si="7"/>
        <v>1</v>
      </c>
      <c r="F96">
        <f t="shared" si="8"/>
        <v>134</v>
      </c>
      <c r="G96">
        <f t="shared" si="9"/>
        <v>68</v>
      </c>
      <c r="H96">
        <f t="shared" si="10"/>
        <v>571</v>
      </c>
      <c r="I96">
        <f t="shared" si="11"/>
        <v>0</v>
      </c>
    </row>
    <row r="97" spans="1:9" x14ac:dyDescent="0.35">
      <c r="A97" s="10">
        <v>189</v>
      </c>
      <c r="B97" s="11">
        <v>161</v>
      </c>
      <c r="C97" s="12">
        <v>53</v>
      </c>
      <c r="D97" s="14">
        <v>42022</v>
      </c>
      <c r="E97">
        <f t="shared" si="7"/>
        <v>1</v>
      </c>
      <c r="F97">
        <f t="shared" si="8"/>
        <v>123</v>
      </c>
      <c r="G97">
        <f t="shared" si="9"/>
        <v>229</v>
      </c>
      <c r="H97">
        <f t="shared" si="10"/>
        <v>624</v>
      </c>
      <c r="I97">
        <f t="shared" si="11"/>
        <v>0</v>
      </c>
    </row>
    <row r="98" spans="1:9" x14ac:dyDescent="0.35">
      <c r="A98" s="7">
        <v>18</v>
      </c>
      <c r="B98" s="8">
        <v>61</v>
      </c>
      <c r="C98" s="9">
        <v>19</v>
      </c>
      <c r="D98" s="14">
        <v>42023</v>
      </c>
      <c r="E98">
        <f t="shared" si="7"/>
        <v>1</v>
      </c>
      <c r="F98">
        <f t="shared" si="8"/>
        <v>141</v>
      </c>
      <c r="G98">
        <f t="shared" si="9"/>
        <v>30</v>
      </c>
      <c r="H98">
        <f t="shared" si="10"/>
        <v>643</v>
      </c>
      <c r="I98">
        <f t="shared" si="11"/>
        <v>0</v>
      </c>
    </row>
    <row r="99" spans="1:9" x14ac:dyDescent="0.35">
      <c r="A99" s="10">
        <v>68</v>
      </c>
      <c r="B99" s="11">
        <v>127</v>
      </c>
      <c r="C99" s="12">
        <v>3</v>
      </c>
      <c r="D99" s="14">
        <v>42024</v>
      </c>
      <c r="E99">
        <f t="shared" si="7"/>
        <v>1</v>
      </c>
      <c r="F99">
        <f t="shared" si="8"/>
        <v>9</v>
      </c>
      <c r="G99">
        <f t="shared" si="9"/>
        <v>157</v>
      </c>
      <c r="H99">
        <f t="shared" si="10"/>
        <v>646</v>
      </c>
      <c r="I99">
        <f t="shared" si="11"/>
        <v>0</v>
      </c>
    </row>
    <row r="100" spans="1:9" x14ac:dyDescent="0.35">
      <c r="A100" s="7">
        <v>37</v>
      </c>
      <c r="B100" s="8">
        <v>112</v>
      </c>
      <c r="C100" s="9">
        <v>68</v>
      </c>
      <c r="D100" s="14">
        <v>42025</v>
      </c>
      <c r="E100">
        <f t="shared" si="7"/>
        <v>1</v>
      </c>
      <c r="F100">
        <f t="shared" si="8"/>
        <v>46</v>
      </c>
      <c r="G100">
        <f t="shared" si="9"/>
        <v>9</v>
      </c>
      <c r="H100">
        <f t="shared" si="10"/>
        <v>714</v>
      </c>
      <c r="I100">
        <f t="shared" si="11"/>
        <v>0</v>
      </c>
    </row>
    <row r="101" spans="1:9" x14ac:dyDescent="0.35">
      <c r="A101" s="10">
        <v>40</v>
      </c>
      <c r="B101" s="11">
        <v>140</v>
      </c>
      <c r="C101" s="12">
        <v>15</v>
      </c>
      <c r="D101" s="14">
        <v>42026</v>
      </c>
      <c r="E101">
        <f t="shared" si="7"/>
        <v>1</v>
      </c>
      <c r="F101">
        <f t="shared" si="8"/>
        <v>86</v>
      </c>
      <c r="G101">
        <f t="shared" si="9"/>
        <v>149</v>
      </c>
      <c r="H101">
        <f t="shared" si="10"/>
        <v>409</v>
      </c>
      <c r="I101">
        <f t="shared" si="11"/>
        <v>0</v>
      </c>
    </row>
    <row r="102" spans="1:9" x14ac:dyDescent="0.35">
      <c r="A102" s="7">
        <v>189</v>
      </c>
      <c r="B102" s="8">
        <v>87</v>
      </c>
      <c r="C102" s="9">
        <v>64</v>
      </c>
      <c r="D102" s="14">
        <v>42027</v>
      </c>
      <c r="E102">
        <f t="shared" si="7"/>
        <v>1</v>
      </c>
      <c r="F102">
        <f t="shared" si="8"/>
        <v>75</v>
      </c>
      <c r="G102">
        <f t="shared" si="9"/>
        <v>236</v>
      </c>
      <c r="H102">
        <f t="shared" si="10"/>
        <v>473</v>
      </c>
      <c r="I102">
        <f t="shared" si="11"/>
        <v>0</v>
      </c>
    </row>
    <row r="103" spans="1:9" x14ac:dyDescent="0.35">
      <c r="A103" s="10">
        <v>145</v>
      </c>
      <c r="B103" s="11">
        <v>18</v>
      </c>
      <c r="C103" s="12">
        <v>1</v>
      </c>
      <c r="D103" s="14">
        <v>42028</v>
      </c>
      <c r="E103">
        <f t="shared" si="7"/>
        <v>1</v>
      </c>
      <c r="F103">
        <f t="shared" si="8"/>
        <v>20</v>
      </c>
      <c r="G103">
        <f t="shared" si="9"/>
        <v>254</v>
      </c>
      <c r="H103">
        <f t="shared" si="10"/>
        <v>474</v>
      </c>
      <c r="I103">
        <f t="shared" si="11"/>
        <v>0</v>
      </c>
    </row>
    <row r="104" spans="1:9" x14ac:dyDescent="0.35">
      <c r="A104" s="7">
        <v>148</v>
      </c>
      <c r="B104" s="8">
        <v>27</v>
      </c>
      <c r="C104" s="9">
        <v>13</v>
      </c>
      <c r="D104" s="14">
        <v>42029</v>
      </c>
      <c r="E104">
        <f t="shared" si="7"/>
        <v>1</v>
      </c>
      <c r="F104">
        <f t="shared" si="8"/>
        <v>168</v>
      </c>
      <c r="G104">
        <f t="shared" si="9"/>
        <v>21</v>
      </c>
      <c r="H104">
        <f t="shared" si="10"/>
        <v>487</v>
      </c>
      <c r="I104">
        <f t="shared" si="11"/>
        <v>0</v>
      </c>
    </row>
    <row r="105" spans="1:9" x14ac:dyDescent="0.35">
      <c r="A105" s="10">
        <v>127</v>
      </c>
      <c r="B105" s="11">
        <v>161</v>
      </c>
      <c r="C105" s="12">
        <v>31</v>
      </c>
      <c r="D105" s="14">
        <v>42030</v>
      </c>
      <c r="E105">
        <f t="shared" si="7"/>
        <v>1</v>
      </c>
      <c r="F105">
        <f t="shared" si="8"/>
        <v>95</v>
      </c>
      <c r="G105">
        <f t="shared" si="9"/>
        <v>182</v>
      </c>
      <c r="H105">
        <f t="shared" si="10"/>
        <v>518</v>
      </c>
      <c r="I105">
        <f t="shared" si="11"/>
        <v>0</v>
      </c>
    </row>
    <row r="106" spans="1:9" x14ac:dyDescent="0.35">
      <c r="A106" s="7">
        <v>131</v>
      </c>
      <c r="B106" s="8">
        <v>1</v>
      </c>
      <c r="C106" s="9">
        <v>98</v>
      </c>
      <c r="D106" s="14">
        <v>42031</v>
      </c>
      <c r="E106">
        <f t="shared" si="7"/>
        <v>1</v>
      </c>
      <c r="F106">
        <f t="shared" si="8"/>
        <v>26</v>
      </c>
      <c r="G106">
        <f t="shared" si="9"/>
        <v>183</v>
      </c>
      <c r="H106">
        <f t="shared" si="10"/>
        <v>616</v>
      </c>
      <c r="I106">
        <f t="shared" si="11"/>
        <v>0</v>
      </c>
    </row>
    <row r="107" spans="1:9" x14ac:dyDescent="0.35">
      <c r="A107" s="10">
        <v>142</v>
      </c>
      <c r="B107" s="11">
        <v>131</v>
      </c>
      <c r="C107" s="12">
        <v>62</v>
      </c>
      <c r="D107" s="14">
        <v>42032</v>
      </c>
      <c r="E107">
        <f t="shared" si="7"/>
        <v>1</v>
      </c>
      <c r="F107">
        <f t="shared" si="8"/>
        <v>168</v>
      </c>
      <c r="G107">
        <f t="shared" si="9"/>
        <v>54</v>
      </c>
      <c r="H107">
        <f t="shared" si="10"/>
        <v>678</v>
      </c>
      <c r="I107">
        <f t="shared" si="11"/>
        <v>0</v>
      </c>
    </row>
    <row r="108" spans="1:9" x14ac:dyDescent="0.35">
      <c r="A108" s="7">
        <v>121</v>
      </c>
      <c r="B108" s="8">
        <v>150</v>
      </c>
      <c r="C108" s="9">
        <v>25</v>
      </c>
      <c r="D108" s="14">
        <v>42033</v>
      </c>
      <c r="E108">
        <f t="shared" si="7"/>
        <v>1</v>
      </c>
      <c r="F108">
        <f t="shared" si="8"/>
        <v>89</v>
      </c>
      <c r="G108">
        <f t="shared" si="9"/>
        <v>204</v>
      </c>
      <c r="H108">
        <f t="shared" si="10"/>
        <v>703</v>
      </c>
      <c r="I108">
        <f t="shared" si="11"/>
        <v>0</v>
      </c>
    </row>
    <row r="109" spans="1:9" x14ac:dyDescent="0.35">
      <c r="A109" s="10">
        <v>33</v>
      </c>
      <c r="B109" s="11">
        <v>113</v>
      </c>
      <c r="C109" s="12">
        <v>62</v>
      </c>
      <c r="D109" s="14">
        <v>42034</v>
      </c>
      <c r="E109">
        <f t="shared" si="7"/>
        <v>1</v>
      </c>
      <c r="F109">
        <f t="shared" si="8"/>
        <v>122</v>
      </c>
      <c r="G109">
        <f t="shared" si="9"/>
        <v>57</v>
      </c>
      <c r="H109">
        <f t="shared" si="10"/>
        <v>765</v>
      </c>
      <c r="I109">
        <f t="shared" si="11"/>
        <v>0</v>
      </c>
    </row>
    <row r="110" spans="1:9" x14ac:dyDescent="0.35">
      <c r="A110" s="7">
        <v>142</v>
      </c>
      <c r="B110" s="8">
        <v>44</v>
      </c>
      <c r="C110" s="9">
        <v>92</v>
      </c>
      <c r="D110" s="14">
        <v>42035</v>
      </c>
      <c r="E110">
        <f t="shared" si="7"/>
        <v>1</v>
      </c>
      <c r="F110">
        <f t="shared" si="8"/>
        <v>64</v>
      </c>
      <c r="G110">
        <f t="shared" si="9"/>
        <v>101</v>
      </c>
      <c r="H110">
        <f t="shared" si="10"/>
        <v>857</v>
      </c>
      <c r="I110">
        <f t="shared" si="11"/>
        <v>0</v>
      </c>
    </row>
    <row r="111" spans="1:9" x14ac:dyDescent="0.35">
      <c r="A111" s="10">
        <v>119</v>
      </c>
      <c r="B111" s="11">
        <v>167</v>
      </c>
      <c r="C111" s="12">
        <v>64</v>
      </c>
      <c r="D111" s="14">
        <v>42036</v>
      </c>
      <c r="E111">
        <f t="shared" si="7"/>
        <v>2</v>
      </c>
      <c r="F111">
        <f t="shared" si="8"/>
        <v>183</v>
      </c>
      <c r="G111">
        <f t="shared" si="9"/>
        <v>8</v>
      </c>
      <c r="H111">
        <f t="shared" si="10"/>
        <v>921</v>
      </c>
      <c r="I111">
        <f t="shared" si="11"/>
        <v>0</v>
      </c>
    </row>
    <row r="112" spans="1:9" x14ac:dyDescent="0.35">
      <c r="A112" s="7">
        <v>54</v>
      </c>
      <c r="B112" s="8">
        <v>109</v>
      </c>
      <c r="C112" s="9">
        <v>65</v>
      </c>
      <c r="D112" s="14">
        <v>42037</v>
      </c>
      <c r="E112">
        <f t="shared" si="7"/>
        <v>2</v>
      </c>
      <c r="F112">
        <f t="shared" si="8"/>
        <v>37</v>
      </c>
      <c r="G112">
        <f t="shared" si="9"/>
        <v>117</v>
      </c>
      <c r="H112">
        <f t="shared" si="10"/>
        <v>986</v>
      </c>
      <c r="I112">
        <f t="shared" si="11"/>
        <v>0</v>
      </c>
    </row>
    <row r="113" spans="1:9" x14ac:dyDescent="0.35">
      <c r="A113" s="10">
        <v>53</v>
      </c>
      <c r="B113" s="11">
        <v>94</v>
      </c>
      <c r="C113" s="12">
        <v>43</v>
      </c>
      <c r="D113" s="14">
        <v>42038</v>
      </c>
      <c r="E113">
        <f t="shared" si="7"/>
        <v>2</v>
      </c>
      <c r="F113">
        <f t="shared" si="8"/>
        <v>90</v>
      </c>
      <c r="G113">
        <f t="shared" si="9"/>
        <v>211</v>
      </c>
      <c r="H113">
        <f t="shared" si="10"/>
        <v>709</v>
      </c>
      <c r="I113">
        <f t="shared" si="11"/>
        <v>0</v>
      </c>
    </row>
    <row r="114" spans="1:9" x14ac:dyDescent="0.35">
      <c r="A114" s="7">
        <v>165</v>
      </c>
      <c r="B114" s="8">
        <v>101</v>
      </c>
      <c r="C114" s="9">
        <v>8</v>
      </c>
      <c r="D114" s="14">
        <v>42039</v>
      </c>
      <c r="E114">
        <f t="shared" si="7"/>
        <v>2</v>
      </c>
      <c r="F114">
        <f t="shared" si="8"/>
        <v>55</v>
      </c>
      <c r="G114">
        <f t="shared" si="9"/>
        <v>312</v>
      </c>
      <c r="H114">
        <f t="shared" si="10"/>
        <v>717</v>
      </c>
      <c r="I114">
        <f t="shared" si="11"/>
        <v>0</v>
      </c>
    </row>
    <row r="115" spans="1:9" x14ac:dyDescent="0.35">
      <c r="A115" s="10">
        <v>159</v>
      </c>
      <c r="B115" s="11">
        <v>68</v>
      </c>
      <c r="C115" s="12">
        <v>96</v>
      </c>
      <c r="D115" s="14">
        <v>42040</v>
      </c>
      <c r="E115">
        <f t="shared" si="7"/>
        <v>2</v>
      </c>
      <c r="F115">
        <f t="shared" si="8"/>
        <v>14</v>
      </c>
      <c r="G115">
        <f t="shared" si="9"/>
        <v>380</v>
      </c>
      <c r="H115">
        <f t="shared" si="10"/>
        <v>813</v>
      </c>
      <c r="I115">
        <f t="shared" si="11"/>
        <v>0</v>
      </c>
    </row>
    <row r="116" spans="1:9" x14ac:dyDescent="0.35">
      <c r="A116" s="7">
        <v>79</v>
      </c>
      <c r="B116" s="8">
        <v>119</v>
      </c>
      <c r="C116" s="9">
        <v>35</v>
      </c>
      <c r="D116" s="14">
        <v>42041</v>
      </c>
      <c r="E116">
        <f t="shared" si="7"/>
        <v>2</v>
      </c>
      <c r="F116">
        <f t="shared" si="8"/>
        <v>93</v>
      </c>
      <c r="G116">
        <f t="shared" si="9"/>
        <v>239</v>
      </c>
      <c r="H116">
        <f t="shared" si="10"/>
        <v>848</v>
      </c>
      <c r="I116">
        <f t="shared" si="11"/>
        <v>0</v>
      </c>
    </row>
    <row r="117" spans="1:9" x14ac:dyDescent="0.35">
      <c r="A117" s="10">
        <v>128</v>
      </c>
      <c r="B117" s="11">
        <v>148</v>
      </c>
      <c r="C117" s="12">
        <v>77</v>
      </c>
      <c r="D117" s="14">
        <v>42042</v>
      </c>
      <c r="E117">
        <f t="shared" si="7"/>
        <v>2</v>
      </c>
      <c r="F117">
        <f t="shared" si="8"/>
        <v>21</v>
      </c>
      <c r="G117">
        <f t="shared" si="9"/>
        <v>387</v>
      </c>
      <c r="H117">
        <f t="shared" si="10"/>
        <v>925</v>
      </c>
      <c r="I117">
        <f t="shared" si="11"/>
        <v>0</v>
      </c>
    </row>
    <row r="118" spans="1:9" x14ac:dyDescent="0.35">
      <c r="A118" s="7">
        <v>195</v>
      </c>
      <c r="B118" s="8">
        <v>39</v>
      </c>
      <c r="C118" s="9">
        <v>77</v>
      </c>
      <c r="D118" s="14">
        <v>42043</v>
      </c>
      <c r="E118">
        <f t="shared" si="7"/>
        <v>2</v>
      </c>
      <c r="F118">
        <f t="shared" si="8"/>
        <v>16</v>
      </c>
      <c r="G118">
        <f t="shared" si="9"/>
        <v>426</v>
      </c>
      <c r="H118">
        <f t="shared" si="10"/>
        <v>1002</v>
      </c>
      <c r="I118">
        <f t="shared" si="11"/>
        <v>0</v>
      </c>
    </row>
    <row r="119" spans="1:9" x14ac:dyDescent="0.35">
      <c r="A119" s="10">
        <v>87</v>
      </c>
      <c r="B119" s="11">
        <v>8</v>
      </c>
      <c r="C119" s="12">
        <v>17</v>
      </c>
      <c r="D119" s="14">
        <v>42044</v>
      </c>
      <c r="E119">
        <f t="shared" si="7"/>
        <v>2</v>
      </c>
      <c r="F119">
        <f t="shared" si="8"/>
        <v>103</v>
      </c>
      <c r="G119">
        <f t="shared" si="9"/>
        <v>174</v>
      </c>
      <c r="H119">
        <f t="shared" si="10"/>
        <v>1019</v>
      </c>
      <c r="I119">
        <f t="shared" si="11"/>
        <v>0</v>
      </c>
    </row>
    <row r="120" spans="1:9" x14ac:dyDescent="0.35">
      <c r="A120" s="7">
        <v>114</v>
      </c>
      <c r="B120" s="8">
        <v>124</v>
      </c>
      <c r="C120" s="9">
        <v>94</v>
      </c>
      <c r="D120" s="14">
        <v>42045</v>
      </c>
      <c r="E120">
        <f t="shared" si="7"/>
        <v>2</v>
      </c>
      <c r="F120">
        <f t="shared" si="8"/>
        <v>17</v>
      </c>
      <c r="G120">
        <f t="shared" si="9"/>
        <v>298</v>
      </c>
      <c r="H120">
        <f t="shared" si="10"/>
        <v>1113</v>
      </c>
      <c r="I120">
        <f t="shared" si="11"/>
        <v>0</v>
      </c>
    </row>
    <row r="121" spans="1:9" x14ac:dyDescent="0.35">
      <c r="A121" s="10">
        <v>126</v>
      </c>
      <c r="B121" s="11">
        <v>122</v>
      </c>
      <c r="C121" s="12">
        <v>39</v>
      </c>
      <c r="D121" s="14">
        <v>42046</v>
      </c>
      <c r="E121">
        <f t="shared" si="7"/>
        <v>2</v>
      </c>
      <c r="F121">
        <f t="shared" si="8"/>
        <v>143</v>
      </c>
      <c r="G121">
        <f t="shared" si="9"/>
        <v>160</v>
      </c>
      <c r="H121">
        <f t="shared" si="10"/>
        <v>1152</v>
      </c>
      <c r="I121">
        <f t="shared" si="11"/>
        <v>0</v>
      </c>
    </row>
    <row r="122" spans="1:9" x14ac:dyDescent="0.35">
      <c r="A122" s="7">
        <v>96</v>
      </c>
      <c r="B122" s="8">
        <v>113</v>
      </c>
      <c r="C122" s="9">
        <v>28</v>
      </c>
      <c r="D122" s="14">
        <v>42047</v>
      </c>
      <c r="E122">
        <f t="shared" si="7"/>
        <v>2</v>
      </c>
      <c r="F122">
        <f t="shared" si="8"/>
        <v>39</v>
      </c>
      <c r="G122">
        <f t="shared" si="9"/>
        <v>273</v>
      </c>
      <c r="H122">
        <f t="shared" si="10"/>
        <v>1180</v>
      </c>
      <c r="I122">
        <f t="shared" si="11"/>
        <v>0</v>
      </c>
    </row>
    <row r="123" spans="1:9" x14ac:dyDescent="0.35">
      <c r="A123" s="10">
        <v>165</v>
      </c>
      <c r="B123" s="11">
        <v>4</v>
      </c>
      <c r="C123" s="12">
        <v>83</v>
      </c>
      <c r="D123" s="14">
        <v>42048</v>
      </c>
      <c r="E123">
        <f t="shared" si="7"/>
        <v>2</v>
      </c>
      <c r="F123">
        <f t="shared" si="8"/>
        <v>4</v>
      </c>
      <c r="G123">
        <f t="shared" si="9"/>
        <v>277</v>
      </c>
      <c r="H123">
        <f t="shared" si="10"/>
        <v>1263</v>
      </c>
      <c r="I123">
        <f t="shared" si="11"/>
        <v>0</v>
      </c>
    </row>
    <row r="124" spans="1:9" x14ac:dyDescent="0.35">
      <c r="A124" s="7">
        <v>1</v>
      </c>
      <c r="B124" s="8">
        <v>117</v>
      </c>
      <c r="C124" s="9">
        <v>76</v>
      </c>
      <c r="D124" s="14">
        <v>42049</v>
      </c>
      <c r="E124">
        <f t="shared" si="7"/>
        <v>2</v>
      </c>
      <c r="F124">
        <f t="shared" si="8"/>
        <v>5</v>
      </c>
      <c r="G124">
        <f t="shared" si="9"/>
        <v>134</v>
      </c>
      <c r="H124">
        <f t="shared" si="10"/>
        <v>1339</v>
      </c>
      <c r="I124">
        <f t="shared" si="11"/>
        <v>0</v>
      </c>
    </row>
    <row r="125" spans="1:9" x14ac:dyDescent="0.35">
      <c r="A125" s="10">
        <v>107</v>
      </c>
      <c r="B125" s="11">
        <v>70</v>
      </c>
      <c r="C125" s="12">
        <v>28</v>
      </c>
      <c r="D125" s="14">
        <v>42050</v>
      </c>
      <c r="E125">
        <f t="shared" si="7"/>
        <v>2</v>
      </c>
      <c r="F125">
        <f t="shared" si="8"/>
        <v>112</v>
      </c>
      <c r="G125">
        <f t="shared" si="9"/>
        <v>204</v>
      </c>
      <c r="H125">
        <f t="shared" si="10"/>
        <v>1047</v>
      </c>
      <c r="I125">
        <f t="shared" si="11"/>
        <v>0</v>
      </c>
    </row>
    <row r="126" spans="1:9" x14ac:dyDescent="0.35">
      <c r="A126" s="7">
        <v>83</v>
      </c>
      <c r="B126" s="8">
        <v>81</v>
      </c>
      <c r="C126" s="9">
        <v>1</v>
      </c>
      <c r="D126" s="14">
        <v>42051</v>
      </c>
      <c r="E126">
        <f t="shared" si="7"/>
        <v>2</v>
      </c>
      <c r="F126">
        <f t="shared" si="8"/>
        <v>195</v>
      </c>
      <c r="G126">
        <f t="shared" si="9"/>
        <v>25</v>
      </c>
      <c r="H126">
        <f t="shared" si="10"/>
        <v>1048</v>
      </c>
      <c r="I126">
        <f t="shared" si="11"/>
        <v>0</v>
      </c>
    </row>
    <row r="127" spans="1:9" x14ac:dyDescent="0.35">
      <c r="A127" s="10">
        <v>43</v>
      </c>
      <c r="B127" s="11">
        <v>109</v>
      </c>
      <c r="C127" s="12">
        <v>50</v>
      </c>
      <c r="D127" s="14">
        <v>42052</v>
      </c>
      <c r="E127">
        <f t="shared" si="7"/>
        <v>2</v>
      </c>
      <c r="F127">
        <f t="shared" si="8"/>
        <v>38</v>
      </c>
      <c r="G127">
        <f t="shared" si="9"/>
        <v>134</v>
      </c>
      <c r="H127">
        <f t="shared" si="10"/>
        <v>1098</v>
      </c>
      <c r="I127">
        <f t="shared" si="11"/>
        <v>0</v>
      </c>
    </row>
    <row r="128" spans="1:9" x14ac:dyDescent="0.35">
      <c r="A128" s="7">
        <v>52</v>
      </c>
      <c r="B128" s="8">
        <v>110</v>
      </c>
      <c r="C128" s="9">
        <v>19</v>
      </c>
      <c r="D128" s="14">
        <v>42053</v>
      </c>
      <c r="E128">
        <f t="shared" si="7"/>
        <v>2</v>
      </c>
      <c r="F128">
        <f t="shared" si="8"/>
        <v>90</v>
      </c>
      <c r="G128">
        <f t="shared" si="9"/>
        <v>244</v>
      </c>
      <c r="H128">
        <f t="shared" si="10"/>
        <v>797</v>
      </c>
      <c r="I128">
        <f t="shared" si="11"/>
        <v>0</v>
      </c>
    </row>
    <row r="129" spans="1:9" x14ac:dyDescent="0.35">
      <c r="A129" s="10">
        <v>104</v>
      </c>
      <c r="B129" s="11">
        <v>132</v>
      </c>
      <c r="C129" s="12">
        <v>57</v>
      </c>
      <c r="D129" s="14">
        <v>42054</v>
      </c>
      <c r="E129">
        <f t="shared" si="7"/>
        <v>2</v>
      </c>
      <c r="F129">
        <f t="shared" si="8"/>
        <v>194</v>
      </c>
      <c r="G129">
        <f t="shared" si="9"/>
        <v>116</v>
      </c>
      <c r="H129">
        <f t="shared" si="10"/>
        <v>854</v>
      </c>
      <c r="I129">
        <f t="shared" si="11"/>
        <v>0</v>
      </c>
    </row>
    <row r="130" spans="1:9" x14ac:dyDescent="0.35">
      <c r="A130" s="7">
        <v>57</v>
      </c>
      <c r="B130" s="8">
        <v>150</v>
      </c>
      <c r="C130" s="9">
        <v>36</v>
      </c>
      <c r="D130" s="14">
        <v>42055</v>
      </c>
      <c r="E130">
        <f t="shared" si="7"/>
        <v>2</v>
      </c>
      <c r="F130">
        <f t="shared" si="8"/>
        <v>51</v>
      </c>
      <c r="G130">
        <f t="shared" si="9"/>
        <v>266</v>
      </c>
      <c r="H130">
        <f t="shared" si="10"/>
        <v>890</v>
      </c>
      <c r="I130">
        <f t="shared" si="11"/>
        <v>0</v>
      </c>
    </row>
    <row r="131" spans="1:9" x14ac:dyDescent="0.35">
      <c r="A131" s="10">
        <v>86</v>
      </c>
      <c r="B131" s="11">
        <v>183</v>
      </c>
      <c r="C131" s="12">
        <v>0</v>
      </c>
      <c r="D131" s="14">
        <v>42056</v>
      </c>
      <c r="E131">
        <f t="shared" ref="E131:E184" si="12">MONTH(D131)</f>
        <v>2</v>
      </c>
      <c r="F131">
        <f t="shared" ref="F131:F184" si="13">IF(F130+A131&gt;200, F130+A131 -200, F130+A131)</f>
        <v>137</v>
      </c>
      <c r="G131">
        <f t="shared" ref="G131:G184" si="14">IF(AND(A131+F130 &lt; 200, B131+G130 &gt; 260), B131+G130 - 260, B131+G130)</f>
        <v>189</v>
      </c>
      <c r="H131">
        <f t="shared" ref="H131:H184" si="15">IF(AND(A131+F130&lt;200,B131+G130&lt;260,H130+C131&gt;320),C131+H130-320,C131+H130)</f>
        <v>890</v>
      </c>
      <c r="I131">
        <f t="shared" ref="I131:I184" si="16">IF(AND(F131&gt;F130,G131&gt;G130,H131&gt;H130),1,0)</f>
        <v>0</v>
      </c>
    </row>
    <row r="132" spans="1:9" x14ac:dyDescent="0.35">
      <c r="A132" s="7">
        <v>108</v>
      </c>
      <c r="B132" s="8">
        <v>20</v>
      </c>
      <c r="C132" s="9">
        <v>87</v>
      </c>
      <c r="D132" s="14">
        <v>42057</v>
      </c>
      <c r="E132">
        <f t="shared" si="12"/>
        <v>2</v>
      </c>
      <c r="F132">
        <f t="shared" si="13"/>
        <v>45</v>
      </c>
      <c r="G132">
        <f t="shared" si="14"/>
        <v>209</v>
      </c>
      <c r="H132">
        <f t="shared" si="15"/>
        <v>977</v>
      </c>
      <c r="I132">
        <f t="shared" si="16"/>
        <v>0</v>
      </c>
    </row>
    <row r="133" spans="1:9" x14ac:dyDescent="0.35">
      <c r="A133" s="10">
        <v>102</v>
      </c>
      <c r="B133" s="11">
        <v>142</v>
      </c>
      <c r="C133" s="12">
        <v>20</v>
      </c>
      <c r="D133" s="14">
        <v>42058</v>
      </c>
      <c r="E133">
        <f t="shared" si="12"/>
        <v>2</v>
      </c>
      <c r="F133">
        <f t="shared" si="13"/>
        <v>147</v>
      </c>
      <c r="G133">
        <f t="shared" si="14"/>
        <v>91</v>
      </c>
      <c r="H133">
        <f t="shared" si="15"/>
        <v>997</v>
      </c>
      <c r="I133">
        <f t="shared" si="16"/>
        <v>0</v>
      </c>
    </row>
    <row r="134" spans="1:9" x14ac:dyDescent="0.35">
      <c r="A134" s="7">
        <v>81</v>
      </c>
      <c r="B134" s="8">
        <v>133</v>
      </c>
      <c r="C134" s="9">
        <v>25</v>
      </c>
      <c r="D134" s="14">
        <v>42059</v>
      </c>
      <c r="E134">
        <f t="shared" si="12"/>
        <v>2</v>
      </c>
      <c r="F134">
        <f t="shared" si="13"/>
        <v>28</v>
      </c>
      <c r="G134">
        <f t="shared" si="14"/>
        <v>224</v>
      </c>
      <c r="H134">
        <f t="shared" si="15"/>
        <v>1022</v>
      </c>
      <c r="I134">
        <f t="shared" si="16"/>
        <v>0</v>
      </c>
    </row>
    <row r="135" spans="1:9" x14ac:dyDescent="0.35">
      <c r="A135" s="10">
        <v>59</v>
      </c>
      <c r="B135" s="11">
        <v>87</v>
      </c>
      <c r="C135" s="12">
        <v>10</v>
      </c>
      <c r="D135" s="14">
        <v>42060</v>
      </c>
      <c r="E135">
        <f t="shared" si="12"/>
        <v>2</v>
      </c>
      <c r="F135">
        <f t="shared" si="13"/>
        <v>87</v>
      </c>
      <c r="G135">
        <f t="shared" si="14"/>
        <v>51</v>
      </c>
      <c r="H135">
        <f t="shared" si="15"/>
        <v>1032</v>
      </c>
      <c r="I135">
        <f t="shared" si="16"/>
        <v>0</v>
      </c>
    </row>
    <row r="136" spans="1:9" x14ac:dyDescent="0.35">
      <c r="A136" s="7">
        <v>21</v>
      </c>
      <c r="B136" s="8">
        <v>75</v>
      </c>
      <c r="C136" s="9">
        <v>65</v>
      </c>
      <c r="D136" s="14">
        <v>42061</v>
      </c>
      <c r="E136">
        <f t="shared" si="12"/>
        <v>2</v>
      </c>
      <c r="F136">
        <f t="shared" si="13"/>
        <v>108</v>
      </c>
      <c r="G136">
        <f t="shared" si="14"/>
        <v>126</v>
      </c>
      <c r="H136">
        <f t="shared" si="15"/>
        <v>777</v>
      </c>
      <c r="I136">
        <f t="shared" si="16"/>
        <v>0</v>
      </c>
    </row>
    <row r="137" spans="1:9" x14ac:dyDescent="0.35">
      <c r="A137" s="10">
        <v>79</v>
      </c>
      <c r="B137" s="11">
        <v>14</v>
      </c>
      <c r="C137" s="12">
        <v>27</v>
      </c>
      <c r="D137" s="14">
        <v>42062</v>
      </c>
      <c r="E137">
        <f t="shared" si="12"/>
        <v>2</v>
      </c>
      <c r="F137">
        <f t="shared" si="13"/>
        <v>187</v>
      </c>
      <c r="G137">
        <f t="shared" si="14"/>
        <v>140</v>
      </c>
      <c r="H137">
        <f t="shared" si="15"/>
        <v>484</v>
      </c>
      <c r="I137">
        <f t="shared" si="16"/>
        <v>0</v>
      </c>
    </row>
    <row r="138" spans="1:9" x14ac:dyDescent="0.35">
      <c r="A138" s="7">
        <v>56</v>
      </c>
      <c r="B138" s="8">
        <v>12</v>
      </c>
      <c r="C138" s="9">
        <v>25</v>
      </c>
      <c r="D138" s="14">
        <v>42063</v>
      </c>
      <c r="E138">
        <f t="shared" si="12"/>
        <v>2</v>
      </c>
      <c r="F138">
        <f t="shared" si="13"/>
        <v>43</v>
      </c>
      <c r="G138">
        <f t="shared" si="14"/>
        <v>152</v>
      </c>
      <c r="H138">
        <f t="shared" si="15"/>
        <v>509</v>
      </c>
      <c r="I138">
        <f t="shared" si="16"/>
        <v>0</v>
      </c>
    </row>
    <row r="139" spans="1:9" x14ac:dyDescent="0.35">
      <c r="A139" s="10">
        <v>195</v>
      </c>
      <c r="B139" s="11">
        <v>90</v>
      </c>
      <c r="C139" s="12">
        <v>56</v>
      </c>
      <c r="D139" s="14">
        <v>42064</v>
      </c>
      <c r="E139">
        <f t="shared" si="12"/>
        <v>3</v>
      </c>
      <c r="F139">
        <f t="shared" si="13"/>
        <v>38</v>
      </c>
      <c r="G139">
        <f t="shared" si="14"/>
        <v>242</v>
      </c>
      <c r="H139">
        <f t="shared" si="15"/>
        <v>565</v>
      </c>
      <c r="I139">
        <f t="shared" si="16"/>
        <v>0</v>
      </c>
    </row>
    <row r="140" spans="1:9" x14ac:dyDescent="0.35">
      <c r="A140" s="7">
        <v>113</v>
      </c>
      <c r="B140" s="8">
        <v>90</v>
      </c>
      <c r="C140" s="9">
        <v>24</v>
      </c>
      <c r="D140" s="14">
        <v>42065</v>
      </c>
      <c r="E140">
        <f t="shared" si="12"/>
        <v>3</v>
      </c>
      <c r="F140">
        <f t="shared" si="13"/>
        <v>151</v>
      </c>
      <c r="G140">
        <f t="shared" si="14"/>
        <v>72</v>
      </c>
      <c r="H140">
        <f t="shared" si="15"/>
        <v>589</v>
      </c>
      <c r="I140">
        <f t="shared" si="16"/>
        <v>0</v>
      </c>
    </row>
    <row r="141" spans="1:9" x14ac:dyDescent="0.35">
      <c r="A141" s="10">
        <v>93</v>
      </c>
      <c r="B141" s="11">
        <v>139</v>
      </c>
      <c r="C141" s="12">
        <v>47</v>
      </c>
      <c r="D141" s="14">
        <v>42066</v>
      </c>
      <c r="E141">
        <f t="shared" si="12"/>
        <v>3</v>
      </c>
      <c r="F141">
        <f t="shared" si="13"/>
        <v>44</v>
      </c>
      <c r="G141">
        <f t="shared" si="14"/>
        <v>211</v>
      </c>
      <c r="H141">
        <f t="shared" si="15"/>
        <v>636</v>
      </c>
      <c r="I141">
        <f t="shared" si="16"/>
        <v>0</v>
      </c>
    </row>
    <row r="142" spans="1:9" x14ac:dyDescent="0.35">
      <c r="A142" s="7">
        <v>93</v>
      </c>
      <c r="B142" s="8">
        <v>147</v>
      </c>
      <c r="C142" s="9">
        <v>26</v>
      </c>
      <c r="D142" s="14">
        <v>42067</v>
      </c>
      <c r="E142">
        <f t="shared" si="12"/>
        <v>3</v>
      </c>
      <c r="F142">
        <f t="shared" si="13"/>
        <v>137</v>
      </c>
      <c r="G142">
        <f t="shared" si="14"/>
        <v>98</v>
      </c>
      <c r="H142">
        <f t="shared" si="15"/>
        <v>662</v>
      </c>
      <c r="I142">
        <f t="shared" si="16"/>
        <v>0</v>
      </c>
    </row>
    <row r="143" spans="1:9" x14ac:dyDescent="0.35">
      <c r="A143" s="10">
        <v>79</v>
      </c>
      <c r="B143" s="11">
        <v>145</v>
      </c>
      <c r="C143" s="12">
        <v>36</v>
      </c>
      <c r="D143" s="14">
        <v>42068</v>
      </c>
      <c r="E143">
        <f t="shared" si="12"/>
        <v>3</v>
      </c>
      <c r="F143">
        <f t="shared" si="13"/>
        <v>16</v>
      </c>
      <c r="G143">
        <f t="shared" si="14"/>
        <v>243</v>
      </c>
      <c r="H143">
        <f t="shared" si="15"/>
        <v>698</v>
      </c>
      <c r="I143">
        <f t="shared" si="16"/>
        <v>0</v>
      </c>
    </row>
    <row r="144" spans="1:9" x14ac:dyDescent="0.35">
      <c r="A144" s="7">
        <v>148</v>
      </c>
      <c r="B144" s="8">
        <v>127</v>
      </c>
      <c r="C144" s="9">
        <v>27</v>
      </c>
      <c r="D144" s="14">
        <v>42069</v>
      </c>
      <c r="E144">
        <f t="shared" si="12"/>
        <v>3</v>
      </c>
      <c r="F144">
        <f t="shared" si="13"/>
        <v>164</v>
      </c>
      <c r="G144">
        <f t="shared" si="14"/>
        <v>110</v>
      </c>
      <c r="H144">
        <f t="shared" si="15"/>
        <v>725</v>
      </c>
      <c r="I144">
        <f t="shared" si="16"/>
        <v>0</v>
      </c>
    </row>
    <row r="145" spans="1:9" x14ac:dyDescent="0.35">
      <c r="A145" s="10">
        <v>132</v>
      </c>
      <c r="B145" s="11">
        <v>128</v>
      </c>
      <c r="C145" s="12">
        <v>37</v>
      </c>
      <c r="D145" s="14">
        <v>42070</v>
      </c>
      <c r="E145">
        <f t="shared" si="12"/>
        <v>3</v>
      </c>
      <c r="F145">
        <f t="shared" si="13"/>
        <v>96</v>
      </c>
      <c r="G145">
        <f t="shared" si="14"/>
        <v>238</v>
      </c>
      <c r="H145">
        <f t="shared" si="15"/>
        <v>762</v>
      </c>
      <c r="I145">
        <f t="shared" si="16"/>
        <v>0</v>
      </c>
    </row>
    <row r="146" spans="1:9" x14ac:dyDescent="0.35">
      <c r="A146" s="7">
        <v>22</v>
      </c>
      <c r="B146" s="8">
        <v>115</v>
      </c>
      <c r="C146" s="9">
        <v>28</v>
      </c>
      <c r="D146" s="14">
        <v>42071</v>
      </c>
      <c r="E146">
        <f t="shared" si="12"/>
        <v>3</v>
      </c>
      <c r="F146">
        <f t="shared" si="13"/>
        <v>118</v>
      </c>
      <c r="G146">
        <f t="shared" si="14"/>
        <v>93</v>
      </c>
      <c r="H146">
        <f t="shared" si="15"/>
        <v>790</v>
      </c>
      <c r="I146">
        <f t="shared" si="16"/>
        <v>0</v>
      </c>
    </row>
    <row r="147" spans="1:9" x14ac:dyDescent="0.35">
      <c r="A147" s="10">
        <v>50</v>
      </c>
      <c r="B147" s="11">
        <v>99</v>
      </c>
      <c r="C147" s="12">
        <v>78</v>
      </c>
      <c r="D147" s="14">
        <v>42072</v>
      </c>
      <c r="E147">
        <f t="shared" si="12"/>
        <v>3</v>
      </c>
      <c r="F147">
        <f t="shared" si="13"/>
        <v>168</v>
      </c>
      <c r="G147">
        <f t="shared" si="14"/>
        <v>192</v>
      </c>
      <c r="H147">
        <f t="shared" si="15"/>
        <v>548</v>
      </c>
      <c r="I147">
        <f t="shared" si="16"/>
        <v>0</v>
      </c>
    </row>
    <row r="148" spans="1:9" x14ac:dyDescent="0.35">
      <c r="A148" s="7">
        <v>178</v>
      </c>
      <c r="B148" s="8">
        <v>146</v>
      </c>
      <c r="C148" s="9">
        <v>75</v>
      </c>
      <c r="D148" s="14">
        <v>42073</v>
      </c>
      <c r="E148">
        <f t="shared" si="12"/>
        <v>3</v>
      </c>
      <c r="F148">
        <f t="shared" si="13"/>
        <v>146</v>
      </c>
      <c r="G148">
        <f t="shared" si="14"/>
        <v>338</v>
      </c>
      <c r="H148">
        <f t="shared" si="15"/>
        <v>623</v>
      </c>
      <c r="I148">
        <f t="shared" si="16"/>
        <v>0</v>
      </c>
    </row>
    <row r="149" spans="1:9" x14ac:dyDescent="0.35">
      <c r="A149" s="10">
        <v>97</v>
      </c>
      <c r="B149" s="11">
        <v>135</v>
      </c>
      <c r="C149" s="12">
        <v>66</v>
      </c>
      <c r="D149" s="14">
        <v>42074</v>
      </c>
      <c r="E149">
        <f t="shared" si="12"/>
        <v>3</v>
      </c>
      <c r="F149">
        <f t="shared" si="13"/>
        <v>43</v>
      </c>
      <c r="G149">
        <f t="shared" si="14"/>
        <v>473</v>
      </c>
      <c r="H149">
        <f t="shared" si="15"/>
        <v>689</v>
      </c>
      <c r="I149">
        <f t="shared" si="16"/>
        <v>0</v>
      </c>
    </row>
    <row r="150" spans="1:9" x14ac:dyDescent="0.35">
      <c r="A150" s="7">
        <v>138</v>
      </c>
      <c r="B150" s="8">
        <v>160</v>
      </c>
      <c r="C150" s="9">
        <v>6</v>
      </c>
      <c r="D150" s="14">
        <v>42075</v>
      </c>
      <c r="E150">
        <f t="shared" si="12"/>
        <v>3</v>
      </c>
      <c r="F150">
        <f t="shared" si="13"/>
        <v>181</v>
      </c>
      <c r="G150">
        <f t="shared" si="14"/>
        <v>373</v>
      </c>
      <c r="H150">
        <f t="shared" si="15"/>
        <v>695</v>
      </c>
      <c r="I150">
        <f t="shared" si="16"/>
        <v>0</v>
      </c>
    </row>
    <row r="151" spans="1:9" x14ac:dyDescent="0.35">
      <c r="A151" s="10">
        <v>194</v>
      </c>
      <c r="B151" s="11">
        <v>87</v>
      </c>
      <c r="C151" s="12">
        <v>60</v>
      </c>
      <c r="D151" s="14">
        <v>42076</v>
      </c>
      <c r="E151">
        <f t="shared" si="12"/>
        <v>3</v>
      </c>
      <c r="F151">
        <f t="shared" si="13"/>
        <v>175</v>
      </c>
      <c r="G151">
        <f t="shared" si="14"/>
        <v>460</v>
      </c>
      <c r="H151">
        <f t="shared" si="15"/>
        <v>755</v>
      </c>
      <c r="I151">
        <f t="shared" si="16"/>
        <v>0</v>
      </c>
    </row>
    <row r="152" spans="1:9" x14ac:dyDescent="0.35">
      <c r="A152" s="7">
        <v>86</v>
      </c>
      <c r="B152" s="8">
        <v>21</v>
      </c>
      <c r="C152" s="9">
        <v>45</v>
      </c>
      <c r="D152" s="14">
        <v>42077</v>
      </c>
      <c r="E152">
        <f t="shared" si="12"/>
        <v>3</v>
      </c>
      <c r="F152">
        <f t="shared" si="13"/>
        <v>61</v>
      </c>
      <c r="G152">
        <f t="shared" si="14"/>
        <v>481</v>
      </c>
      <c r="H152">
        <f t="shared" si="15"/>
        <v>800</v>
      </c>
      <c r="I152">
        <f t="shared" si="16"/>
        <v>0</v>
      </c>
    </row>
    <row r="153" spans="1:9" x14ac:dyDescent="0.35">
      <c r="A153" s="10">
        <v>26</v>
      </c>
      <c r="B153" s="11">
        <v>60</v>
      </c>
      <c r="C153" s="12">
        <v>44</v>
      </c>
      <c r="D153" s="14">
        <v>42078</v>
      </c>
      <c r="E153">
        <f t="shared" si="12"/>
        <v>3</v>
      </c>
      <c r="F153">
        <f t="shared" si="13"/>
        <v>87</v>
      </c>
      <c r="G153">
        <f t="shared" si="14"/>
        <v>281</v>
      </c>
      <c r="H153">
        <f t="shared" si="15"/>
        <v>844</v>
      </c>
      <c r="I153">
        <f t="shared" si="16"/>
        <v>0</v>
      </c>
    </row>
    <row r="154" spans="1:9" x14ac:dyDescent="0.35">
      <c r="A154" s="7">
        <v>28</v>
      </c>
      <c r="B154" s="8">
        <v>35</v>
      </c>
      <c r="C154" s="9">
        <v>96</v>
      </c>
      <c r="D154" s="14">
        <v>42079</v>
      </c>
      <c r="E154">
        <f t="shared" si="12"/>
        <v>3</v>
      </c>
      <c r="F154">
        <f t="shared" si="13"/>
        <v>115</v>
      </c>
      <c r="G154">
        <f t="shared" si="14"/>
        <v>56</v>
      </c>
      <c r="H154">
        <f t="shared" si="15"/>
        <v>940</v>
      </c>
      <c r="I154">
        <f t="shared" si="16"/>
        <v>0</v>
      </c>
    </row>
    <row r="155" spans="1:9" x14ac:dyDescent="0.35">
      <c r="A155" s="10">
        <v>53</v>
      </c>
      <c r="B155" s="11">
        <v>100</v>
      </c>
      <c r="C155" s="12">
        <v>64</v>
      </c>
      <c r="D155" s="14">
        <v>42080</v>
      </c>
      <c r="E155">
        <f t="shared" si="12"/>
        <v>3</v>
      </c>
      <c r="F155">
        <f t="shared" si="13"/>
        <v>168</v>
      </c>
      <c r="G155">
        <f t="shared" si="14"/>
        <v>156</v>
      </c>
      <c r="H155">
        <f t="shared" si="15"/>
        <v>684</v>
      </c>
      <c r="I155">
        <f t="shared" si="16"/>
        <v>0</v>
      </c>
    </row>
    <row r="156" spans="1:9" x14ac:dyDescent="0.35">
      <c r="A156" s="7">
        <v>168</v>
      </c>
      <c r="B156" s="8">
        <v>64</v>
      </c>
      <c r="C156" s="9">
        <v>46</v>
      </c>
      <c r="D156" s="14">
        <v>42081</v>
      </c>
      <c r="E156">
        <f t="shared" si="12"/>
        <v>3</v>
      </c>
      <c r="F156">
        <f t="shared" si="13"/>
        <v>136</v>
      </c>
      <c r="G156">
        <f t="shared" si="14"/>
        <v>220</v>
      </c>
      <c r="H156">
        <f t="shared" si="15"/>
        <v>730</v>
      </c>
      <c r="I156">
        <f t="shared" si="16"/>
        <v>0</v>
      </c>
    </row>
    <row r="157" spans="1:9" x14ac:dyDescent="0.35">
      <c r="A157" s="10">
        <v>77</v>
      </c>
      <c r="B157" s="11">
        <v>60</v>
      </c>
      <c r="C157" s="12">
        <v>35</v>
      </c>
      <c r="D157" s="14">
        <v>42082</v>
      </c>
      <c r="E157">
        <f t="shared" si="12"/>
        <v>3</v>
      </c>
      <c r="F157">
        <f t="shared" si="13"/>
        <v>13</v>
      </c>
      <c r="G157">
        <f t="shared" si="14"/>
        <v>280</v>
      </c>
      <c r="H157">
        <f t="shared" si="15"/>
        <v>765</v>
      </c>
      <c r="I157">
        <f t="shared" si="16"/>
        <v>0</v>
      </c>
    </row>
    <row r="158" spans="1:9" x14ac:dyDescent="0.35">
      <c r="A158" s="7">
        <v>17</v>
      </c>
      <c r="B158" s="8">
        <v>80</v>
      </c>
      <c r="C158" s="9">
        <v>30</v>
      </c>
      <c r="D158" s="14">
        <v>42083</v>
      </c>
      <c r="E158">
        <f t="shared" si="12"/>
        <v>3</v>
      </c>
      <c r="F158">
        <f t="shared" si="13"/>
        <v>30</v>
      </c>
      <c r="G158">
        <f t="shared" si="14"/>
        <v>100</v>
      </c>
      <c r="H158">
        <f t="shared" si="15"/>
        <v>795</v>
      </c>
      <c r="I158">
        <f t="shared" si="16"/>
        <v>0</v>
      </c>
    </row>
    <row r="159" spans="1:9" x14ac:dyDescent="0.35">
      <c r="A159" s="10">
        <v>175</v>
      </c>
      <c r="B159" s="11">
        <v>47</v>
      </c>
      <c r="C159" s="12">
        <v>25</v>
      </c>
      <c r="D159" s="14">
        <v>42084</v>
      </c>
      <c r="E159">
        <f t="shared" si="12"/>
        <v>3</v>
      </c>
      <c r="F159">
        <f t="shared" si="13"/>
        <v>5</v>
      </c>
      <c r="G159">
        <f t="shared" si="14"/>
        <v>147</v>
      </c>
      <c r="H159">
        <f t="shared" si="15"/>
        <v>820</v>
      </c>
      <c r="I159">
        <f t="shared" si="16"/>
        <v>0</v>
      </c>
    </row>
    <row r="160" spans="1:9" x14ac:dyDescent="0.35">
      <c r="A160" s="7">
        <v>164</v>
      </c>
      <c r="B160" s="8">
        <v>60</v>
      </c>
      <c r="C160" s="9">
        <v>22</v>
      </c>
      <c r="D160" s="14">
        <v>42085</v>
      </c>
      <c r="E160">
        <f t="shared" si="12"/>
        <v>3</v>
      </c>
      <c r="F160">
        <f t="shared" si="13"/>
        <v>169</v>
      </c>
      <c r="G160">
        <f t="shared" si="14"/>
        <v>207</v>
      </c>
      <c r="H160">
        <f t="shared" si="15"/>
        <v>522</v>
      </c>
      <c r="I160">
        <f t="shared" si="16"/>
        <v>0</v>
      </c>
    </row>
    <row r="161" spans="1:9" x14ac:dyDescent="0.35">
      <c r="A161" s="10">
        <v>199</v>
      </c>
      <c r="B161" s="11">
        <v>80</v>
      </c>
      <c r="C161" s="12">
        <v>45</v>
      </c>
      <c r="D161" s="14">
        <v>42086</v>
      </c>
      <c r="E161">
        <f t="shared" si="12"/>
        <v>3</v>
      </c>
      <c r="F161">
        <f t="shared" si="13"/>
        <v>168</v>
      </c>
      <c r="G161">
        <f t="shared" si="14"/>
        <v>287</v>
      </c>
      <c r="H161">
        <f t="shared" si="15"/>
        <v>567</v>
      </c>
      <c r="I161">
        <f t="shared" si="16"/>
        <v>0</v>
      </c>
    </row>
    <row r="162" spans="1:9" x14ac:dyDescent="0.35">
      <c r="A162" s="7">
        <v>111</v>
      </c>
      <c r="B162" s="8">
        <v>92</v>
      </c>
      <c r="C162" s="9">
        <v>45</v>
      </c>
      <c r="D162" s="14">
        <v>42087</v>
      </c>
      <c r="E162">
        <f t="shared" si="12"/>
        <v>3</v>
      </c>
      <c r="F162">
        <f t="shared" si="13"/>
        <v>79</v>
      </c>
      <c r="G162">
        <f t="shared" si="14"/>
        <v>379</v>
      </c>
      <c r="H162">
        <f t="shared" si="15"/>
        <v>612</v>
      </c>
      <c r="I162">
        <f t="shared" si="16"/>
        <v>0</v>
      </c>
    </row>
    <row r="163" spans="1:9" x14ac:dyDescent="0.35">
      <c r="A163" s="10">
        <v>58</v>
      </c>
      <c r="B163" s="11">
        <v>90</v>
      </c>
      <c r="C163" s="12">
        <v>40</v>
      </c>
      <c r="D163" s="14">
        <v>42088</v>
      </c>
      <c r="E163">
        <f t="shared" si="12"/>
        <v>3</v>
      </c>
      <c r="F163">
        <f t="shared" si="13"/>
        <v>137</v>
      </c>
      <c r="G163">
        <f t="shared" si="14"/>
        <v>209</v>
      </c>
      <c r="H163">
        <f t="shared" si="15"/>
        <v>652</v>
      </c>
      <c r="I163">
        <f t="shared" si="16"/>
        <v>0</v>
      </c>
    </row>
    <row r="164" spans="1:9" x14ac:dyDescent="0.35">
      <c r="A164" s="7">
        <v>59</v>
      </c>
      <c r="B164" s="8">
        <v>164</v>
      </c>
      <c r="C164" s="9">
        <v>47</v>
      </c>
      <c r="D164" s="14">
        <v>42089</v>
      </c>
      <c r="E164">
        <f t="shared" si="12"/>
        <v>3</v>
      </c>
      <c r="F164">
        <f t="shared" si="13"/>
        <v>196</v>
      </c>
      <c r="G164">
        <f t="shared" si="14"/>
        <v>113</v>
      </c>
      <c r="H164">
        <f t="shared" si="15"/>
        <v>699</v>
      </c>
      <c r="I164">
        <f t="shared" si="16"/>
        <v>0</v>
      </c>
    </row>
    <row r="165" spans="1:9" x14ac:dyDescent="0.35">
      <c r="A165" s="10">
        <v>158</v>
      </c>
      <c r="B165" s="11">
        <v>120</v>
      </c>
      <c r="C165" s="12">
        <v>30</v>
      </c>
      <c r="D165" s="14">
        <v>42090</v>
      </c>
      <c r="E165">
        <f t="shared" si="12"/>
        <v>3</v>
      </c>
      <c r="F165">
        <f t="shared" si="13"/>
        <v>154</v>
      </c>
      <c r="G165">
        <f t="shared" si="14"/>
        <v>233</v>
      </c>
      <c r="H165">
        <f t="shared" si="15"/>
        <v>729</v>
      </c>
      <c r="I165">
        <f t="shared" si="16"/>
        <v>0</v>
      </c>
    </row>
    <row r="166" spans="1:9" x14ac:dyDescent="0.35">
      <c r="A166" s="7">
        <v>84</v>
      </c>
      <c r="B166" s="8">
        <v>90</v>
      </c>
      <c r="C166" s="9">
        <v>30</v>
      </c>
      <c r="D166" s="14">
        <v>42091</v>
      </c>
      <c r="E166">
        <f t="shared" si="12"/>
        <v>3</v>
      </c>
      <c r="F166">
        <f t="shared" si="13"/>
        <v>38</v>
      </c>
      <c r="G166">
        <f t="shared" si="14"/>
        <v>323</v>
      </c>
      <c r="H166">
        <f t="shared" si="15"/>
        <v>759</v>
      </c>
      <c r="I166">
        <f t="shared" si="16"/>
        <v>0</v>
      </c>
    </row>
    <row r="167" spans="1:9" x14ac:dyDescent="0.35">
      <c r="A167" s="10">
        <v>64</v>
      </c>
      <c r="B167" s="11">
        <v>61</v>
      </c>
      <c r="C167" s="12">
        <v>60</v>
      </c>
      <c r="D167" s="14">
        <v>42092</v>
      </c>
      <c r="E167">
        <f t="shared" si="12"/>
        <v>3</v>
      </c>
      <c r="F167">
        <f t="shared" si="13"/>
        <v>102</v>
      </c>
      <c r="G167">
        <f t="shared" si="14"/>
        <v>124</v>
      </c>
      <c r="H167">
        <f t="shared" si="15"/>
        <v>819</v>
      </c>
      <c r="I167">
        <f t="shared" si="16"/>
        <v>0</v>
      </c>
    </row>
    <row r="168" spans="1:9" x14ac:dyDescent="0.35">
      <c r="A168" s="7">
        <v>125</v>
      </c>
      <c r="B168" s="8">
        <v>84</v>
      </c>
      <c r="C168" s="9">
        <v>40</v>
      </c>
      <c r="D168" s="14">
        <v>42093</v>
      </c>
      <c r="E168">
        <f t="shared" si="12"/>
        <v>3</v>
      </c>
      <c r="F168">
        <f t="shared" si="13"/>
        <v>27</v>
      </c>
      <c r="G168">
        <f t="shared" si="14"/>
        <v>208</v>
      </c>
      <c r="H168">
        <f t="shared" si="15"/>
        <v>859</v>
      </c>
      <c r="I168">
        <f t="shared" si="16"/>
        <v>0</v>
      </c>
    </row>
    <row r="169" spans="1:9" x14ac:dyDescent="0.35">
      <c r="A169" s="10">
        <v>148</v>
      </c>
      <c r="B169" s="11">
        <v>110</v>
      </c>
      <c r="C169" s="12">
        <v>50</v>
      </c>
      <c r="D169" s="14">
        <v>42094</v>
      </c>
      <c r="E169">
        <f t="shared" si="12"/>
        <v>3</v>
      </c>
      <c r="F169">
        <f t="shared" si="13"/>
        <v>175</v>
      </c>
      <c r="G169">
        <f t="shared" si="14"/>
        <v>58</v>
      </c>
      <c r="H169">
        <f t="shared" si="15"/>
        <v>909</v>
      </c>
      <c r="I169">
        <f t="shared" si="16"/>
        <v>0</v>
      </c>
    </row>
    <row r="170" spans="1:9" x14ac:dyDescent="0.35">
      <c r="A170" s="7">
        <v>172</v>
      </c>
      <c r="B170" s="8">
        <v>100</v>
      </c>
      <c r="C170" s="9">
        <v>30</v>
      </c>
      <c r="D170" s="14">
        <v>42095</v>
      </c>
      <c r="E170">
        <f t="shared" si="12"/>
        <v>4</v>
      </c>
      <c r="F170">
        <f t="shared" si="13"/>
        <v>147</v>
      </c>
      <c r="G170">
        <f t="shared" si="14"/>
        <v>158</v>
      </c>
      <c r="H170">
        <f t="shared" si="15"/>
        <v>939</v>
      </c>
      <c r="I170">
        <f t="shared" si="16"/>
        <v>0</v>
      </c>
    </row>
    <row r="171" spans="1:9" x14ac:dyDescent="0.35">
      <c r="A171" s="10">
        <v>103</v>
      </c>
      <c r="B171" s="11">
        <v>60</v>
      </c>
      <c r="C171" s="12">
        <v>40</v>
      </c>
      <c r="D171" s="14">
        <v>42096</v>
      </c>
      <c r="E171">
        <f t="shared" si="12"/>
        <v>4</v>
      </c>
      <c r="F171">
        <f t="shared" si="13"/>
        <v>50</v>
      </c>
      <c r="G171">
        <f t="shared" si="14"/>
        <v>218</v>
      </c>
      <c r="H171">
        <f t="shared" si="15"/>
        <v>979</v>
      </c>
      <c r="I171">
        <f t="shared" si="16"/>
        <v>0</v>
      </c>
    </row>
    <row r="172" spans="1:9" x14ac:dyDescent="0.35">
      <c r="A172" s="7">
        <v>191</v>
      </c>
      <c r="B172" s="8">
        <v>41</v>
      </c>
      <c r="C172" s="9">
        <v>52</v>
      </c>
      <c r="D172" s="14">
        <v>42097</v>
      </c>
      <c r="E172">
        <f t="shared" si="12"/>
        <v>4</v>
      </c>
      <c r="F172">
        <f t="shared" si="13"/>
        <v>41</v>
      </c>
      <c r="G172">
        <f t="shared" si="14"/>
        <v>259</v>
      </c>
      <c r="H172">
        <f t="shared" si="15"/>
        <v>1031</v>
      </c>
      <c r="I172">
        <f t="shared" si="16"/>
        <v>0</v>
      </c>
    </row>
    <row r="173" spans="1:9" x14ac:dyDescent="0.35">
      <c r="A173" s="10">
        <v>128</v>
      </c>
      <c r="B173" s="11">
        <v>98</v>
      </c>
      <c r="C173" s="12">
        <v>40</v>
      </c>
      <c r="D173" s="14">
        <v>42098</v>
      </c>
      <c r="E173">
        <f t="shared" si="12"/>
        <v>4</v>
      </c>
      <c r="F173">
        <f t="shared" si="13"/>
        <v>169</v>
      </c>
      <c r="G173">
        <f t="shared" si="14"/>
        <v>97</v>
      </c>
      <c r="H173">
        <f t="shared" si="15"/>
        <v>1071</v>
      </c>
      <c r="I173">
        <f t="shared" si="16"/>
        <v>0</v>
      </c>
    </row>
    <row r="174" spans="1:9" x14ac:dyDescent="0.35">
      <c r="A174" s="7">
        <v>75</v>
      </c>
      <c r="B174" s="8">
        <v>87</v>
      </c>
      <c r="C174" s="9">
        <v>47</v>
      </c>
      <c r="D174" s="14">
        <v>42099</v>
      </c>
      <c r="E174">
        <f t="shared" si="12"/>
        <v>4</v>
      </c>
      <c r="F174">
        <f t="shared" si="13"/>
        <v>44</v>
      </c>
      <c r="G174">
        <f t="shared" si="14"/>
        <v>184</v>
      </c>
      <c r="H174">
        <f t="shared" si="15"/>
        <v>1118</v>
      </c>
      <c r="I174">
        <f t="shared" si="16"/>
        <v>0</v>
      </c>
    </row>
    <row r="175" spans="1:9" x14ac:dyDescent="0.35">
      <c r="A175" s="10">
        <v>38</v>
      </c>
      <c r="B175" s="11">
        <v>100</v>
      </c>
      <c r="C175" s="12">
        <v>50</v>
      </c>
      <c r="D175" s="14">
        <v>42100</v>
      </c>
      <c r="E175">
        <f t="shared" si="12"/>
        <v>4</v>
      </c>
      <c r="F175">
        <f t="shared" si="13"/>
        <v>82</v>
      </c>
      <c r="G175">
        <f t="shared" si="14"/>
        <v>24</v>
      </c>
      <c r="H175">
        <f t="shared" si="15"/>
        <v>1168</v>
      </c>
      <c r="I175">
        <f t="shared" si="16"/>
        <v>0</v>
      </c>
    </row>
    <row r="176" spans="1:9" x14ac:dyDescent="0.35">
      <c r="A176" s="7">
        <v>80</v>
      </c>
      <c r="B176" s="8">
        <v>40</v>
      </c>
      <c r="C176" s="9">
        <v>30</v>
      </c>
      <c r="D176" s="14">
        <v>42101</v>
      </c>
      <c r="E176">
        <f t="shared" si="12"/>
        <v>4</v>
      </c>
      <c r="F176">
        <f t="shared" si="13"/>
        <v>162</v>
      </c>
      <c r="G176">
        <f t="shared" si="14"/>
        <v>64</v>
      </c>
      <c r="H176">
        <f t="shared" si="15"/>
        <v>878</v>
      </c>
      <c r="I176">
        <f t="shared" si="16"/>
        <v>0</v>
      </c>
    </row>
    <row r="177" spans="1:9" x14ac:dyDescent="0.35">
      <c r="A177" s="10">
        <v>55</v>
      </c>
      <c r="B177" s="11">
        <v>60</v>
      </c>
      <c r="C177" s="12">
        <v>50</v>
      </c>
      <c r="D177" s="14">
        <v>42102</v>
      </c>
      <c r="E177">
        <f t="shared" si="12"/>
        <v>4</v>
      </c>
      <c r="F177">
        <f t="shared" si="13"/>
        <v>17</v>
      </c>
      <c r="G177">
        <f t="shared" si="14"/>
        <v>124</v>
      </c>
      <c r="H177">
        <f t="shared" si="15"/>
        <v>928</v>
      </c>
      <c r="I177">
        <f t="shared" si="16"/>
        <v>0</v>
      </c>
    </row>
    <row r="178" spans="1:9" x14ac:dyDescent="0.35">
      <c r="A178" s="7">
        <v>10</v>
      </c>
      <c r="B178" s="8">
        <v>80</v>
      </c>
      <c r="C178" s="9">
        <v>48</v>
      </c>
      <c r="D178" s="14">
        <v>42103</v>
      </c>
      <c r="E178">
        <f t="shared" si="12"/>
        <v>4</v>
      </c>
      <c r="F178">
        <f t="shared" si="13"/>
        <v>27</v>
      </c>
      <c r="G178">
        <f t="shared" si="14"/>
        <v>204</v>
      </c>
      <c r="H178">
        <f t="shared" si="15"/>
        <v>656</v>
      </c>
      <c r="I178">
        <f t="shared" si="16"/>
        <v>0</v>
      </c>
    </row>
    <row r="179" spans="1:9" x14ac:dyDescent="0.35">
      <c r="A179" s="10">
        <v>95</v>
      </c>
      <c r="B179" s="11">
        <v>60</v>
      </c>
      <c r="C179" s="12">
        <v>51</v>
      </c>
      <c r="D179" s="14">
        <v>42104</v>
      </c>
      <c r="E179">
        <f t="shared" si="12"/>
        <v>4</v>
      </c>
      <c r="F179">
        <f t="shared" si="13"/>
        <v>122</v>
      </c>
      <c r="G179">
        <f t="shared" si="14"/>
        <v>4</v>
      </c>
      <c r="H179">
        <f t="shared" si="15"/>
        <v>707</v>
      </c>
      <c r="I179">
        <f t="shared" si="16"/>
        <v>0</v>
      </c>
    </row>
    <row r="180" spans="1:9" x14ac:dyDescent="0.35">
      <c r="A180" s="7">
        <v>90</v>
      </c>
      <c r="B180" s="8">
        <v>100</v>
      </c>
      <c r="C180" s="9">
        <v>50</v>
      </c>
      <c r="D180" s="14">
        <v>42105</v>
      </c>
      <c r="E180">
        <f t="shared" si="12"/>
        <v>4</v>
      </c>
      <c r="F180">
        <f t="shared" si="13"/>
        <v>12</v>
      </c>
      <c r="G180">
        <f t="shared" si="14"/>
        <v>104</v>
      </c>
      <c r="H180">
        <f t="shared" si="15"/>
        <v>757</v>
      </c>
      <c r="I180">
        <f t="shared" si="16"/>
        <v>0</v>
      </c>
    </row>
    <row r="181" spans="1:9" x14ac:dyDescent="0.35">
      <c r="A181" s="10">
        <v>186</v>
      </c>
      <c r="B181" s="11">
        <v>60</v>
      </c>
      <c r="C181" s="12">
        <v>92</v>
      </c>
      <c r="D181" s="14">
        <v>42106</v>
      </c>
      <c r="E181">
        <f t="shared" si="12"/>
        <v>4</v>
      </c>
      <c r="F181">
        <f t="shared" si="13"/>
        <v>198</v>
      </c>
      <c r="G181">
        <f t="shared" si="14"/>
        <v>164</v>
      </c>
      <c r="H181">
        <f t="shared" si="15"/>
        <v>529</v>
      </c>
      <c r="I181">
        <f t="shared" si="16"/>
        <v>0</v>
      </c>
    </row>
    <row r="182" spans="1:9" x14ac:dyDescent="0.35">
      <c r="A182" s="7">
        <v>2</v>
      </c>
      <c r="B182" s="8">
        <v>40</v>
      </c>
      <c r="C182" s="9">
        <v>50</v>
      </c>
      <c r="D182" s="14">
        <v>42107</v>
      </c>
      <c r="E182">
        <f t="shared" si="12"/>
        <v>4</v>
      </c>
      <c r="F182">
        <f t="shared" si="13"/>
        <v>200</v>
      </c>
      <c r="G182">
        <f t="shared" si="14"/>
        <v>204</v>
      </c>
      <c r="H182">
        <f t="shared" si="15"/>
        <v>579</v>
      </c>
      <c r="I182">
        <f t="shared" si="16"/>
        <v>1</v>
      </c>
    </row>
    <row r="183" spans="1:9" x14ac:dyDescent="0.35">
      <c r="A183" s="10">
        <v>136</v>
      </c>
      <c r="B183" s="11">
        <v>20</v>
      </c>
      <c r="C183" s="12">
        <v>66</v>
      </c>
      <c r="D183" s="14">
        <v>42108</v>
      </c>
      <c r="E183">
        <f t="shared" si="12"/>
        <v>4</v>
      </c>
      <c r="F183">
        <f t="shared" si="13"/>
        <v>136</v>
      </c>
      <c r="G183">
        <f t="shared" si="14"/>
        <v>224</v>
      </c>
      <c r="H183">
        <f t="shared" si="15"/>
        <v>645</v>
      </c>
      <c r="I183">
        <f t="shared" si="16"/>
        <v>0</v>
      </c>
    </row>
    <row r="184" spans="1:9" x14ac:dyDescent="0.35">
      <c r="A184" s="1">
        <v>4</v>
      </c>
      <c r="B184" s="2">
        <v>20</v>
      </c>
      <c r="C184" s="3">
        <v>10</v>
      </c>
      <c r="D184" s="14">
        <v>42109</v>
      </c>
      <c r="E184">
        <f t="shared" si="12"/>
        <v>4</v>
      </c>
      <c r="F184">
        <f t="shared" si="13"/>
        <v>140</v>
      </c>
      <c r="G184">
        <f t="shared" si="14"/>
        <v>244</v>
      </c>
      <c r="H184">
        <f t="shared" si="15"/>
        <v>335</v>
      </c>
      <c r="I184">
        <f t="shared" si="16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EF7F24-25A2-4CA2-820E-7199633252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4.1</vt:lpstr>
      <vt:lpstr>4.3</vt:lpstr>
      <vt:lpstr>4.4</vt:lpstr>
      <vt:lpstr>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2024-03-15T17:11:05Z</dcterms:created>
  <dcterms:modified xsi:type="dcterms:W3CDTF">2024-03-19T20:35:52Z</dcterms:modified>
</cp:coreProperties>
</file>